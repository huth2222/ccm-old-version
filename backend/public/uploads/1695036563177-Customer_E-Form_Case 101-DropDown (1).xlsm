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activeX/activeX28.xml" ContentType="application/vnd.ms-office.activeX+xml"/>
  <Override PartName="/xl/activeX/activeX29.xml" ContentType="application/vnd.ms-office.activeX+xml"/>
  <Override PartName="/xl/activeX/activeX30.xml" ContentType="application/vnd.ms-office.activeX+xml"/>
  <Override PartName="/xl/activeX/activeX31.xml" ContentType="application/vnd.ms-office.activeX+xml"/>
  <Override PartName="/xl/activeX/activeX32.xml" ContentType="application/vnd.ms-office.activeX+xml"/>
  <Override PartName="/xl/activeX/activeX33.xml" ContentType="application/vnd.ms-office.activeX+xml"/>
  <Override PartName="/xl/activeX/activeX34.xml" ContentType="application/vnd.ms-office.activeX+xml"/>
  <Override PartName="/xl/activeX/activeX35.xml" ContentType="application/vnd.ms-office.activeX+xml"/>
  <Override PartName="/xl/activeX/activeX36.xml" ContentType="application/vnd.ms-office.activeX+xml"/>
  <Override PartName="/xl/activeX/activeX37.xml" ContentType="application/vnd.ms-office.activeX+xml"/>
  <Override PartName="/xl/activeX/activeX38.xml" ContentType="application/vnd.ms-office.activeX+xml"/>
  <Override PartName="/xl/activeX/activeX39.xml" ContentType="application/vnd.ms-office.activeX+xml"/>
  <Override PartName="/xl/activeX/activeX40.xml" ContentType="application/vnd.ms-office.activeX+xml"/>
  <Override PartName="/xl/activeX/activeX41.xml" ContentType="application/vnd.ms-office.activeX+xml"/>
  <Override PartName="/xl/activeX/activeX42.xml" ContentType="application/vnd.ms-office.activeX+xml"/>
  <Override PartName="/xl/activeX/activeX43.xml" ContentType="application/vnd.ms-office.activeX+xml"/>
  <Override PartName="/xl/activeX/activeX1.bin" ContentType="application/vnd.ms-office.activeX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7.bin" ContentType="application/vnd.ms-office.activeX"/>
  <Override PartName="/xl/activeX/activeX8.bin" ContentType="application/vnd.ms-office.activeX"/>
  <Override PartName="/xl/activeX/activeX9.bin" ContentType="application/vnd.ms-office.activeX"/>
  <Override PartName="/xl/activeX/activeX10.bin" ContentType="application/vnd.ms-office.activeX"/>
  <Override PartName="/xl/activeX/activeX11.bin" ContentType="application/vnd.ms-office.activeX"/>
  <Override PartName="/xl/activeX/activeX12.bin" ContentType="application/vnd.ms-office.activeX"/>
  <Override PartName="/xl/activeX/activeX13.bin" ContentType="application/vnd.ms-office.activeX"/>
  <Override PartName="/xl/activeX/activeX14.bin" ContentType="application/vnd.ms-office.activeX"/>
  <Override PartName="/xl/activeX/activeX15.bin" ContentType="application/vnd.ms-office.activeX"/>
  <Override PartName="/xl/activeX/activeX16.bin" ContentType="application/vnd.ms-office.activeX"/>
  <Override PartName="/xl/activeX/activeX17.bin" ContentType="application/vnd.ms-office.activeX"/>
  <Override PartName="/xl/activeX/activeX18.bin" ContentType="application/vnd.ms-office.activeX"/>
  <Override PartName="/xl/activeX/activeX19.bin" ContentType="application/vnd.ms-office.activeX"/>
  <Override PartName="/xl/activeX/activeX20.bin" ContentType="application/vnd.ms-office.activeX"/>
  <Override PartName="/xl/activeX/activeX21.bin" ContentType="application/vnd.ms-office.activeX"/>
  <Override PartName="/xl/activeX/activeX22.bin" ContentType="application/vnd.ms-office.activeX"/>
  <Override PartName="/xl/activeX/activeX23.bin" ContentType="application/vnd.ms-office.activeX"/>
  <Override PartName="/xl/activeX/activeX24.bin" ContentType="application/vnd.ms-office.activeX"/>
  <Override PartName="/xl/activeX/activeX25.bin" ContentType="application/vnd.ms-office.activeX"/>
  <Override PartName="/xl/activeX/activeX26.bin" ContentType="application/vnd.ms-office.activeX"/>
  <Override PartName="/xl/activeX/activeX27.bin" ContentType="application/vnd.ms-office.activeX"/>
  <Override PartName="/xl/activeX/activeX28.bin" ContentType="application/vnd.ms-office.activeX"/>
  <Override PartName="/xl/activeX/activeX29.bin" ContentType="application/vnd.ms-office.activeX"/>
  <Override PartName="/xl/activeX/activeX30.bin" ContentType="application/vnd.ms-office.activeX"/>
  <Override PartName="/xl/activeX/activeX31.bin" ContentType="application/vnd.ms-office.activeX"/>
  <Override PartName="/xl/activeX/activeX32.bin" ContentType="application/vnd.ms-office.activeX"/>
  <Override PartName="/xl/activeX/activeX33.bin" ContentType="application/vnd.ms-office.activeX"/>
  <Override PartName="/xl/activeX/activeX34.bin" ContentType="application/vnd.ms-office.activeX"/>
  <Override PartName="/xl/activeX/activeX35.bin" ContentType="application/vnd.ms-office.activeX"/>
  <Override PartName="/xl/activeX/activeX36.bin" ContentType="application/vnd.ms-office.activeX"/>
  <Override PartName="/xl/activeX/activeX37.bin" ContentType="application/vnd.ms-office.activeX"/>
  <Override PartName="/xl/activeX/activeX38.bin" ContentType="application/vnd.ms-office.activeX"/>
  <Override PartName="/xl/activeX/activeX39.bin" ContentType="application/vnd.ms-office.activeX"/>
  <Override PartName="/xl/activeX/activeX40.bin" ContentType="application/vnd.ms-office.activeX"/>
  <Override PartName="/xl/activeX/activeX41.bin" ContentType="application/vnd.ms-office.activeX"/>
  <Override PartName="/xl/activeX/activeX42.bin" ContentType="application/vnd.ms-office.activeX"/>
  <Override PartName="/xl/activeX/activeX43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11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toa365-my.sharepoint.com/personal/rungnapa_j_toagroup_com/Documents/Desktop/Rungnapa/Data&amp;Procress/E-form/Template/"/>
    </mc:Choice>
  </mc:AlternateContent>
  <xr:revisionPtr revIDLastSave="0" documentId="8_{0D2219C0-092F-4BCF-AB52-91A7F4F116E2}" xr6:coauthVersionLast="47" xr6:coauthVersionMax="47" xr10:uidLastSave="{00000000-0000-0000-0000-000000000000}"/>
  <bookViews>
    <workbookView xWindow="-120" yWindow="-120" windowWidth="29040" windowHeight="15840" firstSheet="3" activeTab="3" xr2:uid="{E31138C3-C365-4D7A-A28C-D74CDF1D08FF}"/>
  </bookViews>
  <sheets>
    <sheet name="Web" sheetId="1" r:id="rId1"/>
    <sheet name="TOAP-Possible Value" sheetId="8" r:id="rId2"/>
    <sheet name="Captain - Possible Entry" sheetId="9" r:id="rId3"/>
    <sheet name="T01" sheetId="2" r:id="rId4"/>
    <sheet name="T02" sheetId="3" r:id="rId5"/>
    <sheet name="T03" sheetId="4" r:id="rId6"/>
    <sheet name="T04" sheetId="5" r:id="rId7"/>
    <sheet name="T05" sheetId="6" r:id="rId8"/>
    <sheet name="T06" sheetId="7" r:id="rId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7" i="4" l="1"/>
  <c r="I35" i="4"/>
  <c r="I27" i="4"/>
  <c r="I19" i="4"/>
  <c r="I66" i="4"/>
  <c r="I65" i="4"/>
  <c r="L31" i="7"/>
  <c r="L17" i="7"/>
  <c r="L31" i="2"/>
  <c r="BB31" i="2"/>
  <c r="BB17" i="2"/>
  <c r="L17" i="2"/>
  <c r="Y40" i="1"/>
  <c r="U38" i="1"/>
  <c r="U34" i="1"/>
  <c r="EV17" i="2"/>
  <c r="EN17" i="2"/>
  <c r="ES17" i="2"/>
  <c r="V17" i="2"/>
  <c r="U17" i="2"/>
  <c r="T17" i="2"/>
  <c r="S17" i="2"/>
  <c r="R17" i="2"/>
  <c r="Q17" i="2"/>
  <c r="E31" i="2"/>
  <c r="AA3" i="8" l="1"/>
  <c r="AA4" i="8"/>
  <c r="AA2" i="8"/>
  <c r="Y38" i="1"/>
  <c r="FQ31" i="2" s="1"/>
  <c r="DE31" i="2"/>
  <c r="Z17" i="7"/>
  <c r="W17" i="7"/>
  <c r="Y17" i="7"/>
  <c r="X17" i="7"/>
  <c r="V17" i="7"/>
  <c r="U17" i="7"/>
  <c r="T17" i="7"/>
  <c r="S17" i="7"/>
  <c r="R17" i="7"/>
  <c r="Q17" i="7"/>
  <c r="K17" i="7"/>
  <c r="J17" i="7"/>
  <c r="I17" i="7"/>
  <c r="H17" i="7"/>
  <c r="BS17" i="6"/>
  <c r="BM17" i="6"/>
  <c r="BL17" i="6"/>
  <c r="Z17" i="6"/>
  <c r="W17" i="6"/>
  <c r="Y17" i="6"/>
  <c r="X17" i="6"/>
  <c r="V17" i="6"/>
  <c r="U17" i="6"/>
  <c r="T17" i="6"/>
  <c r="S17" i="6"/>
  <c r="R17" i="6"/>
  <c r="Q17" i="6"/>
  <c r="L17" i="6"/>
  <c r="G17" i="6"/>
  <c r="F17" i="6"/>
  <c r="J17" i="5"/>
  <c r="G17" i="5"/>
  <c r="F17" i="5"/>
  <c r="E17" i="5"/>
  <c r="I51" i="4"/>
  <c r="I43" i="4"/>
  <c r="F51" i="4"/>
  <c r="F43" i="4"/>
  <c r="F35" i="4"/>
  <c r="F27" i="4"/>
  <c r="F19" i="4"/>
  <c r="E51" i="4"/>
  <c r="E43" i="4"/>
  <c r="E35" i="4"/>
  <c r="E27" i="4"/>
  <c r="E19" i="4"/>
  <c r="D17" i="3"/>
  <c r="AB17" i="3"/>
  <c r="AD17" i="3"/>
  <c r="AC17" i="3"/>
  <c r="AA17" i="3"/>
  <c r="Y17" i="3"/>
  <c r="X17" i="3"/>
  <c r="U17" i="3"/>
  <c r="S17" i="3"/>
  <c r="R17" i="3"/>
  <c r="Q17" i="3"/>
  <c r="L17" i="3"/>
  <c r="K17" i="3"/>
  <c r="J17" i="3"/>
  <c r="I17" i="3"/>
  <c r="H17" i="3"/>
  <c r="G17" i="3"/>
  <c r="E17" i="3"/>
  <c r="FS17" i="2"/>
  <c r="FR17" i="2"/>
  <c r="FQ17" i="2"/>
  <c r="FP17" i="2"/>
  <c r="EY17" i="2"/>
  <c r="ER17" i="2"/>
  <c r="EQ17" i="2"/>
  <c r="EM17" i="2"/>
  <c r="EK17" i="2"/>
  <c r="EH17" i="2"/>
  <c r="EE17" i="2"/>
  <c r="EC17" i="2"/>
  <c r="EB17" i="2"/>
  <c r="DZ17" i="2"/>
  <c r="DY17" i="2"/>
  <c r="DW17" i="2"/>
  <c r="DV17" i="2"/>
  <c r="DT17" i="2"/>
  <c r="DS17" i="2"/>
  <c r="DQ17" i="2"/>
  <c r="DP17" i="2"/>
  <c r="DN17" i="2"/>
  <c r="DM17" i="2"/>
  <c r="DK17" i="2"/>
  <c r="DJ17" i="2"/>
  <c r="DH17" i="2"/>
  <c r="DG17" i="2"/>
  <c r="DE17" i="2"/>
  <c r="DD17" i="2"/>
  <c r="DB17" i="2"/>
  <c r="DA17" i="2"/>
  <c r="CY17" i="2"/>
  <c r="CX17" i="2"/>
  <c r="CV17" i="2"/>
  <c r="CU17" i="2"/>
  <c r="CS17" i="2"/>
  <c r="CR17" i="2"/>
  <c r="CP17" i="2"/>
  <c r="CO17" i="2"/>
  <c r="CM17" i="2"/>
  <c r="CL17" i="2"/>
  <c r="CJ17" i="2"/>
  <c r="CD17" i="2"/>
  <c r="CI17" i="2"/>
  <c r="CG17" i="2"/>
  <c r="CF17" i="2"/>
  <c r="CC17" i="2"/>
  <c r="CA17" i="2"/>
  <c r="BZ17" i="2"/>
  <c r="BX17" i="2"/>
  <c r="BT17" i="2"/>
  <c r="BS17" i="2"/>
  <c r="BK17" i="2"/>
  <c r="BJ17" i="2"/>
  <c r="BI17" i="2"/>
  <c r="BH17" i="2"/>
  <c r="BG17" i="2"/>
  <c r="BF17" i="2"/>
  <c r="BE17" i="2"/>
  <c r="BC17" i="2"/>
  <c r="BA17" i="2"/>
  <c r="AZ17" i="2"/>
  <c r="AY17" i="2"/>
  <c r="AX17" i="2"/>
  <c r="AS17" i="2"/>
  <c r="AR17" i="2"/>
  <c r="AJ17" i="2"/>
  <c r="AH17" i="2"/>
  <c r="AF17" i="2"/>
  <c r="AE17" i="2"/>
  <c r="DZ31" i="2"/>
  <c r="DT31" i="2"/>
  <c r="DN31" i="2"/>
  <c r="DH31" i="2"/>
  <c r="DB31" i="2"/>
  <c r="BX31" i="2"/>
  <c r="CD31" i="2"/>
  <c r="CJ31" i="2"/>
  <c r="CP31" i="2"/>
  <c r="CV31" i="2"/>
  <c r="Z31" i="7"/>
  <c r="Y31" i="7"/>
  <c r="X31" i="7"/>
  <c r="W31" i="7"/>
  <c r="V31" i="7"/>
  <c r="U31" i="7"/>
  <c r="T31" i="7"/>
  <c r="S31" i="7"/>
  <c r="R31" i="7"/>
  <c r="Q31" i="7"/>
  <c r="K31" i="7"/>
  <c r="J31" i="7"/>
  <c r="I31" i="7"/>
  <c r="H31" i="7"/>
  <c r="BS31" i="6"/>
  <c r="BM31" i="6"/>
  <c r="BL31" i="6"/>
  <c r="Z31" i="6"/>
  <c r="Y31" i="6"/>
  <c r="X31" i="6"/>
  <c r="W31" i="6"/>
  <c r="V31" i="6"/>
  <c r="U31" i="6"/>
  <c r="T31" i="6"/>
  <c r="S31" i="6"/>
  <c r="R31" i="6"/>
  <c r="Q31" i="6"/>
  <c r="L31" i="6"/>
  <c r="G31" i="6"/>
  <c r="F31" i="6"/>
  <c r="J31" i="5"/>
  <c r="F31" i="5"/>
  <c r="E31" i="5"/>
  <c r="I69" i="4"/>
  <c r="I68" i="4"/>
  <c r="AD31" i="3"/>
  <c r="AC31" i="3"/>
  <c r="AA31" i="3"/>
  <c r="Y31" i="3"/>
  <c r="X31" i="3"/>
  <c r="U31" i="3"/>
  <c r="S31" i="3"/>
  <c r="R31" i="3"/>
  <c r="Q31" i="3"/>
  <c r="K31" i="3"/>
  <c r="J31" i="3"/>
  <c r="I31" i="3"/>
  <c r="H31" i="3"/>
  <c r="G31" i="3"/>
  <c r="E31" i="3"/>
  <c r="FR31" i="2"/>
  <c r="FP31" i="2"/>
  <c r="EY31" i="2"/>
  <c r="ER31" i="2"/>
  <c r="EQ31" i="2"/>
  <c r="EN31" i="2"/>
  <c r="EK31" i="2"/>
  <c r="EH31" i="2"/>
  <c r="EE31" i="2"/>
  <c r="DY31" i="2"/>
  <c r="DS31" i="2"/>
  <c r="DG31" i="2"/>
  <c r="CU31" i="2"/>
  <c r="CO31" i="2"/>
  <c r="CC31" i="2"/>
  <c r="EC31" i="2"/>
  <c r="DW31" i="2"/>
  <c r="DQ31" i="2"/>
  <c r="CS31" i="2"/>
  <c r="CM31" i="2"/>
  <c r="CA31" i="2"/>
  <c r="EB31" i="2"/>
  <c r="DV31" i="2"/>
  <c r="DP31" i="2"/>
  <c r="DJ31" i="2"/>
  <c r="CR31" i="2"/>
  <c r="CL31" i="2"/>
  <c r="BZ31" i="2"/>
  <c r="CF31" i="2"/>
  <c r="CI31" i="2"/>
  <c r="CG31" i="2"/>
  <c r="BS31" i="2"/>
  <c r="BK31" i="2"/>
  <c r="BJ31" i="2"/>
  <c r="BI31" i="2"/>
  <c r="BH31" i="2"/>
  <c r="BG31" i="2"/>
  <c r="BF31" i="2"/>
  <c r="BE31" i="2"/>
  <c r="BC31" i="2"/>
  <c r="BA31" i="2"/>
  <c r="AZ31" i="2"/>
  <c r="AY31" i="2"/>
  <c r="AX31" i="2"/>
  <c r="AS31" i="2"/>
  <c r="AJ31" i="2"/>
  <c r="AH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M31" i="2"/>
  <c r="K31" i="2"/>
  <c r="J31" i="2"/>
  <c r="I31" i="2"/>
  <c r="H31" i="2"/>
  <c r="AD17" i="2"/>
  <c r="AC17" i="2"/>
  <c r="AB17" i="2"/>
  <c r="AA17" i="2"/>
  <c r="Z17" i="2"/>
  <c r="Y17" i="2"/>
  <c r="X17" i="2"/>
  <c r="W17" i="2"/>
  <c r="M17" i="2"/>
  <c r="K17" i="2"/>
  <c r="J17" i="2"/>
  <c r="I17" i="2"/>
  <c r="H17" i="2"/>
  <c r="E17" i="2"/>
  <c r="D17" i="2"/>
  <c r="DM31" i="2"/>
  <c r="DK31" i="2"/>
  <c r="DD31" i="2"/>
  <c r="DA31" i="2"/>
  <c r="CY31" i="2"/>
  <c r="CX31" i="2"/>
  <c r="BT31" i="2"/>
  <c r="D31" i="2"/>
  <c r="L31" i="3"/>
  <c r="BU31" i="7"/>
  <c r="E31" i="7"/>
  <c r="D31" i="7"/>
  <c r="B31" i="7"/>
  <c r="BU31" i="6"/>
  <c r="BR31" i="6"/>
  <c r="BQ31" i="6"/>
  <c r="E31" i="6"/>
  <c r="D31" i="6"/>
  <c r="B31" i="6"/>
  <c r="I31" i="5"/>
  <c r="D31" i="5"/>
  <c r="B31" i="5"/>
  <c r="H69" i="4"/>
  <c r="H68" i="4"/>
  <c r="H67" i="4"/>
  <c r="G68" i="4"/>
  <c r="G69" i="4"/>
  <c r="G67" i="4"/>
  <c r="F68" i="4"/>
  <c r="F69" i="4"/>
  <c r="F67" i="4"/>
  <c r="D68" i="4"/>
  <c r="D69" i="4"/>
  <c r="D67" i="4"/>
  <c r="B69" i="4"/>
  <c r="B68" i="4"/>
  <c r="B67" i="4"/>
  <c r="H66" i="4"/>
  <c r="H65" i="4"/>
  <c r="G66" i="4"/>
  <c r="G65" i="4"/>
  <c r="F66" i="4"/>
  <c r="F65" i="4"/>
  <c r="D66" i="4"/>
  <c r="D65" i="4"/>
  <c r="B66" i="4"/>
  <c r="B65" i="4"/>
  <c r="P31" i="3"/>
  <c r="F31" i="3"/>
  <c r="C31" i="3"/>
  <c r="FN31" i="2"/>
  <c r="FH31" i="2"/>
  <c r="FB31" i="2"/>
  <c r="ET31" i="2"/>
  <c r="EP31" i="2"/>
  <c r="EO31" i="2"/>
  <c r="EL31" i="2"/>
  <c r="EI31" i="2"/>
  <c r="EG31" i="2"/>
  <c r="BU31" i="2"/>
  <c r="BQ31" i="2"/>
  <c r="AT31" i="2"/>
  <c r="B31" i="2"/>
  <c r="P74" i="1"/>
  <c r="AR31" i="2" s="1"/>
  <c r="EX31" i="2" l="1"/>
  <c r="EZ31" i="2"/>
  <c r="FJ31" i="2"/>
  <c r="AK31" i="2"/>
  <c r="FC31" i="2"/>
  <c r="FF31" i="2"/>
  <c r="E69" i="4"/>
  <c r="BR31" i="2"/>
  <c r="FI31" i="2"/>
  <c r="D31" i="3"/>
  <c r="ES31" i="2"/>
  <c r="FO31" i="2"/>
  <c r="DO31" i="2"/>
  <c r="FG31" i="2"/>
  <c r="DU31" i="2"/>
  <c r="CE31" i="2"/>
  <c r="EA31" i="2"/>
  <c r="EM31" i="2"/>
  <c r="FD31" i="2"/>
  <c r="E65" i="4"/>
  <c r="FA31" i="2"/>
  <c r="AI31" i="2"/>
  <c r="AU31" i="2"/>
  <c r="CK31" i="2"/>
  <c r="EV31" i="2"/>
  <c r="E67" i="4"/>
  <c r="CQ31" i="2"/>
  <c r="DI31" i="2"/>
  <c r="BY31" i="2"/>
  <c r="FM31" i="2"/>
  <c r="FL31" i="2"/>
  <c r="DC31" i="2"/>
  <c r="E68" i="4"/>
  <c r="E66" i="4"/>
  <c r="AB31" i="3"/>
  <c r="G31" i="5"/>
  <c r="CW31" i="2"/>
</calcChain>
</file>

<file path=xl/sharedStrings.xml><?xml version="1.0" encoding="utf-8"?>
<sst xmlns="http://schemas.openxmlformats.org/spreadsheetml/2006/main" count="55918" uniqueCount="28177">
  <si>
    <t>View Register</t>
  </si>
  <si>
    <t>Length</t>
  </si>
  <si>
    <t>Code</t>
  </si>
  <si>
    <t>VR_001</t>
  </si>
  <si>
    <t>Tax ID</t>
  </si>
  <si>
    <t>1010000000001</t>
  </si>
  <si>
    <t>Check Duplicate</t>
  </si>
  <si>
    <t>VR_002</t>
  </si>
  <si>
    <t>Branch</t>
  </si>
  <si>
    <t>00000</t>
  </si>
  <si>
    <t>VR_003</t>
  </si>
  <si>
    <t>Buying Group</t>
  </si>
  <si>
    <t>VR_004</t>
  </si>
  <si>
    <t>Company Code</t>
  </si>
  <si>
    <t>1100</t>
  </si>
  <si>
    <t>VR_005</t>
  </si>
  <si>
    <t>Distribution Channel</t>
  </si>
  <si>
    <t>10</t>
  </si>
  <si>
    <t>View Sale</t>
  </si>
  <si>
    <t>VS_001</t>
  </si>
  <si>
    <t>Business Partner</t>
  </si>
  <si>
    <t>2</t>
  </si>
  <si>
    <t>VS_002</t>
  </si>
  <si>
    <t>Name</t>
  </si>
  <si>
    <t>บริษัท Name COM_101_01</t>
  </si>
  <si>
    <t>VS_003</t>
  </si>
  <si>
    <t>COM_Name 101_02</t>
  </si>
  <si>
    <t>VS_004</t>
  </si>
  <si>
    <t>COM_Name 101_03</t>
  </si>
  <si>
    <t>VS_005</t>
  </si>
  <si>
    <t>COM_Name 101_04 จำกัด</t>
  </si>
  <si>
    <t>*แก้ไข sequence วันที่ 5/9/2023</t>
  </si>
  <si>
    <t>VS_006</t>
  </si>
  <si>
    <t>Address</t>
  </si>
  <si>
    <t>Address COM_101</t>
  </si>
  <si>
    <t>VS_016</t>
  </si>
  <si>
    <t>Street</t>
  </si>
  <si>
    <t>Street COM_101</t>
  </si>
  <si>
    <t>International Version</t>
  </si>
  <si>
    <t>VS_025</t>
  </si>
  <si>
    <t>บริษัท I_COM_Name 101_01</t>
  </si>
  <si>
    <t>Country</t>
  </si>
  <si>
    <t>Thailand</t>
  </si>
  <si>
    <t>VS_007</t>
  </si>
  <si>
    <t>Sub-district</t>
  </si>
  <si>
    <t>แขวง มักกะสัน</t>
  </si>
  <si>
    <t>VS_017</t>
  </si>
  <si>
    <t>District</t>
  </si>
  <si>
    <t>เขตราชเทวี</t>
  </si>
  <si>
    <t>VS_026</t>
  </si>
  <si>
    <t>I_COM_Name 101_02</t>
  </si>
  <si>
    <t>Postal Code</t>
  </si>
  <si>
    <t>VS_008</t>
  </si>
  <si>
    <t>City</t>
  </si>
  <si>
    <t>กรุงเทพมหานคร</t>
  </si>
  <si>
    <t>VS_018</t>
  </si>
  <si>
    <t>VS_027</t>
  </si>
  <si>
    <t>I_COM_Name 101_03</t>
  </si>
  <si>
    <t>Region</t>
  </si>
  <si>
    <t>central</t>
  </si>
  <si>
    <t>VS_009</t>
  </si>
  <si>
    <t>01</t>
  </si>
  <si>
    <t>VS_019</t>
  </si>
  <si>
    <t>Transportation Zone</t>
  </si>
  <si>
    <t>TMABKKC230</t>
  </si>
  <si>
    <t>VS_028</t>
  </si>
  <si>
    <t>I_COM_Name 101_04 จำกัด</t>
  </si>
  <si>
    <t>samutprakarn</t>
  </si>
  <si>
    <t>VS_010</t>
  </si>
  <si>
    <t>Telephone</t>
  </si>
  <si>
    <t>02-888-8888</t>
  </si>
  <si>
    <t>VS_020</t>
  </si>
  <si>
    <t>Ext.</t>
  </si>
  <si>
    <t>08</t>
  </si>
  <si>
    <t>VS_029</t>
  </si>
  <si>
    <t>VS_033</t>
  </si>
  <si>
    <t>bangsaothong</t>
  </si>
  <si>
    <t>VS_011</t>
  </si>
  <si>
    <t>02-999-9999</t>
  </si>
  <si>
    <t>VS_021</t>
  </si>
  <si>
    <t>09</t>
  </si>
  <si>
    <t>VS_030</t>
  </si>
  <si>
    <t>มักกะสัน</t>
  </si>
  <si>
    <t>VS_034</t>
  </si>
  <si>
    <t>SubDistrict</t>
  </si>
  <si>
    <t>dropdown</t>
  </si>
  <si>
    <t>VS_012</t>
  </si>
  <si>
    <t>Contact</t>
  </si>
  <si>
    <t>Contact 101</t>
  </si>
  <si>
    <t>VS_022</t>
  </si>
  <si>
    <t>Mobile</t>
  </si>
  <si>
    <t>099-999-9999</t>
  </si>
  <si>
    <t>VS_031</t>
  </si>
  <si>
    <t>VS_035</t>
  </si>
  <si>
    <t>input</t>
  </si>
  <si>
    <t>VS_013</t>
  </si>
  <si>
    <t>Fax</t>
  </si>
  <si>
    <t>02-111-1111</t>
  </si>
  <si>
    <t>VS_023</t>
  </si>
  <si>
    <t>Comment</t>
  </si>
  <si>
    <t>Comment 101</t>
  </si>
  <si>
    <t>VS_032</t>
  </si>
  <si>
    <t>VS_036</t>
  </si>
  <si>
    <t>TMABKKC210</t>
  </si>
  <si>
    <t>VS_014</t>
  </si>
  <si>
    <t>Email</t>
  </si>
  <si>
    <t>Test_101_01@gmail.com</t>
  </si>
  <si>
    <t>VS_024</t>
  </si>
  <si>
    <t>Test_101_02@gmail.com</t>
  </si>
  <si>
    <t>VS_015</t>
  </si>
  <si>
    <t>Line ID.</t>
  </si>
  <si>
    <t>LINEID_101</t>
  </si>
  <si>
    <t>Inter Version</t>
  </si>
  <si>
    <t>X</t>
  </si>
  <si>
    <t>Copy to Inter Version</t>
  </si>
  <si>
    <t>VS_037</t>
  </si>
  <si>
    <t>Sales Office</t>
  </si>
  <si>
    <t>1001</t>
  </si>
  <si>
    <t>VS_040</t>
  </si>
  <si>
    <t>Sales Group</t>
  </si>
  <si>
    <t>A11</t>
  </si>
  <si>
    <t>VS_042</t>
  </si>
  <si>
    <t>TaxID</t>
  </si>
  <si>
    <t>VS_038</t>
  </si>
  <si>
    <t>Sales District</t>
  </si>
  <si>
    <t>115003</t>
  </si>
  <si>
    <t>VS_041</t>
  </si>
  <si>
    <t>Customer Group</t>
  </si>
  <si>
    <t>VS_039</t>
  </si>
  <si>
    <t>Shipping Cond</t>
  </si>
  <si>
    <t>02</t>
  </si>
  <si>
    <t xml:space="preserve">Branch </t>
  </si>
  <si>
    <t>Partner Function</t>
  </si>
  <si>
    <t>VS_045</t>
  </si>
  <si>
    <t>VS_048</t>
  </si>
  <si>
    <t>Destcription</t>
  </si>
  <si>
    <t>VS_043</t>
  </si>
  <si>
    <t>Sales Employee</t>
  </si>
  <si>
    <t>11130005</t>
  </si>
  <si>
    <t>VS_046</t>
  </si>
  <si>
    <t>Payment Term</t>
  </si>
  <si>
    <t>1MED</t>
  </si>
  <si>
    <t>VS_049</t>
  </si>
  <si>
    <t>Credit Limit</t>
  </si>
  <si>
    <t>VS_044</t>
  </si>
  <si>
    <t>Carrier</t>
  </si>
  <si>
    <t>13000031</t>
  </si>
  <si>
    <t>VS_047</t>
  </si>
  <si>
    <t>Price List</t>
  </si>
  <si>
    <t>SS</t>
  </si>
  <si>
    <t>VS_050</t>
  </si>
  <si>
    <t>ชื่อกรรมการ</t>
  </si>
  <si>
    <t>VS_051</t>
  </si>
  <si>
    <t>FIRSTNAME</t>
  </si>
  <si>
    <t>Contact First Name 101</t>
  </si>
  <si>
    <t>ที่อยู่ในการจัดส่งเอกสาร</t>
  </si>
  <si>
    <t>VS_064</t>
  </si>
  <si>
    <t>บริษัท COR_Name 101_01</t>
  </si>
  <si>
    <t>กรณีมีมากกว่า 1</t>
  </si>
  <si>
    <t>VS_052</t>
  </si>
  <si>
    <t>LASTNAME</t>
  </si>
  <si>
    <t>Contact Last Name 101</t>
  </si>
  <si>
    <t>VS_065</t>
  </si>
  <si>
    <t>COR_Name 101_02</t>
  </si>
  <si>
    <t>VS_066</t>
  </si>
  <si>
    <t>COR_Name 101_03</t>
  </si>
  <si>
    <t>VS_053</t>
  </si>
  <si>
    <t>Address CON_101</t>
  </si>
  <si>
    <t>VS_059</t>
  </si>
  <si>
    <t>Street CON_101</t>
  </si>
  <si>
    <t>VS_067</t>
  </si>
  <si>
    <t>COR_Name 101_04 จำกัด</t>
  </si>
  <si>
    <t>VS_054</t>
  </si>
  <si>
    <t>แขวง จอมพล</t>
  </si>
  <si>
    <t>VS_060</t>
  </si>
  <si>
    <t>เขต จตุจักร</t>
  </si>
  <si>
    <t>VS_055</t>
  </si>
  <si>
    <t>VS_061</t>
  </si>
  <si>
    <t>VS_068</t>
  </si>
  <si>
    <t>Address COR_101</t>
  </si>
  <si>
    <t>VS_072</t>
  </si>
  <si>
    <t>Street COR_101</t>
  </si>
  <si>
    <t>VS_056</t>
  </si>
  <si>
    <t>VS_062</t>
  </si>
  <si>
    <t>VS_069</t>
  </si>
  <si>
    <t>VS_073</t>
  </si>
  <si>
    <t>เขตจตุจักร</t>
  </si>
  <si>
    <t>VS_057</t>
  </si>
  <si>
    <t>Sex</t>
  </si>
  <si>
    <t>M</t>
  </si>
  <si>
    <t>VS_063</t>
  </si>
  <si>
    <t>Birth Day</t>
  </si>
  <si>
    <t>01.01.1990</t>
  </si>
  <si>
    <t>VS_070</t>
  </si>
  <si>
    <t>VS_074</t>
  </si>
  <si>
    <t>VS_058</t>
  </si>
  <si>
    <t>1010000000002</t>
  </si>
  <si>
    <t>VS_071</t>
  </si>
  <si>
    <t>VS_075</t>
  </si>
  <si>
    <t>View AR</t>
  </si>
  <si>
    <t xml:space="preserve">Payment </t>
  </si>
  <si>
    <t>Bank Branch</t>
  </si>
  <si>
    <t xml:space="preserve">Bank Account </t>
  </si>
  <si>
    <t>Account name</t>
  </si>
  <si>
    <t>VA_001</t>
  </si>
  <si>
    <t>0001</t>
  </si>
  <si>
    <t>VA_011</t>
  </si>
  <si>
    <t>0020001</t>
  </si>
  <si>
    <t>Drop Down</t>
  </si>
  <si>
    <t>VA_021</t>
  </si>
  <si>
    <t>10100001</t>
  </si>
  <si>
    <t>VA_031</t>
  </si>
  <si>
    <t>Bank 101_01</t>
  </si>
  <si>
    <t>VA_002</t>
  </si>
  <si>
    <t>0002</t>
  </si>
  <si>
    <t>VA_012</t>
  </si>
  <si>
    <t>VA_022</t>
  </si>
  <si>
    <t>10100002</t>
  </si>
  <si>
    <t>VA_032</t>
  </si>
  <si>
    <t>Bank 101_02</t>
  </si>
  <si>
    <t>VA_003</t>
  </si>
  <si>
    <t>0003</t>
  </si>
  <si>
    <t>VA_013</t>
  </si>
  <si>
    <t>VA_023</t>
  </si>
  <si>
    <t>10100003</t>
  </si>
  <si>
    <t>VA_033</t>
  </si>
  <si>
    <t>Bank 101_03</t>
  </si>
  <si>
    <t>VA_004</t>
  </si>
  <si>
    <t>0004</t>
  </si>
  <si>
    <t>VA_014</t>
  </si>
  <si>
    <t>VA_024</t>
  </si>
  <si>
    <t>10100004</t>
  </si>
  <si>
    <t>VA_034</t>
  </si>
  <si>
    <t>Bank 101_04</t>
  </si>
  <si>
    <t>VA_005</t>
  </si>
  <si>
    <t>0005</t>
  </si>
  <si>
    <t>VA_015</t>
  </si>
  <si>
    <t>VA_025</t>
  </si>
  <si>
    <t>VA_035</t>
  </si>
  <si>
    <t>VA_006</t>
  </si>
  <si>
    <t>0006</t>
  </si>
  <si>
    <t>VA_016</t>
  </si>
  <si>
    <t>VA_026</t>
  </si>
  <si>
    <t>VA_036</t>
  </si>
  <si>
    <t>VA_007</t>
  </si>
  <si>
    <t>0007</t>
  </si>
  <si>
    <t>VA_017</t>
  </si>
  <si>
    <t>VA_027</t>
  </si>
  <si>
    <t>VA_037</t>
  </si>
  <si>
    <t>VA_008</t>
  </si>
  <si>
    <t>0008</t>
  </si>
  <si>
    <t>VA_018</t>
  </si>
  <si>
    <t>VA_028</t>
  </si>
  <si>
    <t>VA_038</t>
  </si>
  <si>
    <t>VA_009</t>
  </si>
  <si>
    <t>0009</t>
  </si>
  <si>
    <t>VA_019</t>
  </si>
  <si>
    <t>VA_029</t>
  </si>
  <si>
    <t>VA_039</t>
  </si>
  <si>
    <t>VA_010</t>
  </si>
  <si>
    <t>0010</t>
  </si>
  <si>
    <t>VA_020</t>
  </si>
  <si>
    <t>VA_030</t>
  </si>
  <si>
    <t>VA_040</t>
  </si>
  <si>
    <t>VA_041</t>
  </si>
  <si>
    <t>SearchTerm 1</t>
  </si>
  <si>
    <t>S_COM_101_01</t>
  </si>
  <si>
    <t>VA_046</t>
  </si>
  <si>
    <t>VA_042</t>
  </si>
  <si>
    <t>Attribute</t>
  </si>
  <si>
    <t>11</t>
  </si>
  <si>
    <t>VA_047</t>
  </si>
  <si>
    <t>Classification</t>
  </si>
  <si>
    <t>เก็บชมพูไว้บริษัท</t>
  </si>
  <si>
    <t>VA_043</t>
  </si>
  <si>
    <t>Delivery Priority</t>
  </si>
  <si>
    <t>VA_048</t>
  </si>
  <si>
    <t>VA_044</t>
  </si>
  <si>
    <t>Incotems</t>
  </si>
  <si>
    <t>VA_049</t>
  </si>
  <si>
    <t>Incotems Location 1</t>
  </si>
  <si>
    <t>VA_045</t>
  </si>
  <si>
    <t>S_COR_ 101_01</t>
  </si>
  <si>
    <t>AR Office</t>
  </si>
  <si>
    <t>View Master</t>
  </si>
  <si>
    <t>VM_001</t>
  </si>
  <si>
    <t>SearchTerm 2</t>
  </si>
  <si>
    <t>S_COM_101_02</t>
  </si>
  <si>
    <t>VM_003</t>
  </si>
  <si>
    <t>Withholding tax code</t>
  </si>
  <si>
    <t>07</t>
  </si>
  <si>
    <t>VM_006</t>
  </si>
  <si>
    <t>* SearchTerm ใน Interversion ให้หยิบมาจาก Search Term หน้าแรก</t>
  </si>
  <si>
    <t>VM_002</t>
  </si>
  <si>
    <t>Account Assignment</t>
  </si>
  <si>
    <t>VM_004</t>
  </si>
  <si>
    <t>Settlement</t>
  </si>
  <si>
    <t>VM_005</t>
  </si>
  <si>
    <t>Tax classification</t>
  </si>
  <si>
    <t>1</t>
  </si>
  <si>
    <t xml:space="preserve">ให้เป็นตัวเลือก Mark X </t>
  </si>
  <si>
    <t>Partner Function Code</t>
  </si>
  <si>
    <t>VM_007</t>
  </si>
  <si>
    <t>Gypsum</t>
  </si>
  <si>
    <t>11000001</t>
  </si>
  <si>
    <t>Z3</t>
  </si>
  <si>
    <t>VM_008</t>
  </si>
  <si>
    <t>Ceramic</t>
  </si>
  <si>
    <t>11000002</t>
  </si>
  <si>
    <t>Z7</t>
  </si>
  <si>
    <t>VM_009</t>
  </si>
  <si>
    <t>Chemical Specialist</t>
  </si>
  <si>
    <t>Z4</t>
  </si>
  <si>
    <t>Additional</t>
  </si>
  <si>
    <t>VM_010</t>
  </si>
  <si>
    <t>BP Group</t>
  </si>
  <si>
    <t>BP11</t>
  </si>
  <si>
    <t>VM_011</t>
  </si>
  <si>
    <t>TH</t>
  </si>
  <si>
    <t>VM_012</t>
  </si>
  <si>
    <t>Language</t>
  </si>
  <si>
    <t>VM_013</t>
  </si>
  <si>
    <t>Trading Partner</t>
  </si>
  <si>
    <t>VM_014</t>
  </si>
  <si>
    <t>Reconciliation acct.</t>
  </si>
  <si>
    <t>12000030</t>
  </si>
  <si>
    <t>VM_015</t>
  </si>
  <si>
    <t>Risk Class</t>
  </si>
  <si>
    <t>C</t>
  </si>
  <si>
    <t>VM_016</t>
  </si>
  <si>
    <t>Check Rule</t>
  </si>
  <si>
    <t>VM_017</t>
  </si>
  <si>
    <t>Currency</t>
  </si>
  <si>
    <t>THB</t>
  </si>
  <si>
    <t>VM_018</t>
  </si>
  <si>
    <t>Exchange Rate Type</t>
  </si>
  <si>
    <t/>
  </si>
  <si>
    <t xml:space="preserve"> </t>
  </si>
  <si>
    <t>Description</t>
  </si>
  <si>
    <t>Business Partner Cat.</t>
  </si>
  <si>
    <t>Attribute 1</t>
  </si>
  <si>
    <t>Customer Classification</t>
  </si>
  <si>
    <t>Withholding Tax Code</t>
  </si>
  <si>
    <t>Distribution Ch.</t>
  </si>
  <si>
    <t>Shipping Conditions</t>
  </si>
  <si>
    <t>Incoterms</t>
  </si>
  <si>
    <t>Account Assignment Group</t>
  </si>
  <si>
    <t>กระบี่</t>
  </si>
  <si>
    <t>อ.เกาะลันตา</t>
  </si>
  <si>
    <t>AR</t>
  </si>
  <si>
    <t>บุคคลธรรมดา/หสม/ร้านค้า</t>
  </si>
  <si>
    <t>AD</t>
  </si>
  <si>
    <t>Andorra</t>
  </si>
  <si>
    <t>Central</t>
  </si>
  <si>
    <t>CT - CAPTAIN PLANT</t>
  </si>
  <si>
    <t>EN</t>
  </si>
  <si>
    <t>English</t>
  </si>
  <si>
    <t>TOA PAINT (THAILAND) PCL.</t>
  </si>
  <si>
    <t>TOA Paint (Thailand) Public</t>
  </si>
  <si>
    <t>0010691</t>
  </si>
  <si>
    <t>ธ. ทหารไทยธนชาต จำกัด (มหาชน) สาขา ประเวศ</t>
  </si>
  <si>
    <t>Signed Bill</t>
  </si>
  <si>
    <t>เก็บใบชมพู ไว้บริษัท</t>
  </si>
  <si>
    <t>A/R Trade</t>
  </si>
  <si>
    <t>1MBG</t>
  </si>
  <si>
    <t>1 เดือน ไม่นับเดือนส่ง วันต้นเดือนของสองเดือนถัดไป</t>
  </si>
  <si>
    <t>3% ค่าส่งเสริมการขาย</t>
  </si>
  <si>
    <t>TRADITIONAL TRADE</t>
  </si>
  <si>
    <t>TOP KEY 11</t>
  </si>
  <si>
    <t>Paint Shop</t>
  </si>
  <si>
    <t>METROPOLIS</t>
  </si>
  <si>
    <t>Sales Office South</t>
  </si>
  <si>
    <t>001</t>
  </si>
  <si>
    <t>Sales Group 001</t>
  </si>
  <si>
    <t>ADP</t>
  </si>
  <si>
    <t>Andorran Peseta --&gt; (Old --&gt; EUR)</t>
  </si>
  <si>
    <t>BBLB</t>
  </si>
  <si>
    <t>Bangkok Bank Average Bank Buying Rate</t>
  </si>
  <si>
    <t>ZZ</t>
  </si>
  <si>
    <t>Size ZZ</t>
  </si>
  <si>
    <t>Export</t>
  </si>
  <si>
    <t>Customer Picking</t>
  </si>
  <si>
    <t>CFR</t>
  </si>
  <si>
    <t>Costs and freight</t>
  </si>
  <si>
    <t>AR Local</t>
  </si>
  <si>
    <t>Tax Exempt</t>
  </si>
  <si>
    <t>A</t>
  </si>
  <si>
    <t>No Default Risk</t>
  </si>
  <si>
    <t>00</t>
  </si>
  <si>
    <t>No Check</t>
  </si>
  <si>
    <t>Male</t>
  </si>
  <si>
    <t>อ.เขาพนม</t>
  </si>
  <si>
    <t>BP12</t>
  </si>
  <si>
    <t>AR Other</t>
  </si>
  <si>
    <t>นิติบุคคล/หจก/บจก /บมจ</t>
  </si>
  <si>
    <t>AE</t>
  </si>
  <si>
    <t>Utd.Arab Emir.</t>
  </si>
  <si>
    <t>North</t>
  </si>
  <si>
    <t>CT - NAKHONSAWAN PLA</t>
  </si>
  <si>
    <t>Thai</t>
  </si>
  <si>
    <t>CAPTAIN COATING CO., LTD.</t>
  </si>
  <si>
    <t>Captain Coating Co., Ltd.</t>
  </si>
  <si>
    <t>ธ. กรุงเทพ จำกัด (มหาชน) สำนักสาขาพลับพลาไชย</t>
  </si>
  <si>
    <t>12</t>
  </si>
  <si>
    <t>Not signed bill</t>
  </si>
  <si>
    <t>ให้ชมพูส้มกลับถ่ายชมพูฟ้าเขียว</t>
  </si>
  <si>
    <t>ถ่ายชมพู1,กลับถ่ายชมพูฟ้าเขียว</t>
  </si>
  <si>
    <t>A/R Trade TOA Group</t>
  </si>
  <si>
    <t>1MDD</t>
  </si>
  <si>
    <t>1 เดือน ส่วนลดเงินสดในบิล 3%</t>
  </si>
  <si>
    <t>5% รางวัลชิงโชค</t>
  </si>
  <si>
    <t>MODERN TRADE</t>
  </si>
  <si>
    <t>TOP KEY 12</t>
  </si>
  <si>
    <t>Wholesale Shop</t>
  </si>
  <si>
    <t>1002</t>
  </si>
  <si>
    <t>CENTRAL</t>
  </si>
  <si>
    <t>111</t>
  </si>
  <si>
    <t>MA1 BKK West</t>
  </si>
  <si>
    <t>AED</t>
  </si>
  <si>
    <t>United Arab Emirates Dirham</t>
  </si>
  <si>
    <t>BBLS</t>
  </si>
  <si>
    <t>Bangkok Bank Average Bank Selling Rate</t>
  </si>
  <si>
    <t>Size SS</t>
  </si>
  <si>
    <t>Homepro</t>
  </si>
  <si>
    <t>Deliver by TOA</t>
  </si>
  <si>
    <t>CIF</t>
  </si>
  <si>
    <t>Costs, insurance &amp; freight</t>
  </si>
  <si>
    <t>AR Foreign</t>
  </si>
  <si>
    <t>Liable for Taxes</t>
  </si>
  <si>
    <t>B</t>
  </si>
  <si>
    <t>Low Default Risk</t>
  </si>
  <si>
    <t>Overdue</t>
  </si>
  <si>
    <t>F</t>
  </si>
  <si>
    <t>Female</t>
  </si>
  <si>
    <t>อ.คลองท่อม</t>
  </si>
  <si>
    <t>กาญจนบุรี</t>
  </si>
  <si>
    <t>BP13</t>
  </si>
  <si>
    <t>AR ShipTo Party</t>
  </si>
  <si>
    <t>AF</t>
  </si>
  <si>
    <t>Afghanistan</t>
  </si>
  <si>
    <t>03</t>
  </si>
  <si>
    <t>South</t>
  </si>
  <si>
    <t>CT - BANGPLEE PLANT</t>
  </si>
  <si>
    <t>TOA PAINT (VIETNAM) CO., LTD.</t>
  </si>
  <si>
    <t>British Paint Co., Ltd.</t>
  </si>
  <si>
    <t>0020002</t>
  </si>
  <si>
    <t>ธ. กรุงเทพ จำกัด (มหาชน) สาขา เทสโก้ โลตัส วัชรพล</t>
  </si>
  <si>
    <t>31</t>
  </si>
  <si>
    <t>Bill Place HQ-Origin</t>
  </si>
  <si>
    <t>กลับฟ้า</t>
  </si>
  <si>
    <t>คืนบิลฟ้ากลับบริษัท</t>
  </si>
  <si>
    <t>A/R Trade Associated/Related</t>
  </si>
  <si>
    <t>1 เดือน ไม่นับเดือนส่ง วันสิ้นเดือนถัดไป</t>
  </si>
  <si>
    <t>16</t>
  </si>
  <si>
    <t>3% ค่าส่งเสริมการขาย (ทัวร์)</t>
  </si>
  <si>
    <t>PROJECT</t>
  </si>
  <si>
    <t>ธนบุรี ราษฎร์บูรณะ</t>
  </si>
  <si>
    <t>ConstructionMaterial</t>
  </si>
  <si>
    <t>1003</t>
  </si>
  <si>
    <t>NORTH-EASTERN</t>
  </si>
  <si>
    <t>112</t>
  </si>
  <si>
    <t>MA2 BKK Center</t>
  </si>
  <si>
    <t>AFA</t>
  </si>
  <si>
    <t>Afghani (Old)</t>
  </si>
  <si>
    <t>BOTB</t>
  </si>
  <si>
    <t>Central Bank Average Buying Rate</t>
  </si>
  <si>
    <t>S</t>
  </si>
  <si>
    <t>Size S</t>
  </si>
  <si>
    <t>Modern trade</t>
  </si>
  <si>
    <t>Deliver by Outsource</t>
  </si>
  <si>
    <t>CIP</t>
  </si>
  <si>
    <t>Carriage and insurance paid to</t>
  </si>
  <si>
    <t>AR Affiliated Local</t>
  </si>
  <si>
    <t>No Tax</t>
  </si>
  <si>
    <t>Medium Default Risk</t>
  </si>
  <si>
    <t>Over Credit Limit</t>
  </si>
  <si>
    <t>อ.ปลายพระยา</t>
  </si>
  <si>
    <t>กาฬสินธุ์</t>
  </si>
  <si>
    <t>BP14</t>
  </si>
  <si>
    <t>AR Carrier</t>
  </si>
  <si>
    <t>AG</t>
  </si>
  <si>
    <t>Antigua/Barbuda</t>
  </si>
  <si>
    <t>04</t>
  </si>
  <si>
    <t>North East</t>
  </si>
  <si>
    <t>Mega Paint and Home Co., Ltd.</t>
  </si>
  <si>
    <t>0020003</t>
  </si>
  <si>
    <t>ธ. กรุงเทพ จำกัด (มหาชน) สาขา เทสโก้ โลตัส บางพลี</t>
  </si>
  <si>
    <t>32</t>
  </si>
  <si>
    <t>Bill Place HQ-Copy</t>
  </si>
  <si>
    <t>กลับฟ้าเขียว</t>
  </si>
  <si>
    <t>คืนบิลฟ้า บิลเขียว กลับบริษัท</t>
  </si>
  <si>
    <t>A/R Hire Purchase</t>
  </si>
  <si>
    <t>1MSC</t>
  </si>
  <si>
    <t>1 เดือน ครบกำหนดของเดือนถัดไป</t>
  </si>
  <si>
    <t>17</t>
  </si>
  <si>
    <t>3% ค่าส่งเสริมการขาย (ทอง)</t>
  </si>
  <si>
    <t>EXPORT</t>
  </si>
  <si>
    <t>บางแค ภาษีเจริญ</t>
  </si>
  <si>
    <t>Hardware Shop</t>
  </si>
  <si>
    <t>1004</t>
  </si>
  <si>
    <t>NORTHERN</t>
  </si>
  <si>
    <t>113</t>
  </si>
  <si>
    <t>MA3 BKK East</t>
  </si>
  <si>
    <t>AFN</t>
  </si>
  <si>
    <t>Afghani</t>
  </si>
  <si>
    <t>BOTS</t>
  </si>
  <si>
    <t>Central Bank Average Selling Rate</t>
  </si>
  <si>
    <t>L</t>
  </si>
  <si>
    <t>Size L</t>
  </si>
  <si>
    <t>Project</t>
  </si>
  <si>
    <t>Exchange &amp; Return</t>
  </si>
  <si>
    <t>CPT</t>
  </si>
  <si>
    <t>Carriage paid to</t>
  </si>
  <si>
    <t>AR AffiliatedForeign</t>
  </si>
  <si>
    <t>D</t>
  </si>
  <si>
    <t>High Default Risk</t>
  </si>
  <si>
    <t>Z1</t>
  </si>
  <si>
    <t>Check rule for child account</t>
  </si>
  <si>
    <t>อ.เมืองกระบี่</t>
  </si>
  <si>
    <t>กำแพงเพชร</t>
  </si>
  <si>
    <t>BP18</t>
  </si>
  <si>
    <t>AR End User</t>
  </si>
  <si>
    <t>AI</t>
  </si>
  <si>
    <t>Anguilla</t>
  </si>
  <si>
    <t>05</t>
  </si>
  <si>
    <t>East</t>
  </si>
  <si>
    <t>B2B &amp; Related</t>
  </si>
  <si>
    <t>Imagica Co., Ltd.</t>
  </si>
  <si>
    <t>0020004</t>
  </si>
  <si>
    <t>ธ. กรุงเทพ จำกัด (มหาชน) สาขา บิ๊กซี สุขาภิบาล 3</t>
  </si>
  <si>
    <t>33</t>
  </si>
  <si>
    <t>Bill placement-site</t>
  </si>
  <si>
    <t>ไม่ให้บิล-ลค</t>
  </si>
  <si>
    <t>ไม่ให้บิลลูกค้า</t>
  </si>
  <si>
    <t>A/R Hire Purchase TOA Group</t>
  </si>
  <si>
    <t>1MSD</t>
  </si>
  <si>
    <t>1 เดือน ส่วนลดเงินสดในบิล 5%</t>
  </si>
  <si>
    <t>18</t>
  </si>
  <si>
    <t>3% ค่าส่งเสริมการขาย (CN Bill Payment)</t>
  </si>
  <si>
    <t>B2B</t>
  </si>
  <si>
    <t>บางบอน บางขุนเทียน</t>
  </si>
  <si>
    <t>SCG Shop</t>
  </si>
  <si>
    <t>1005</t>
  </si>
  <si>
    <t>SOUTHERN</t>
  </si>
  <si>
    <t>114</t>
  </si>
  <si>
    <t>MA4 BKK North</t>
  </si>
  <si>
    <t>ALL</t>
  </si>
  <si>
    <t>Albanian Lek</t>
  </si>
  <si>
    <t>Size M</t>
  </si>
  <si>
    <t>Other Channels</t>
  </si>
  <si>
    <t>Exchange</t>
  </si>
  <si>
    <t>DAF</t>
  </si>
  <si>
    <t>Delivered at frontier</t>
  </si>
  <si>
    <t>AR Related Local</t>
  </si>
  <si>
    <t>E</t>
  </si>
  <si>
    <t>Very high Default Risk</t>
  </si>
  <si>
    <t>อ.ลำทับ</t>
  </si>
  <si>
    <t>ขอนแก่น</t>
  </si>
  <si>
    <t>BP31</t>
  </si>
  <si>
    <t>TOA Group</t>
  </si>
  <si>
    <t>AL</t>
  </si>
  <si>
    <t>Albania</t>
  </si>
  <si>
    <t>06</t>
  </si>
  <si>
    <t>West</t>
  </si>
  <si>
    <t>TCBATGL210</t>
  </si>
  <si>
    <t>อ.ป่าโมก</t>
  </si>
  <si>
    <t>Phacha Enterprise Co., Ltd.</t>
  </si>
  <si>
    <t>0020005</t>
  </si>
  <si>
    <t>ธ. กรุงเทพ จำกัด (มหาชน) สาขา บิ๊กซี เพชรเกษม</t>
  </si>
  <si>
    <t>ให้ชมพู กลับฟ้าเขียว</t>
  </si>
  <si>
    <t>ให้ชมพูตอนส่งของ กลับฟ้าเขียว</t>
  </si>
  <si>
    <t>A/R Hire Purchase Associated/Related</t>
  </si>
  <si>
    <t>2MBG</t>
  </si>
  <si>
    <t>2 เดือน ไม่นับเดือนส่ง วันต้นเดือนของสามเดือนถัดไป</t>
  </si>
  <si>
    <t>19</t>
  </si>
  <si>
    <t>OTHERS</t>
  </si>
  <si>
    <t>สมุทรสาคร บ้านแพ้ว</t>
  </si>
  <si>
    <t>Framework Shop</t>
  </si>
  <si>
    <t>2001</t>
  </si>
  <si>
    <t>115</t>
  </si>
  <si>
    <t>M5 Rattanakosin</t>
  </si>
  <si>
    <t>AMD</t>
  </si>
  <si>
    <t>Armenian Dram</t>
  </si>
  <si>
    <t>XL</t>
  </si>
  <si>
    <t>Size XL</t>
  </si>
  <si>
    <t>Manual priority</t>
  </si>
  <si>
    <t>Exchange Cust.Pick</t>
  </si>
  <si>
    <t>DAP</t>
  </si>
  <si>
    <t>Delivered At Place</t>
  </si>
  <si>
    <t>AR Related Foreign</t>
  </si>
  <si>
    <t>อ.เหนือคลอง</t>
  </si>
  <si>
    <t>จันทบุรี</t>
  </si>
  <si>
    <t>BP32</t>
  </si>
  <si>
    <t>Associated/ Related Companies</t>
  </si>
  <si>
    <t>AM</t>
  </si>
  <si>
    <t>Armenia</t>
  </si>
  <si>
    <t>TCBATGL220</t>
  </si>
  <si>
    <t>อ.เมืองอ่างทอง</t>
  </si>
  <si>
    <t>Phawatri Intertrade Co., Ltd.</t>
  </si>
  <si>
    <t>0020006</t>
  </si>
  <si>
    <t>ธ. กรุงเทพ จำกัด (มหาชน) สาขา เทสโก้ โลตัส เยาวราช</t>
  </si>
  <si>
    <t>ให้ชมพูฟ้าส้มPOลค กลับเขียว</t>
  </si>
  <si>
    <t>ให้ชมพูฟ้าส้มPO กลับเขียว</t>
  </si>
  <si>
    <t>A/R Service</t>
  </si>
  <si>
    <t>2MED</t>
  </si>
  <si>
    <t>2 เดือน ไม่นับเดือนส่ง วันสิ้นเดือน นับอีกสองเดือน</t>
  </si>
  <si>
    <t>20</t>
  </si>
  <si>
    <t>สามพราน พุทธมณฑล</t>
  </si>
  <si>
    <t>AgricultureEquipment</t>
  </si>
  <si>
    <t>2002</t>
  </si>
  <si>
    <t>MODERN RETAIL</t>
  </si>
  <si>
    <t>116</t>
  </si>
  <si>
    <t>M6 Burapha</t>
  </si>
  <si>
    <t>ANG</t>
  </si>
  <si>
    <t>West Indian Guilder</t>
  </si>
  <si>
    <t>Priority 1</t>
  </si>
  <si>
    <t>Cust.Pick No Disc.</t>
  </si>
  <si>
    <t>DDP</t>
  </si>
  <si>
    <t>Delivered Duty Paid</t>
  </si>
  <si>
    <t>อ.อ่าวลึก</t>
  </si>
  <si>
    <t>ฉะเชิงเทรา</t>
  </si>
  <si>
    <t>BP33</t>
  </si>
  <si>
    <t>Employee</t>
  </si>
  <si>
    <t>AN</t>
  </si>
  <si>
    <t>NETHERLAND ANTI</t>
  </si>
  <si>
    <t>TCBATGL230</t>
  </si>
  <si>
    <t>อ.ไชโย</t>
  </si>
  <si>
    <t>Incosource Co., Ltd.</t>
  </si>
  <si>
    <t>0020007</t>
  </si>
  <si>
    <t>ธ. กรุงเทพ จำกัด (มหาชน) สาขา เทสโก้ โลตัส พระราม 1</t>
  </si>
  <si>
    <t>ชือสกุลแสตมป์</t>
  </si>
  <si>
    <t>ลงชื่อตัวบรรจง,ประทับตาโครงการ</t>
  </si>
  <si>
    <t>A/R Service TOA Group</t>
  </si>
  <si>
    <t>2MSC</t>
  </si>
  <si>
    <t>2 เดือน ครบกำหนดของเดือนถัดไป</t>
  </si>
  <si>
    <t>ธนบุรี บางคอแหลม</t>
  </si>
  <si>
    <t>Others</t>
  </si>
  <si>
    <t>3001</t>
  </si>
  <si>
    <t>DEVELOPER</t>
  </si>
  <si>
    <t>BKK West</t>
  </si>
  <si>
    <t>AOA</t>
  </si>
  <si>
    <t>Angolanische Kwanza</t>
  </si>
  <si>
    <t>Priority 2</t>
  </si>
  <si>
    <t>Deliver TOA NoCharge</t>
  </si>
  <si>
    <t>DDU</t>
  </si>
  <si>
    <t>Delivered Duty Unpaid</t>
  </si>
  <si>
    <t>เขตคลองเตย</t>
  </si>
  <si>
    <t>ชลบุรี</t>
  </si>
  <si>
    <t>BPC1</t>
  </si>
  <si>
    <t>Contract Person&amp;Correspondence Recipient</t>
  </si>
  <si>
    <t>AO</t>
  </si>
  <si>
    <t>Angola</t>
  </si>
  <si>
    <t>TCBATGL240</t>
  </si>
  <si>
    <t>อ.โพธิ์ทอง</t>
  </si>
  <si>
    <t>Gypman Tech Co., Ltd.</t>
  </si>
  <si>
    <t>0020008</t>
  </si>
  <si>
    <t>ธ. กรุงเทพ จำกัด (มหาชน) สาขา เทสโก้ โลตัส วังหิน</t>
  </si>
  <si>
    <t>ให้ฟ้าส้มPOลค กลับชมพูเขียว</t>
  </si>
  <si>
    <t>ให้ฟ้าส้มPOลูกค้า กลับชมพเขียว</t>
  </si>
  <si>
    <t>A/R Service Associated/Related</t>
  </si>
  <si>
    <t>2MSD</t>
  </si>
  <si>
    <t>2 เดือน ส่วนลดเงินสดในบิล 3%</t>
  </si>
  <si>
    <t>TOP KEY 21</t>
  </si>
  <si>
    <t>Inactive</t>
  </si>
  <si>
    <t>3002</t>
  </si>
  <si>
    <t>CONTRACTOR</t>
  </si>
  <si>
    <t>A12</t>
  </si>
  <si>
    <t>BKK East</t>
  </si>
  <si>
    <t>AON</t>
  </si>
  <si>
    <t>Angolan New Kwanza (Old)</t>
  </si>
  <si>
    <t>Priority 3</t>
  </si>
  <si>
    <t>Attach PO</t>
  </si>
  <si>
    <t>DEQ</t>
  </si>
  <si>
    <t>Delivered ex quay (duty paid)</t>
  </si>
  <si>
    <t>เขตคลองสาน</t>
  </si>
  <si>
    <t>ชัยนาท</t>
  </si>
  <si>
    <t>BPC2</t>
  </si>
  <si>
    <t>Contact Person-Driver Outsource</t>
  </si>
  <si>
    <t>AQ</t>
  </si>
  <si>
    <t>Antarctica</t>
  </si>
  <si>
    <t>TCBATGL250</t>
  </si>
  <si>
    <t>อ.วิเศษชัยชาญ,สามโก้</t>
  </si>
  <si>
    <t>Fast-Mix Co., Ltd.</t>
  </si>
  <si>
    <t>0020009</t>
  </si>
  <si>
    <t>ธ. กรุงเทพ จำกัด (มหาชน) สาขา เดอะมอลล์ 3 รามคำแหง</t>
  </si>
  <si>
    <t>กลับชมพูฟ้าเขียว</t>
  </si>
  <si>
    <t>คืนบิลชมพู ฟ้า เขียวกลับบริษัท</t>
  </si>
  <si>
    <t>A/R Other</t>
  </si>
  <si>
    <t>3MBG</t>
  </si>
  <si>
    <t>3 เดือน ไม่นับเดือนส่ง วันต้นเดือนของสี่เดือนถัดไป</t>
  </si>
  <si>
    <t>TOP KEY 22</t>
  </si>
  <si>
    <t>Trade Inactive</t>
  </si>
  <si>
    <t>3003</t>
  </si>
  <si>
    <t>GOVERNMENT</t>
  </si>
  <si>
    <t>A13</t>
  </si>
  <si>
    <t>Central East</t>
  </si>
  <si>
    <t>AOR</t>
  </si>
  <si>
    <t>Angolan Kwanza Reajustado (Old)</t>
  </si>
  <si>
    <t>Priority 4</t>
  </si>
  <si>
    <t>Accounting DO</t>
  </si>
  <si>
    <t>DES</t>
  </si>
  <si>
    <t>Delivered ex ship</t>
  </si>
  <si>
    <t>เขตคลองสามวา</t>
  </si>
  <si>
    <t>ชัยภูมิ</t>
  </si>
  <si>
    <t>BPC3</t>
  </si>
  <si>
    <t>Contact Person-Staff Outsource</t>
  </si>
  <si>
    <t>Argentina</t>
  </si>
  <si>
    <t>TCBATGL251</t>
  </si>
  <si>
    <t>อ.แสวงหา</t>
  </si>
  <si>
    <t>TOA Paint (Vietnam) Co., Ltd.</t>
  </si>
  <si>
    <t>0020010</t>
  </si>
  <si>
    <t>ธ. กรุงเทพ จำกัด (มหาชน) สาขา บิ๊กซี พระราม 2</t>
  </si>
  <si>
    <t>ให้ชมส้ม กลับประทับตราฟ้าเขียว</t>
  </si>
  <si>
    <t>เซ็นทุกบิล,ปะทับตา คืนฟ้าเขียว</t>
  </si>
  <si>
    <t>A/R Employee Fraud</t>
  </si>
  <si>
    <t>3MDD</t>
  </si>
  <si>
    <t>3 เดือน ส่วนลดเงินสดในบิล 4%</t>
  </si>
  <si>
    <t>บางซื่อ พระนคร ดุสิต</t>
  </si>
  <si>
    <t>Retail Shop</t>
  </si>
  <si>
    <t>3004</t>
  </si>
  <si>
    <t>MAINTENANCE</t>
  </si>
  <si>
    <t>A15</t>
  </si>
  <si>
    <t>North-Eastern</t>
  </si>
  <si>
    <t>ARS</t>
  </si>
  <si>
    <t>Argentine Peso</t>
  </si>
  <si>
    <t>Priority 5</t>
  </si>
  <si>
    <t>13</t>
  </si>
  <si>
    <t>TOA-Export</t>
  </si>
  <si>
    <t>DPU</t>
  </si>
  <si>
    <t>Delivered At Place Unloaded</t>
  </si>
  <si>
    <t>เขตคันนายาว</t>
  </si>
  <si>
    <t>ชุมพร</t>
  </si>
  <si>
    <t>BPC4</t>
  </si>
  <si>
    <t>Contact Person-Employee TOA</t>
  </si>
  <si>
    <t>AS</t>
  </si>
  <si>
    <t>Samoa, America</t>
  </si>
  <si>
    <t>TCBAYAL110</t>
  </si>
  <si>
    <t>อ.เมืองอยุธยา,บางไทร</t>
  </si>
  <si>
    <t>TOA Paint (Laos) Sole Co.,</t>
  </si>
  <si>
    <t>0020011</t>
  </si>
  <si>
    <t>ธ. กรุงเทพ จำกัด (มหาชน) สาขา เทสโก้ โลตัส รังสิต นครนายก คลอง 3</t>
  </si>
  <si>
    <t>เก็บชมพูส้มไว้บริษัท</t>
  </si>
  <si>
    <t>ดึงบิลชมพู ส้ม ไว้บริษัท</t>
  </si>
  <si>
    <t>3MED</t>
  </si>
  <si>
    <t>3 เดือน ไม่นับเดือนส่ง วันสิ้นเดือน นับอีกสามเดือน</t>
  </si>
  <si>
    <t>ประเวศ วัฒนา</t>
  </si>
  <si>
    <t>Distributor</t>
  </si>
  <si>
    <t>3005</t>
  </si>
  <si>
    <t>INTERIOR</t>
  </si>
  <si>
    <t>A31</t>
  </si>
  <si>
    <t>โครงการนครหลวง</t>
  </si>
  <si>
    <t>ATS</t>
  </si>
  <si>
    <t>Austrian Schilling (Old --&gt; EUR)</t>
  </si>
  <si>
    <t>B1</t>
  </si>
  <si>
    <t>BD Cust.Pick, NoDisc</t>
  </si>
  <si>
    <t>EXW</t>
  </si>
  <si>
    <t>Ex Works</t>
  </si>
  <si>
    <t>เชียงราย</t>
  </si>
  <si>
    <t>AT</t>
  </si>
  <si>
    <t>Austria</t>
  </si>
  <si>
    <t>TCBAYAL111</t>
  </si>
  <si>
    <t>อ.ผักไห่,เสนา</t>
  </si>
  <si>
    <t>TOA Paint Products Sdn Bhd</t>
  </si>
  <si>
    <t>0020012</t>
  </si>
  <si>
    <t>ธ. กรุงเทพ จำกัด (มหาชน) สาขา บิ๊กซี อ้อมใหญ่</t>
  </si>
  <si>
    <t>SCGจ่ายค่าขนส่งต้นทาง(แนบPO)</t>
  </si>
  <si>
    <t>3MS4</t>
  </si>
  <si>
    <t>90 วัน จ่าย 4 เดือน ไม่นับเดือนส่งสินค้า</t>
  </si>
  <si>
    <t>ลาดกระบัง บางกะปิ</t>
  </si>
  <si>
    <t>DIY Shop</t>
  </si>
  <si>
    <t>3006</t>
  </si>
  <si>
    <t>INDUSTRY</t>
  </si>
  <si>
    <t>BM1</t>
  </si>
  <si>
    <t>HCMC-Middle</t>
  </si>
  <si>
    <t>AUD</t>
  </si>
  <si>
    <t>Australian Dollar</t>
  </si>
  <si>
    <t>B2</t>
  </si>
  <si>
    <t>BD TOA Deliver NoChg</t>
  </si>
  <si>
    <t>FAS</t>
  </si>
  <si>
    <t>Free Alongside Ship</t>
  </si>
  <si>
    <t>เขตจอมทอง</t>
  </si>
  <si>
    <t>เชียงใหม่</t>
  </si>
  <si>
    <t>AU</t>
  </si>
  <si>
    <t>Australia</t>
  </si>
  <si>
    <t>TCBAYAL120</t>
  </si>
  <si>
    <t>อ.ภาชี,บางปะหัน</t>
  </si>
  <si>
    <t>TOA Coating Sdn Bhd</t>
  </si>
  <si>
    <t>0020013</t>
  </si>
  <si>
    <t>ธ. กรุงเทพ จำกัด (มหาชน) สาขา ศูนย์การค้าอยุธยาพาร์ค</t>
  </si>
  <si>
    <t>เซ็น4สี ให้ส้มลูกค้า</t>
  </si>
  <si>
    <t>เซ็นทุกบิล ให้ส้มลูกค้า</t>
  </si>
  <si>
    <t>3MS6</t>
  </si>
  <si>
    <t>90 วัน จ่าย 6 เดือน ไม่นับเดือนส่งสินค้า</t>
  </si>
  <si>
    <t>คลองเตย ยานนาวา สาทร</t>
  </si>
  <si>
    <t>14</t>
  </si>
  <si>
    <t>Key Account</t>
  </si>
  <si>
    <t>3007</t>
  </si>
  <si>
    <t>APPLICATOR</t>
  </si>
  <si>
    <t>BM2</t>
  </si>
  <si>
    <t>HCMC- South</t>
  </si>
  <si>
    <t>AWG</t>
  </si>
  <si>
    <t>Aruban Florin</t>
  </si>
  <si>
    <t>B3</t>
  </si>
  <si>
    <t>BD Outsource Deliver</t>
  </si>
  <si>
    <t>FCA</t>
  </si>
  <si>
    <t>Free Carrier</t>
  </si>
  <si>
    <t>เขตดอนเมือง</t>
  </si>
  <si>
    <t>ตรัง</t>
  </si>
  <si>
    <t>AW</t>
  </si>
  <si>
    <t>Aruba</t>
  </si>
  <si>
    <t>TCBAYAL121</t>
  </si>
  <si>
    <t>อ.วังน้อย,มหาราช</t>
  </si>
  <si>
    <t>PT TOA Paint Indonesia</t>
  </si>
  <si>
    <t>0020014</t>
  </si>
  <si>
    <t>ธ. กรุงเทพ จำกัด (มหาชน) สาขา อาคารมาลีนนท์</t>
  </si>
  <si>
    <t>ให้ส้ม กลับประทับชมฟ้าเขีย2ตรา</t>
  </si>
  <si>
    <t>ปะทับตาบิลฟ้าเขียว2ตราให้ส้มลค</t>
  </si>
  <si>
    <t>3MSC</t>
  </si>
  <si>
    <t>3 เดือน ครบกำหนดของเดือนถัดไป</t>
  </si>
  <si>
    <t>ดินแดง ป้อมปราบฯ</t>
  </si>
  <si>
    <t>15</t>
  </si>
  <si>
    <t>4001</t>
  </si>
  <si>
    <t>EXPORT - TOA GROUP</t>
  </si>
  <si>
    <t>BM3</t>
  </si>
  <si>
    <t>HCMC- East</t>
  </si>
  <si>
    <t>AZM</t>
  </si>
  <si>
    <t>Azerbaijani Manat (Old)</t>
  </si>
  <si>
    <t>B4</t>
  </si>
  <si>
    <t>BD Exchange &amp; Return</t>
  </si>
  <si>
    <t>FH</t>
  </si>
  <si>
    <t>Free house</t>
  </si>
  <si>
    <t>เขตดินแดง</t>
  </si>
  <si>
    <t>ตราด</t>
  </si>
  <si>
    <t>AX</t>
  </si>
  <si>
    <t>Aland Islands</t>
  </si>
  <si>
    <t>TCBAYAL330</t>
  </si>
  <si>
    <t>อ.เสาไห้,ท่าเรือ</t>
  </si>
  <si>
    <t>PT TOA Coating Indonesia</t>
  </si>
  <si>
    <t>0020015</t>
  </si>
  <si>
    <t>ธ. กรุงเทพ จำกัด (มหาชน) สาขา สวนอุตสาหกรรมโรจนะ</t>
  </si>
  <si>
    <t>ประทับตราทุกใบ ให้ส้มลูกค้า</t>
  </si>
  <si>
    <t>3MSD</t>
  </si>
  <si>
    <t>ลาดกระบัง สะพานสูง</t>
  </si>
  <si>
    <t>CONSULTANT</t>
  </si>
  <si>
    <t>4002</t>
  </si>
  <si>
    <t>BM4</t>
  </si>
  <si>
    <t>South East (SE)</t>
  </si>
  <si>
    <t>AZN</t>
  </si>
  <si>
    <t>Azerbaijani Manat</t>
  </si>
  <si>
    <t>B5</t>
  </si>
  <si>
    <t>BD Exchange</t>
  </si>
  <si>
    <t>FOB</t>
  </si>
  <si>
    <t>Free on board</t>
  </si>
  <si>
    <t>เขตดุสิต</t>
  </si>
  <si>
    <t>ตาก</t>
  </si>
  <si>
    <t>AZ</t>
  </si>
  <si>
    <t>Azerbaijan</t>
  </si>
  <si>
    <t>TCBCBIJ110</t>
  </si>
  <si>
    <t>อ.เมืองชลบุรี ชลบุรี</t>
  </si>
  <si>
    <t>TOA Paint (Myanmar) Co., Ltd.</t>
  </si>
  <si>
    <t>0020016</t>
  </si>
  <si>
    <t>ธ. กรุงเทพ จำกัด (มหาชน) สาขา เทสโก้ โลตัส จรัญสนิทวงศ์</t>
  </si>
  <si>
    <t>เก็บชม กลับประทับตราฟ้าเขียว</t>
  </si>
  <si>
    <t>เก็บชมพู กลับประทับตราฟ้าเขียว</t>
  </si>
  <si>
    <t>4MBG</t>
  </si>
  <si>
    <t>4 เดือน ไม่นับเดือนส่ง วันต้นเดือนของห้าเดือนถัดไป</t>
  </si>
  <si>
    <t>TOP KEY 31</t>
  </si>
  <si>
    <t>DESIGNER</t>
  </si>
  <si>
    <t>5001</t>
  </si>
  <si>
    <t>BM5</t>
  </si>
  <si>
    <t>METROPOLIS (Constr)</t>
  </si>
  <si>
    <t>BAM</t>
  </si>
  <si>
    <t>Bosnia and Herzegovina Convertible Mark</t>
  </si>
  <si>
    <t>B6</t>
  </si>
  <si>
    <t>BD Exchange CustPick</t>
  </si>
  <si>
    <t>UN</t>
  </si>
  <si>
    <t>Not Free</t>
  </si>
  <si>
    <t>เขตตลิ่งชัน</t>
  </si>
  <si>
    <t>นครนายก</t>
  </si>
  <si>
    <t>BA</t>
  </si>
  <si>
    <t>Bosnia-Herz.</t>
  </si>
  <si>
    <t>TCBCBIJ120</t>
  </si>
  <si>
    <t>อ.ศรีราชา ชลบุรี</t>
  </si>
  <si>
    <t>TOA Coating (Myanmar) Co., Ltd</t>
  </si>
  <si>
    <t>0020017</t>
  </si>
  <si>
    <t>ธ. กรุงเทพ จำกัด (มหาชน) สาขา เทสโก้ โลตัส ปทุมธานี</t>
  </si>
  <si>
    <t>ให้ฟ้ากลับชมส้มเขียวGRประทับตา</t>
  </si>
  <si>
    <t>4MDD</t>
  </si>
  <si>
    <t>4 เดือน ส่วนลดเงินสดในบิล 3%</t>
  </si>
  <si>
    <t>TOP KEY 32</t>
  </si>
  <si>
    <t>GENERAL CONTRACTOR</t>
  </si>
  <si>
    <t>5002</t>
  </si>
  <si>
    <t>B2B - TOA GROUP</t>
  </si>
  <si>
    <t>121</t>
  </si>
  <si>
    <t>CA1 Chonburi-Rayong</t>
  </si>
  <si>
    <t>BBD</t>
  </si>
  <si>
    <t>Barbados Dollar</t>
  </si>
  <si>
    <t>B7</t>
  </si>
  <si>
    <t>BD Export</t>
  </si>
  <si>
    <t>เขตทวีวัฒนา</t>
  </si>
  <si>
    <t>นครปฐม</t>
  </si>
  <si>
    <t>BB</t>
  </si>
  <si>
    <t>Barbados</t>
  </si>
  <si>
    <t>TCBCBIJ130</t>
  </si>
  <si>
    <t>อ.บางละมุง สัตหีบ</t>
  </si>
  <si>
    <t>TOA Coating (Cambodia) Co.,</t>
  </si>
  <si>
    <t>0020018</t>
  </si>
  <si>
    <t>ธ. กรุงเทพ จำกัด (มหาชน) สาขา บิ๊กซี รัตนาธิเบศร์</t>
  </si>
  <si>
    <t>ถ่ายชม3PO3กลับ ฟ ส ขPO GRปะทับ</t>
  </si>
  <si>
    <t>4MED</t>
  </si>
  <si>
    <t>4 เดือน ไม่นับเดือนส่ง วันสิ้นเดือน นับอีกสี่เดือน</t>
  </si>
  <si>
    <t>TOP KEY 33</t>
  </si>
  <si>
    <t>INTERIOR CONTRACTOR</t>
  </si>
  <si>
    <t>6001</t>
  </si>
  <si>
    <t>122</t>
  </si>
  <si>
    <t>CA2 Ayutthaya</t>
  </si>
  <si>
    <t>BDT</t>
  </si>
  <si>
    <t>Bangladesh Taka</t>
  </si>
  <si>
    <t>HN Cust.Pick, NoDisc</t>
  </si>
  <si>
    <t>เขตทุ่งครุ</t>
  </si>
  <si>
    <t>นครพนม</t>
  </si>
  <si>
    <t>BD</t>
  </si>
  <si>
    <t>Bangladesh</t>
  </si>
  <si>
    <t>TCBCBIJ160</t>
  </si>
  <si>
    <t>อ.พนัสนิคม บ้านบึง</t>
  </si>
  <si>
    <t>TOA Paint (Cambodia) Co., Ltd.</t>
  </si>
  <si>
    <t>0020019</t>
  </si>
  <si>
    <t>ธ. กรุงเทพ จำกัด (มหาชน) สาขา เทสโก้ โลตัส มีนบุรี</t>
  </si>
  <si>
    <t>ถ่ายชมพู2 ให้ลค กลับฟ้าเขียวPO</t>
  </si>
  <si>
    <t>4MS6</t>
  </si>
  <si>
    <t>120 วัน จ่าย 6 เดือน ไม่นับเดือนส่งสินค้า</t>
  </si>
  <si>
    <t>เมืองสมุทรปราการ</t>
  </si>
  <si>
    <t>STEEL FABRICATOR</t>
  </si>
  <si>
    <t>123</t>
  </si>
  <si>
    <t>CA3 Nakhonpathom</t>
  </si>
  <si>
    <t>BEF</t>
  </si>
  <si>
    <t>Belgian Franc (Old --&gt; EUR)</t>
  </si>
  <si>
    <t>HN TOA Deliver NoChg</t>
  </si>
  <si>
    <t>เขตธนบุรี</t>
  </si>
  <si>
    <t>นครราชสีมา</t>
  </si>
  <si>
    <t>BE</t>
  </si>
  <si>
    <t>Belgium</t>
  </si>
  <si>
    <t>TCBCBIJ161</t>
  </si>
  <si>
    <t>อ.บ่อทอง ชลบุรี</t>
  </si>
  <si>
    <t>TOA Skim Coat (Cambodia) Co.,</t>
  </si>
  <si>
    <t>0020020</t>
  </si>
  <si>
    <t>ธ. กรุงเทพ จำกัด (มหาชน) สาขา มหาวิทยาลัยรังสิต</t>
  </si>
  <si>
    <t>ถ่ายชม3 กลับPOฟ้าเขียใบถ่ายชม1</t>
  </si>
  <si>
    <t>CA02</t>
  </si>
  <si>
    <t>2 เดือนไม่นับเดือนส่งทุกวันที่ 25 ของเดือนถัดไป</t>
  </si>
  <si>
    <t>บางบ่อ บางเสาธง</t>
  </si>
  <si>
    <t>21</t>
  </si>
  <si>
    <t>124</t>
  </si>
  <si>
    <t>CA4 ChonChachoengsao</t>
  </si>
  <si>
    <t>BGN</t>
  </si>
  <si>
    <t>Bulgarian Lev</t>
  </si>
  <si>
    <t>BC</t>
  </si>
  <si>
    <t>HN Outsource Deliver</t>
  </si>
  <si>
    <t>เขตบางกอกน้อย</t>
  </si>
  <si>
    <t>นครศรีธรรมราช</t>
  </si>
  <si>
    <t>BF</t>
  </si>
  <si>
    <t>Burkina Faso</t>
  </si>
  <si>
    <t>TCBCBIJ170</t>
  </si>
  <si>
    <t>อ.เกาะสีชัง ชลบุรี</t>
  </si>
  <si>
    <t>TOA Group Holding Co., Ltd.</t>
  </si>
  <si>
    <t>0020021</t>
  </si>
  <si>
    <t>ธ. กรุงเทพ จำกัด (มหาชน) สาขา บิ๊กซี สะพานควาย</t>
  </si>
  <si>
    <t>ปะทับทุกใบ กลับชมพูฟ้าเขียว PO</t>
  </si>
  <si>
    <t>CASH</t>
  </si>
  <si>
    <t>1 เดือนไม่นับเดือนส่งทุกวันที่25เดือนถัดไป เว้นส-อ</t>
  </si>
  <si>
    <t>บางพลี</t>
  </si>
  <si>
    <t>22</t>
  </si>
  <si>
    <t>BHD</t>
  </si>
  <si>
    <t>Bahraini Dinar</t>
  </si>
  <si>
    <t>HN Exchange &amp; Return</t>
  </si>
  <si>
    <t>เขตบางกอกใหญ่</t>
  </si>
  <si>
    <t>นครสวรรค์</t>
  </si>
  <si>
    <t>BG</t>
  </si>
  <si>
    <t>Bulgaria</t>
  </si>
  <si>
    <t>TCBCBIJ180</t>
  </si>
  <si>
    <t>อ.เกาะจันทร์ ชลบุรี</t>
  </si>
  <si>
    <t>Phelps Dodge International</t>
  </si>
  <si>
    <t>0020022</t>
  </si>
  <si>
    <t>ธ. กรุงเทพ จำกัด (มหาชน) สาขา เทสโก้ โลตัส บางใหญ่</t>
  </si>
  <si>
    <t>ปะทับทุกใบ กลับถ่ายชมฟ้าเขียPO</t>
  </si>
  <si>
    <t>CCDD</t>
  </si>
  <si>
    <t>โอนเงินก่อนส่งของ ส่วนลดในบิล5%</t>
  </si>
  <si>
    <t>บางนา พระประแดง</t>
  </si>
  <si>
    <t>23</t>
  </si>
  <si>
    <t>PROJECT DEALER</t>
  </si>
  <si>
    <t>BIF</t>
  </si>
  <si>
    <t>Burundi Franc</t>
  </si>
  <si>
    <t>HN Exchange</t>
  </si>
  <si>
    <t>เขตบางกะปิ</t>
  </si>
  <si>
    <t>นนทบุรี</t>
  </si>
  <si>
    <t>BH</t>
  </si>
  <si>
    <t>Bahrain</t>
  </si>
  <si>
    <t>TCBCCOK110</t>
  </si>
  <si>
    <t>อ.เมืองฉะเชิงเทรา</t>
  </si>
  <si>
    <t>PT Real Estate Co., Ltd.</t>
  </si>
  <si>
    <t>0020023</t>
  </si>
  <si>
    <t>ธ. กรุงเทพ จำกัด (มหาชน) สาขา เทสโก้ โลตัส แจ้งวัฒนะ</t>
  </si>
  <si>
    <t>ให้ส้ม กลับชมพูฟ้าเขียว PO</t>
  </si>
  <si>
    <t>CCOD</t>
  </si>
  <si>
    <t>Cash On Delivery ชำระเงินก่อนส่งของ</t>
  </si>
  <si>
    <t>หนองจอก มีนบุรี</t>
  </si>
  <si>
    <t>24</t>
  </si>
  <si>
    <t>MATERIAL TRADER</t>
  </si>
  <si>
    <t>BMD</t>
  </si>
  <si>
    <t>Bermudan Dollar</t>
  </si>
  <si>
    <t>HN Exchange CustPick</t>
  </si>
  <si>
    <t>เขตบางขุนเทียน</t>
  </si>
  <si>
    <t>นราธิวาส</t>
  </si>
  <si>
    <t>BI</t>
  </si>
  <si>
    <t>Burundi</t>
  </si>
  <si>
    <t>TCBCCOK120</t>
  </si>
  <si>
    <t>อ.สนามชัยเขต แปลงยาว</t>
  </si>
  <si>
    <t>Sherwood corporation</t>
  </si>
  <si>
    <t>0020024</t>
  </si>
  <si>
    <t>ธ. กรุงเทพ จำกัด (มหาชน) สาขา บิ๊กซี ลาดพร้าว 2</t>
  </si>
  <si>
    <t>ถ่ายฟ้า2 ใบ ให้ลูกค้า1 กลับ1</t>
  </si>
  <si>
    <t>CWHT</t>
  </si>
  <si>
    <t>ภาษีหัก ณ ที่จ่าย</t>
  </si>
  <si>
    <t>TOP KEY 41</t>
  </si>
  <si>
    <t>A14</t>
  </si>
  <si>
    <t>Central West</t>
  </si>
  <si>
    <t>BND</t>
  </si>
  <si>
    <t>Brunei Dollar</t>
  </si>
  <si>
    <t>เขตบางเขน</t>
  </si>
  <si>
    <t>น่าน</t>
  </si>
  <si>
    <t>BJ</t>
  </si>
  <si>
    <t>Benin</t>
  </si>
  <si>
    <t>TCBCCOK121</t>
  </si>
  <si>
    <t>อ.ท่าตะเกียบ ฉะเชิงเ</t>
  </si>
  <si>
    <t>Thanakorn Vegetable Oil</t>
  </si>
  <si>
    <t>0020025</t>
  </si>
  <si>
    <t>ธ. กรุงเทพ จำกัด (มหาชน) สาขา เทสโก้ โลตัส พระราม 2</t>
  </si>
  <si>
    <t>ให้ชมพู ฟ้า กลับส้มเขียว</t>
  </si>
  <si>
    <t>D007</t>
  </si>
  <si>
    <t>7 วัน นับวันชนวัน</t>
  </si>
  <si>
    <t>ลาดพร้าว บึงกุ่ม</t>
  </si>
  <si>
    <t>BOB</t>
  </si>
  <si>
    <t>Boliviano</t>
  </si>
  <si>
    <t>เขตบางคอแหลม</t>
  </si>
  <si>
    <t>บึงกาฬ</t>
  </si>
  <si>
    <t>BL</t>
  </si>
  <si>
    <t>St. Barthelemy</t>
  </si>
  <si>
    <t>TCBCCOK130</t>
  </si>
  <si>
    <t>อ.บางคล้า,คลองเขื่อน</t>
  </si>
  <si>
    <t>TOA  Shinto (Thailand) Co.,</t>
  </si>
  <si>
    <t>0020026</t>
  </si>
  <si>
    <t>ธ. กรุงเทพ จำกัด (มหาชน) สาขา ฟิวเจอร์พาร์ค รังสิต</t>
  </si>
  <si>
    <t>ให้ชมพู ฟ้า PO กลับส้มเขียว</t>
  </si>
  <si>
    <t>D015</t>
  </si>
  <si>
    <t>15 วัน นับวันชนวัน</t>
  </si>
  <si>
    <t>บางเขน ปากเกร็ด</t>
  </si>
  <si>
    <t>BC1</t>
  </si>
  <si>
    <t>Central – North (CN)</t>
  </si>
  <si>
    <t>BRL</t>
  </si>
  <si>
    <t>Brazilian Real</t>
  </si>
  <si>
    <t>เขตบางแค</t>
  </si>
  <si>
    <t>บุรีรัมย์</t>
  </si>
  <si>
    <t>BM</t>
  </si>
  <si>
    <t>Bermuda</t>
  </si>
  <si>
    <t>TCBCCOK140</t>
  </si>
  <si>
    <t>อ.พนมสารคาม ฉะเชิงเท</t>
  </si>
  <si>
    <t>TOA Chemical Industries Ltd.</t>
  </si>
  <si>
    <t>0020027</t>
  </si>
  <si>
    <t>ธ. กรุงเทพ จำกัด (มหาชน) สาขา นิคมอุตสาหกรรมบางปะอิน</t>
  </si>
  <si>
    <t>ถ่ายฟ้า4 ให้ส้ม ถ่ายฟ้า2 PO</t>
  </si>
  <si>
    <t>D030</t>
  </si>
  <si>
    <t>30 วัน นับวันชนวัน</t>
  </si>
  <si>
    <t>บางบัวทอง ดอนเมือง</t>
  </si>
  <si>
    <t>BC2</t>
  </si>
  <si>
    <t>Central – Middle (CM</t>
  </si>
  <si>
    <t>BSD</t>
  </si>
  <si>
    <t>Bahaman Dollar</t>
  </si>
  <si>
    <t>เขตบางซื่อ</t>
  </si>
  <si>
    <t>ปทุมธานี</t>
  </si>
  <si>
    <t>BN</t>
  </si>
  <si>
    <t>Brunei Daruss.</t>
  </si>
  <si>
    <t>TCBCNTL610</t>
  </si>
  <si>
    <t>อ.เมืองชัยนาท</t>
  </si>
  <si>
    <t>TOA Chugoku Paint Co., Ltd.</t>
  </si>
  <si>
    <t>0020028</t>
  </si>
  <si>
    <t>ธ. กรุงเทพ จำกัด (มหาชน) สาขา เซียร์ รังสิต</t>
  </si>
  <si>
    <t>ให้บิลชมพู ฟ้า ส้ม  กลับเขียว</t>
  </si>
  <si>
    <t>D045</t>
  </si>
  <si>
    <t>45 วัน นับวันชนวัน</t>
  </si>
  <si>
    <t>เมืองนนทบุรี หลักสี่</t>
  </si>
  <si>
    <t>BC3</t>
  </si>
  <si>
    <t>Central – South (CS)</t>
  </si>
  <si>
    <t>BTN</t>
  </si>
  <si>
    <t>Bhutan Ngultrum</t>
  </si>
  <si>
    <t>เขตบางนา</t>
  </si>
  <si>
    <t>ประจวบคีรีขันธ์</t>
  </si>
  <si>
    <t>BO</t>
  </si>
  <si>
    <t>Bolivia</t>
  </si>
  <si>
    <t>TCBCNTL611</t>
  </si>
  <si>
    <t>อ.หันคา,อ.เนินขาม</t>
  </si>
  <si>
    <t>TOA Holding Co., Ltd.</t>
  </si>
  <si>
    <t>0020029</t>
  </si>
  <si>
    <t>ธ. กรุงเทพ จำกัด (มหาชน) สาขา บิ๊กซี ราชดำริ</t>
  </si>
  <si>
    <t>ใส่ซองชมพฟ้าส้มกลับเขียว/ขนส่ง</t>
  </si>
  <si>
    <t>D060</t>
  </si>
  <si>
    <t>60 วัน นับวันชนวัน</t>
  </si>
  <si>
    <t>บางใหญ่ บางกรวย</t>
  </si>
  <si>
    <t>BC4</t>
  </si>
  <si>
    <t>CENTRAL (Constr)</t>
  </si>
  <si>
    <t>BWP</t>
  </si>
  <si>
    <t>Botswana Pula</t>
  </si>
  <si>
    <t>เขตบางบอน</t>
  </si>
  <si>
    <t>ปราจีนบุรี</t>
  </si>
  <si>
    <t>BQ</t>
  </si>
  <si>
    <t>Bonaire, Saba</t>
  </si>
  <si>
    <t>TCBCNTL620</t>
  </si>
  <si>
    <t>อ.มโนรมย์,วัดสิงห์</t>
  </si>
  <si>
    <t>TOA Performance Coating</t>
  </si>
  <si>
    <t>0020030</t>
  </si>
  <si>
    <t>ธ. กรุงเทพ จำกัด (มหาชน) สาขา มหาวิทยาลัยหอการค้าไทย</t>
  </si>
  <si>
    <t>ถ่ายฟ้า2ให้ลค กลับชมพูเขียว,PO</t>
  </si>
  <si>
    <t>D090</t>
  </si>
  <si>
    <t>90 วัน นับวันชนวัน</t>
  </si>
  <si>
    <t>บางบัวทอง ปากเกร็ด</t>
  </si>
  <si>
    <t>131</t>
  </si>
  <si>
    <t>EA1 Khon Kaen</t>
  </si>
  <si>
    <t>BYB</t>
  </si>
  <si>
    <t>Belarusian Ruble (Old)</t>
  </si>
  <si>
    <t>เขตบางพลัด</t>
  </si>
  <si>
    <t>ปัตตานี</t>
  </si>
  <si>
    <t>BR</t>
  </si>
  <si>
    <t>Brazil</t>
  </si>
  <si>
    <t>TCBCNTL630</t>
  </si>
  <si>
    <t>อ.สรรคบุรี ชัยนาท</t>
  </si>
  <si>
    <t>TOA Union Paint (Thailand)</t>
  </si>
  <si>
    <t>0020031</t>
  </si>
  <si>
    <t>ธ. กรุงเทพ จำกัด (มหาชน) สาขา อาคารอับดุลราฮิม</t>
  </si>
  <si>
    <t>D120</t>
  </si>
  <si>
    <t>120 วัน นับวันชนวัน</t>
  </si>
  <si>
    <t>บางใหญ่ไทรน้อยบางกรว</t>
  </si>
  <si>
    <t>132</t>
  </si>
  <si>
    <t>EA2 NakhonRatchasima</t>
  </si>
  <si>
    <t>BYN</t>
  </si>
  <si>
    <t>Belarusian Ruble (New)</t>
  </si>
  <si>
    <t>เขตบางรัก</t>
  </si>
  <si>
    <t>พระนครศรีอยุธยา</t>
  </si>
  <si>
    <t>BS</t>
  </si>
  <si>
    <t>Bahamas</t>
  </si>
  <si>
    <t>TCBCTIJ410</t>
  </si>
  <si>
    <t>อ.ท่าใหม่,เมือง,ขลุง</t>
  </si>
  <si>
    <t>TOA Dove-chem Industries Co.,</t>
  </si>
  <si>
    <t>0020032</t>
  </si>
  <si>
    <t>ธ. กรุงเทพ จำกัด (มหาชน) สาขา เทสโก้ โลตัส พงษ์เพชร</t>
  </si>
  <si>
    <t>H045</t>
  </si>
  <si>
    <t>45 วัน ไม่นับเดือนส่ง</t>
  </si>
  <si>
    <t>TOP KEY 51</t>
  </si>
  <si>
    <t>133</t>
  </si>
  <si>
    <t>EA3 Ubon Ratchathani</t>
  </si>
  <si>
    <t>BYR</t>
  </si>
  <si>
    <t>Belarusian Ruble</t>
  </si>
  <si>
    <t>เขตบึงกุ่ม</t>
  </si>
  <si>
    <t>พะเยา</t>
  </si>
  <si>
    <t>BT</t>
  </si>
  <si>
    <t>Bhutan</t>
  </si>
  <si>
    <t>TCBCTIJ420</t>
  </si>
  <si>
    <t>อ.สอยดาว,โป่งน้ำร้อน</t>
  </si>
  <si>
    <t>Vejthani Hospital Co., Ltd.</t>
  </si>
  <si>
    <t>0020033</t>
  </si>
  <si>
    <t>ธ. กรุงเทพ จำกัด (มหาชน) สาขา เซ็นทรัล พระราม 2</t>
  </si>
  <si>
    <t>T030</t>
  </si>
  <si>
    <t>T/T 30 days after B/L date</t>
  </si>
  <si>
    <t>เมืองปทุม สามโคก</t>
  </si>
  <si>
    <t>BZD</t>
  </si>
  <si>
    <t>Belize Dollar</t>
  </si>
  <si>
    <t>เขตปทุมวัน</t>
  </si>
  <si>
    <t>พังงา</t>
  </si>
  <si>
    <t>BV</t>
  </si>
  <si>
    <t>Bouvet Islands</t>
  </si>
  <si>
    <t>TCBCTIJ430</t>
  </si>
  <si>
    <t>อ.เขาคิชฌกูฏ,แก่งหาง</t>
  </si>
  <si>
    <t>TAING SOK HOUT JAMES Co., Ltd.</t>
  </si>
  <si>
    <t>0020034</t>
  </si>
  <si>
    <t>ธ. กรุงเทพ จำกัด (มหาชน) สาขา เทสโก้ โลตัส มหาชัย</t>
  </si>
  <si>
    <t>T045</t>
  </si>
  <si>
    <t>T/T 45 days after B/L date</t>
  </si>
  <si>
    <t>ลำลูกกา</t>
  </si>
  <si>
    <t>141</t>
  </si>
  <si>
    <t>NA1 Chiang Mai</t>
  </si>
  <si>
    <t>CAD</t>
  </si>
  <si>
    <t>Canadian Dollar</t>
  </si>
  <si>
    <t>เขตประเวศ</t>
  </si>
  <si>
    <t>พัทลุง</t>
  </si>
  <si>
    <t>BW</t>
  </si>
  <si>
    <t>Botswana</t>
  </si>
  <si>
    <t>TCBKRIM710</t>
  </si>
  <si>
    <t>อ.เมืองกาญจนบุรี</t>
  </si>
  <si>
    <t>Gypman Tech Co., Ltd. (Cancel)</t>
  </si>
  <si>
    <t>0020035</t>
  </si>
  <si>
    <t>ธ. กรุงเทพ จำกัด (มหาชน) สาขา เทสโก้ โลตัส ลาดพร้าว</t>
  </si>
  <si>
    <t>T060</t>
  </si>
  <si>
    <t>T/T 60 days after B/L date</t>
  </si>
  <si>
    <t>ธัญบุรี คลองหลวง</t>
  </si>
  <si>
    <t>142</t>
  </si>
  <si>
    <t>NA2 Phitsanulok</t>
  </si>
  <si>
    <t>CDF</t>
  </si>
  <si>
    <t>Congolese Franc</t>
  </si>
  <si>
    <t>เขตป้อมปราบศัตรูพ่าย</t>
  </si>
  <si>
    <t>พิจิตร</t>
  </si>
  <si>
    <t>BY</t>
  </si>
  <si>
    <t>Belarus</t>
  </si>
  <si>
    <t>TCBKRIM720</t>
  </si>
  <si>
    <t>อ.พนมทวน กาญจนบุรี</t>
  </si>
  <si>
    <t>Fast-Mix Co., Ltd. (Cancel)</t>
  </si>
  <si>
    <t>0020036</t>
  </si>
  <si>
    <t>ธ. กรุงเทพ จำกัด (มหาชน) สาขา ยู เซ็นเตอร์ จุฬา 42</t>
  </si>
  <si>
    <t>T090</t>
  </si>
  <si>
    <t>T/T 90 days after B/L date</t>
  </si>
  <si>
    <t>สายไหม คลองสามวา</t>
  </si>
  <si>
    <t>143</t>
  </si>
  <si>
    <t>NA3 Chiang Rai</t>
  </si>
  <si>
    <t>CFP</t>
  </si>
  <si>
    <t>French Franc (Pacific Islands)</t>
  </si>
  <si>
    <t>เขตพญาไท</t>
  </si>
  <si>
    <t>พิษณุโลก</t>
  </si>
  <si>
    <t>BZ</t>
  </si>
  <si>
    <t>Belize</t>
  </si>
  <si>
    <t>TCBKRIM730</t>
  </si>
  <si>
    <t>อ.ท่ามะกา,ท่าม่วง</t>
  </si>
  <si>
    <t>Food Hub Retail Co., Ltd.</t>
  </si>
  <si>
    <t>0020037</t>
  </si>
  <si>
    <t>ธ. กรุงเทพ จำกัด (มหาชน) สาขา ออลซีซั่นส์ เพลส</t>
  </si>
  <si>
    <t>T120</t>
  </si>
  <si>
    <t>T/T 120 days after B/L date</t>
  </si>
  <si>
    <t>มีนบุรี หนองจอก</t>
  </si>
  <si>
    <t>A16</t>
  </si>
  <si>
    <t>Northern</t>
  </si>
  <si>
    <t>CHF</t>
  </si>
  <si>
    <t>Swiss Franc</t>
  </si>
  <si>
    <t>เขตพระโขนง</t>
  </si>
  <si>
    <t>เพชรบุรี</t>
  </si>
  <si>
    <t>CA</t>
  </si>
  <si>
    <t>Canada</t>
  </si>
  <si>
    <t>TCBKRIM740</t>
  </si>
  <si>
    <t>อ.บ่อพลอย,ไทรโยค</t>
  </si>
  <si>
    <t>Donki Thonglor Co., Ltd.</t>
  </si>
  <si>
    <t>0020038</t>
  </si>
  <si>
    <t>ธ. กรุงเทพ จำกัด (มหาชน) สาขา เทสโก้ โลตัส รังสิต</t>
  </si>
  <si>
    <t>TADV</t>
  </si>
  <si>
    <t>T/T In Advance</t>
  </si>
  <si>
    <t>BN1</t>
  </si>
  <si>
    <t>HANOI – North (HN)</t>
  </si>
  <si>
    <t>CLP</t>
  </si>
  <si>
    <t>Chilean Peso</t>
  </si>
  <si>
    <t>เขตพระนคร</t>
  </si>
  <si>
    <t>เพชรบูรณ์</t>
  </si>
  <si>
    <t>CC</t>
  </si>
  <si>
    <t>Keeling Islands</t>
  </si>
  <si>
    <t>TCBKRIM741</t>
  </si>
  <si>
    <t>อ.สังขละบุรี กาญจนบุ</t>
  </si>
  <si>
    <t>ADS Logistics Co., Ltd.</t>
  </si>
  <si>
    <t>0020039</t>
  </si>
  <si>
    <t>ธ. กรุงเทพ จำกัด (มหาชน) สาขา บิ๊กซี ดาวคะนอง</t>
  </si>
  <si>
    <t>TLCS</t>
  </si>
  <si>
    <t>L/C  AT SIGHT</t>
  </si>
  <si>
    <t>คลองสามวา คันนายาว</t>
  </si>
  <si>
    <t>BN2</t>
  </si>
  <si>
    <t>HANOI – South (HS)</t>
  </si>
  <si>
    <t>CLP4</t>
  </si>
  <si>
    <t>เขตภาษีเจริญ</t>
  </si>
  <si>
    <t>แพร่</t>
  </si>
  <si>
    <t>CD</t>
  </si>
  <si>
    <t>Dem. Rep. Congo</t>
  </si>
  <si>
    <t>TCBKRIM750</t>
  </si>
  <si>
    <t>ศรีสวัสดิ์ ทองผาภูมิ</t>
  </si>
  <si>
    <t>AEC Auto Sales Co., Ltd.</t>
  </si>
  <si>
    <t>0020040</t>
  </si>
  <si>
    <t>ธ. กรุงเทพ จำกัด (มหาชน) สาขา เทสโก้ โลตัส บางปะกอก</t>
  </si>
  <si>
    <t>TLSC</t>
  </si>
  <si>
    <t>BN3</t>
  </si>
  <si>
    <t>North East (NE)</t>
  </si>
  <si>
    <t>CNY</t>
  </si>
  <si>
    <t>Chinese Renminbi</t>
  </si>
  <si>
    <t>เขตมีนบุรี</t>
  </si>
  <si>
    <t>ภูเก็ต</t>
  </si>
  <si>
    <t>CF</t>
  </si>
  <si>
    <t>CAR</t>
  </si>
  <si>
    <t>TCBKRIM760</t>
  </si>
  <si>
    <t>Baan Suan Maak Co., Ltd.</t>
  </si>
  <si>
    <t>0020041</t>
  </si>
  <si>
    <t>ธ. กรุงเทพ จำกัด (มหาชน) สาขา บิ๊กซี สำโรง 2</t>
  </si>
  <si>
    <t>บางกะปิ</t>
  </si>
  <si>
    <t>BN4</t>
  </si>
  <si>
    <t>North West (NW)</t>
  </si>
  <si>
    <t>COP</t>
  </si>
  <si>
    <t>Colombian Peso</t>
  </si>
  <si>
    <t>เขตยานนาวา</t>
  </si>
  <si>
    <t>มหาสารคาม</t>
  </si>
  <si>
    <t>CG</t>
  </si>
  <si>
    <t>Rep.of Congo</t>
  </si>
  <si>
    <t>TCBKRIM770</t>
  </si>
  <si>
    <t>อ.หนองปรือ,อ.เลาขวัญ</t>
  </si>
  <si>
    <t>The Bangkok Club  Co., Ltd.</t>
  </si>
  <si>
    <t>0020042</t>
  </si>
  <si>
    <t>ธ. กรุงเทพ จำกัด (มหาชน) สาขา อ.กรุงเทพประกันภัย/ ไว.ดับยู.ซี.เอ.</t>
  </si>
  <si>
    <t>ห้วยขวางดินแดงพญาไท</t>
  </si>
  <si>
    <t>BN5</t>
  </si>
  <si>
    <t>North South (NS)</t>
  </si>
  <si>
    <t>CRC</t>
  </si>
  <si>
    <t>Costa Rica Colon</t>
  </si>
  <si>
    <t>มุกดาหาร</t>
  </si>
  <si>
    <t>CH</t>
  </si>
  <si>
    <t>Switzerland</t>
  </si>
  <si>
    <t>TCBLRIL410</t>
  </si>
  <si>
    <t>เมืองลพบุรี,ท่าวุ้ง</t>
  </si>
  <si>
    <t>Bangpakong Agriculture Co.,</t>
  </si>
  <si>
    <t>0020043</t>
  </si>
  <si>
    <t>ธ. กรุงเทพ จำกัด (มหาชน) สาขา บิ๊กซี บางปะกอก</t>
  </si>
  <si>
    <t>เขตวัฒนา เขตคลองเตย</t>
  </si>
  <si>
    <t>BN6</t>
  </si>
  <si>
    <t>NORTHERN (Constr)</t>
  </si>
  <si>
    <t>CSD</t>
  </si>
  <si>
    <t>Serbian Dinar (Old)</t>
  </si>
  <si>
    <t>เขตราษฎร์บูรณะ</t>
  </si>
  <si>
    <t>แม่ฮ่องสอน</t>
  </si>
  <si>
    <t>CI</t>
  </si>
  <si>
    <t>Cote d'Ivoire</t>
  </si>
  <si>
    <t>TCBLRIL420</t>
  </si>
  <si>
    <t>อ.บ้านหมี่ ลพบุรี</t>
  </si>
  <si>
    <t>Bangthongsaman Agriculture</t>
  </si>
  <si>
    <t>0020044</t>
  </si>
  <si>
    <t>ธ. กรุงเทพ จำกัด (มหาชน) สาขา เทสโก้ โลตัส บางนา</t>
  </si>
  <si>
    <t>เขตวังทองหลาง</t>
  </si>
  <si>
    <t>151</t>
  </si>
  <si>
    <t>SA1 Surat Thani</t>
  </si>
  <si>
    <t>CUC</t>
  </si>
  <si>
    <t>Peso Convertible</t>
  </si>
  <si>
    <t>เขตลาดกระบัง</t>
  </si>
  <si>
    <t>ยโสธร</t>
  </si>
  <si>
    <t>CK</t>
  </si>
  <si>
    <t>Cook Islands</t>
  </si>
  <si>
    <t>TCBLRIL421</t>
  </si>
  <si>
    <t>อ.หนองม่วง,ชัยบาดาล</t>
  </si>
  <si>
    <t>Bangyai Dinthong Co., Ltd.</t>
  </si>
  <si>
    <t>0020045</t>
  </si>
  <si>
    <t>ธ. กรุงเทพ จำกัด (มหาชน) สาขา เทสโก้ โลตัส สุขาภิบาล 1</t>
  </si>
  <si>
    <t>ชลบุรี บางละมุง</t>
  </si>
  <si>
    <t>152</t>
  </si>
  <si>
    <t>SA2 Phuket</t>
  </si>
  <si>
    <t>CUP</t>
  </si>
  <si>
    <t>Cuban Peso</t>
  </si>
  <si>
    <t>เขตลาดพร้าว</t>
  </si>
  <si>
    <t>ยะลา</t>
  </si>
  <si>
    <t>CL</t>
  </si>
  <si>
    <t>Chile</t>
  </si>
  <si>
    <t>TCBLRIL422</t>
  </si>
  <si>
    <t>อ.โคกสำโรง ลพบุรี</t>
  </si>
  <si>
    <t>Bester Building Solution Co.,</t>
  </si>
  <si>
    <t>0020046</t>
  </si>
  <si>
    <t>ธ. กรุงเทพ จำกัด (มหาชน) สาขา เซ็นทรัล บางนา</t>
  </si>
  <si>
    <t>ชลบุรี พนัสนิคม</t>
  </si>
  <si>
    <t>153</t>
  </si>
  <si>
    <t>SA3 Songkhla</t>
  </si>
  <si>
    <t>CVE</t>
  </si>
  <si>
    <t>Cape Verde Escudo</t>
  </si>
  <si>
    <t>ร้อยเอ็ด</t>
  </si>
  <si>
    <t>CM</t>
  </si>
  <si>
    <t>Cameroon</t>
  </si>
  <si>
    <t>TCBLRIL423</t>
  </si>
  <si>
    <t>อ.โคกเจริญ ลพบุรี</t>
  </si>
  <si>
    <t>Best Autosales Co., Ltd.</t>
  </si>
  <si>
    <t>0020047</t>
  </si>
  <si>
    <t>ธ. กรุงเทพ จำกัด (มหาชน) สาขา ฟอร์จูน ทาวน์</t>
  </si>
  <si>
    <t>ระยอง อ.เมือง</t>
  </si>
  <si>
    <t>A17</t>
  </si>
  <si>
    <t>Southern</t>
  </si>
  <si>
    <t>CYP</t>
  </si>
  <si>
    <t>Cyprus Pound  (Old --&gt; EUR)</t>
  </si>
  <si>
    <t>เขตวัฒนา</t>
  </si>
  <si>
    <t>ระนอง</t>
  </si>
  <si>
    <t>CN</t>
  </si>
  <si>
    <t>China</t>
  </si>
  <si>
    <t>TCBLRIL440</t>
  </si>
  <si>
    <t>อ.พัฒนานิคม,ท่าหลวง</t>
  </si>
  <si>
    <t>Millionatre Co., Ltd.</t>
  </si>
  <si>
    <t>0020048</t>
  </si>
  <si>
    <t>ธ. กรุงเทพ จำกัด (มหาชน) สาขา เซ็นทรัล พระราม 3</t>
  </si>
  <si>
    <t>ระยอง นิคมพัฒนา</t>
  </si>
  <si>
    <t>CZK</t>
  </si>
  <si>
    <t>Czech Krona</t>
  </si>
  <si>
    <t>เขตสวนหลวง</t>
  </si>
  <si>
    <t>ระยอง</t>
  </si>
  <si>
    <t>CO</t>
  </si>
  <si>
    <t>Colombia</t>
  </si>
  <si>
    <t>TCBLRIL441</t>
  </si>
  <si>
    <t>อ.ลำสนธิ ลพบุรี</t>
  </si>
  <si>
    <t>ART - Ville property Co., Ltd.</t>
  </si>
  <si>
    <t>0020049</t>
  </si>
  <si>
    <t>ธ. กรุงเทพ จำกัด (มหาชน) สาขา บิ๊กซี บางบอน</t>
  </si>
  <si>
    <t>ระยอง อ.แกลง</t>
  </si>
  <si>
    <t>BS1</t>
  </si>
  <si>
    <t>Mekong – North (MN)</t>
  </si>
  <si>
    <t>DEM</t>
  </si>
  <si>
    <t>German Mark    (Old --&gt; EUR)</t>
  </si>
  <si>
    <t>เขตสะพานสูง</t>
  </si>
  <si>
    <t>ราชบุรี</t>
  </si>
  <si>
    <t>CR</t>
  </si>
  <si>
    <t>Costa Rica</t>
  </si>
  <si>
    <t>TCBNPTM110</t>
  </si>
  <si>
    <t>อ.เมือง,นครชัยศรี</t>
  </si>
  <si>
    <t>Chailai Co., Ltd.</t>
  </si>
  <si>
    <t>0020050</t>
  </si>
  <si>
    <t>ธ. กรุงเทพ จำกัด (มหาชน) สาขา บิ๊กซี รัชดาภิเษก</t>
  </si>
  <si>
    <t>จันทบุรี รอบใน</t>
  </si>
  <si>
    <t>BS2</t>
  </si>
  <si>
    <t>Mekong – Middle (MM)</t>
  </si>
  <si>
    <t>DEM3</t>
  </si>
  <si>
    <t>(Internal) German Mark (3 dec.places)</t>
  </si>
  <si>
    <t>เขตสัมพันธวงศ์</t>
  </si>
  <si>
    <t>ลพบุรี</t>
  </si>
  <si>
    <t>CU</t>
  </si>
  <si>
    <t>Cuba</t>
  </si>
  <si>
    <t>TCBNPTM120</t>
  </si>
  <si>
    <t>อ.บางเลน นครปฐม</t>
  </si>
  <si>
    <t>Cho Cho San Co., Ltd.</t>
  </si>
  <si>
    <t>0020051</t>
  </si>
  <si>
    <t>ธ. กรุงเทพ จำกัด (มหาชน) สาขา ซีคอน บางแค</t>
  </si>
  <si>
    <t>จันทบุรี รอบนอก ตราด</t>
  </si>
  <si>
    <t>BS3</t>
  </si>
  <si>
    <t>Mekong – South (MS)</t>
  </si>
  <si>
    <t>DJF</t>
  </si>
  <si>
    <t>Djibouti Franc</t>
  </si>
  <si>
    <t>เขตสาทร</t>
  </si>
  <si>
    <t>ลำปาง</t>
  </si>
  <si>
    <t>CV</t>
  </si>
  <si>
    <t>Cape Verde</t>
  </si>
  <si>
    <t>TCBNPTM130</t>
  </si>
  <si>
    <t>อ.กำแพงแสน,ดอนตูม</t>
  </si>
  <si>
    <t>Clash holding Co., Ltd.</t>
  </si>
  <si>
    <t>0020052</t>
  </si>
  <si>
    <t>ธ. กรุงเทพ จำกัด (มหาชน) สาขา บิ๊กซี ศรีนครินทร์</t>
  </si>
  <si>
    <t>ชัยนาท-สุพรรณบุรี</t>
  </si>
  <si>
    <t>BS4</t>
  </si>
  <si>
    <t>SOUTHERN (Constr)</t>
  </si>
  <si>
    <t>DKK</t>
  </si>
  <si>
    <t>Danish Krone</t>
  </si>
  <si>
    <t>เขตสายไหม</t>
  </si>
  <si>
    <t>ลำพูน</t>
  </si>
  <si>
    <t>CW</t>
  </si>
  <si>
    <t>Curacao</t>
  </si>
  <si>
    <t>TCBNYKK210</t>
  </si>
  <si>
    <t>Connection Lathe Services Co.,</t>
  </si>
  <si>
    <t>0020053</t>
  </si>
  <si>
    <t>ธ. กรุงเทพ จำกัด (มหาชน) สาขา บิ๊กซี ติวานนท์</t>
  </si>
  <si>
    <t>สุพรรณบุรี อ.เมือง</t>
  </si>
  <si>
    <t>211</t>
  </si>
  <si>
    <t>Modern Trade</t>
  </si>
  <si>
    <t>DOP</t>
  </si>
  <si>
    <t>Dominican Peso</t>
  </si>
  <si>
    <t>เขตหนองแขม</t>
  </si>
  <si>
    <t>เลย</t>
  </si>
  <si>
    <t>CX</t>
  </si>
  <si>
    <t>Christmas Islnd</t>
  </si>
  <si>
    <t>TCBPBIN110</t>
  </si>
  <si>
    <t>อ.เมือง บ้านแหลม เขา</t>
  </si>
  <si>
    <t>Crystal Hotel Co., Ltd.</t>
  </si>
  <si>
    <t>0020054</t>
  </si>
  <si>
    <t>ธ. กรุงเทพ จำกัด (มหาชน) สาขา จิวเวลรี่เทรดเซ็นเตอร์ สีลม</t>
  </si>
  <si>
    <t>A21</t>
  </si>
  <si>
    <t>DZD</t>
  </si>
  <si>
    <t>Algerian Dinar</t>
  </si>
  <si>
    <t>เขตหนองจอก</t>
  </si>
  <si>
    <t>ศรีสะเกษ</t>
  </si>
  <si>
    <t>CY</t>
  </si>
  <si>
    <t>Cyprus</t>
  </si>
  <si>
    <t>TCBPBIN111</t>
  </si>
  <si>
    <t>อ.ชะอำ เพชรบุรี</t>
  </si>
  <si>
    <t>D&amp;N Holding Co., Ltd.</t>
  </si>
  <si>
    <t>0020055</t>
  </si>
  <si>
    <t>ธ. กรุงเทพ จำกัด (มหาชน) สาขา ถนนรัชดา-ห้วยขวาง</t>
  </si>
  <si>
    <t>อยธยา-บางปะอิน</t>
  </si>
  <si>
    <t>A22</t>
  </si>
  <si>
    <t>Modern Retail</t>
  </si>
  <si>
    <t>ECS</t>
  </si>
  <si>
    <t>Ecuadorian Sucre (Old --&gt; USD)</t>
  </si>
  <si>
    <t>เขตหลักสี่</t>
  </si>
  <si>
    <t>สกลนคร</t>
  </si>
  <si>
    <t>CZ</t>
  </si>
  <si>
    <t>Czech Republic</t>
  </si>
  <si>
    <t>TCBPBIN120</t>
  </si>
  <si>
    <t>อ.บ้านลาด เพชรบุรี</t>
  </si>
  <si>
    <t>Dandilion Co., Ltd.</t>
  </si>
  <si>
    <t>0020056</t>
  </si>
  <si>
    <t>ธ. กรุงเทพ จำกัด (มหาชน) สาขา ถนนสุขาภิบาล 3 บึงกุ่ม</t>
  </si>
  <si>
    <t>อยุธยา ฮาร์ดแวร์เฮา</t>
  </si>
  <si>
    <t>B21</t>
  </si>
  <si>
    <t>EEK</t>
  </si>
  <si>
    <t>Estonian Krone (Old --&gt; EUR)</t>
  </si>
  <si>
    <t>เขตห้วยขวาง</t>
  </si>
  <si>
    <t>สงขลา</t>
  </si>
  <si>
    <t>DE</t>
  </si>
  <si>
    <t>Germany</t>
  </si>
  <si>
    <t>TCBPBIN130</t>
  </si>
  <si>
    <t>อ.ท่ายาง เพชรบุรี</t>
  </si>
  <si>
    <t>Delta Paint Co., Ltd.</t>
  </si>
  <si>
    <t>0020057</t>
  </si>
  <si>
    <t>ธ. กรุงเทพ จำกัด (มหาชน) สาขา ถนนสุขาภิบาล 1 รามอินทรา กม.8</t>
  </si>
  <si>
    <t>นครนายก-สระบุรี</t>
  </si>
  <si>
    <t>221</t>
  </si>
  <si>
    <t>EGP</t>
  </si>
  <si>
    <t>Egyptian Pound</t>
  </si>
  <si>
    <t>อ.ด่านมะขามเตี้ย</t>
  </si>
  <si>
    <t>สตูล</t>
  </si>
  <si>
    <t>DJ</t>
  </si>
  <si>
    <t>Djibouti</t>
  </si>
  <si>
    <t>TCBPBIN140</t>
  </si>
  <si>
    <t>แก่งกระจาน เพชรบุรี</t>
  </si>
  <si>
    <t>Dole Thailand Co., Ltd.</t>
  </si>
  <si>
    <t>0020058</t>
  </si>
  <si>
    <t>ธ. กรุงเทพ จำกัด (มหาชน) สาขา ถนนรัตนาธิเบศร์</t>
  </si>
  <si>
    <t>สระบุรี อ.เมือง</t>
  </si>
  <si>
    <t>ERN</t>
  </si>
  <si>
    <t>Eritrean Nafka</t>
  </si>
  <si>
    <t>อ.ทองผาภูมิ</t>
  </si>
  <si>
    <t>สมุทรปราการ</t>
  </si>
  <si>
    <t>DK</t>
  </si>
  <si>
    <t>Denmark</t>
  </si>
  <si>
    <t>TCBPBIN150</t>
  </si>
  <si>
    <t>อ.หนองหญ้าปล้อง</t>
  </si>
  <si>
    <t>Ekamai Charoensuk Holding Co.,</t>
  </si>
  <si>
    <t>0020059</t>
  </si>
  <si>
    <t>ธ. กรุงเทพ จำกัด (มหาชน) สาขา ถนนสรงประภา ดอนเมือง</t>
  </si>
  <si>
    <t>อ่างทอง-สิงห์บุรี</t>
  </si>
  <si>
    <t>ESP</t>
  </si>
  <si>
    <t>Spanish Peseta (Old --&gt; EUR)</t>
  </si>
  <si>
    <t>อ.ท่าม่วง</t>
  </si>
  <si>
    <t>สมุทรสงคราม</t>
  </si>
  <si>
    <t>DM</t>
  </si>
  <si>
    <t>Dominica</t>
  </si>
  <si>
    <t>TCBPKNN310</t>
  </si>
  <si>
    <t>อ.ปราณบุรี,หัวหิน</t>
  </si>
  <si>
    <t>Erawan Holding Co., Ltd.</t>
  </si>
  <si>
    <t>0020060</t>
  </si>
  <si>
    <t>ธ. กรุงเทพ จำกัด (มหาชน) สาขา ถนนรามอินทรา กม.10</t>
  </si>
  <si>
    <t>กาญฯ นครปฐม รอบนอก</t>
  </si>
  <si>
    <t>ETB</t>
  </si>
  <si>
    <t>Ethiopian Birr</t>
  </si>
  <si>
    <t>อ.ท่ามะกา</t>
  </si>
  <si>
    <t>สมุทรสาคร</t>
  </si>
  <si>
    <t>DO</t>
  </si>
  <si>
    <t>Dominican Rep.</t>
  </si>
  <si>
    <t>TCBPKNN311</t>
  </si>
  <si>
    <t>อ.เมือง กุยบุรี</t>
  </si>
  <si>
    <t>Erawan Power Co., Ltd.</t>
  </si>
  <si>
    <t>0020061</t>
  </si>
  <si>
    <t>ธ. กรุงเทพ จำกัด (มหาชน) สาขา ถนนสามัคคี ประชานิเวศน์</t>
  </si>
  <si>
    <t>EUR</t>
  </si>
  <si>
    <t>European Euro</t>
  </si>
  <si>
    <t>อ.ไทรโยค</t>
  </si>
  <si>
    <t>สระแก้ว</t>
  </si>
  <si>
    <t>DZ</t>
  </si>
  <si>
    <t>Algeria</t>
  </si>
  <si>
    <t>TCBPKNN320</t>
  </si>
  <si>
    <t>อ.ทับสะแก ประจวบฯ</t>
  </si>
  <si>
    <t>Erawan Sugar Co., Ltd.</t>
  </si>
  <si>
    <t>0020062</t>
  </si>
  <si>
    <t>ธ. กรุงเทพ จำกัด (มหาชน) สาขา นครชัยศรี</t>
  </si>
  <si>
    <t>ราชบุรี โพธาราม</t>
  </si>
  <si>
    <t>EUR4</t>
  </si>
  <si>
    <t>อ.บ่อพลอย</t>
  </si>
  <si>
    <t>สระบุรี</t>
  </si>
  <si>
    <t>EC</t>
  </si>
  <si>
    <t>Ecuador</t>
  </si>
  <si>
    <t>TCBPKNN330</t>
  </si>
  <si>
    <t>อ.บางสะพาน ประจวบฯ</t>
  </si>
  <si>
    <t>Greenline Myanmar Group Co.,</t>
  </si>
  <si>
    <t>0020063</t>
  </si>
  <si>
    <t>ธ. กรุงเทพ จำกัด (มหาชน) สาขา เอกมัย</t>
  </si>
  <si>
    <t>สมุทรสงคราม-ราชบุรี</t>
  </si>
  <si>
    <t>FIM</t>
  </si>
  <si>
    <t>Finnish Markka (Old --&gt; EUR)</t>
  </si>
  <si>
    <t>อ.พนมทวน</t>
  </si>
  <si>
    <t>สิงห์บุรี</t>
  </si>
  <si>
    <t>EE</t>
  </si>
  <si>
    <t>Estonia</t>
  </si>
  <si>
    <t>TCBPKNN340</t>
  </si>
  <si>
    <t>อ.บางสะพานน้อย</t>
  </si>
  <si>
    <t>Inter Games Co., Ltd.</t>
  </si>
  <si>
    <t>0020064</t>
  </si>
  <si>
    <t>ธ. กรุงเทพ จำกัด (มหาชน) สาขา แฉล้มนิมิตร</t>
  </si>
  <si>
    <t>FJD</t>
  </si>
  <si>
    <t>Fiji Dollar</t>
  </si>
  <si>
    <t>สุโขทัย</t>
  </si>
  <si>
    <t>EG</t>
  </si>
  <si>
    <t>Egypt</t>
  </si>
  <si>
    <t>TCBPRIK310</t>
  </si>
  <si>
    <t>อ.เมืองปราจีนบุรี</t>
  </si>
  <si>
    <t>ITOA  Auto  Sales  Co., Ltd.</t>
  </si>
  <si>
    <t>0020065</t>
  </si>
  <si>
    <t>ธ. กรุงเทพ จำกัด (มหาชน) สาขา เทสโก้ โลตัส เอกมัย-รามอินทรา</t>
  </si>
  <si>
    <t>FKP</t>
  </si>
  <si>
    <t>Falkland Pound</t>
  </si>
  <si>
    <t>อ.เลาขวัญ</t>
  </si>
  <si>
    <t>สุพรรณบุรี</t>
  </si>
  <si>
    <t>EH</t>
  </si>
  <si>
    <t>West Sahara</t>
  </si>
  <si>
    <t>TCBPRIK320</t>
  </si>
  <si>
    <t>อ.ศรีมหาโพธิ,บ้านสร้</t>
  </si>
  <si>
    <t>JCE - TOA Co., Ltd.</t>
  </si>
  <si>
    <t>0020066</t>
  </si>
  <si>
    <t>ธ. กรุงเทพ จำกัด (มหาชน) สาขา บิ๊กซี รามอินทรา</t>
  </si>
  <si>
    <t>กาญฯ ท่าม่วง ท่ามะกา</t>
  </si>
  <si>
    <t>311</t>
  </si>
  <si>
    <t>Developer 1</t>
  </si>
  <si>
    <t>FRF</t>
  </si>
  <si>
    <t>French Franc (Old --&gt; EUR)</t>
  </si>
  <si>
    <t>อ.ศรีสวัสดิ์</t>
  </si>
  <si>
    <t>สุราษฎร์ธานี</t>
  </si>
  <si>
    <t>ER</t>
  </si>
  <si>
    <t>Eritrea</t>
  </si>
  <si>
    <t>TCBPRIK330</t>
  </si>
  <si>
    <t>อ.ประจันตคาม ปราจีน</t>
  </si>
  <si>
    <t>Kemabus Co., Ltd.</t>
  </si>
  <si>
    <t>0020067</t>
  </si>
  <si>
    <t>ธ. กรุงเทพ จำกัด (มหาชน) สาขา บิ๊กซี รัตนาธิเบศร์ 2</t>
  </si>
  <si>
    <t>ชลบุรี อ.เมือง</t>
  </si>
  <si>
    <t>312</t>
  </si>
  <si>
    <t>Developer 2</t>
  </si>
  <si>
    <t>GBP</t>
  </si>
  <si>
    <t>British Pound</t>
  </si>
  <si>
    <t>อ.สังขละบุรี</t>
  </si>
  <si>
    <t>สุรินทร์</t>
  </si>
  <si>
    <t>ES</t>
  </si>
  <si>
    <t>Spain</t>
  </si>
  <si>
    <t>TCBPRIK340</t>
  </si>
  <si>
    <t>อ.กบินทร์บุรี ปราจีน</t>
  </si>
  <si>
    <t>Khaosanpalace Co., Ltd.</t>
  </si>
  <si>
    <t>0020068</t>
  </si>
  <si>
    <t>ธ. กรุงเทพ จำกัด (มหาชน) สาขา เซ็นทรัล ลาดพร้าว</t>
  </si>
  <si>
    <t>ชลบุรี อ.ศรีราชา</t>
  </si>
  <si>
    <t>313</t>
  </si>
  <si>
    <t>Developer 3</t>
  </si>
  <si>
    <t>GEL</t>
  </si>
  <si>
    <t>Georgian Lari</t>
  </si>
  <si>
    <t>อ.หนองปรือ</t>
  </si>
  <si>
    <t>หนองคาย</t>
  </si>
  <si>
    <t>ET</t>
  </si>
  <si>
    <t>Ethiopia</t>
  </si>
  <si>
    <t>TCBPRIK350</t>
  </si>
  <si>
    <t>อ.นาดี ปราจีนบุรี</t>
  </si>
  <si>
    <t>Khun Preecha Wine Cellar Ltd.,</t>
  </si>
  <si>
    <t>0020069</t>
  </si>
  <si>
    <t>ธ. กรุงเทพ จำกัด (มหาชน) สาขา บิ๊กซี รามคำแหง</t>
  </si>
  <si>
    <t>ชลบุรี อ.บ้านบึง</t>
  </si>
  <si>
    <t>314</t>
  </si>
  <si>
    <t>Developer 4</t>
  </si>
  <si>
    <t>GHC</t>
  </si>
  <si>
    <t>Ghanaian Cedi (Old)</t>
  </si>
  <si>
    <t>อ.ห้วยกระเจา</t>
  </si>
  <si>
    <t>หนองบัวลำภู</t>
  </si>
  <si>
    <t>EU</t>
  </si>
  <si>
    <t>European Union</t>
  </si>
  <si>
    <t>TCBRBRM210</t>
  </si>
  <si>
    <t>อ.เมืองราชบุรี</t>
  </si>
  <si>
    <t>Lad Swai Agriculture Co., Ltd.</t>
  </si>
  <si>
    <t>0020070</t>
  </si>
  <si>
    <t>ธ. กรุงเทพ จำกัด (มหาชน) สาขา เทสโก้ โลตัส บางแค</t>
  </si>
  <si>
    <t>ฉะเชิงเทรา บางปะกง</t>
  </si>
  <si>
    <t>315</t>
  </si>
  <si>
    <t>Developer 5</t>
  </si>
  <si>
    <t>GHS</t>
  </si>
  <si>
    <t>Ghanian Cedi</t>
  </si>
  <si>
    <t>อ.กมลาไสย</t>
  </si>
  <si>
    <t>อ่างทอง</t>
  </si>
  <si>
    <t>FI</t>
  </si>
  <si>
    <t>Finland</t>
  </si>
  <si>
    <t>TCBRBRM220</t>
  </si>
  <si>
    <t>อ.บ้านโป่ง,โพธาราม</t>
  </si>
  <si>
    <t>Lapsuwan Co., Ltd.</t>
  </si>
  <si>
    <t>0020071</t>
  </si>
  <si>
    <t>ธ. กรุงเทพ จำกัด (มหาชน) สาขา ถนนลำลูกกา คลอง 2</t>
  </si>
  <si>
    <t>ปราจีนบุรี รอบใน</t>
  </si>
  <si>
    <t>GIP</t>
  </si>
  <si>
    <t>Gibraltar Pound</t>
  </si>
  <si>
    <t>อ.กุฉินารายณ์</t>
  </si>
  <si>
    <t>อำนาจเจริญ</t>
  </si>
  <si>
    <t>FJ</t>
  </si>
  <si>
    <t>Fiji</t>
  </si>
  <si>
    <t>TCBRBRM230</t>
  </si>
  <si>
    <t>อ.จอมบึง,สวนผึ้ง</t>
  </si>
  <si>
    <t>LT &amp; Son Co., Ltd.</t>
  </si>
  <si>
    <t>0020072</t>
  </si>
  <si>
    <t>ธ. กรุงเทพ จำกัด (มหาชน) สาขา ถนนเศรษฐกิจ 1</t>
  </si>
  <si>
    <t>A32</t>
  </si>
  <si>
    <t>โครงการ IMAGICA</t>
  </si>
  <si>
    <t>GMD</t>
  </si>
  <si>
    <t>Gambian Dalasi</t>
  </si>
  <si>
    <t>อ.เขาวง</t>
  </si>
  <si>
    <t>อุดรธานี</t>
  </si>
  <si>
    <t>FK</t>
  </si>
  <si>
    <t>Falkland Islnds</t>
  </si>
  <si>
    <t>TCBRBRM240</t>
  </si>
  <si>
    <t>อ.ดำเนินสะดวก,บางแพ</t>
  </si>
  <si>
    <t>M M L Transport Co., Ltd.</t>
  </si>
  <si>
    <t>0020073</t>
  </si>
  <si>
    <t>ธ. กรุงเทพ จำกัด (มหาชน) สาขา ถนนโรจนะ อยุธยา</t>
  </si>
  <si>
    <t>ปราจีนบุรี รอบนอก</t>
  </si>
  <si>
    <t>A33</t>
  </si>
  <si>
    <t>โครงการอุตสาหกรรม</t>
  </si>
  <si>
    <t>GNF</t>
  </si>
  <si>
    <t>Guinean Franc</t>
  </si>
  <si>
    <t>อ.คำม่วง</t>
  </si>
  <si>
    <t>อุตรดิตถ์</t>
  </si>
  <si>
    <t>FM</t>
  </si>
  <si>
    <t>Micronesia</t>
  </si>
  <si>
    <t>TCBRBRM250</t>
  </si>
  <si>
    <t>อ.ปากท่อ,วัดเพลง</t>
  </si>
  <si>
    <t>Mangkang Trading Co., Ltd.</t>
  </si>
  <si>
    <t>0020074</t>
  </si>
  <si>
    <t>ธ. กรุงเทพ จำกัด (มหาชน) สาขา สยามแม็คโคร สาทร</t>
  </si>
  <si>
    <t>ขอนแก่น 1 (เมือง)</t>
  </si>
  <si>
    <t>B31</t>
  </si>
  <si>
    <t>NORTH</t>
  </si>
  <si>
    <t>GRD</t>
  </si>
  <si>
    <t>Greek Drachma (Old --&gt; EUR)</t>
  </si>
  <si>
    <t>อ.ฆ้องชัย</t>
  </si>
  <si>
    <t>อุทัยธานี</t>
  </si>
  <si>
    <t>FO</t>
  </si>
  <si>
    <t>Faroe Islands</t>
  </si>
  <si>
    <t>TCBRYGJ210</t>
  </si>
  <si>
    <t>อ.เมืองระยอง ระยอง</t>
  </si>
  <si>
    <t>Matsutani Trading (Thailand)</t>
  </si>
  <si>
    <t>0020075</t>
  </si>
  <si>
    <t>ธ. กรุงเทพ จำกัด (มหาชน) สาขา ถนนลาดปลาเค้า</t>
  </si>
  <si>
    <t>ขอนแก่น 2 (ชุมแพ)</t>
  </si>
  <si>
    <t>B32</t>
  </si>
  <si>
    <t>SOUTH</t>
  </si>
  <si>
    <t>GTQ</t>
  </si>
  <si>
    <t>Guatemalan Quetzal</t>
  </si>
  <si>
    <t>อ.ดอนจาน</t>
  </si>
  <si>
    <t>อุบลราชธานี</t>
  </si>
  <si>
    <t>FR</t>
  </si>
  <si>
    <t>France</t>
  </si>
  <si>
    <t>TCBRYGJ220</t>
  </si>
  <si>
    <t>อ.บ้านฉาง ระยอง</t>
  </si>
  <si>
    <t>Millionaire 88 Co., Ltd.</t>
  </si>
  <si>
    <t>0020076</t>
  </si>
  <si>
    <t>ธ. กรุงเทพ จำกัด (มหาชน) สาขา บิ๊กซี อ่อนนุช</t>
  </si>
  <si>
    <t>B33</t>
  </si>
  <si>
    <t>GWP</t>
  </si>
  <si>
    <t>Guinea Peso (Old --&gt; SHP)</t>
  </si>
  <si>
    <t>อ.ท่าคันโท</t>
  </si>
  <si>
    <t>VN</t>
  </si>
  <si>
    <t>AN GIANG</t>
  </si>
  <si>
    <t>GA</t>
  </si>
  <si>
    <t>Gabon</t>
  </si>
  <si>
    <t>TCBRYGJ230</t>
  </si>
  <si>
    <t>อ.บ้านค่าย,นิคมพัฒนา</t>
  </si>
  <si>
    <t>More Studio Co., Ltd.</t>
  </si>
  <si>
    <t>0020078</t>
  </si>
  <si>
    <t>ธ. กรุงเทพ จำกัด (มหาชน) สาขา บิ๊กซี เพชรเกษม 2</t>
  </si>
  <si>
    <t>หนองคาย บึงกาฬ อุดร</t>
  </si>
  <si>
    <t>321</t>
  </si>
  <si>
    <t>Contractor 1</t>
  </si>
  <si>
    <t>GYD</t>
  </si>
  <si>
    <t>Guyana Dollar</t>
  </si>
  <si>
    <t>อ.นาคู</t>
  </si>
  <si>
    <t>BA RIA – VUNG TAU</t>
  </si>
  <si>
    <t>GB</t>
  </si>
  <si>
    <t>United Kingdom</t>
  </si>
  <si>
    <t>TCBRYGJ240</t>
  </si>
  <si>
    <t>อ.วังจันทร์,เขาชะเมา</t>
  </si>
  <si>
    <t>Mother Li Gim Giew Foundation</t>
  </si>
  <si>
    <t>0020079</t>
  </si>
  <si>
    <t>ธ. กรุงเทพ จำกัด (มหาชน) สาขา สยามแม็คโคร สามเสน</t>
  </si>
  <si>
    <t>เลย-หนองบัวลำภู</t>
  </si>
  <si>
    <t>322</t>
  </si>
  <si>
    <t>Contractor 2</t>
  </si>
  <si>
    <t>HKD</t>
  </si>
  <si>
    <t>Hong Kong Dollar</t>
  </si>
  <si>
    <t>อ.นามน</t>
  </si>
  <si>
    <t>BAC GIANG</t>
  </si>
  <si>
    <t>GD</t>
  </si>
  <si>
    <t>Grenada</t>
  </si>
  <si>
    <t>TCBRYGJ250</t>
  </si>
  <si>
    <t>อ.แกลง ระยอง</t>
  </si>
  <si>
    <t>Mungkung Property Co., Ltd.</t>
  </si>
  <si>
    <t>0020080</t>
  </si>
  <si>
    <t>ธ. กรุงเทพ จำกัด (มหาชน) สาขา อุทยานวิทยาศาสตร์</t>
  </si>
  <si>
    <t>323</t>
  </si>
  <si>
    <t>Contractor 3</t>
  </si>
  <si>
    <t>HNL</t>
  </si>
  <si>
    <t>Honduran Lempira</t>
  </si>
  <si>
    <t>อ.เมืองกาฬสินธุ์</t>
  </si>
  <si>
    <t>BAC KAN</t>
  </si>
  <si>
    <t>GE</t>
  </si>
  <si>
    <t>Georgia</t>
  </si>
  <si>
    <t>TCBSBRL520</t>
  </si>
  <si>
    <t>อ.พรหมบุรี,เมืองสิงห</t>
  </si>
  <si>
    <t>Wealth Business Co., Ltd.</t>
  </si>
  <si>
    <t>0020082</t>
  </si>
  <si>
    <t>ธ. กรุงเทพ จำกัด (มหาชน) สาขา บิ๊กซี แจ้งวัฒนะ 2</t>
  </si>
  <si>
    <t>324</t>
  </si>
  <si>
    <t>Contractor 4</t>
  </si>
  <si>
    <t>HRK</t>
  </si>
  <si>
    <t>Croatian Kuna</t>
  </si>
  <si>
    <t>อ.ยางตลาด</t>
  </si>
  <si>
    <t>BAC LIEU</t>
  </si>
  <si>
    <t>GF</t>
  </si>
  <si>
    <t>French Guayana</t>
  </si>
  <si>
    <t>TCBSBRL530</t>
  </si>
  <si>
    <t>อ.อินทร์บุรี</t>
  </si>
  <si>
    <t>Natural Park Properties Co.,</t>
  </si>
  <si>
    <t>0020083</t>
  </si>
  <si>
    <t>ธ. กรุงเทพ จำกัด (มหาชน) สาขา นวนคร</t>
  </si>
  <si>
    <t>นครราชสีมา1 (เมือง)</t>
  </si>
  <si>
    <t>325</t>
  </si>
  <si>
    <t>Contractor 5</t>
  </si>
  <si>
    <t>HTG</t>
  </si>
  <si>
    <t>Haitian Gourde</t>
  </si>
  <si>
    <t>อ.ร่องคำ</t>
  </si>
  <si>
    <t>BAC NINH</t>
  </si>
  <si>
    <t>GG</t>
  </si>
  <si>
    <t>Guernsey</t>
  </si>
  <si>
    <t>TCBSBRL540</t>
  </si>
  <si>
    <t>อ.ท่าช้าง,บางระจัน</t>
  </si>
  <si>
    <t>Navalai Resort Co., Ltd.</t>
  </si>
  <si>
    <t>0020084</t>
  </si>
  <si>
    <t>ธ. กรุงเทพ จำกัด (มหาชน) สาขา บิ๊กซี รังสิต 2</t>
  </si>
  <si>
    <t>นครราชสีมา2 (ปากช่อง</t>
  </si>
  <si>
    <t>HUF</t>
  </si>
  <si>
    <t>Hungarian Forint</t>
  </si>
  <si>
    <t>อ.สมเด็จ</t>
  </si>
  <si>
    <t>BEN TRE</t>
  </si>
  <si>
    <t>GH</t>
  </si>
  <si>
    <t>Ghana</t>
  </si>
  <si>
    <t>TCBSKMM310</t>
  </si>
  <si>
    <t>อ.เมือง,อัมพวา,บางคน</t>
  </si>
  <si>
    <t>Nawang Agriculture Co., Ltd.</t>
  </si>
  <si>
    <t>0020085</t>
  </si>
  <si>
    <t>ธ. กรุงเทพ จำกัด (มหาชน) สาขา มาบุญครอง</t>
  </si>
  <si>
    <t>ชัยภูมิ-นครราชสีมา</t>
  </si>
  <si>
    <t>IDR</t>
  </si>
  <si>
    <t>Indonesian Rupiah</t>
  </si>
  <si>
    <t>อ.สหัสขันธ์</t>
  </si>
  <si>
    <t>BINH DINH</t>
  </si>
  <si>
    <t>GI</t>
  </si>
  <si>
    <t>Gibraltar</t>
  </si>
  <si>
    <t>TCBSKWK410</t>
  </si>
  <si>
    <t>อ.เมืองสระแก้ว</t>
  </si>
  <si>
    <t>Noble place Co., Ltd.</t>
  </si>
  <si>
    <t>0020086</t>
  </si>
  <si>
    <t>ธ. กรุงเทพ จำกัด (มหาชน) สาขา สยามแม็คโคร จรัญสนิทวงศ์</t>
  </si>
  <si>
    <t>IEP</t>
  </si>
  <si>
    <t>Irish Punt (Old --&gt; EUR)</t>
  </si>
  <si>
    <t>อ.สามชัย</t>
  </si>
  <si>
    <t>BINH DUONG</t>
  </si>
  <si>
    <t>GL</t>
  </si>
  <si>
    <t>Greenland</t>
  </si>
  <si>
    <t>TCBSKWK420</t>
  </si>
  <si>
    <t>อ.วังน้ำเย็น,คลองหาด</t>
  </si>
  <si>
    <t>Nobleland &amp; House Co., Ltd.</t>
  </si>
  <si>
    <t>0020087</t>
  </si>
  <si>
    <t>ธ. กรุงเทพ จำกัด (มหาชน) สาขา พันธุ์ทิพย์พลาซ่า</t>
  </si>
  <si>
    <t>ILS</t>
  </si>
  <si>
    <t>Israeli Scheckel</t>
  </si>
  <si>
    <t>อ.หนองกุงศรี</t>
  </si>
  <si>
    <t>BINH PHUOC</t>
  </si>
  <si>
    <t>GM</t>
  </si>
  <si>
    <t>Gambia</t>
  </si>
  <si>
    <t>TCBSKWK440</t>
  </si>
  <si>
    <t>อ.วัฒนานคร,อรัญประเท</t>
  </si>
  <si>
    <t>North Land And Assets Co., Ltd</t>
  </si>
  <si>
    <t>0020088</t>
  </si>
  <si>
    <t>ธ. กรุงเทพ จำกัด (มหาชน) สาขา เดอะมอลล์ งามวงศ์วาน</t>
  </si>
  <si>
    <t>INR</t>
  </si>
  <si>
    <t>Indian Rupee</t>
  </si>
  <si>
    <t>อ.ห้วยผึ้ง</t>
  </si>
  <si>
    <t>BINH THUAN</t>
  </si>
  <si>
    <t>GN</t>
  </si>
  <si>
    <t>Guinea</t>
  </si>
  <si>
    <t>TCBSKWK441</t>
  </si>
  <si>
    <t>อ.ตาพระยา,โคกสูง</t>
  </si>
  <si>
    <t>O.R.S. Group Co., Ltd.</t>
  </si>
  <si>
    <t>0020089</t>
  </si>
  <si>
    <t>ธ. กรุงเทพ จำกัด (มหาชน) สาขา เซ็นทรัล ชิดลม</t>
  </si>
  <si>
    <t>อุบลฯ (เมือง)</t>
  </si>
  <si>
    <t>IQD</t>
  </si>
  <si>
    <t>Iraqui Dinar</t>
  </si>
  <si>
    <t>อ.ห้วยเม็ก</t>
  </si>
  <si>
    <t>CA MAU</t>
  </si>
  <si>
    <t>GP</t>
  </si>
  <si>
    <t>Guadeloupe</t>
  </si>
  <si>
    <t>TCBSPBM510</t>
  </si>
  <si>
    <t>อ.เมืองสุพรรณบุรี</t>
  </si>
  <si>
    <t>Paragon Leasing Co., Ltd.</t>
  </si>
  <si>
    <t>0020090</t>
  </si>
  <si>
    <t>ธ. กรุงเทพ จำกัด (มหาชน) สาขา บิ๊กซี สุวินทวงศ์</t>
  </si>
  <si>
    <t>อุบลฯ (วาริน)</t>
  </si>
  <si>
    <t>IRR</t>
  </si>
  <si>
    <t>Iranian Rial</t>
  </si>
  <si>
    <t>อ.โกสัมพีนคร</t>
  </si>
  <si>
    <t>CAN THO</t>
  </si>
  <si>
    <t>GQ</t>
  </si>
  <si>
    <t>Equatorial Guin</t>
  </si>
  <si>
    <t>TCBSPBM511</t>
  </si>
  <si>
    <t>อ.อู่ทอง สุพรรณบุรี</t>
  </si>
  <si>
    <t>PDTL Trading Co., Ltd.</t>
  </si>
  <si>
    <t>0020091</t>
  </si>
  <si>
    <t>ธ. กรุงเทพ จำกัด (มหาชน) สาขา มหาวิทยาลัยธรรมศาสตร์ ศูนย์รังสิต</t>
  </si>
  <si>
    <t>331</t>
  </si>
  <si>
    <t>Government 1</t>
  </si>
  <si>
    <t>ISK</t>
  </si>
  <si>
    <t>Iceland Krona</t>
  </si>
  <si>
    <t>อ.ขาณุวรลักษบุรี</t>
  </si>
  <si>
    <t>CAO BANG</t>
  </si>
  <si>
    <t>GR</t>
  </si>
  <si>
    <t>Greece</t>
  </si>
  <si>
    <t>TCBSPBM512</t>
  </si>
  <si>
    <t>อ.ดอนเจดีย์,สองพี่น้</t>
  </si>
  <si>
    <t>Perfect Property Co., Ltd.</t>
  </si>
  <si>
    <t>0020092</t>
  </si>
  <si>
    <t>ธ. กรุงเทพ จำกัด (มหาชน) สาขา สยามแม็คโคร ลาดพร้าว</t>
  </si>
  <si>
    <t>กาฬสินธุ์-มหาสารคาม</t>
  </si>
  <si>
    <t>332</t>
  </si>
  <si>
    <t>Government 2</t>
  </si>
  <si>
    <t>ITL</t>
  </si>
  <si>
    <t>Italian Lira (Old --&gt; EUR)</t>
  </si>
  <si>
    <t>อ.คลองขลุง</t>
  </si>
  <si>
    <t>DA NANG</t>
  </si>
  <si>
    <t>GS</t>
  </si>
  <si>
    <t>S. Sandwich Ins</t>
  </si>
  <si>
    <t>TCBSPBM520</t>
  </si>
  <si>
    <t>อ.เดิมบางนางบวช,สามช</t>
  </si>
  <si>
    <t>Phra Nakhon Resort Co., Ltd.</t>
  </si>
  <si>
    <t>0020093</t>
  </si>
  <si>
    <t>ธ. กรุงเทพ จำกัด (มหาชน) สาขา อาคารชินวัตร ทาวเวอร์ 3</t>
  </si>
  <si>
    <t>ยโสธร-อำนาจ</t>
  </si>
  <si>
    <t>333</t>
  </si>
  <si>
    <t>Government 3</t>
  </si>
  <si>
    <t>JMD</t>
  </si>
  <si>
    <t>Jamaican Dollar</t>
  </si>
  <si>
    <t>อ.คลองลาน</t>
  </si>
  <si>
    <t>DAK LAK</t>
  </si>
  <si>
    <t>GT</t>
  </si>
  <si>
    <t>Guatemala</t>
  </si>
  <si>
    <t>TCBSPBM521</t>
  </si>
  <si>
    <t>อ.ด่านช้าง,หนองหญ้าไ</t>
  </si>
  <si>
    <t>Phra Nakhon Village Co., Ltd.</t>
  </si>
  <si>
    <t>0020094</t>
  </si>
  <si>
    <t>ธ. กรุงเทพ จำกัด (มหาชน) สาขา บิ๊กซี บางใหญ่</t>
  </si>
  <si>
    <t>นครพนม-มุกดาหาร</t>
  </si>
  <si>
    <t>334</t>
  </si>
  <si>
    <t>Government 4</t>
  </si>
  <si>
    <t>JOD</t>
  </si>
  <si>
    <t>Jordanian Dinar</t>
  </si>
  <si>
    <t>อ.ทรายทองวัฒนา</t>
  </si>
  <si>
    <t>DAK NONG</t>
  </si>
  <si>
    <t>GU</t>
  </si>
  <si>
    <t>Guam</t>
  </si>
  <si>
    <t>TCBSRIL310</t>
  </si>
  <si>
    <t>อ.เมือง,เฉลิมพระเกีย</t>
  </si>
  <si>
    <t>Phrom Phicha Panich Co., Ltd.</t>
  </si>
  <si>
    <t>0020095</t>
  </si>
  <si>
    <t>ธ. กรุงเทพ จำกัด (มหาชน) สาขา เซ็นทรัล ปิ่นเกล้า</t>
  </si>
  <si>
    <t>เชียงใหม่ อ.เมือง</t>
  </si>
  <si>
    <t>335</t>
  </si>
  <si>
    <t>Government 5</t>
  </si>
  <si>
    <t>JPY</t>
  </si>
  <si>
    <t>Japanese Yen</t>
  </si>
  <si>
    <t>อ.ไทรงาม</t>
  </si>
  <si>
    <t>DIEN BIEN</t>
  </si>
  <si>
    <t>GW</t>
  </si>
  <si>
    <t>Guinea-Bissau</t>
  </si>
  <si>
    <t>TCBSRIL320</t>
  </si>
  <si>
    <t>อ.หนองแค,แก่งคอย</t>
  </si>
  <si>
    <t>Pings Surawong International</t>
  </si>
  <si>
    <t>0020096</t>
  </si>
  <si>
    <t>ธ. กรุงเทพ จำกัด (มหาชน) สาขา เอ็มโพเรี่ยม</t>
  </si>
  <si>
    <t>เชียงใหม่ อ.แม่แตง</t>
  </si>
  <si>
    <t>KES</t>
  </si>
  <si>
    <t>Kenyan Shilling</t>
  </si>
  <si>
    <t>อ.บึงสามัคคี</t>
  </si>
  <si>
    <t>DONG NAI</t>
  </si>
  <si>
    <t>GY</t>
  </si>
  <si>
    <t>Guyana</t>
  </si>
  <si>
    <t>TCBSRIL321</t>
  </si>
  <si>
    <t>อ.วังม่วง สระบุรี</t>
  </si>
  <si>
    <t>Plaza Entertainment Complex</t>
  </si>
  <si>
    <t>0020097</t>
  </si>
  <si>
    <t xml:space="preserve">ธ. กรุงเทพ จำกัด (มหาชน) </t>
  </si>
  <si>
    <t>เชียงใหม่ สันป่าตอง</t>
  </si>
  <si>
    <t>KGS</t>
  </si>
  <si>
    <t>Kyrgyzstan Som</t>
  </si>
  <si>
    <t>อ.ปางศิลาทอง</t>
  </si>
  <si>
    <t>DONG THAP</t>
  </si>
  <si>
    <t>HK</t>
  </si>
  <si>
    <t>Hong Kong</t>
  </si>
  <si>
    <t>TCBSRIL322</t>
  </si>
  <si>
    <t>อ.มวกเหล็ก,บ้านหมอ</t>
  </si>
  <si>
    <t>Pojjanakij Co., Ltd.</t>
  </si>
  <si>
    <t>0020101</t>
  </si>
  <si>
    <t>ธ. กรุงเทพ จำกัด (มหาชน) สำนักงานใหญ่สีลม</t>
  </si>
  <si>
    <t>เชียงใหม่ สันกำแพง</t>
  </si>
  <si>
    <t>KHR</t>
  </si>
  <si>
    <t>Cambodian Riel</t>
  </si>
  <si>
    <t>อ.พรานกระต่าย</t>
  </si>
  <si>
    <t>GIA LAI</t>
  </si>
  <si>
    <t>HM</t>
  </si>
  <si>
    <t>Heard/McDon.Isl</t>
  </si>
  <si>
    <t>TCBSRIL330</t>
  </si>
  <si>
    <t>อ.เสาไห้,หนองแซง</t>
  </si>
  <si>
    <t>Poolpholsap Co., Ltd.</t>
  </si>
  <si>
    <t>0020102</t>
  </si>
  <si>
    <t>ธ. กรุงเทพ จำกัด (มหาชน) สาขา ราชวงศ์</t>
  </si>
  <si>
    <t>ลำพูน แม่ฮ่องสอน ฮอด</t>
  </si>
  <si>
    <t>KMF</t>
  </si>
  <si>
    <t>Comoros Franc</t>
  </si>
  <si>
    <t>อ.เมืองกำแพงเพชร</t>
  </si>
  <si>
    <t>HA GIANG</t>
  </si>
  <si>
    <t>HN</t>
  </si>
  <si>
    <t>Honduras</t>
  </si>
  <si>
    <t>TCBSRIL340</t>
  </si>
  <si>
    <t>อ.พระพุทธบาท สระบุรี</t>
  </si>
  <si>
    <t>Poon Phol Co., Ltd.</t>
  </si>
  <si>
    <t>0020103</t>
  </si>
  <si>
    <t>ธ. กรุงเทพ จำกัด (มหาชน) สาขา ยานนาวา</t>
  </si>
  <si>
    <t>KPW</t>
  </si>
  <si>
    <t>North Korean Won</t>
  </si>
  <si>
    <t>อ.ลานกระบือ</t>
  </si>
  <si>
    <t>HA NAM</t>
  </si>
  <si>
    <t>HR</t>
  </si>
  <si>
    <t>Croatia</t>
  </si>
  <si>
    <t>TCBTRTJ520</t>
  </si>
  <si>
    <t>อ.เมือง,เขาสมิง,แหลม</t>
  </si>
  <si>
    <t>Poon Udom Co., Ltd.</t>
  </si>
  <si>
    <t>0020104</t>
  </si>
  <si>
    <t>ธ. กรุงเทพ จำกัด (มหาชน) สาขา พาหุรัด</t>
  </si>
  <si>
    <t>KRW</t>
  </si>
  <si>
    <t>South Korean Won</t>
  </si>
  <si>
    <t>อ.กระนวน</t>
  </si>
  <si>
    <t>HA NOI</t>
  </si>
  <si>
    <t>HT</t>
  </si>
  <si>
    <t>Haiti</t>
  </si>
  <si>
    <t>TCBTRTJ521</t>
  </si>
  <si>
    <t>อ.คลองใหญ่ ตราด</t>
  </si>
  <si>
    <t>Poonsinsap Real Estate Co.,</t>
  </si>
  <si>
    <t>0020105</t>
  </si>
  <si>
    <t>ธ. กรุงเทพ จำกัด (มหาชน) สาขา บางกะปิ</t>
  </si>
  <si>
    <t>พิษณุโลก สุโขทัย</t>
  </si>
  <si>
    <t>KWD</t>
  </si>
  <si>
    <t>Kuwaiti Dinar</t>
  </si>
  <si>
    <t>อ.เขาสวนกวาง</t>
  </si>
  <si>
    <t>HA TINH</t>
  </si>
  <si>
    <t>HU</t>
  </si>
  <si>
    <t>Hungary</t>
  </si>
  <si>
    <t>TCBTRTJ530</t>
  </si>
  <si>
    <t>อ.บ่อไร่ ตราด</t>
  </si>
  <si>
    <t>Poonsinsup Business Co., Ltd.</t>
  </si>
  <si>
    <t>0020106</t>
  </si>
  <si>
    <t>ธ. กรุงเทพ จำกัด (มหาชน) สาขา ประตูน้ำ</t>
  </si>
  <si>
    <t>341</t>
  </si>
  <si>
    <t>Maintenance 1</t>
  </si>
  <si>
    <t>KYD</t>
  </si>
  <si>
    <t>Cayman Dollar</t>
  </si>
  <si>
    <t>อ.โคกโพธิ์ไชย</t>
  </si>
  <si>
    <t>HAI DUONG</t>
  </si>
  <si>
    <t>ID</t>
  </si>
  <si>
    <t>Indonesia</t>
  </si>
  <si>
    <t>TCBTRTJ540</t>
  </si>
  <si>
    <t>อ.เกาะช้าง ตราด</t>
  </si>
  <si>
    <t>Prommit Hospital Co., Ltd.</t>
  </si>
  <si>
    <t>0020107</t>
  </si>
  <si>
    <t>ธ. กรุงเทพ จำกัด (มหาชน) สาขา ธนบุรี</t>
  </si>
  <si>
    <t>อุทัยธานี นครสวรรค์</t>
  </si>
  <si>
    <t>342</t>
  </si>
  <si>
    <t>Maintenance 2</t>
  </si>
  <si>
    <t>KZT</t>
  </si>
  <si>
    <t>Kazakstanian Tenge</t>
  </si>
  <si>
    <t>อ.ชนบท</t>
  </si>
  <si>
    <t>HAI PHONG</t>
  </si>
  <si>
    <t>IE</t>
  </si>
  <si>
    <t>Ireland</t>
  </si>
  <si>
    <t>TCBTRTJ550</t>
  </si>
  <si>
    <t>อ.เกาะกูด ตราด</t>
  </si>
  <si>
    <t>R H R Co., Ltd.</t>
  </si>
  <si>
    <t>0020108</t>
  </si>
  <si>
    <t>ธ. กรุงเทพ จำกัด (มหาชน) สาขา สะพานเหลือง</t>
  </si>
  <si>
    <t>เพชรบูรณ์ พิษณุโลก</t>
  </si>
  <si>
    <t>LAK</t>
  </si>
  <si>
    <t>Laotian Kip</t>
  </si>
  <si>
    <t>อ.ชุมแพ</t>
  </si>
  <si>
    <t>HAU GIANG</t>
  </si>
  <si>
    <t>IL</t>
  </si>
  <si>
    <t>Israel</t>
  </si>
  <si>
    <t>TFCACR0001</t>
  </si>
  <si>
    <t>อ.ชานุมาน</t>
  </si>
  <si>
    <t>Rambuttri Village Co., Ltd.</t>
  </si>
  <si>
    <t>0020109</t>
  </si>
  <si>
    <t>ธ. กรุงเทพ จำกัด (มหาชน) สาขา สะพานขาว</t>
  </si>
  <si>
    <t>พิจิตร เพชรบูรณ์</t>
  </si>
  <si>
    <t>LBP</t>
  </si>
  <si>
    <t>Lebanese Pound</t>
  </si>
  <si>
    <t>อ.ซำสูง</t>
  </si>
  <si>
    <t>HOA BINH</t>
  </si>
  <si>
    <t>IM</t>
  </si>
  <si>
    <t>Isle of Man</t>
  </si>
  <si>
    <t>TFCACR0002</t>
  </si>
  <si>
    <t>อ.หัวตะพาน</t>
  </si>
  <si>
    <t>Rayong Polymers Co., Ltd.</t>
  </si>
  <si>
    <t>0020110</t>
  </si>
  <si>
    <t>ธ. กรุงเทพ จำกัด (มหาชน) สาขา ศรีย่าน</t>
  </si>
  <si>
    <t>เชียงราย 1</t>
  </si>
  <si>
    <t>LKR</t>
  </si>
  <si>
    <t>Sri Lankan Rupee</t>
  </si>
  <si>
    <t>อ.น้ำพอง</t>
  </si>
  <si>
    <t>HUNG YEN</t>
  </si>
  <si>
    <t>IN</t>
  </si>
  <si>
    <t>India</t>
  </si>
  <si>
    <t>TFCACR0003</t>
  </si>
  <si>
    <t>อ.ลืออำนาจ</t>
  </si>
  <si>
    <t>Royal International Resort &amp;</t>
  </si>
  <si>
    <t>0020111</t>
  </si>
  <si>
    <t>ธ. กรุงเทพ จำกัด (มหาชน) สาขา ถนนตะนาว</t>
  </si>
  <si>
    <t>เชียงราย 2</t>
  </si>
  <si>
    <t>LRD</t>
  </si>
  <si>
    <t>Liberian Dollar</t>
  </si>
  <si>
    <t>อ.โนนศิลา</t>
  </si>
  <si>
    <t>KHANH HOA</t>
  </si>
  <si>
    <t>IO</t>
  </si>
  <si>
    <t>Brit.Ind.Oc.Ter</t>
  </si>
  <si>
    <t>TFCACR0004</t>
  </si>
  <si>
    <t>อ.เมืองอำนาจเจริญ</t>
  </si>
  <si>
    <t>Royal Nine Co., Ltd.</t>
  </si>
  <si>
    <t>0020112</t>
  </si>
  <si>
    <t>ธ. กรุงเทพ จำกัด (มหาชน) สาขา สำเพ็ง</t>
  </si>
  <si>
    <t>351</t>
  </si>
  <si>
    <t>Interior 1</t>
  </si>
  <si>
    <t>LSL</t>
  </si>
  <si>
    <t>Lesotho Loti</t>
  </si>
  <si>
    <t>อ.บ้านไผ่</t>
  </si>
  <si>
    <t>KIEN GIANG</t>
  </si>
  <si>
    <t>IQ</t>
  </si>
  <si>
    <t>Iraq</t>
  </si>
  <si>
    <t>TFCACR0005</t>
  </si>
  <si>
    <t>อ.ปทุมราชวงศา</t>
  </si>
  <si>
    <t>Royal Resort Golf &amp; Country</t>
  </si>
  <si>
    <t>0020113</t>
  </si>
  <si>
    <t>ธ. กรุงเทพ จำกัด (มหาชน) สาขา ถนนประดิพัทธ์</t>
  </si>
  <si>
    <t>352</t>
  </si>
  <si>
    <t>Interior 2</t>
  </si>
  <si>
    <t>LTL</t>
  </si>
  <si>
    <t>Lithuanian Lita</t>
  </si>
  <si>
    <t>อ.บ้านฝาง</t>
  </si>
  <si>
    <t>KON TUM</t>
  </si>
  <si>
    <t>IR</t>
  </si>
  <si>
    <t>Iran</t>
  </si>
  <si>
    <t>TFCACR0006</t>
  </si>
  <si>
    <t>อ.พนา</t>
  </si>
  <si>
    <t>Sapsin Business Holding Co.,</t>
  </si>
  <si>
    <t>0020114</t>
  </si>
  <si>
    <t>ธ. กรุงเทพ จำกัด (มหาชน) สาขา บุคคโล</t>
  </si>
  <si>
    <t>อุตรดิตถ์ สุโขทัย</t>
  </si>
  <si>
    <t>LUF</t>
  </si>
  <si>
    <t>Luxembourg Franc (Old --&gt; EUR)</t>
  </si>
  <si>
    <t>อ.บ้านแฮด</t>
  </si>
  <si>
    <t>LAI CHAU</t>
  </si>
  <si>
    <t>IS</t>
  </si>
  <si>
    <t>Iceland</t>
  </si>
  <si>
    <t>TFCACR0007</t>
  </si>
  <si>
    <t>อ.เสนางคนิคม</t>
  </si>
  <si>
    <t>Saengngern Preecha Ltd., Part.</t>
  </si>
  <si>
    <t>0020115</t>
  </si>
  <si>
    <t>ธ. กรุงเทพ จำกัด (มหาชน) สาขา ตลาดพลู</t>
  </si>
  <si>
    <t>แพร่ น่าน</t>
  </si>
  <si>
    <t>LVL</t>
  </si>
  <si>
    <t>Latvian Lat</t>
  </si>
  <si>
    <t>อ.เปือยน้อย</t>
  </si>
  <si>
    <t>LAM DONG</t>
  </si>
  <si>
    <t>IT</t>
  </si>
  <si>
    <t>Italy</t>
  </si>
  <si>
    <t>TFCBKN0008</t>
  </si>
  <si>
    <t>อ.บึงโขงหลง บึงกาฬ</t>
  </si>
  <si>
    <t>Si Captain Co., Ltd.</t>
  </si>
  <si>
    <t>0020116</t>
  </si>
  <si>
    <t>ธ. กรุงเทพ จำกัด (มหาชน) สาขา บางลำพู</t>
  </si>
  <si>
    <t>นครศรีธรรมราช 1</t>
  </si>
  <si>
    <t>LYD</t>
  </si>
  <si>
    <t>Libyan Dinar</t>
  </si>
  <si>
    <t>อ.พระยืน</t>
  </si>
  <si>
    <t>LANG SON</t>
  </si>
  <si>
    <t>JE</t>
  </si>
  <si>
    <t>Jersey</t>
  </si>
  <si>
    <t>TFCBKN0009</t>
  </si>
  <si>
    <t>อ.บุ่งคล้า บึงกาฬ</t>
  </si>
  <si>
    <t>Siam Modified Starch Co., Ltd.</t>
  </si>
  <si>
    <t>0020117</t>
  </si>
  <si>
    <t>ธ. กรุงเทพ จำกัด (มหาชน) สาขา กล้วยน้ำไท</t>
  </si>
  <si>
    <t>นครศรีธรรมราช 2</t>
  </si>
  <si>
    <t>MAD</t>
  </si>
  <si>
    <t>Moroccan Dirham</t>
  </si>
  <si>
    <t>อ.พล</t>
  </si>
  <si>
    <t>LAO CAI</t>
  </si>
  <si>
    <t>JM</t>
  </si>
  <si>
    <t>Jamaica</t>
  </si>
  <si>
    <t>TFCBKN0010</t>
  </si>
  <si>
    <t>อ.เมืองบึงกาฬ บึงกาฬ</t>
  </si>
  <si>
    <t>Siam Quality Starch Co., Ltd.</t>
  </si>
  <si>
    <t>0020118</t>
  </si>
  <si>
    <t>ธ. กรุงเทพ จำกัด (มหาชน) สาขา สีลม</t>
  </si>
  <si>
    <t>สุราษฏร์ธานี 1</t>
  </si>
  <si>
    <t>MDL</t>
  </si>
  <si>
    <t>Moldavian Leu</t>
  </si>
  <si>
    <t>อ.ภูผาม่าน</t>
  </si>
  <si>
    <t>LONG AN</t>
  </si>
  <si>
    <t>JO</t>
  </si>
  <si>
    <t>Jordan</t>
  </si>
  <si>
    <t>TFCBKN0011</t>
  </si>
  <si>
    <t>อ.ปากคาด บึงกาฬ</t>
  </si>
  <si>
    <t>Sinsap Real Estate Co., Ltd.</t>
  </si>
  <si>
    <t>0020119</t>
  </si>
  <si>
    <t>ธ. กรุงเทพ จำกัด (มหาชน) สาขา บางกอกน้อย</t>
  </si>
  <si>
    <t>สุราษฏร์ธานี 2</t>
  </si>
  <si>
    <t>MGA</t>
  </si>
  <si>
    <t>Madagascan Ariary</t>
  </si>
  <si>
    <t>อ.ภูเวียง</t>
  </si>
  <si>
    <t>NAM DINH</t>
  </si>
  <si>
    <t>JP</t>
  </si>
  <si>
    <t>Japan</t>
  </si>
  <si>
    <t>TFCBKN0012</t>
  </si>
  <si>
    <t>อ.พรเจริญ บึงกาฬ</t>
  </si>
  <si>
    <t>Sleep With Inn Co., Ltd.</t>
  </si>
  <si>
    <t>0020120</t>
  </si>
  <si>
    <t>ธ. กรุงเทพ จำกัด (มหาชน) สาขา บางแค</t>
  </si>
  <si>
    <t>MGF</t>
  </si>
  <si>
    <t>Madagascan Franc (Old</t>
  </si>
  <si>
    <t>อ.มัญจาคีรี</t>
  </si>
  <si>
    <t>NGHE AN</t>
  </si>
  <si>
    <t>KE</t>
  </si>
  <si>
    <t>Kenya</t>
  </si>
  <si>
    <t>TFCBKN0013</t>
  </si>
  <si>
    <t>อ.เซกา บึงกาฬ</t>
  </si>
  <si>
    <t>SMS Corporation Co., Ltd.</t>
  </si>
  <si>
    <t>0020121</t>
  </si>
  <si>
    <t>ธ. กรุงเทพ จำกัด (มหาชน) สาขา วรจักร</t>
  </si>
  <si>
    <t>ระนอง สุราษฏร์ธานี</t>
  </si>
  <si>
    <t>361</t>
  </si>
  <si>
    <t>Industry 1</t>
  </si>
  <si>
    <t>MKD</t>
  </si>
  <si>
    <t>Macedonian Denar</t>
  </si>
  <si>
    <t>อ.เมืองขอนแก่น</t>
  </si>
  <si>
    <t>NINH BINH</t>
  </si>
  <si>
    <t>KG</t>
  </si>
  <si>
    <t>Kyrgyzstan</t>
  </si>
  <si>
    <t>TFCBKN0014</t>
  </si>
  <si>
    <t>อ.ศรีวิไล บึงกาฬ</t>
  </si>
  <si>
    <t>Star Room Co., Ltd.</t>
  </si>
  <si>
    <t>0020122</t>
  </si>
  <si>
    <t>ธ. กรุงเทพ จำกัด (มหาชน) สาขา สำโรง</t>
  </si>
  <si>
    <t>เกาะสมุย เกาะพงัน</t>
  </si>
  <si>
    <t>362</t>
  </si>
  <si>
    <t>Industry 2</t>
  </si>
  <si>
    <t>MMK</t>
  </si>
  <si>
    <t>Myanmar Kyat</t>
  </si>
  <si>
    <t>อ.เวียงเก่า</t>
  </si>
  <si>
    <t>NINH THUAN</t>
  </si>
  <si>
    <t>KH</t>
  </si>
  <si>
    <t>Cambodia</t>
  </si>
  <si>
    <t>TFCBKN0015</t>
  </si>
  <si>
    <t>อ.โซ่พิสัย บึงกาฬ</t>
  </si>
  <si>
    <t>Sup Udomporn Co., Ltd.</t>
  </si>
  <si>
    <t>0020123</t>
  </si>
  <si>
    <t>ธ. กรุงเทพ จำกัด (มหาชน) สาขา ราชเทวี</t>
  </si>
  <si>
    <t>MNT</t>
  </si>
  <si>
    <t>Mongolian Tugrik</t>
  </si>
  <si>
    <t>อ.แวงน้อย</t>
  </si>
  <si>
    <t>PHU THO</t>
  </si>
  <si>
    <t>KI</t>
  </si>
  <si>
    <t>Kiribati</t>
  </si>
  <si>
    <t>TFCBRM0016</t>
  </si>
  <si>
    <t>อ.บ้านด่าน บุรีรัมย์</t>
  </si>
  <si>
    <t>Surasak Agriculture Co., Ltd.</t>
  </si>
  <si>
    <t>0020124</t>
  </si>
  <si>
    <t>ธ. กรุงเทพ จำกัด (มหาชน) สาขา ลุมพินี</t>
  </si>
  <si>
    <t>เมืองภูเก็ต ถลาง</t>
  </si>
  <si>
    <t>MOP</t>
  </si>
  <si>
    <t>Macao Pataca</t>
  </si>
  <si>
    <t>อ.แวงใหญ่</t>
  </si>
  <si>
    <t>PHU YEN</t>
  </si>
  <si>
    <t>KM</t>
  </si>
  <si>
    <t>Comoros</t>
  </si>
  <si>
    <t>TFCBRM0017</t>
  </si>
  <si>
    <t>อ.บ้านกรวด บุรีรัมย์</t>
  </si>
  <si>
    <t>T.S.O. Trade Center Co., Ltd.</t>
  </si>
  <si>
    <t>0020125</t>
  </si>
  <si>
    <t>ธ. กรุงเทพ จำกัด (มหาชน) สาขา พระประแดง</t>
  </si>
  <si>
    <t>เมืองภูเก็ต กระทู้</t>
  </si>
  <si>
    <t>MRO</t>
  </si>
  <si>
    <t>Mauritanian Ouguiya</t>
  </si>
  <si>
    <t>อ.สีชมพู</t>
  </si>
  <si>
    <t>QUANG BINH</t>
  </si>
  <si>
    <t>KN</t>
  </si>
  <si>
    <t>St Kitts&amp;Nevis</t>
  </si>
  <si>
    <t>TFCBRM0018</t>
  </si>
  <si>
    <t>อ.บ้านใหม่ไชยพจน์</t>
  </si>
  <si>
    <t>Taweesap Real Estate Co., Ltd.</t>
  </si>
  <si>
    <t>0020126</t>
  </si>
  <si>
    <t>ธ. กรุงเทพ จำกัด (มหาชน) สาขา เจริญพาศน์</t>
  </si>
  <si>
    <t>MRU</t>
  </si>
  <si>
    <t>อ.หนองนาคำ</t>
  </si>
  <si>
    <t>QUANG NAM</t>
  </si>
  <si>
    <t>KP</t>
  </si>
  <si>
    <t>North Korea</t>
  </si>
  <si>
    <t>TFCBRM0019</t>
  </si>
  <si>
    <t>อ.เฉลิมพระเกียรติ</t>
  </si>
  <si>
    <t>Team A Holding Co., Ltd.</t>
  </si>
  <si>
    <t>0020127</t>
  </si>
  <si>
    <t>ธ. กรุงเทพ จำกัด (มหาชน) สาขา ซอยอารี</t>
  </si>
  <si>
    <t>ภูเก็ต 3</t>
  </si>
  <si>
    <t>MTL</t>
  </si>
  <si>
    <t>Maltese Lira (Old --&gt; EUR)</t>
  </si>
  <si>
    <t>อ.หนองเรือ</t>
  </si>
  <si>
    <t>QUANG NGAI</t>
  </si>
  <si>
    <t>KR</t>
  </si>
  <si>
    <t>South Korea</t>
  </si>
  <si>
    <t>TFCBRM0020</t>
  </si>
  <si>
    <t>อ.ชำนิ บุรีรัมย์</t>
  </si>
  <si>
    <t>Thai Saeng Charoen (Shark)</t>
  </si>
  <si>
    <t>0020128</t>
  </si>
  <si>
    <t>ธ. กรุงเทพ จำกัด (มหาชน) สาขา ถนนดินแดง</t>
  </si>
  <si>
    <t>371</t>
  </si>
  <si>
    <t>Applicator 1</t>
  </si>
  <si>
    <t>MUR</t>
  </si>
  <si>
    <t>Mauritian Rupee</t>
  </si>
  <si>
    <t>อ.หนองสองห้อง</t>
  </si>
  <si>
    <t>QUANG NINH</t>
  </si>
  <si>
    <t>KW</t>
  </si>
  <si>
    <t>Kuwait</t>
  </si>
  <si>
    <t>TFCBRM0021</t>
  </si>
  <si>
    <t>อ.ห้วยราช บุรีรัมย์</t>
  </si>
  <si>
    <t>Thai Sugar Millers Co., Ltd.</t>
  </si>
  <si>
    <t>0020129</t>
  </si>
  <si>
    <t>ธ. กรุงเทพ จำกัด (มหาชน) สาขา ลาดพร้าว</t>
  </si>
  <si>
    <t>พัทลุง-สตูล</t>
  </si>
  <si>
    <t>372</t>
  </si>
  <si>
    <t>Applicator 2</t>
  </si>
  <si>
    <t>MVR</t>
  </si>
  <si>
    <t>Maldive Rufiyaa</t>
  </si>
  <si>
    <t>อ.อุบลรัตน์</t>
  </si>
  <si>
    <t>QUANG TRI</t>
  </si>
  <si>
    <t>KY</t>
  </si>
  <si>
    <t>Cayman Islands</t>
  </si>
  <si>
    <t>TFCBRM0022</t>
  </si>
  <si>
    <t>อ.แคนดง บุรีรัมย์</t>
  </si>
  <si>
    <t>Thai Sugar Trading Co., Ltd.</t>
  </si>
  <si>
    <t>0020130</t>
  </si>
  <si>
    <t>ธ. กรุงเทพ จำกัด (มหาชน) สาขา บางนา</t>
  </si>
  <si>
    <t>MWK</t>
  </si>
  <si>
    <t>Malawi Kwacha</t>
  </si>
  <si>
    <t>อ.แก่งหางแมว</t>
  </si>
  <si>
    <t>SOC TRANG</t>
  </si>
  <si>
    <t>KZ</t>
  </si>
  <si>
    <t>Kazakhstan</t>
  </si>
  <si>
    <t>TFCBRM0023</t>
  </si>
  <si>
    <t>อ.คูเมือง บุรีรัมย์</t>
  </si>
  <si>
    <t>Thaveesab Holding Co., Ltd.</t>
  </si>
  <si>
    <t>0020131</t>
  </si>
  <si>
    <t>ธ. กรุงเทพ จำกัด (มหาชน) สาขา ราชวิถี</t>
  </si>
  <si>
    <t>ปัตตานี-นราธิวาส</t>
  </si>
  <si>
    <t>MXN</t>
  </si>
  <si>
    <t>Mexican Pesos</t>
  </si>
  <si>
    <t>อ.ขลุง</t>
  </si>
  <si>
    <t>SON LA</t>
  </si>
  <si>
    <t>LA</t>
  </si>
  <si>
    <t>Laos</t>
  </si>
  <si>
    <t>TFCBRM0024</t>
  </si>
  <si>
    <t>อ.กระสัง บุรีรัมย์</t>
  </si>
  <si>
    <t>Thawan Co., Ltd.</t>
  </si>
  <si>
    <t>0020132</t>
  </si>
  <si>
    <t>ธ. กรุงเทพ จำกัด (มหาชน) สาขา บางซื่อ</t>
  </si>
  <si>
    <t>สงขลา หาดใหญ่ 1</t>
  </si>
  <si>
    <t>MYR</t>
  </si>
  <si>
    <t>Malaysian Ringgit</t>
  </si>
  <si>
    <t>อ.เขาคิชฌกูฏ</t>
  </si>
  <si>
    <t>TAY NINH</t>
  </si>
  <si>
    <t>LB</t>
  </si>
  <si>
    <t>Lebanon</t>
  </si>
  <si>
    <t>TFCBRM0025</t>
  </si>
  <si>
    <t>อ.ละหานทราย บุรีรัมย</t>
  </si>
  <si>
    <t>The Rat nineteen hotel Co.,</t>
  </si>
  <si>
    <t>0020133</t>
  </si>
  <si>
    <t>ธ. กรุงเทพ จำกัด (มหาชน) สาขา ตรอกจันทร์</t>
  </si>
  <si>
    <t>สงขลา หาดใหญ่ 2</t>
  </si>
  <si>
    <t>MZM</t>
  </si>
  <si>
    <t>Mozambique Metical (Old)</t>
  </si>
  <si>
    <t>อ.ท่าใหม่</t>
  </si>
  <si>
    <t>THAI BINH</t>
  </si>
  <si>
    <t>LC</t>
  </si>
  <si>
    <t>St. Lucia</t>
  </si>
  <si>
    <t>TFCBRM0026</t>
  </si>
  <si>
    <t>อ.ลำปลายมาศ บุรีรัมย</t>
  </si>
  <si>
    <t>TOA - PPIH Co., Ltd.</t>
  </si>
  <si>
    <t>0020134</t>
  </si>
  <si>
    <t>ธ. กรุงเทพ จำกัด (มหาชน) สาขา สะพานใหม่ดอนเมือง</t>
  </si>
  <si>
    <t>สงขลา หาดใหญ่ 3</t>
  </si>
  <si>
    <t>411</t>
  </si>
  <si>
    <t>Southeast Asia 1</t>
  </si>
  <si>
    <t>MZN</t>
  </si>
  <si>
    <t>Mozambique Metical</t>
  </si>
  <si>
    <t>อ.นายายอาม</t>
  </si>
  <si>
    <t>THAI NGUYEN</t>
  </si>
  <si>
    <t>LI</t>
  </si>
  <si>
    <t>Liechtenstein</t>
  </si>
  <si>
    <t>TFCBRM0027</t>
  </si>
  <si>
    <t>อ.เมืองบุรีรัมย์</t>
  </si>
  <si>
    <t>TOA Auto Sales Co., Ltd.</t>
  </si>
  <si>
    <t>0020135</t>
  </si>
  <si>
    <t>ธ. กรุงเทพ จำกัด (มหาชน) สาขา คลองตัน</t>
  </si>
  <si>
    <t>B41</t>
  </si>
  <si>
    <t>NAD</t>
  </si>
  <si>
    <t>Namibian Dollar</t>
  </si>
  <si>
    <t>อ.โป่งน้ำร้อน</t>
  </si>
  <si>
    <t>THANH HOA</t>
  </si>
  <si>
    <t>LK</t>
  </si>
  <si>
    <t>Sri Lanka</t>
  </si>
  <si>
    <t>TFCBRM0028</t>
  </si>
  <si>
    <t>อ.นาโพธิ์ บุรีรัมย์</t>
  </si>
  <si>
    <t>TOA Co., Ltd.</t>
  </si>
  <si>
    <t>0020136</t>
  </si>
  <si>
    <t>ธ. กรุงเทพ จำกัด (มหาชน) สาขา ท่าเตียน</t>
  </si>
  <si>
    <t>Modern Retails</t>
  </si>
  <si>
    <t>421</t>
  </si>
  <si>
    <t>Southeast Asia 2</t>
  </si>
  <si>
    <t>NGN</t>
  </si>
  <si>
    <t>Nigerian Naira</t>
  </si>
  <si>
    <t>อ.มะขาม</t>
  </si>
  <si>
    <t>THANH PHO HO CHI MINH</t>
  </si>
  <si>
    <t>LR</t>
  </si>
  <si>
    <t>Liberia</t>
  </si>
  <si>
    <t>TFCBRM0029</t>
  </si>
  <si>
    <t>อ.นางรอง บุรีรัมย์</t>
  </si>
  <si>
    <t>TOA Paint (Malaysia) Sdn Bhd</t>
  </si>
  <si>
    <t>0020137</t>
  </si>
  <si>
    <t>ธ. กรุงเทพ จำกัด (มหาชน) สาขา บางยี่ขัน</t>
  </si>
  <si>
    <t>หมู่บ้าน 10</t>
  </si>
  <si>
    <t>422</t>
  </si>
  <si>
    <t>South Asia</t>
  </si>
  <si>
    <t>NIO</t>
  </si>
  <si>
    <t>Nicaraguan Cordoba Oro</t>
  </si>
  <si>
    <t>อ.เมืองจันทบุรี</t>
  </si>
  <si>
    <t>THUA THIEN HUE</t>
  </si>
  <si>
    <t>LS</t>
  </si>
  <si>
    <t>Lesotho</t>
  </si>
  <si>
    <t>TFCBRM0030</t>
  </si>
  <si>
    <t>อ.โนนดินแดง บุรีรัมย</t>
  </si>
  <si>
    <t>0020138</t>
  </si>
  <si>
    <t>ธ. กรุงเทพ จำกัด (มหาชน) สาขา อินทามระ</t>
  </si>
  <si>
    <t>หมู่บ้าน 11</t>
  </si>
  <si>
    <t>423</t>
  </si>
  <si>
    <t>Southwest Asia</t>
  </si>
  <si>
    <t>NLG</t>
  </si>
  <si>
    <t>Dutch Guilder (Old --&gt; EUR)</t>
  </si>
  <si>
    <t>อ.สอยดาว</t>
  </si>
  <si>
    <t>TIEN GIANG</t>
  </si>
  <si>
    <t>LT</t>
  </si>
  <si>
    <t>Lithuania</t>
  </si>
  <si>
    <t>TFCBRM0031</t>
  </si>
  <si>
    <t>อ.โนนสุวรรณ บุรีรัมย</t>
  </si>
  <si>
    <t>TOA Venture Holding Co., Ltd.</t>
  </si>
  <si>
    <t>0020139</t>
  </si>
  <si>
    <t>ธ. กรุงเทพ จำกัด (มหาชน) สาขา หัวลำโพง</t>
  </si>
  <si>
    <t>หมู่บ้าน 12</t>
  </si>
  <si>
    <t>424</t>
  </si>
  <si>
    <t>East Asia</t>
  </si>
  <si>
    <t>NOK</t>
  </si>
  <si>
    <t>Norwegian Krone</t>
  </si>
  <si>
    <t>อ.แหลมสิงห์</t>
  </si>
  <si>
    <t>TRA VINH</t>
  </si>
  <si>
    <t>LU</t>
  </si>
  <si>
    <t>Luxembourg</t>
  </si>
  <si>
    <t>TFCBRM0032</t>
  </si>
  <si>
    <t>อ.หนองหงส์ บุรีรัมย</t>
  </si>
  <si>
    <t>V.Pattarawooth (1987) Co.,</t>
  </si>
  <si>
    <t>0020140</t>
  </si>
  <si>
    <t>ธ. กรุงเทพ จำกัด (มหาชน) สาขา นนทบุรี</t>
  </si>
  <si>
    <t>หมู่บ้าน 13</t>
  </si>
  <si>
    <t>429</t>
  </si>
  <si>
    <t>Other Export</t>
  </si>
  <si>
    <t>NPR</t>
  </si>
  <si>
    <t>Nepalese Rupee</t>
  </si>
  <si>
    <t>อ.คลองเขื่อน</t>
  </si>
  <si>
    <t>TUYEN QUANG</t>
  </si>
  <si>
    <t>LV</t>
  </si>
  <si>
    <t>Latvia</t>
  </si>
  <si>
    <t>TFCBRM0033</t>
  </si>
  <si>
    <t>อ.หนองกี่ บุรีรัมย์</t>
  </si>
  <si>
    <t>Visudhi Pharnich Co., Ltd.</t>
  </si>
  <si>
    <t>0020141</t>
  </si>
  <si>
    <t>ธ. กรุงเทพ จำกัด (มหาชน) สาขา ท่าพระ</t>
  </si>
  <si>
    <t>หมู่บ้าน 14</t>
  </si>
  <si>
    <t>A41</t>
  </si>
  <si>
    <t>NZD</t>
  </si>
  <si>
    <t>New Zealand Dollars</t>
  </si>
  <si>
    <t>อ.ท่าตะเกียบ</t>
  </si>
  <si>
    <t>VINH LONG</t>
  </si>
  <si>
    <t>LY</t>
  </si>
  <si>
    <t>Libya</t>
  </si>
  <si>
    <t>TFCBRM0034</t>
  </si>
  <si>
    <t>อ.ปะคำ บุรีรัมย์</t>
  </si>
  <si>
    <t>Wealth Real Estate Co., Ltd.</t>
  </si>
  <si>
    <t>0020142</t>
  </si>
  <si>
    <t>ธ. กรุงเทพ จำกัด (มหาชน) สาขา สาทร</t>
  </si>
  <si>
    <t>หมู่บ้าน 20</t>
  </si>
  <si>
    <t>B42</t>
  </si>
  <si>
    <t>NZD5</t>
  </si>
  <si>
    <t>อ.บางคล้า</t>
  </si>
  <si>
    <t>VINH PHUC</t>
  </si>
  <si>
    <t>MA</t>
  </si>
  <si>
    <t>Morocco</t>
  </si>
  <si>
    <t>TFCBRM0035</t>
  </si>
  <si>
    <t>อ.พลับพลาชัย บุรีรัม</t>
  </si>
  <si>
    <t>West Assets Co., Ltd.</t>
  </si>
  <si>
    <t>0020143</t>
  </si>
  <si>
    <t>ธ. กรุงเทพ จำกัด (มหาชน) สาขา วิสุทธิกษัตริย์</t>
  </si>
  <si>
    <t>หมู่บ้าน 21</t>
  </si>
  <si>
    <t>511</t>
  </si>
  <si>
    <t>OMR</t>
  </si>
  <si>
    <t>Omani Rial</t>
  </si>
  <si>
    <t>อ.บางน้ำเปรี้ยว</t>
  </si>
  <si>
    <t>YEN BAI</t>
  </si>
  <si>
    <t>MC</t>
  </si>
  <si>
    <t>Monaco</t>
  </si>
  <si>
    <t>TFCBRM0036</t>
  </si>
  <si>
    <t>อ.พุทไธสง บุรีรัมย์</t>
  </si>
  <si>
    <t>Wise Condo Co., Ltd.</t>
  </si>
  <si>
    <t>0020144</t>
  </si>
  <si>
    <t>ธ. กรุงเทพ จำกัด (มหาชน) สาขา เจริญผล</t>
  </si>
  <si>
    <t>หมู่บ้าน 22</t>
  </si>
  <si>
    <t>512</t>
  </si>
  <si>
    <t>B2B-Associate/Relate</t>
  </si>
  <si>
    <t>PAB</t>
  </si>
  <si>
    <t>Panamanian Balboa</t>
  </si>
  <si>
    <t>อ.บางปะกง</t>
  </si>
  <si>
    <t>MD</t>
  </si>
  <si>
    <t>Moldova</t>
  </si>
  <si>
    <t>TFCBRM0037</t>
  </si>
  <si>
    <t>อ.ประโคนชัย บุรีรัมย</t>
  </si>
  <si>
    <t>Dezignsync Co., Ltd.</t>
  </si>
  <si>
    <t>0020145</t>
  </si>
  <si>
    <t>ธ. กรุงเทพ จำกัด (มหาชน) สาขา มีนบุรี</t>
  </si>
  <si>
    <t>หมู่บ้าน 23</t>
  </si>
  <si>
    <t>513</t>
  </si>
  <si>
    <t>OEM Sales Engineer</t>
  </si>
  <si>
    <t>PEN</t>
  </si>
  <si>
    <t>Peruvian New Sol</t>
  </si>
  <si>
    <t>อ.บ้านโพธิ์</t>
  </si>
  <si>
    <t>ME</t>
  </si>
  <si>
    <t>Montenegro</t>
  </si>
  <si>
    <t>TFCBRM0038</t>
  </si>
  <si>
    <t>อ.สตึก บุรีรัมย์</t>
  </si>
  <si>
    <t>Deckcor (Thailannd) Co., Ltd.</t>
  </si>
  <si>
    <t>0020146</t>
  </si>
  <si>
    <t>ธ. กรุงเทพ จำกัด (มหาชน) สาขา ราชวัตร</t>
  </si>
  <si>
    <t>หมู่บ้าน 24</t>
  </si>
  <si>
    <t>PGK</t>
  </si>
  <si>
    <t>Papua New Guinea Kina</t>
  </si>
  <si>
    <t>อ.แปลงยาว</t>
  </si>
  <si>
    <t>MF</t>
  </si>
  <si>
    <t>St. Martin</t>
  </si>
  <si>
    <t>TFCCPM0039</t>
  </si>
  <si>
    <t>อ.บำเหน็จณรงค์</t>
  </si>
  <si>
    <t>N.E.Bio Energy Co., Ltd.</t>
  </si>
  <si>
    <t>0020147</t>
  </si>
  <si>
    <t>ธ. กรุงเทพ จำกัด (มหาชน) สาขา สุรวงศ์</t>
  </si>
  <si>
    <t>หมู่บ้าน 30</t>
  </si>
  <si>
    <t>B51</t>
  </si>
  <si>
    <t>B2B - South</t>
  </si>
  <si>
    <t>PHP</t>
  </si>
  <si>
    <t>Philippine Peso</t>
  </si>
  <si>
    <t>อ.พนมสารคาม</t>
  </si>
  <si>
    <t>MG</t>
  </si>
  <si>
    <t>Madagascar</t>
  </si>
  <si>
    <t>TFCCPM0040</t>
  </si>
  <si>
    <t>อ.บ้านเขว้า ชัยภูมิ</t>
  </si>
  <si>
    <t>Siamese Asset Public Co., Ltd.</t>
  </si>
  <si>
    <t>0020148</t>
  </si>
  <si>
    <t>ธ. กรุงเทพ จำกัด (มหาชน) สาขา วงเวียน 22 กรกฎา</t>
  </si>
  <si>
    <t>หมู่บ้าน 31</t>
  </si>
  <si>
    <t>521</t>
  </si>
  <si>
    <t>TOA Group Company</t>
  </si>
  <si>
    <t>PKR</t>
  </si>
  <si>
    <t>Pakistani Rupee</t>
  </si>
  <si>
    <t>MH</t>
  </si>
  <si>
    <t>Marshall Islnds</t>
  </si>
  <si>
    <t>TFCCPM0041</t>
  </si>
  <si>
    <t>อ.บ้านแท่น ชัยภูมิ</t>
  </si>
  <si>
    <t>Sapthip Co., Ltd.</t>
  </si>
  <si>
    <t>0020149</t>
  </si>
  <si>
    <t>ธ. กรุงเทพ จำกัด (มหาชน) สาขา อุรุพงษ์</t>
  </si>
  <si>
    <t>หมู่บ้าน 32</t>
  </si>
  <si>
    <t>PLN</t>
  </si>
  <si>
    <t>Polish Zloty (new)</t>
  </si>
  <si>
    <t>อ.ราชสาส์น</t>
  </si>
  <si>
    <t>MK</t>
  </si>
  <si>
    <t>North Macedonia</t>
  </si>
  <si>
    <t>TFCCPM0042</t>
  </si>
  <si>
    <t>อ.จัตุรัส ชัยภูมิ</t>
  </si>
  <si>
    <t>Bangchak Corporation Public</t>
  </si>
  <si>
    <t>0020150</t>
  </si>
  <si>
    <t>ธ. กรุงเทพ จำกัด (มหาชน) สาขา สามยอด</t>
  </si>
  <si>
    <t>หมู่บ้าน 33</t>
  </si>
  <si>
    <t>A51</t>
  </si>
  <si>
    <t>PTE</t>
  </si>
  <si>
    <t>Portuguese Escudo (Old --&gt; EUR)</t>
  </si>
  <si>
    <t>อ.สนามชัยเขต</t>
  </si>
  <si>
    <t>ML</t>
  </si>
  <si>
    <t>Mali</t>
  </si>
  <si>
    <t>TFCCPM0043</t>
  </si>
  <si>
    <t>อ.แก้งคร้อ ชัยภูมิ</t>
  </si>
  <si>
    <t>MCOT Public Co., Ltd.</t>
  </si>
  <si>
    <t>0020151</t>
  </si>
  <si>
    <t>ธ. กรุงเทพ จำกัด (มหาชน) สาขา คลองสาน</t>
  </si>
  <si>
    <t>หมู่บ้าน 34</t>
  </si>
  <si>
    <t>611</t>
  </si>
  <si>
    <t>PYG</t>
  </si>
  <si>
    <t>Paraguayan Guarani</t>
  </si>
  <si>
    <t>อ.เกาะจันทร์</t>
  </si>
  <si>
    <t>MM</t>
  </si>
  <si>
    <t>Burma</t>
  </si>
  <si>
    <t>TFCCPM0044</t>
  </si>
  <si>
    <t>อ.เกษตรสมบูรณ์</t>
  </si>
  <si>
    <t>Eastern Water Resources</t>
  </si>
  <si>
    <t>0020152</t>
  </si>
  <si>
    <t>ธ. กรุงเทพ จำกัด (มหาชน) สาขา สยามสแควร์</t>
  </si>
  <si>
    <t>หมู่บ้าน 40</t>
  </si>
  <si>
    <t>A61</t>
  </si>
  <si>
    <t>QAR</t>
  </si>
  <si>
    <t>Qatar Rial</t>
  </si>
  <si>
    <t>อ.เกาะสีชัง</t>
  </si>
  <si>
    <t>MN</t>
  </si>
  <si>
    <t>Mongolia</t>
  </si>
  <si>
    <t>TFCCPM0045</t>
  </si>
  <si>
    <t>อ.คอนสาร ชัยภูมิ</t>
  </si>
  <si>
    <t>The Federation of Thai</t>
  </si>
  <si>
    <t>0020153</t>
  </si>
  <si>
    <t>ธ. กรุงเทพ จำกัด (มหาชน) สาขา ถนนเพชรบุรีตัดใหม่</t>
  </si>
  <si>
    <t>หมู่บ้าน 41</t>
  </si>
  <si>
    <t>B61</t>
  </si>
  <si>
    <t>RMB</t>
  </si>
  <si>
    <t>Chinese Yuan Renminbi</t>
  </si>
  <si>
    <t>อ.บ่อทอง</t>
  </si>
  <si>
    <t>MO</t>
  </si>
  <si>
    <t>Macau</t>
  </si>
  <si>
    <t>TFCCPM0046</t>
  </si>
  <si>
    <t>อ.คอนสวรรค์ ชัยภูมิ</t>
  </si>
  <si>
    <t>TPM Paint (Malaysia) Sdn Bhd</t>
  </si>
  <si>
    <t>0020154</t>
  </si>
  <si>
    <t>ธ. กรุงเทพ จำกัด (มหาชน) สาขา ตลาดน้อย</t>
  </si>
  <si>
    <t>หมู่บ้าน 42</t>
  </si>
  <si>
    <t>ROL</t>
  </si>
  <si>
    <t>Romanian Leu (Old)</t>
  </si>
  <si>
    <t>อ.บางละมุง</t>
  </si>
  <si>
    <t>MP</t>
  </si>
  <si>
    <t>N.Mariana Islnd</t>
  </si>
  <si>
    <t>TFCCPM0047</t>
  </si>
  <si>
    <t>อ.เมืองชัยภูมิ</t>
  </si>
  <si>
    <t>OKEA (Norway)</t>
  </si>
  <si>
    <t>0020155</t>
  </si>
  <si>
    <t>ธ. กรุงเทพ จำกัด (มหาชน) สาขา สมุทรปราการ</t>
  </si>
  <si>
    <t>หมู่บ้าน 43</t>
  </si>
  <si>
    <t>RON</t>
  </si>
  <si>
    <t>Romanian Leu</t>
  </si>
  <si>
    <t>อ.บ้านบึง</t>
  </si>
  <si>
    <t>MQ</t>
  </si>
  <si>
    <t>Martinique</t>
  </si>
  <si>
    <t>TFCCPM0048</t>
  </si>
  <si>
    <t>อ.เนินสง่า ชัยภูมิ</t>
  </si>
  <si>
    <t>Glow Energy Public Co., Ltd.</t>
  </si>
  <si>
    <t>0020156</t>
  </si>
  <si>
    <t>ธ. กรุงเทพ จำกัด (มหาชน) สาขา คลองจั่น</t>
  </si>
  <si>
    <t>หมู่บ้าน 44</t>
  </si>
  <si>
    <t>RSD</t>
  </si>
  <si>
    <t>Serbian Dinar</t>
  </si>
  <si>
    <t>อ.พนัสนิคม</t>
  </si>
  <si>
    <t>MR</t>
  </si>
  <si>
    <t>Mauritania</t>
  </si>
  <si>
    <t>TFCCPM0049</t>
  </si>
  <si>
    <t>อ.หนองบัวแดง ชัยภูมิ</t>
  </si>
  <si>
    <t>Joyson-TOA Safety systems Co.,</t>
  </si>
  <si>
    <t>0020157</t>
  </si>
  <si>
    <t>ธ. กรุงเทพ จำกัด (มหาชน) สาขา พระโขนง</t>
  </si>
  <si>
    <t>หมู่บ้าน 50</t>
  </si>
  <si>
    <t>RUB</t>
  </si>
  <si>
    <t>Russian Ruble</t>
  </si>
  <si>
    <t>อ.พานทอง</t>
  </si>
  <si>
    <t>MS</t>
  </si>
  <si>
    <t>Montserrat</t>
  </si>
  <si>
    <t>TFCCPM0050</t>
  </si>
  <si>
    <t>อ.หนองบัวระเหว</t>
  </si>
  <si>
    <t>The Stock Exchange of Thailand</t>
  </si>
  <si>
    <t>0020158</t>
  </si>
  <si>
    <t>ธ. กรุงเทพ จำกัด (มหาชน) สาขา ถนนตากสิน</t>
  </si>
  <si>
    <t>หมู่บ้าน 51</t>
  </si>
  <si>
    <t>RWF</t>
  </si>
  <si>
    <t>Rwandan Franc</t>
  </si>
  <si>
    <t>อ.เมืองชลบุรี</t>
  </si>
  <si>
    <t>MT</t>
  </si>
  <si>
    <t>Malta</t>
  </si>
  <si>
    <t>TFCCPM0051</t>
  </si>
  <si>
    <t>อ.ภักดีชุมพล ชัยภูมิ</t>
  </si>
  <si>
    <t>Team A Holding 3 Co., Ltd.</t>
  </si>
  <si>
    <t>0020159</t>
  </si>
  <si>
    <t>ธ. กรุงเทพ จำกัด (มหาชน) สาขา สามแยกไฟฉาย</t>
  </si>
  <si>
    <t>หมู่บ้าน 52</t>
  </si>
  <si>
    <t>SAR</t>
  </si>
  <si>
    <t>Saudi Riyal</t>
  </si>
  <si>
    <t>อ.ศรีราชา</t>
  </si>
  <si>
    <t>MU</t>
  </si>
  <si>
    <t>Mauritius</t>
  </si>
  <si>
    <t>TFCCPM0052</t>
  </si>
  <si>
    <t>อ.ภูเขียว ชัยภูมิ</t>
  </si>
  <si>
    <t>North East Rubber Public Co.,</t>
  </si>
  <si>
    <t>0020160</t>
  </si>
  <si>
    <t>ธ. กรุงเทพ จำกัด (มหาชน) สาขา บางโพ</t>
  </si>
  <si>
    <t>หมู่บ้าน 53</t>
  </si>
  <si>
    <t>SBD</t>
  </si>
  <si>
    <t>Solomon Islands Dollar</t>
  </si>
  <si>
    <t>อ.สัตหีบ</t>
  </si>
  <si>
    <t>MV</t>
  </si>
  <si>
    <t>Maldives</t>
  </si>
  <si>
    <t>TFCCPM0053</t>
  </si>
  <si>
    <t>อ.ซับใหญ่ ชัยภูมิ</t>
  </si>
  <si>
    <t>Primus Autohaus Co., Ltd.</t>
  </si>
  <si>
    <t>0020161</t>
  </si>
  <si>
    <t>ธ. กรุงเทพ จำกัด (มหาชน) สาขา บางเขน</t>
  </si>
  <si>
    <t>หมู่บ้าน 54</t>
  </si>
  <si>
    <t>SCR</t>
  </si>
  <si>
    <t>Seychelles Rupee</t>
  </si>
  <si>
    <t>อ.หนองใหญ่</t>
  </si>
  <si>
    <t>MW</t>
  </si>
  <si>
    <t>Malawi</t>
  </si>
  <si>
    <t>TFCCPM0054</t>
  </si>
  <si>
    <t>อ.เทพสถิต ชัยภูมิ</t>
  </si>
  <si>
    <t>Erawan Farm Co., Ltd.</t>
  </si>
  <si>
    <t>0020162</t>
  </si>
  <si>
    <t>ธ. กรุงเทพ จำกัด (มหาชน) สาขา สะพานพระปิ่นเกล้า</t>
  </si>
  <si>
    <t>เอกชน 10</t>
  </si>
  <si>
    <t>SDD</t>
  </si>
  <si>
    <t>Sudanese Dinar (Old)</t>
  </si>
  <si>
    <t>อ.เนินขาม</t>
  </si>
  <si>
    <t>MX</t>
  </si>
  <si>
    <t>Mexico</t>
  </si>
  <si>
    <t>TFCKKN0073</t>
  </si>
  <si>
    <t>อ.บ้านฝาง ขอนแก่น</t>
  </si>
  <si>
    <t>Stark Corporation Public Co.,</t>
  </si>
  <si>
    <t>0020163</t>
  </si>
  <si>
    <t>ธ. กรุงเทพ จำกัด (มหาชน) สาขา ลาดกระบัง</t>
  </si>
  <si>
    <t>เอกชน 11</t>
  </si>
  <si>
    <t>SDG</t>
  </si>
  <si>
    <t>Sudanese Pound</t>
  </si>
  <si>
    <t>อ.มโนรมย์</t>
  </si>
  <si>
    <t>MY</t>
  </si>
  <si>
    <t>Malaysia</t>
  </si>
  <si>
    <t>TFCKKN0074</t>
  </si>
  <si>
    <t>อ.บ้านแฮด ขอนแก่น</t>
  </si>
  <si>
    <t>The Institute of Industrial</t>
  </si>
  <si>
    <t>0020164</t>
  </si>
  <si>
    <t>ธ. กรุงเทพ จำกัด (มหาชน) สาขา ถนนสุขสวัสดิ์</t>
  </si>
  <si>
    <t>เอกชน 12</t>
  </si>
  <si>
    <t>SDP</t>
  </si>
  <si>
    <t>Sudanese Pound (until 1992)</t>
  </si>
  <si>
    <t>MZ</t>
  </si>
  <si>
    <t>Mozambique</t>
  </si>
  <si>
    <t>TFCKKN0075</t>
  </si>
  <si>
    <t>อ.บ้านไผ่ ขอนแก่น</t>
  </si>
  <si>
    <t>N.E Logistics Co., Ltd.</t>
  </si>
  <si>
    <t>0020165</t>
  </si>
  <si>
    <t>ธ. กรุงเทพ จำกัด (มหาชน) สาขา รังสิต</t>
  </si>
  <si>
    <t>เอกชน 13</t>
  </si>
  <si>
    <t>SEK</t>
  </si>
  <si>
    <t>Swedish Krona</t>
  </si>
  <si>
    <t>อ.วัดสิงห์</t>
  </si>
  <si>
    <t>NA</t>
  </si>
  <si>
    <t>Namibia</t>
  </si>
  <si>
    <t>TFCKKN0076</t>
  </si>
  <si>
    <t>อ.ชนบท ขอนแก่น</t>
  </si>
  <si>
    <t>MM Venture Corporation Co.,</t>
  </si>
  <si>
    <t>0020166</t>
  </si>
  <si>
    <t>ธ. กรุงเทพ จำกัด (มหาชน) สาขา สามพราน</t>
  </si>
  <si>
    <t>เอกชน 14</t>
  </si>
  <si>
    <t>SGD</t>
  </si>
  <si>
    <t>Singapore Dollar</t>
  </si>
  <si>
    <t>อ.สรรคบุรี</t>
  </si>
  <si>
    <t>NC</t>
  </si>
  <si>
    <t>New Caledonia</t>
  </si>
  <si>
    <t>TFCKKN0077</t>
  </si>
  <si>
    <t>อ.ชุมแพ ขอนแก่น</t>
  </si>
  <si>
    <t>Hokkaido Food and Beverage</t>
  </si>
  <si>
    <t>0020167</t>
  </si>
  <si>
    <t>ธ. กรุงเทพ จำกัด (มหาชน) สาขา อ้อมน้อย</t>
  </si>
  <si>
    <t>เอกชน 20</t>
  </si>
  <si>
    <t>SHP</t>
  </si>
  <si>
    <t>St.Helena Pound</t>
  </si>
  <si>
    <t>อ.สรรพยา</t>
  </si>
  <si>
    <t>NE</t>
  </si>
  <si>
    <t>Niger</t>
  </si>
  <si>
    <t>TFCKKN0078</t>
  </si>
  <si>
    <t>อ.เขาสวนกวาง ขอนแก่น</t>
  </si>
  <si>
    <t>TOA International Beverage</t>
  </si>
  <si>
    <t>0020168</t>
  </si>
  <si>
    <t>ธ. กรุงเทพ จำกัด (มหาชน) สาขา บางขุนเทียน</t>
  </si>
  <si>
    <t>เอกชน 21</t>
  </si>
  <si>
    <t>SIT</t>
  </si>
  <si>
    <t>Slovenian Tolar (Old --&gt; EUR)</t>
  </si>
  <si>
    <t>อ.หนองมะโมง</t>
  </si>
  <si>
    <t>NF</t>
  </si>
  <si>
    <t>Norfolk Islands</t>
  </si>
  <si>
    <t>TFCKKN0079</t>
  </si>
  <si>
    <t>อ.โคกโพธิ์ไชย ขอนแก่</t>
  </si>
  <si>
    <t>Hokkaido International</t>
  </si>
  <si>
    <t>0020169</t>
  </si>
  <si>
    <t>ธ. กรุงเทพ จำกัด (มหาชน) สาขา สะพานผ่านฟ้า</t>
  </si>
  <si>
    <t>เอกชน 22</t>
  </si>
  <si>
    <t>SKK</t>
  </si>
  <si>
    <t>Slovakian Krona (Old --&gt; EUR)</t>
  </si>
  <si>
    <t>อ.หันคา</t>
  </si>
  <si>
    <t>NG</t>
  </si>
  <si>
    <t>Nigeria</t>
  </si>
  <si>
    <t>TFCKKN0080</t>
  </si>
  <si>
    <t>อ.กระนวน ขอนแก่น</t>
  </si>
  <si>
    <t>0020170</t>
  </si>
  <si>
    <t>ธ. กรุงเทพ จำกัด (มหาชน) สาขา ถนนสี่พระยา</t>
  </si>
  <si>
    <t>เอกชน 23</t>
  </si>
  <si>
    <t>SLL</t>
  </si>
  <si>
    <t>Sierra Leone Leone</t>
  </si>
  <si>
    <t>NI</t>
  </si>
  <si>
    <t>Nicaragua</t>
  </si>
  <si>
    <t>TFCKKN0081</t>
  </si>
  <si>
    <t>อ.มัญจาคีรี ขอนแก่น</t>
  </si>
  <si>
    <t>0020171</t>
  </si>
  <si>
    <t>ธ. กรุงเทพ จำกัด (มหาชน) สาขา สาธุประดิษฐ์</t>
  </si>
  <si>
    <t>เอกชน 24</t>
  </si>
  <si>
    <t>SOS</t>
  </si>
  <si>
    <t>Somalian Shilling</t>
  </si>
  <si>
    <t>อ.แก้งคร้อ</t>
  </si>
  <si>
    <t>NL</t>
  </si>
  <si>
    <t>Netherlands</t>
  </si>
  <si>
    <t>TFCKKN0082</t>
  </si>
  <si>
    <t>0020172</t>
  </si>
  <si>
    <t>ธ. กรุงเทพ จำกัด (มหาชน) สาขา สุขุมวิท 43</t>
  </si>
  <si>
    <t>เอกชน 30</t>
  </si>
  <si>
    <t>SRD</t>
  </si>
  <si>
    <t>Surinam Dollar</t>
  </si>
  <si>
    <t>อ.คอนสวรรค์</t>
  </si>
  <si>
    <t>NO</t>
  </si>
  <si>
    <t>Norway</t>
  </si>
  <si>
    <t>TFCKKN0083</t>
  </si>
  <si>
    <t>อ.น้ำพอง ขอนแก่น</t>
  </si>
  <si>
    <t>0020173</t>
  </si>
  <si>
    <t>ธ. กรุงเทพ จำกัด (มหาชน) สาขา ประตูน้ำพระอินทร์</t>
  </si>
  <si>
    <t>เอกชน 31</t>
  </si>
  <si>
    <t>SRG</t>
  </si>
  <si>
    <t>Surinam Guilder (Old)</t>
  </si>
  <si>
    <t>อ.คอนสาร</t>
  </si>
  <si>
    <t>NP</t>
  </si>
  <si>
    <t>Nepal</t>
  </si>
  <si>
    <t>TFCKKN0084</t>
  </si>
  <si>
    <t>อ.โนนศิลา ขอนแก่น</t>
  </si>
  <si>
    <t>0020174</t>
  </si>
  <si>
    <t>ธ. กรุงเทพ จำกัด (มหาชน) สาขา บางบัวทอง</t>
  </si>
  <si>
    <t>เอกชน 32</t>
  </si>
  <si>
    <t>SSP</t>
  </si>
  <si>
    <t>South Sudanese Pound</t>
  </si>
  <si>
    <t>อ.จัตุรัส</t>
  </si>
  <si>
    <t>NR</t>
  </si>
  <si>
    <t>Nauru</t>
  </si>
  <si>
    <t>TFCKKN0085</t>
  </si>
  <si>
    <t>อ.หนองนาคำ ขอนแก่น</t>
  </si>
  <si>
    <t>0020175</t>
  </si>
  <si>
    <t>ธ. กรุงเทพ จำกัด (มหาชน) สาขา คลองเตย</t>
  </si>
  <si>
    <t>เอกชน 33</t>
  </si>
  <si>
    <t>STD</t>
  </si>
  <si>
    <t>Sao Tome / Principe Dobra</t>
  </si>
  <si>
    <t>อ.ซับใหญ่</t>
  </si>
  <si>
    <t>NT</t>
  </si>
  <si>
    <t>NATO</t>
  </si>
  <si>
    <t>TFCKKN0086</t>
  </si>
  <si>
    <t>อ.หนองเรือ ขอนแก่น</t>
  </si>
  <si>
    <t>0020176</t>
  </si>
  <si>
    <t>ธ. กรุงเทพ จำกัด (มหาชน) สาขา ห้วยขวาง</t>
  </si>
  <si>
    <t>เอกชน 34</t>
  </si>
  <si>
    <t>STN</t>
  </si>
  <si>
    <t>อ.เทพสถิต</t>
  </si>
  <si>
    <t>NU</t>
  </si>
  <si>
    <t>Niue</t>
  </si>
  <si>
    <t>TFCKKN0087</t>
  </si>
  <si>
    <t>อ.หนองสองห้อง ขอนแก่</t>
  </si>
  <si>
    <t>0020177</t>
  </si>
  <si>
    <t>ธ. กรุงเทพ จำกัด (มหาชน) สาขา ถนนรัชดา-ลาดพร้าว</t>
  </si>
  <si>
    <t>เอกชน 40</t>
  </si>
  <si>
    <t>SVC</t>
  </si>
  <si>
    <t>El Salvador Colon</t>
  </si>
  <si>
    <t>อ.เนินสง่า</t>
  </si>
  <si>
    <t>NZ</t>
  </si>
  <si>
    <t>New Zealand</t>
  </si>
  <si>
    <t>TFCKKN0088</t>
  </si>
  <si>
    <t>อ.พล ขอนแก่น</t>
  </si>
  <si>
    <t>0020178</t>
  </si>
  <si>
    <t>ธ. กรุงเทพ จำกัด (มหาชน) สาขา ปทุมธานี</t>
  </si>
  <si>
    <t>เอกชน 41</t>
  </si>
  <si>
    <t>SYP</t>
  </si>
  <si>
    <t>Syrian Pound</t>
  </si>
  <si>
    <t>อ.บ้านเขว้า</t>
  </si>
  <si>
    <t>OM</t>
  </si>
  <si>
    <t>Oman</t>
  </si>
  <si>
    <t>TFCKKN0089</t>
  </si>
  <si>
    <t>อ.พระยืน ขอนแก่น</t>
  </si>
  <si>
    <t>0020179</t>
  </si>
  <si>
    <t>ธ. กรุงเทพ จำกัด (มหาชน) สาขา บางจาก</t>
  </si>
  <si>
    <t>เอกชน 42</t>
  </si>
  <si>
    <t>SZL</t>
  </si>
  <si>
    <t>Swaziland Lilangeni</t>
  </si>
  <si>
    <t>อ.บ้านแท่น</t>
  </si>
  <si>
    <t>OR</t>
  </si>
  <si>
    <t>Orange</t>
  </si>
  <si>
    <t>TFCKKN0090</t>
  </si>
  <si>
    <t>อ.ภูผาม่าน ขอนแก่น</t>
  </si>
  <si>
    <t>0020180</t>
  </si>
  <si>
    <t>ธ. กรุงเทพ จำกัด (มหาชน) สาขา หัวหมาก</t>
  </si>
  <si>
    <t>เอกชน 43</t>
  </si>
  <si>
    <t>Thailand Baht</t>
  </si>
  <si>
    <t>PA</t>
  </si>
  <si>
    <t>Panama</t>
  </si>
  <si>
    <t>TFCKKN0091</t>
  </si>
  <si>
    <t>อ.ภูเวียง ขอนแก่น</t>
  </si>
  <si>
    <t>0020181</t>
  </si>
  <si>
    <t>ธ. กรุงเทพ จำกัด (มหาชน) สาขา ถนนลาดพร้าว ซอย 99</t>
  </si>
  <si>
    <t>เอกชน 44</t>
  </si>
  <si>
    <t>TJR</t>
  </si>
  <si>
    <t>Tajikistani Ruble (Old)</t>
  </si>
  <si>
    <t>อ.ภักดีชุมพล</t>
  </si>
  <si>
    <t>PE</t>
  </si>
  <si>
    <t>Peru</t>
  </si>
  <si>
    <t>TFCKKN0092</t>
  </si>
  <si>
    <t>อ.เปือยน้อย ขอนแก่น</t>
  </si>
  <si>
    <t>0020182</t>
  </si>
  <si>
    <t>ธ. กรุงเทพ จำกัด (มหาชน) สาขา ถนนปู่เจ้าสมิงพราย</t>
  </si>
  <si>
    <t>เอกชน 50</t>
  </si>
  <si>
    <t>TJS</t>
  </si>
  <si>
    <t>Tajikistani Somoni</t>
  </si>
  <si>
    <t>อ.ภูเขียว</t>
  </si>
  <si>
    <t>PF</t>
  </si>
  <si>
    <t>Frenc.Polynesia</t>
  </si>
  <si>
    <t>TFCKKN0093</t>
  </si>
  <si>
    <t>อ.ซำสูง ขอนแก่น</t>
  </si>
  <si>
    <t>0020183</t>
  </si>
  <si>
    <t>ธ. กรุงเทพ จำกัด (มหาชน) สาขา คลองด่าน สมุทรปราการ</t>
  </si>
  <si>
    <t>เอกชน 51</t>
  </si>
  <si>
    <t>TMM</t>
  </si>
  <si>
    <t>Turkmenistani Manat (Old)</t>
  </si>
  <si>
    <t>PG</t>
  </si>
  <si>
    <t>Pap. New Guinea</t>
  </si>
  <si>
    <t>TFCKKN0094</t>
  </si>
  <si>
    <t>อ.สีชมพู ขอนแก่น</t>
  </si>
  <si>
    <t>0020184</t>
  </si>
  <si>
    <t>ธ. กรุงเทพ จำกัด (มหาชน) สาขา บางพลัด</t>
  </si>
  <si>
    <t>เอกชน 52</t>
  </si>
  <si>
    <t>TMT</t>
  </si>
  <si>
    <t>Turkmenistani Manat</t>
  </si>
  <si>
    <t>อ.หนองบัวแดง</t>
  </si>
  <si>
    <t>PH</t>
  </si>
  <si>
    <t>Philippines</t>
  </si>
  <si>
    <t>TFCKKN0095</t>
  </si>
  <si>
    <t>อ.อุบลรัตน์ ขอนแก่น</t>
  </si>
  <si>
    <t>0020185</t>
  </si>
  <si>
    <t>ธ. กรุงเทพ จำกัด (มหาชน) สาขา อโศก-ดินแดง</t>
  </si>
  <si>
    <t>เอกชน 53</t>
  </si>
  <si>
    <t>TND</t>
  </si>
  <si>
    <t>Tunisian Dinar</t>
  </si>
  <si>
    <t>PK</t>
  </si>
  <si>
    <t>Pakistan</t>
  </si>
  <si>
    <t>TFCKKN0096</t>
  </si>
  <si>
    <t>อ.แวงน้อย ขอนแก่น</t>
  </si>
  <si>
    <t>0020186</t>
  </si>
  <si>
    <t>ธ. กรุงเทพ จำกัด (มหาชน) สาขา ราษฎร์บูรณะ</t>
  </si>
  <si>
    <t>เอกชน 54</t>
  </si>
  <si>
    <t>TOP</t>
  </si>
  <si>
    <t>Tongan Pa'anga</t>
  </si>
  <si>
    <t>อ.ท่าแซะ</t>
  </si>
  <si>
    <t>PL</t>
  </si>
  <si>
    <t>Poland</t>
  </si>
  <si>
    <t>TFCKKN0097</t>
  </si>
  <si>
    <t>อ.แวงใหญ่ ขอนแก่น</t>
  </si>
  <si>
    <t>0020187</t>
  </si>
  <si>
    <t>ธ. กรุงเทพ จำกัด (มหาชน) สาขา รามอินทรา</t>
  </si>
  <si>
    <t>ราชการ 10</t>
  </si>
  <si>
    <t>TPE</t>
  </si>
  <si>
    <t>Timor Escudo --&gt; USD</t>
  </si>
  <si>
    <t>อ.ทุ่งตะโก</t>
  </si>
  <si>
    <t>PM</t>
  </si>
  <si>
    <t>St.Pier,Miquel.</t>
  </si>
  <si>
    <t>TFCKKN0098</t>
  </si>
  <si>
    <t>อ.เวียงเก่า ขอนแก่น</t>
  </si>
  <si>
    <t>0020188</t>
  </si>
  <si>
    <t>ธ. กรุงเทพ จำกัด (มหาชน) สาขา แคราย</t>
  </si>
  <si>
    <t>ราชการ 11</t>
  </si>
  <si>
    <t>TRL</t>
  </si>
  <si>
    <t>Turkish Lira (Old)</t>
  </si>
  <si>
    <t>อ.ปะทิว</t>
  </si>
  <si>
    <t>PN</t>
  </si>
  <si>
    <t>Pitcairn Islnds</t>
  </si>
  <si>
    <t>TFCKSN0055</t>
  </si>
  <si>
    <t>อ.ดอนจาน กาฬสินธุ์</t>
  </si>
  <si>
    <t>0020189</t>
  </si>
  <si>
    <t>ธ. กรุงเทพ จำกัด (มหาชน) สาขา หลักสี่</t>
  </si>
  <si>
    <t>ราชการ 12</t>
  </si>
  <si>
    <t>TRY</t>
  </si>
  <si>
    <t>Turkish Lira</t>
  </si>
  <si>
    <t>อ.พะโต๊ะ</t>
  </si>
  <si>
    <t>PR</t>
  </si>
  <si>
    <t>Puerto Rico</t>
  </si>
  <si>
    <t>TFCKSN0056</t>
  </si>
  <si>
    <t>อ.ห้วยเม็ก กาฬสินธุ์</t>
  </si>
  <si>
    <t>0020190</t>
  </si>
  <si>
    <t>ธ. กรุงเทพ จำกัด (มหาชน) สาขา บางขุนนนท์</t>
  </si>
  <si>
    <t>ราชการ 13</t>
  </si>
  <si>
    <t>TTD</t>
  </si>
  <si>
    <t>Trinidad and Tobago Dollar</t>
  </si>
  <si>
    <t>อ.เมืองชุมพร</t>
  </si>
  <si>
    <t>PS</t>
  </si>
  <si>
    <t>Palestine</t>
  </si>
  <si>
    <t>TFCKSN0057</t>
  </si>
  <si>
    <t>อ.ห้วยผึ้ง กาฬสินธุ์</t>
  </si>
  <si>
    <t>0020191</t>
  </si>
  <si>
    <t>ธ. กรุงเทพ จำกัด (มหาชน) สาขา บางบอน</t>
  </si>
  <si>
    <t>ราชการ 14</t>
  </si>
  <si>
    <t>TWD</t>
  </si>
  <si>
    <t>New Taiwan Dollar</t>
  </si>
  <si>
    <t>อ.ละแม</t>
  </si>
  <si>
    <t>PT</t>
  </si>
  <si>
    <t>Portugal</t>
  </si>
  <si>
    <t>TFCKSN0058</t>
  </si>
  <si>
    <t>อ.กมลาไสย กาฬสินธุ์</t>
  </si>
  <si>
    <t>0020192</t>
  </si>
  <si>
    <t>ธ. กรุงเทพ จำกัด (มหาชน) สาขา สวนสยาม</t>
  </si>
  <si>
    <t>ราชการ 20</t>
  </si>
  <si>
    <t>TZS</t>
  </si>
  <si>
    <t>Tanzanian Shilling</t>
  </si>
  <si>
    <t>อ.สวี</t>
  </si>
  <si>
    <t>PW</t>
  </si>
  <si>
    <t>Palau</t>
  </si>
  <si>
    <t>TFCKSN0059</t>
  </si>
  <si>
    <t>อ.คำม่วง กาฬสินธุ์</t>
  </si>
  <si>
    <t>0020193</t>
  </si>
  <si>
    <t>ธ. กรุงเทพ จำกัด (มหาชน) สาขา ถนนประชาชื่น</t>
  </si>
  <si>
    <t>ราชการ 21</t>
  </si>
  <si>
    <t>UAH</t>
  </si>
  <si>
    <t>Ukraine Hryvnia</t>
  </si>
  <si>
    <t>อ.หลังสวน</t>
  </si>
  <si>
    <t>PY</t>
  </si>
  <si>
    <t>Paraguay</t>
  </si>
  <si>
    <t>TFCKSN0060</t>
  </si>
  <si>
    <t>อ.เขาวง กาฬสินธุ์</t>
  </si>
  <si>
    <t>0020194</t>
  </si>
  <si>
    <t>ธ. กรุงเทพ จำกัด (มหาชน) สาขา วงศ์สว่าง</t>
  </si>
  <si>
    <t>ราชการ 22</t>
  </si>
  <si>
    <t>UF</t>
  </si>
  <si>
    <t>อ.ขุนตาล</t>
  </si>
  <si>
    <t>QA</t>
  </si>
  <si>
    <t>Qatar</t>
  </si>
  <si>
    <t>TFCKSN0061</t>
  </si>
  <si>
    <t>อ.ฆ้องชัย กาฬสินธุ์</t>
  </si>
  <si>
    <t>0020195</t>
  </si>
  <si>
    <t>ธ. กรุงเทพ จำกัด (มหาชน) สาขา ถนนรัชดา-สี่แยกสาธุประดิษฐ์</t>
  </si>
  <si>
    <t>ราชการ 23</t>
  </si>
  <si>
    <t>UGX</t>
  </si>
  <si>
    <t>Ugandan Shilling</t>
  </si>
  <si>
    <t>อ.เชียงของ</t>
  </si>
  <si>
    <t>RE</t>
  </si>
  <si>
    <t>Reunion</t>
  </si>
  <si>
    <t>TFCKSN0062</t>
  </si>
  <si>
    <t>อ.กุฉินารายณ์ กาฬสิน</t>
  </si>
  <si>
    <t>0020196</t>
  </si>
  <si>
    <t>ธ. กรุงเทพ จำกัด (มหาชน) สาขา ถนนวิภาวดีรังสิต</t>
  </si>
  <si>
    <t>ราชการ 24</t>
  </si>
  <si>
    <t>USD</t>
  </si>
  <si>
    <t>United States Dollar</t>
  </si>
  <si>
    <t>อ.เชียงแสน</t>
  </si>
  <si>
    <t>RO</t>
  </si>
  <si>
    <t>Romania</t>
  </si>
  <si>
    <t>TFCKSN0063</t>
  </si>
  <si>
    <t>0020197</t>
  </si>
  <si>
    <t>ธ. กรุงเทพ จำกัด (มหาชน) สาขา นานาเหนือ</t>
  </si>
  <si>
    <t>ราชการ 30</t>
  </si>
  <si>
    <t>USDN</t>
  </si>
  <si>
    <t>(Internal) United States Dollar (5 Dec.)</t>
  </si>
  <si>
    <t>อ.ดอยหลวง</t>
  </si>
  <si>
    <t>RS</t>
  </si>
  <si>
    <t>Serbia</t>
  </si>
  <si>
    <t>TFCKSN0064</t>
  </si>
  <si>
    <t>อ.นาคู กาฬสินธุ์</t>
  </si>
  <si>
    <t>0020198</t>
  </si>
  <si>
    <t>ธ. กรุงเทพ จำกัด (มหาชน) สาขา ถนนพัฒนาการ</t>
  </si>
  <si>
    <t>ราชการ 31</t>
  </si>
  <si>
    <t>UTM</t>
  </si>
  <si>
    <t>อ.เทิง</t>
  </si>
  <si>
    <t>RU</t>
  </si>
  <si>
    <t>Russian Fed.</t>
  </si>
  <si>
    <t>TFCKSN0065</t>
  </si>
  <si>
    <t>อ.นามน กาฬสินธุ์</t>
  </si>
  <si>
    <t>0020199</t>
  </si>
  <si>
    <t>ธ. กรุงเทพ จำกัด (มหาชน) สาขา ถนนเทพารักษ์ สมุทรปราการ</t>
  </si>
  <si>
    <t>ราชการ 32</t>
  </si>
  <si>
    <t>UYI</t>
  </si>
  <si>
    <t>อ.ป่าแดด</t>
  </si>
  <si>
    <t>RW</t>
  </si>
  <si>
    <t>Rwanda</t>
  </si>
  <si>
    <t>TFCKSN0066</t>
  </si>
  <si>
    <t>อ.หนองกุงศรี กาฬสิน</t>
  </si>
  <si>
    <t>0020200</t>
  </si>
  <si>
    <t>ธ. กรุงเทพ จำกัด (มหาชน) สาขา สวนพลู</t>
  </si>
  <si>
    <t>ราชการ 33</t>
  </si>
  <si>
    <t>UYU</t>
  </si>
  <si>
    <t>Uruguayan Peso</t>
  </si>
  <si>
    <t>อ.พญาเม็งราย</t>
  </si>
  <si>
    <t>SA</t>
  </si>
  <si>
    <t>Saudi Arabia</t>
  </si>
  <si>
    <t>TFCKSN0067</t>
  </si>
  <si>
    <t>อ.ร่องคำ กาฬสินธุ์</t>
  </si>
  <si>
    <t>0020201</t>
  </si>
  <si>
    <t>ธ. กรุงเทพ จำกัด (มหาชน) สาขา สำนักงาน ก.พ.</t>
  </si>
  <si>
    <t>ราชการ 34</t>
  </si>
  <si>
    <t>UZS</t>
  </si>
  <si>
    <t>Uzbekistan Som</t>
  </si>
  <si>
    <t>อ.พาน</t>
  </si>
  <si>
    <t>SB</t>
  </si>
  <si>
    <t>Solomon Islands</t>
  </si>
  <si>
    <t>TFCKSN0068</t>
  </si>
  <si>
    <t>อ.สหัสขันธ์ กาฬสินธ์</t>
  </si>
  <si>
    <t>0020202</t>
  </si>
  <si>
    <t>ธ. กรุงเทพ จำกัด (มหาชน) สาขา บางครุ-พระประแดง</t>
  </si>
  <si>
    <t>ราชการ 40</t>
  </si>
  <si>
    <t>VEB</t>
  </si>
  <si>
    <t>Venezuelan Bolivar (Old)</t>
  </si>
  <si>
    <t>อ.เมืองเชียงราย</t>
  </si>
  <si>
    <t>SC</t>
  </si>
  <si>
    <t>Seychelles</t>
  </si>
  <si>
    <t>TFCKSN0069</t>
  </si>
  <si>
    <t>อ.สามชัย กาฬสินธุ์</t>
  </si>
  <si>
    <t>0020203</t>
  </si>
  <si>
    <t>ธ. กรุงเทพ จำกัด (มหาชน) สาขา ถนนลาดพร้าว 44</t>
  </si>
  <si>
    <t>ราชการ 41</t>
  </si>
  <si>
    <t>VEF</t>
  </si>
  <si>
    <t>Venezuelan Bolivar</t>
  </si>
  <si>
    <t>อ.แม่จัน</t>
  </si>
  <si>
    <t>SD</t>
  </si>
  <si>
    <t>Sudan</t>
  </si>
  <si>
    <t>TFCKSN0070</t>
  </si>
  <si>
    <t>อ.สมเด็จ กาฬสินธุ์</t>
  </si>
  <si>
    <t>0020204</t>
  </si>
  <si>
    <t>ธ. กรุงเทพ จำกัด (มหาชน) สาขา กระทุ่มแบน</t>
  </si>
  <si>
    <t>ราชการ 42</t>
  </si>
  <si>
    <t>VES</t>
  </si>
  <si>
    <t>อ.แม่ฟ้าหลวง</t>
  </si>
  <si>
    <t>SE</t>
  </si>
  <si>
    <t>Sweden</t>
  </si>
  <si>
    <t>TFCKSN0071</t>
  </si>
  <si>
    <t>อ.ท่าคันโท กาฬสินธุ์</t>
  </si>
  <si>
    <t>0020205</t>
  </si>
  <si>
    <t>ธ. กรุงเทพ จำกัด (มหาชน) สาขา ถนนเพลินจิต</t>
  </si>
  <si>
    <t>ราชการ 43</t>
  </si>
  <si>
    <t>VND</t>
  </si>
  <si>
    <t>Vietnamese Dong</t>
  </si>
  <si>
    <t>อ.แม่ลาว</t>
  </si>
  <si>
    <t>SG</t>
  </si>
  <si>
    <t>Singapore</t>
  </si>
  <si>
    <t>TFCKSN0072</t>
  </si>
  <si>
    <t>อ.ยางตลาด กาฬสินธุ์</t>
  </si>
  <si>
    <t>0020206</t>
  </si>
  <si>
    <t>ธ. กรุงเทพ จำกัด (มหาชน) สาขา ถนนทองหล่อ</t>
  </si>
  <si>
    <t>ราชการ 44</t>
  </si>
  <si>
    <t>VUV</t>
  </si>
  <si>
    <t>Vanuatu Vatu</t>
  </si>
  <si>
    <t>อ.แม่สรวย</t>
  </si>
  <si>
    <t>SH</t>
  </si>
  <si>
    <t>Saint Helena</t>
  </si>
  <si>
    <t>TFCLEI0099</t>
  </si>
  <si>
    <t>อ.เชียงคาน เลย</t>
  </si>
  <si>
    <t>0020207</t>
  </si>
  <si>
    <t>ธ. กรุงเทพ จำกัด (มหาชน) สาขา ห้าแยกปากเกร็ด</t>
  </si>
  <si>
    <t>ราชการ 50</t>
  </si>
  <si>
    <t>WST</t>
  </si>
  <si>
    <t>Samoan Tala</t>
  </si>
  <si>
    <t>อ.แม่สาย</t>
  </si>
  <si>
    <t>SI</t>
  </si>
  <si>
    <t>Slovenia</t>
  </si>
  <si>
    <t>TFCLEI0100</t>
  </si>
  <si>
    <t>อ.ด่านซ้าย เลย</t>
  </si>
  <si>
    <t>0020208</t>
  </si>
  <si>
    <t>ธ. กรุงเทพ จำกัด (มหาชน) สาขา บางกรวย</t>
  </si>
  <si>
    <t>ราชการ 51</t>
  </si>
  <si>
    <t>XAF</t>
  </si>
  <si>
    <t>Gabon CFA Franc BEAC</t>
  </si>
  <si>
    <t>อ.เวียงแก่น</t>
  </si>
  <si>
    <t>SJ</t>
  </si>
  <si>
    <t>Svalbard</t>
  </si>
  <si>
    <t>TFCLEI0101</t>
  </si>
  <si>
    <t>อ.เอราวัณ เลย</t>
  </si>
  <si>
    <t>0020209</t>
  </si>
  <si>
    <t>ธ. กรุงเทพ จำกัด (มหาชน) สาขา สวนจตุจักร</t>
  </si>
  <si>
    <t>ราชการ 52</t>
  </si>
  <si>
    <t>XCD</t>
  </si>
  <si>
    <t>East Carribean Dollar</t>
  </si>
  <si>
    <t>อ.เวียงชัย</t>
  </si>
  <si>
    <t>SK</t>
  </si>
  <si>
    <t>Slovakia</t>
  </si>
  <si>
    <t>TFCLEI0102</t>
  </si>
  <si>
    <t>อ.เมืองเลย</t>
  </si>
  <si>
    <t>0020210</t>
  </si>
  <si>
    <t>ธ. กรุงเทพ จำกัด (มหาชน) สาขา อาคารยาคูลท์ สนามเป้า</t>
  </si>
  <si>
    <t>ราชการ 53</t>
  </si>
  <si>
    <t>XEU</t>
  </si>
  <si>
    <t>European Currency Unit (E.C.U.)</t>
  </si>
  <si>
    <t>อ.เวียงเชียงรุ้ง</t>
  </si>
  <si>
    <t>SL</t>
  </si>
  <si>
    <t>Sierra Leone</t>
  </si>
  <si>
    <t>TFCLEI0103</t>
  </si>
  <si>
    <t>อ.นาด้วง เลย</t>
  </si>
  <si>
    <t>0020211</t>
  </si>
  <si>
    <t>ธ. กรุงเทพ จำกัด (มหาชน) สาขา ตลิ่งชัน</t>
  </si>
  <si>
    <t>ราชการ 54</t>
  </si>
  <si>
    <t>XOF</t>
  </si>
  <si>
    <t>Benin CFA Franc BCEAO</t>
  </si>
  <si>
    <t>อ.เวียงป่าเป้า</t>
  </si>
  <si>
    <t>SM</t>
  </si>
  <si>
    <t>San Marino</t>
  </si>
  <si>
    <t>TFCLEI0104</t>
  </si>
  <si>
    <t>อ.นาแห้ว เลย</t>
  </si>
  <si>
    <t>0020212</t>
  </si>
  <si>
    <t>ธ. กรุงเทพ จำกัด (มหาชน) สาขา อินทรารักษ์</t>
  </si>
  <si>
    <t>Repaint 10</t>
  </si>
  <si>
    <t>XPF</t>
  </si>
  <si>
    <t>CFP Franc</t>
  </si>
  <si>
    <t>อ.กัลยาณิวัฒนา</t>
  </si>
  <si>
    <t>SN</t>
  </si>
  <si>
    <t>Senegal</t>
  </si>
  <si>
    <t>TFCLEI0105</t>
  </si>
  <si>
    <t>อ.หนองหิน เลย</t>
  </si>
  <si>
    <t>0020213</t>
  </si>
  <si>
    <t>ธ. กรุงเทพ จำกัด (มหาชน) สาขา ปากคลองตลาด</t>
  </si>
  <si>
    <t>Repaint 11</t>
  </si>
  <si>
    <t>YER</t>
  </si>
  <si>
    <t>Yemeni Ryal</t>
  </si>
  <si>
    <t>อ.จอมทอง</t>
  </si>
  <si>
    <t>SO</t>
  </si>
  <si>
    <t>Somalia</t>
  </si>
  <si>
    <t>TFCLEI0106</t>
  </si>
  <si>
    <t>อ.ปากชม เลย</t>
  </si>
  <si>
    <t>0020214</t>
  </si>
  <si>
    <t>ธ. กรุงเทพ จำกัด (มหาชน) สาขา ถนนสายลวด สมุทรปราการ</t>
  </si>
  <si>
    <t>Repaint 12</t>
  </si>
  <si>
    <t>YUM</t>
  </si>
  <si>
    <t>New Yugoslavian Dinar (Old)</t>
  </si>
  <si>
    <t>อ.เชียงดาว</t>
  </si>
  <si>
    <t>SR</t>
  </si>
  <si>
    <t>Suriname</t>
  </si>
  <si>
    <t>TFCLEI0107</t>
  </si>
  <si>
    <t>อ.ผาขาว เลย</t>
  </si>
  <si>
    <t>0020215</t>
  </si>
  <si>
    <t>ธ. กรุงเทพ จำกัด (มหาชน) สาขา ถนนพระราม 9</t>
  </si>
  <si>
    <t>Repaint 13</t>
  </si>
  <si>
    <t>ZAR</t>
  </si>
  <si>
    <t>South African Rand</t>
  </si>
  <si>
    <t>อ.ไชยปราการ</t>
  </si>
  <si>
    <t>South Sudan</t>
  </si>
  <si>
    <t>TFCLEI0108</t>
  </si>
  <si>
    <t>อ.ภูกระดึง เลย</t>
  </si>
  <si>
    <t>0020216</t>
  </si>
  <si>
    <t>ธ. กรุงเทพ จำกัด (มหาชน) สาขา บางพลี</t>
  </si>
  <si>
    <t>Repaint 14</t>
  </si>
  <si>
    <t>ZMK</t>
  </si>
  <si>
    <t>Zambian Kwacha (Old)</t>
  </si>
  <si>
    <t>อ.ดอยเต่า</t>
  </si>
  <si>
    <t>ST</t>
  </si>
  <si>
    <t>S.Tome,Principe</t>
  </si>
  <si>
    <t>TFCLEI0109</t>
  </si>
  <si>
    <t>อ.ภูหลวง เลย</t>
  </si>
  <si>
    <t>0020217</t>
  </si>
  <si>
    <t>ธ. กรุงเทพ จำกัด (มหาชน) สาขา หนองจอก</t>
  </si>
  <si>
    <t>Repaint 15</t>
  </si>
  <si>
    <t>ZMW</t>
  </si>
  <si>
    <t>Zambian Kwacha (New)</t>
  </si>
  <si>
    <t>อ.ดอยสะเก็ด</t>
  </si>
  <si>
    <t>SV</t>
  </si>
  <si>
    <t>El Salvador</t>
  </si>
  <si>
    <t>TFCLEI0110</t>
  </si>
  <si>
    <t>อ.ภูเรือ เลย</t>
  </si>
  <si>
    <t>0020218</t>
  </si>
  <si>
    <t>ธ. กรุงเทพ จำกัด (มหาชน) สาขา สุนทรโกษา</t>
  </si>
  <si>
    <t>Repaint 20</t>
  </si>
  <si>
    <t>ZRM</t>
  </si>
  <si>
    <t>อ.ดอยหล่อ</t>
  </si>
  <si>
    <t>SX</t>
  </si>
  <si>
    <t>Sint Maarten</t>
  </si>
  <si>
    <t>TFCLEI0111</t>
  </si>
  <si>
    <t>อ.ท่าลี่ เลย</t>
  </si>
  <si>
    <t>0020219</t>
  </si>
  <si>
    <t>ธ. กรุงเทพ จำกัด (มหาชน) สาขา ถนนจันทน์ สะพาน 5</t>
  </si>
  <si>
    <t>Repaint 21</t>
  </si>
  <si>
    <t>ZRN</t>
  </si>
  <si>
    <t>Zaire (Old)</t>
  </si>
  <si>
    <t>อ.ฝาง</t>
  </si>
  <si>
    <t>SY</t>
  </si>
  <si>
    <t>Syria</t>
  </si>
  <si>
    <t>TFCLEI0112</t>
  </si>
  <si>
    <t>อ.วังสะพุง เลย</t>
  </si>
  <si>
    <t>0020220</t>
  </si>
  <si>
    <t>ธ. กรุงเทพ จำกัด (มหาชน) สาขา อาคารวานิช</t>
  </si>
  <si>
    <t>Repaint 22</t>
  </si>
  <si>
    <t>ZRO</t>
  </si>
  <si>
    <t>อ.พร้าว</t>
  </si>
  <si>
    <t>SZ</t>
  </si>
  <si>
    <t>Eswatini</t>
  </si>
  <si>
    <t>TFCMDH0126</t>
  </si>
  <si>
    <t>อ.ดอนตาล มุกดาหาร</t>
  </si>
  <si>
    <t>0020221</t>
  </si>
  <si>
    <t>ธ. กรุงเทพ จำกัด (มหาชน) สาขา บางใหญ่ นนทบุรี</t>
  </si>
  <si>
    <t>Repaint 23</t>
  </si>
  <si>
    <t>ZWD</t>
  </si>
  <si>
    <t>Zimbabwean Dollar (Old)</t>
  </si>
  <si>
    <t>อ.เมืองเชียงใหม่</t>
  </si>
  <si>
    <t>TC</t>
  </si>
  <si>
    <t>Turksh Caicosin</t>
  </si>
  <si>
    <t>TFCMDH0127</t>
  </si>
  <si>
    <t>อ.ดงหลวง มุกดาหาร</t>
  </si>
  <si>
    <t>0020222</t>
  </si>
  <si>
    <t>ธ. กรุงเทพ จำกัด (มหาชน) สาขา คลองหลวง ปทุมธานี</t>
  </si>
  <si>
    <t>Repaint 24</t>
  </si>
  <si>
    <t>ZWL</t>
  </si>
  <si>
    <t>Zimbabwean Dollar (New)</t>
  </si>
  <si>
    <t>อ.แม่แจ่ม</t>
  </si>
  <si>
    <t>TD</t>
  </si>
  <si>
    <t>Chad</t>
  </si>
  <si>
    <t>TFCMDH0128</t>
  </si>
  <si>
    <t>อ.คำชะอี มุกดาหาร</t>
  </si>
  <si>
    <t>0020223</t>
  </si>
  <si>
    <t>ธ. กรุงเทพ จำกัด (มหาชน) สาขา เสนานิคม</t>
  </si>
  <si>
    <t>Repaint 25</t>
  </si>
  <si>
    <t>ZWN</t>
  </si>
  <si>
    <t>อ.แม่แตง</t>
  </si>
  <si>
    <t>TF</t>
  </si>
  <si>
    <t>French S.Territ</t>
  </si>
  <si>
    <t>TFCMDH0129</t>
  </si>
  <si>
    <t>อ.เมืองมุกดาหาร</t>
  </si>
  <si>
    <t>0020224</t>
  </si>
  <si>
    <t>ธ. กรุงเทพ จำกัด (มหาชน) สาขา มหานาค</t>
  </si>
  <si>
    <t>ตกแต่งภายใน 10</t>
  </si>
  <si>
    <t>ZWR</t>
  </si>
  <si>
    <t>อ.แม่ริม</t>
  </si>
  <si>
    <t>TG</t>
  </si>
  <si>
    <t>Togo</t>
  </si>
  <si>
    <t>TFCMDH0130</t>
  </si>
  <si>
    <t>นิคมคำสร้อย มุกดาหาร</t>
  </si>
  <si>
    <t>0020225</t>
  </si>
  <si>
    <t>ธ. กรุงเทพ จำกัด (มหาชน) สาขา ท่าอากาศยานกรุงเทพ</t>
  </si>
  <si>
    <t>ตกแต่งภายใน 11</t>
  </si>
  <si>
    <t>ZWS</t>
  </si>
  <si>
    <t>อ.แม่วาง</t>
  </si>
  <si>
    <t>TFCMDH0131</t>
  </si>
  <si>
    <t>อ.หนองสูง มุกดาหาร</t>
  </si>
  <si>
    <t>0020226</t>
  </si>
  <si>
    <t>ธ. กรุงเทพ จำกัด (มหาชน) สาขา โอเรียนเต็ล</t>
  </si>
  <si>
    <t>ตกแต่งภายใน 12</t>
  </si>
  <si>
    <t>อ.แม่ออน</t>
  </si>
  <si>
    <t>TJ</t>
  </si>
  <si>
    <t>Tajikistan</t>
  </si>
  <si>
    <t>TFCMDH0132</t>
  </si>
  <si>
    <t>อ.หว้านใหญ่ มุกดาหาร</t>
  </si>
  <si>
    <t>0020227</t>
  </si>
  <si>
    <t>ธ. กรุงเทพ จำกัด (มหาชน) สาขา ถ.ศรีนครินทร์ สำโรงเหนือ สมุทรปรากา</t>
  </si>
  <si>
    <t>ตกแต่งภายใน 13</t>
  </si>
  <si>
    <t>อ.แม่อาย</t>
  </si>
  <si>
    <t>TK</t>
  </si>
  <si>
    <t>Tokelau Islands</t>
  </si>
  <si>
    <t>TFCMKM0113</t>
  </si>
  <si>
    <t>อ.บรบือ มหาสารคาม</t>
  </si>
  <si>
    <t>0020228</t>
  </si>
  <si>
    <t>ธ. กรุงเทพ จำกัด (มหาชน) สาขา ถนนพระรามที่ 2 กม.7</t>
  </si>
  <si>
    <t>ตกแต่งภายใน 14</t>
  </si>
  <si>
    <t>อ.เวียงแหง</t>
  </si>
  <si>
    <t>TL</t>
  </si>
  <si>
    <t>East Timor</t>
  </si>
  <si>
    <t>TFCMKM0114</t>
  </si>
  <si>
    <t>อ.เชียงยืน มหาสารคาม</t>
  </si>
  <si>
    <t>0020229</t>
  </si>
  <si>
    <t>ธ. กรุงเทพ จำกัด (มหาชน) สาขา หลักสี่พลาซ่า</t>
  </si>
  <si>
    <t>ตกแต่งภายใน 15</t>
  </si>
  <si>
    <t>อ.สะเมิง</t>
  </si>
  <si>
    <t>TM</t>
  </si>
  <si>
    <t>Turkmenistan</t>
  </si>
  <si>
    <t>TFCMKM0115</t>
  </si>
  <si>
    <t>อ.ชื่นชม มหาสารคาม</t>
  </si>
  <si>
    <t>0020230</t>
  </si>
  <si>
    <t>ธ. กรุงเทพ จำกัด (มหาชน) สาขา โชคชัย 4 ลาดพร้าว</t>
  </si>
  <si>
    <t>ตกแต่งภายใน 20</t>
  </si>
  <si>
    <t>อ.สันกำแพง</t>
  </si>
  <si>
    <t>TN</t>
  </si>
  <si>
    <t>Tunisia</t>
  </si>
  <si>
    <t>TFCMKM0116</t>
  </si>
  <si>
    <t>อ.แกดำ มหาสารคาม</t>
  </si>
  <si>
    <t>0020231</t>
  </si>
  <si>
    <t>ธ. กรุงเทพ จำกัด (มหาชน) สาขา เขื่อนขันธ์-พระประแดง</t>
  </si>
  <si>
    <t>ตกแต่งภายใน 21</t>
  </si>
  <si>
    <t>อ.สันทราย</t>
  </si>
  <si>
    <t>TO</t>
  </si>
  <si>
    <t>Tonga</t>
  </si>
  <si>
    <t>TFCMKM0117</t>
  </si>
  <si>
    <t>กันทรวิชัย มหาสารคาม</t>
  </si>
  <si>
    <t>0020232</t>
  </si>
  <si>
    <t>ธ. กรุงเทพ จำกัด (มหาชน) สาขา ซีคอนสแควร์</t>
  </si>
  <si>
    <t>ตกแต่งภายใน 22</t>
  </si>
  <si>
    <t>อ.สันป่าตอง</t>
  </si>
  <si>
    <t>TR</t>
  </si>
  <si>
    <t>Turkey</t>
  </si>
  <si>
    <t>TFCMKM0118</t>
  </si>
  <si>
    <t>โกสุมพิสัย มหาสารคาม</t>
  </si>
  <si>
    <t>0020233</t>
  </si>
  <si>
    <t>ธ. กรุงเทพ จำกัด (มหาชน) สาขา ถนนแจ้งวัฒนะ</t>
  </si>
  <si>
    <t>ตกแต่งภายใน 23</t>
  </si>
  <si>
    <t>อ.สารภี</t>
  </si>
  <si>
    <t>TT</t>
  </si>
  <si>
    <t>Trinidad,Tobago</t>
  </si>
  <si>
    <t>TFCMKM0119</t>
  </si>
  <si>
    <t>อ.กุดรัง มหาสารคาม</t>
  </si>
  <si>
    <t>0020234</t>
  </si>
  <si>
    <t>ธ. กรุงเทพ จำกัด (มหาชน) สาขา เดอะมอลล์ บางกะปิ</t>
  </si>
  <si>
    <t>ตกแต่งภายใน 24</t>
  </si>
  <si>
    <t>อ.หางดง</t>
  </si>
  <si>
    <t>TV</t>
  </si>
  <si>
    <t>Tuvalu</t>
  </si>
  <si>
    <t>TFCMKM0120</t>
  </si>
  <si>
    <t>อ.เมืองมหาสารคาม</t>
  </si>
  <si>
    <t>0020235</t>
  </si>
  <si>
    <t>ธ. กรุงเทพ จำกัด (มหาชน) สาขา ถนนประชาอุทิศ ราษฎร์บูรณะ</t>
  </si>
  <si>
    <t>ตกแต่งภายใน 25</t>
  </si>
  <si>
    <t>อ.อมก๋อย</t>
  </si>
  <si>
    <t>TW</t>
  </si>
  <si>
    <t>Taiwan</t>
  </si>
  <si>
    <t>TFCMKM0121</t>
  </si>
  <si>
    <t>อ.นาเชือก มหาสารคาม</t>
  </si>
  <si>
    <t>0020236</t>
  </si>
  <si>
    <t>ธ. กรุงเทพ จำกัด (มหาชน) สาขา หนองแขม</t>
  </si>
  <si>
    <t>โรงงาน 10</t>
  </si>
  <si>
    <t>อ.ฮอด</t>
  </si>
  <si>
    <t>TZ</t>
  </si>
  <si>
    <t>Tanzania</t>
  </si>
  <si>
    <t>TFCMKM0122</t>
  </si>
  <si>
    <t>อ.นาดูน มหาสารคาม</t>
  </si>
  <si>
    <t>0020237</t>
  </si>
  <si>
    <t>ธ. กรุงเทพ จำกัด (มหาชน) สาขา ตลาดสี่มุมเมือง รังสิต</t>
  </si>
  <si>
    <t>โรงงาน 11</t>
  </si>
  <si>
    <t>อ.กันตัง</t>
  </si>
  <si>
    <t>UA</t>
  </si>
  <si>
    <t>Ukraine</t>
  </si>
  <si>
    <t>TFCMKM0123</t>
  </si>
  <si>
    <t>อ.พยัคฆภูมิพิสัย</t>
  </si>
  <si>
    <t>0020238</t>
  </si>
  <si>
    <t>ธ. กรุงเทพ จำกัด (มหาชน) สาขา เดอะมอลล์ บางแค</t>
  </si>
  <si>
    <t>โรงงาน 12</t>
  </si>
  <si>
    <t>อ.นาโยง</t>
  </si>
  <si>
    <t>UG</t>
  </si>
  <si>
    <t>Uganda</t>
  </si>
  <si>
    <t>TFCMKM0124</t>
  </si>
  <si>
    <t>อ.วาปีปทุม มหาสารคาม</t>
  </si>
  <si>
    <t>0020239</t>
  </si>
  <si>
    <t>ธ. กรุงเทพ จำกัด (มหาชน) สาขา อ้อมใหญ่</t>
  </si>
  <si>
    <t>โรงงาน 13</t>
  </si>
  <si>
    <t>อ.ปะเหลียน</t>
  </si>
  <si>
    <t>UM</t>
  </si>
  <si>
    <t>Minor Outl.Isl.</t>
  </si>
  <si>
    <t>TFCMKM0125</t>
  </si>
  <si>
    <t>ยางสีสุราช มหาสารคาม</t>
  </si>
  <si>
    <t>0020240</t>
  </si>
  <si>
    <t>ธ. กรุงเทพ จำกัด (มหาชน) สาขา สี่แยกบางนา</t>
  </si>
  <si>
    <t>โรงงาน 14</t>
  </si>
  <si>
    <t>อ.เมืองตรัง</t>
  </si>
  <si>
    <t>United Nations</t>
  </si>
  <si>
    <t>TFCNBP0177</t>
  </si>
  <si>
    <t>อ.เมืองหนองบัวลำภู</t>
  </si>
  <si>
    <t>0020241</t>
  </si>
  <si>
    <t>ธ. กรุงเทพ จำกัด (มหาชน) สาขา ถนนกิ่งแก้ว</t>
  </si>
  <si>
    <t>โรงงาน 15</t>
  </si>
  <si>
    <t>อ.ย่านตาขาว</t>
  </si>
  <si>
    <t>US</t>
  </si>
  <si>
    <t>USA</t>
  </si>
  <si>
    <t>TFCNBP0178</t>
  </si>
  <si>
    <t>อ.นากลาง หนองบัวลำภู</t>
  </si>
  <si>
    <t>0020242</t>
  </si>
  <si>
    <t>ธ. กรุงเทพ จำกัด (มหาชน) สาขา บางรัก</t>
  </si>
  <si>
    <t>โรงงาน 20</t>
  </si>
  <si>
    <t>อ.รัษฎา</t>
  </si>
  <si>
    <t>UY</t>
  </si>
  <si>
    <t>Uruguay</t>
  </si>
  <si>
    <t>TFCNBP0179</t>
  </si>
  <si>
    <t>อ.นาวัง หนองบัวลำภู</t>
  </si>
  <si>
    <t>0020243</t>
  </si>
  <si>
    <t>ธ. กรุงเทพ จำกัด (มหาชน) สาขา ถนนรามคำแหง ซอย 28</t>
  </si>
  <si>
    <t>โรงงาน 21</t>
  </si>
  <si>
    <t>อ.วังวิเศษ</t>
  </si>
  <si>
    <t>UZ</t>
  </si>
  <si>
    <t>Uzbekistan</t>
  </si>
  <si>
    <t>TFCNBP0180</t>
  </si>
  <si>
    <t>อ.โนนสัง หนองบัวลำภู</t>
  </si>
  <si>
    <t>0020244</t>
  </si>
  <si>
    <t>ธ. กรุงเทพ จำกัด (มหาชน) สาขา อ่อนนุช ซอย 16</t>
  </si>
  <si>
    <t>โรงงาน 22</t>
  </si>
  <si>
    <t>อ.สิเกา</t>
  </si>
  <si>
    <t>VA</t>
  </si>
  <si>
    <t>Vatican City</t>
  </si>
  <si>
    <t>TFCNBP0181</t>
  </si>
  <si>
    <t>อ.ศรีบุญเรือง</t>
  </si>
  <si>
    <t>0020245</t>
  </si>
  <si>
    <t>ธ. กรุงเทพ จำกัด (มหาชน) สาขา เดอะมอลล์ ท่าพระ</t>
  </si>
  <si>
    <t>โรงงาน 23</t>
  </si>
  <si>
    <t>อ.ห้วยยอด</t>
  </si>
  <si>
    <t>VC</t>
  </si>
  <si>
    <t>St. Vincent</t>
  </si>
  <si>
    <t>TFCNBP0182</t>
  </si>
  <si>
    <t>อ.สุวรรณคูหา</t>
  </si>
  <si>
    <t>0020246</t>
  </si>
  <si>
    <t>ธ. กรุงเทพ จำกัด (มหาชน) สาขา ภาษีเจริญ</t>
  </si>
  <si>
    <t>โรงงาน 24</t>
  </si>
  <si>
    <t>อ.หาดสำราญ</t>
  </si>
  <si>
    <t>VE</t>
  </si>
  <si>
    <t>Venezuela</t>
  </si>
  <si>
    <t>TFCNKI0183</t>
  </si>
  <si>
    <t>อ.เฝ้าไร่ หนองคาย</t>
  </si>
  <si>
    <t>0020247</t>
  </si>
  <si>
    <t>ธ. กรุงเทพ จำกัด (มหาชน) สาขา พุทธมณฑล</t>
  </si>
  <si>
    <t>โรงงาน 25</t>
  </si>
  <si>
    <t>อ.เกาะกูด</t>
  </si>
  <si>
    <t>VG</t>
  </si>
  <si>
    <t>Brit.Virgin Is.</t>
  </si>
  <si>
    <t>TFCNKI0184</t>
  </si>
  <si>
    <t>อ.เมืองหนองคาย</t>
  </si>
  <si>
    <t>0020248</t>
  </si>
  <si>
    <t>ธ. กรุงเทพ จำกัด (มหาชน) สาขา นพวงศ์-ลาดหลุมแก้ว</t>
  </si>
  <si>
    <t>Applicator 10</t>
  </si>
  <si>
    <t>อ.เกาะช้าง</t>
  </si>
  <si>
    <t>VI</t>
  </si>
  <si>
    <t>US Virgin Isl.</t>
  </si>
  <si>
    <t>TFCNKI0185</t>
  </si>
  <si>
    <t>อ.โพธิ์ตาก หนองคาย</t>
  </si>
  <si>
    <t>0020249</t>
  </si>
  <si>
    <t>ธ. กรุงเทพ จำกัด (มหาชน) สาขา วังน้อย</t>
  </si>
  <si>
    <t>Applicator 11</t>
  </si>
  <si>
    <t>อ.เขาสมิง</t>
  </si>
  <si>
    <t>Vietnam</t>
  </si>
  <si>
    <t>TFCNKI0186</t>
  </si>
  <si>
    <t>อ.โพนพิสัย หนองคาย</t>
  </si>
  <si>
    <t>0020251</t>
  </si>
  <si>
    <t>ธ. กรุงเทพ จำกัด (มหาชน) สาขา ท่าแพ</t>
  </si>
  <si>
    <t>Applicator 12</t>
  </si>
  <si>
    <t>อ.คลองใหญ่</t>
  </si>
  <si>
    <t>VU</t>
  </si>
  <si>
    <t>Vanuatu</t>
  </si>
  <si>
    <t>TFCNKI0187</t>
  </si>
  <si>
    <t>อ.รัตนวาปี หนองคาย</t>
  </si>
  <si>
    <t>0020252</t>
  </si>
  <si>
    <t>ธ. กรุงเทพ จำกัด (มหาชน) สาขา ศรีนครพิงค์</t>
  </si>
  <si>
    <t>Applicator 13</t>
  </si>
  <si>
    <t>อ.บ่อไร่</t>
  </si>
  <si>
    <t>WF</t>
  </si>
  <si>
    <t>Wallis,Futuna</t>
  </si>
  <si>
    <t>TFCNKI0188</t>
  </si>
  <si>
    <t>อ.สระใคร หนองคาย</t>
  </si>
  <si>
    <t>0020253</t>
  </si>
  <si>
    <t>ธ. กรุงเทพ จำกัด (มหาชน) สาขา สันป่าข่อย</t>
  </si>
  <si>
    <t>Applicator 14</t>
  </si>
  <si>
    <t>อ.เมืองตราด</t>
  </si>
  <si>
    <t>WS</t>
  </si>
  <si>
    <t>Samoa</t>
  </si>
  <si>
    <t>TFCNKI0189</t>
  </si>
  <si>
    <t>อ.สังคม หนองคาย</t>
  </si>
  <si>
    <t>0020254</t>
  </si>
  <si>
    <t>ธ. กรุงเทพ จำกัด (มหาชน) สาขา ลำปาง</t>
  </si>
  <si>
    <t>Applicator 15</t>
  </si>
  <si>
    <t>อ.แหลมงอบ</t>
  </si>
  <si>
    <t>YE</t>
  </si>
  <si>
    <t>Yemen</t>
  </si>
  <si>
    <t>TFCNKI0190</t>
  </si>
  <si>
    <t>ศรีเชียงใหม่ หนองคาย</t>
  </si>
  <si>
    <t>0020255</t>
  </si>
  <si>
    <t>ธ. กรุงเทพ จำกัด (มหาชน) สาขา สบตุ๋ย</t>
  </si>
  <si>
    <t>Applicator 20</t>
  </si>
  <si>
    <t>อ.ท่าสองยาง</t>
  </si>
  <si>
    <t>YT</t>
  </si>
  <si>
    <t>Mayotte</t>
  </si>
  <si>
    <t>TFCNKI0191</t>
  </si>
  <si>
    <t>อ.ท่าบ่อ หนองคาย</t>
  </si>
  <si>
    <t>0020256</t>
  </si>
  <si>
    <t>ธ. กรุงเทพ จำกัด (มหาชน) สาขา อุบลราชธานี</t>
  </si>
  <si>
    <t>Applicator 21</t>
  </si>
  <si>
    <t>อ.บ้านตาก</t>
  </si>
  <si>
    <t>ZA</t>
  </si>
  <si>
    <t>South Africa</t>
  </si>
  <si>
    <t>TFCNMA0145</t>
  </si>
  <si>
    <t>อ.บ้านเหลื่อม โคราช</t>
  </si>
  <si>
    <t>0020257</t>
  </si>
  <si>
    <t>ธ. กรุงเทพ จำกัด (มหาชน) สาขา วารินชำราบ</t>
  </si>
  <si>
    <t>Applicator 22</t>
  </si>
  <si>
    <t>อ.พบพระ</t>
  </si>
  <si>
    <t>ZM</t>
  </si>
  <si>
    <t>Zambia</t>
  </si>
  <si>
    <t>TFCNMA0146</t>
  </si>
  <si>
    <t>อ.บัวลาย โคราช</t>
  </si>
  <si>
    <t>0020258</t>
  </si>
  <si>
    <t>ธ. กรุงเทพ จำกัด (มหาชน) สาขา สุไหงโก-ลก</t>
  </si>
  <si>
    <t>Applicator 23</t>
  </si>
  <si>
    <t>อ.เมืองตาก</t>
  </si>
  <si>
    <t>ZW</t>
  </si>
  <si>
    <t>Zimbabwe</t>
  </si>
  <si>
    <t>TFCNMA0147</t>
  </si>
  <si>
    <t>อ.บัวใหญ่ โคราช</t>
  </si>
  <si>
    <t>0020259</t>
  </si>
  <si>
    <t>ธ. กรุงเทพ จำกัด (มหาชน) สาขา หาดใหญ่</t>
  </si>
  <si>
    <t>Applicator 24</t>
  </si>
  <si>
    <t>อ.แม่ระมาด</t>
  </si>
  <si>
    <t>TFCNMA0148</t>
  </si>
  <si>
    <t>เฉลิมพระเกียรติโคราช</t>
  </si>
  <si>
    <t>0020260</t>
  </si>
  <si>
    <t>ธ. กรุงเทพ จำกัด (มหาชน) สาขา ขอนแก่น</t>
  </si>
  <si>
    <t>Applicator 25</t>
  </si>
  <si>
    <t>อ.แม่สอด</t>
  </si>
  <si>
    <t>TFCNMA0149</t>
  </si>
  <si>
    <t>อ.จักราช โคราช</t>
  </si>
  <si>
    <t>0020261</t>
  </si>
  <si>
    <t>ธ. กรุงเทพ จำกัด (มหาชน) สาขา ตรัง</t>
  </si>
  <si>
    <t>TOA-VIETNAM</t>
  </si>
  <si>
    <t>อ.วังเจ้า</t>
  </si>
  <si>
    <t>TFCNMA0150</t>
  </si>
  <si>
    <t>อ.โชคชัย โคราช</t>
  </si>
  <si>
    <t>0020262</t>
  </si>
  <si>
    <t>ธ. กรุงเทพ จำกัด (มหาชน) สาขา เชียงราย</t>
  </si>
  <si>
    <t>TOA-LAOS</t>
  </si>
  <si>
    <t>อ.สามเงา</t>
  </si>
  <si>
    <t>TFCNMA0151</t>
  </si>
  <si>
    <t>อ.ชุมพวง โคราช</t>
  </si>
  <si>
    <t>0020263</t>
  </si>
  <si>
    <t>ธ. กรุงเทพ จำกัด (มหาชน) สาขา พิษณุโลก</t>
  </si>
  <si>
    <t>TOA-CAMBODIA</t>
  </si>
  <si>
    <t>อ.อุ้มผาง</t>
  </si>
  <si>
    <t>TFCNMA0152</t>
  </si>
  <si>
    <t>อ.ด่านขุนทด โคราช</t>
  </si>
  <si>
    <t>0020264</t>
  </si>
  <si>
    <t>ธ. กรุงเทพ จำกัด (มหาชน) สาขา ภูเก็ต</t>
  </si>
  <si>
    <t>TOA-MYANMAR</t>
  </si>
  <si>
    <t>อ.บ้านนา</t>
  </si>
  <si>
    <t>TFCNMA0153</t>
  </si>
  <si>
    <t>อ.ห้วยแถลง โคราช</t>
  </si>
  <si>
    <t>0020265</t>
  </si>
  <si>
    <t>ธ. กรุงเทพ จำกัด (มหาชน) สาขา ชลบุรี</t>
  </si>
  <si>
    <t>TOA-MALAYSIA</t>
  </si>
  <si>
    <t>อ.ปากพลี</t>
  </si>
  <si>
    <t>TFCNMA0154</t>
  </si>
  <si>
    <t>อ.แก้งสนามนาง โคราช</t>
  </si>
  <si>
    <t>0020266</t>
  </si>
  <si>
    <t>ธ. กรุงเทพ จำกัด (มหาชน) สาขา ยะลา</t>
  </si>
  <si>
    <t>TOA-INDONESIA</t>
  </si>
  <si>
    <t>อ.เมืองนครนายก</t>
  </si>
  <si>
    <t>TFCNMA0155</t>
  </si>
  <si>
    <t>อ.ขามสะแกแสง โคราช</t>
  </si>
  <si>
    <t>0020267</t>
  </si>
  <si>
    <t>ธ. กรุงเทพ จำกัด (มหาชน) สาขา ปัตตานี</t>
  </si>
  <si>
    <t>CAMBODIA</t>
  </si>
  <si>
    <t>อ.องครักษ์</t>
  </si>
  <si>
    <t>TFCNMA0156</t>
  </si>
  <si>
    <t>อ.ขามทะเลสอ โคราช</t>
  </si>
  <si>
    <t>0020268</t>
  </si>
  <si>
    <t>ธ. กรุงเทพ จำกัด (มหาชน) สาขา สงขลา</t>
  </si>
  <si>
    <t>LAOS</t>
  </si>
  <si>
    <t>อ.กำแพงแสน</t>
  </si>
  <si>
    <t>TFCNMA0157</t>
  </si>
  <si>
    <t>อ.ครบุรี โคราช</t>
  </si>
  <si>
    <t>0020269</t>
  </si>
  <si>
    <t>ธ. กรุงเทพ จำกัด (มหาชน) สาขา ร้อยเอ็ด</t>
  </si>
  <si>
    <t>MYANMAR</t>
  </si>
  <si>
    <t>อ.ดอนตูม</t>
  </si>
  <si>
    <t>TFCNMA0158</t>
  </si>
  <si>
    <t>อ.คง โคราช</t>
  </si>
  <si>
    <t>0020270</t>
  </si>
  <si>
    <t>ธ. กรุงเทพ จำกัด (มหาชน) สาขา สระบุรี</t>
  </si>
  <si>
    <t>SINGAPORE</t>
  </si>
  <si>
    <t>อ.นครชัยศรี</t>
  </si>
  <si>
    <t>TFCNMA0159</t>
  </si>
  <si>
    <t>อ.ลำทะเมนชัย โคราช</t>
  </si>
  <si>
    <t>0020271</t>
  </si>
  <si>
    <t>ธ. กรุงเทพ จำกัด (มหาชน) สาขา ยโสธร</t>
  </si>
  <si>
    <t>MALAYSIA</t>
  </si>
  <si>
    <t>อ.บางเลน</t>
  </si>
  <si>
    <t>TFCNMA0160</t>
  </si>
  <si>
    <t>อ.เมืองนครราชสีมา</t>
  </si>
  <si>
    <t>0020272</t>
  </si>
  <si>
    <t>ธ. กรุงเทพ จำกัด (มหาชน) สาขา สมุทรสงคราม</t>
  </si>
  <si>
    <t>INDONESIA</t>
  </si>
  <si>
    <t>อ.พุทธมณฑล</t>
  </si>
  <si>
    <t>TFCNMA0161</t>
  </si>
  <si>
    <t>อ.เมืองยาง โคราช</t>
  </si>
  <si>
    <t>0020273</t>
  </si>
  <si>
    <t>ธ. กรุงเทพ จำกัด (มหาชน) สาขา เมืองพล</t>
  </si>
  <si>
    <t>PHILIPPINES</t>
  </si>
  <si>
    <t>อ.เมืองนครปฐม</t>
  </si>
  <si>
    <t>TFCNMA0162</t>
  </si>
  <si>
    <t>อ.โนนแดง โคราช</t>
  </si>
  <si>
    <t>0020274</t>
  </si>
  <si>
    <t>ธ. กรุงเทพ จำกัด (มหาชน) สาขา ระโนด</t>
  </si>
  <si>
    <t>BRUNEI</t>
  </si>
  <si>
    <t>อ.สามพราน</t>
  </si>
  <si>
    <t>TFCNMA0163</t>
  </si>
  <si>
    <t>อ.โนนสูง โคราช</t>
  </si>
  <si>
    <t>0020275</t>
  </si>
  <si>
    <t>ธ. กรุงเทพ จำกัด (มหาชน) สาขา นครปฐม</t>
  </si>
  <si>
    <t>SRILANKA</t>
  </si>
  <si>
    <t>อ.ท่าอุเทน</t>
  </si>
  <si>
    <t>TFCNMA0164</t>
  </si>
  <si>
    <t>อ.โนนไทย โคราช</t>
  </si>
  <si>
    <t>0020276</t>
  </si>
  <si>
    <t>ธ. กรุงเทพ จำกัด (มหาชน) สาขา บ้านโป่ง</t>
  </si>
  <si>
    <t>PAKISTAN</t>
  </si>
  <si>
    <t>อ.ธาตุพนม</t>
  </si>
  <si>
    <t>TFCNMA0165</t>
  </si>
  <si>
    <t>อ.หนองบุญมาก โคราช</t>
  </si>
  <si>
    <t>0020277</t>
  </si>
  <si>
    <t>ธ. กรุงเทพ จำกัด (มหาชน) สาขา ระยอง</t>
  </si>
  <si>
    <t>BANGLADESH</t>
  </si>
  <si>
    <t>อ.นาแก</t>
  </si>
  <si>
    <t>TFCNMA0166</t>
  </si>
  <si>
    <t>อ.ปากช่อง โคราช</t>
  </si>
  <si>
    <t>0020278</t>
  </si>
  <si>
    <t>ธ. กรุงเทพ จำกัด (มหาชน) สาขา เพชรบุรี</t>
  </si>
  <si>
    <t>INDIA</t>
  </si>
  <si>
    <t>อ.นาทม</t>
  </si>
  <si>
    <t>TFCNMA0167</t>
  </si>
  <si>
    <t>อ.ปักธงชัย โคราช</t>
  </si>
  <si>
    <t>0020279</t>
  </si>
  <si>
    <t>ธ. กรุงเทพ จำกัด (มหาชน) สาขา ศรีราชา</t>
  </si>
  <si>
    <t>NEPAL</t>
  </si>
  <si>
    <t>อ.นาหว้า</t>
  </si>
  <si>
    <t>TFCNMA0168</t>
  </si>
  <si>
    <t>อ.พิมาย โคราช</t>
  </si>
  <si>
    <t>0020280</t>
  </si>
  <si>
    <t>ธ. กรุงเทพ จำกัด (มหาชน) สาขา กระบี่</t>
  </si>
  <si>
    <t>MALDIVES</t>
  </si>
  <si>
    <t>อ.บ้านแพง</t>
  </si>
  <si>
    <t>TFCNMA0169</t>
  </si>
  <si>
    <t>อ.พระทองคำ โคราช</t>
  </si>
  <si>
    <t>0020281</t>
  </si>
  <si>
    <t>ธ. กรุงเทพ จำกัด (มหาชน) สาขา นครสวรรค์</t>
  </si>
  <si>
    <t>BHUTAN</t>
  </si>
  <si>
    <t>อ.ปลาปาก</t>
  </si>
  <si>
    <t>TFCNMA0170</t>
  </si>
  <si>
    <t>อ.ประทาย โคราช</t>
  </si>
  <si>
    <t>0020282</t>
  </si>
  <si>
    <t>ธ. กรุงเทพ จำกัด (มหาชน) สาขา ทับสะแก</t>
  </si>
  <si>
    <t>LEBANON</t>
  </si>
  <si>
    <t>อ.โพนสวรรค์</t>
  </si>
  <si>
    <t>TFCNMA0171</t>
  </si>
  <si>
    <t>อ.สีดา โคราช</t>
  </si>
  <si>
    <t>0020283</t>
  </si>
  <si>
    <t>ธ. กรุงเทพ จำกัด (มหาชน) สาขา ฉะเชิงเทรา</t>
  </si>
  <si>
    <t>U.A.E.</t>
  </si>
  <si>
    <t>อ.เมืองนครพนม</t>
  </si>
  <si>
    <t>TFCNMA0172</t>
  </si>
  <si>
    <t>อ.สีคิ้ว โคราช</t>
  </si>
  <si>
    <t>0020284</t>
  </si>
  <si>
    <t>ธ. กรุงเทพ จำกัด (มหาชน) สาขา อุดรธานี</t>
  </si>
  <si>
    <t>SYRIA</t>
  </si>
  <si>
    <t>อ.เรณูนคร</t>
  </si>
  <si>
    <t>TFCNMA0173</t>
  </si>
  <si>
    <t>อ.เสิงสาง โคราช</t>
  </si>
  <si>
    <t>0020285</t>
  </si>
  <si>
    <t>ธ. กรุงเทพ จำกัด (มหาชน) สาขา นครราชสีมา</t>
  </si>
  <si>
    <t>IRAN</t>
  </si>
  <si>
    <t>อ.วังยาง</t>
  </si>
  <si>
    <t>TFCNMA0174</t>
  </si>
  <si>
    <t>อ.สูงเนิน โคราช</t>
  </si>
  <si>
    <t>0020286</t>
  </si>
  <si>
    <t>ธ. กรุงเทพ จำกัด (มหาชน) สาขา สี่แยกกบินทร์บุรี</t>
  </si>
  <si>
    <t>SAUDI ARABIA</t>
  </si>
  <si>
    <t>อ.ศรีสงคราม</t>
  </si>
  <si>
    <t>TFCNMA0175</t>
  </si>
  <si>
    <t>อ.เทพารักษ์ โคราช</t>
  </si>
  <si>
    <t>0020287</t>
  </si>
  <si>
    <t>ธ. กรุงเทพ จำกัด (มหาชน) สาขา บ้านแพ้ว</t>
  </si>
  <si>
    <t>CHINA</t>
  </si>
  <si>
    <t>อ.แก้งสนามนาง</t>
  </si>
  <si>
    <t>TFCNMA0176</t>
  </si>
  <si>
    <t>อ.วังน้ำเขียว โคราช</t>
  </si>
  <si>
    <t>0020288</t>
  </si>
  <si>
    <t>ธ. กรุงเทพ จำกัด (มหาชน) สาขา ตะพานหิน</t>
  </si>
  <si>
    <t>JAPAN</t>
  </si>
  <si>
    <t>อ.ขามทะเลสอ</t>
  </si>
  <si>
    <t>TFCNPM0133</t>
  </si>
  <si>
    <t>อ.บ้านแพง นครพนม</t>
  </si>
  <si>
    <t>0020289</t>
  </si>
  <si>
    <t>ธ. กรุงเทพ จำกัด (มหาชน) สาขา ลพบุรี</t>
  </si>
  <si>
    <t>HONG KONG</t>
  </si>
  <si>
    <t>อ.ขามสะแกแสง</t>
  </si>
  <si>
    <t>TFCNPM0134</t>
  </si>
  <si>
    <t>0020290</t>
  </si>
  <si>
    <t>ธ. กรุงเทพ จำกัด (มหาชน) สาขา จันทบุรี</t>
  </si>
  <si>
    <t>COOK ISLANDS</t>
  </si>
  <si>
    <t>อ.คง</t>
  </si>
  <si>
    <t>TFCNPM0135</t>
  </si>
  <si>
    <t>อ.นาแก นครพนม</t>
  </si>
  <si>
    <t>0020291</t>
  </si>
  <si>
    <t>ธ. กรุงเทพ จำกัด (มหาชน) สาขา ระนอง</t>
  </si>
  <si>
    <t>GHANA</t>
  </si>
  <si>
    <t>อ.ครบุรี</t>
  </si>
  <si>
    <t>TFCNPM0136</t>
  </si>
  <si>
    <t>อ.นาทม นครพนม</t>
  </si>
  <si>
    <t>0020292</t>
  </si>
  <si>
    <t>ธ. กรุงเทพ จำกัด (มหาชน) สาขา ราชบุรี</t>
  </si>
  <si>
    <t>NETHERLANDS ANTILLES</t>
  </si>
  <si>
    <t>อ.จักราช</t>
  </si>
  <si>
    <t>TFCNPM0137</t>
  </si>
  <si>
    <t>อ.นาหว้า นครพนม</t>
  </si>
  <si>
    <t>0020293</t>
  </si>
  <si>
    <t>ธ. กรุงเทพ จำกัด (มหาชน) สาขา อุตรดิตถ์</t>
  </si>
  <si>
    <t>MAURITIUS</t>
  </si>
  <si>
    <t>TFCNPM0138</t>
  </si>
  <si>
    <t>อ.โพนสวรรค์ นครพนม</t>
  </si>
  <si>
    <t>0020294</t>
  </si>
  <si>
    <t>ธ. กรุงเทพ จำกัด (มหาชน) สาขา นครศรีธรรมราช</t>
  </si>
  <si>
    <t>NIGERIA</t>
  </si>
  <si>
    <t>อ.ชุมพวง</t>
  </si>
  <si>
    <t>TFCNPM0139</t>
  </si>
  <si>
    <t>อ.ปลาปาก นครพนม</t>
  </si>
  <si>
    <t>0020295</t>
  </si>
  <si>
    <t>ธ. กรุงเทพ จำกัด (มหาชน) สาขา พะเยา</t>
  </si>
  <si>
    <t>UNITED OF KINGDOM</t>
  </si>
  <si>
    <t>อ.โชคชัย</t>
  </si>
  <si>
    <t>TFCNPM0140</t>
  </si>
  <si>
    <t>อ.เรณูนคร นครพนม</t>
  </si>
  <si>
    <t>0020296</t>
  </si>
  <si>
    <t>ธ. กรุงเทพ จำกัด (มหาชน) สาขา สุราษฎร์ธานี</t>
  </si>
  <si>
    <t>AUSTRALIA</t>
  </si>
  <si>
    <t>อ.ด่านขุนทด</t>
  </si>
  <si>
    <t>TFCNPM0141</t>
  </si>
  <si>
    <t>อ.ศรีสงคราม นครพนม</t>
  </si>
  <si>
    <t>0020297</t>
  </si>
  <si>
    <t>ธ. กรุงเทพ จำกัด (มหาชน) สาขา บุรีรัมย์</t>
  </si>
  <si>
    <t>CAMEROON</t>
  </si>
  <si>
    <t>อ.เทพารักษ์</t>
  </si>
  <si>
    <t>TFCNPM0142</t>
  </si>
  <si>
    <t>อ.ท่าอุเทน นครพนม</t>
  </si>
  <si>
    <t>0020298</t>
  </si>
  <si>
    <t>ธ. กรุงเทพ จำกัด (มหาชน) สาขา มหาสารคาม</t>
  </si>
  <si>
    <t>ETHIOPIA</t>
  </si>
  <si>
    <t>อ.โนนแดง</t>
  </si>
  <si>
    <t>TFCNPM0143</t>
  </si>
  <si>
    <t>อ.ธาตุพนม นครพนม</t>
  </si>
  <si>
    <t>0020299</t>
  </si>
  <si>
    <t>ธ. กรุงเทพ จำกัด (มหาชน) สาขา หนองคาย</t>
  </si>
  <si>
    <t>อ.โนนไทย</t>
  </si>
  <si>
    <t>TFCNPM0144</t>
  </si>
  <si>
    <t>อ.วังยาง นครพนม</t>
  </si>
  <si>
    <t>0020300</t>
  </si>
  <si>
    <t>ธ. กรุงเทพ จำกัด (มหาชน) สาขา ชัยภูมิ</t>
  </si>
  <si>
    <t>อ.โนนสูง</t>
  </si>
  <si>
    <t>TFCRET0192</t>
  </si>
  <si>
    <t>อ.อาจสามารถ ร้อยเอ็ด</t>
  </si>
  <si>
    <t>0020301</t>
  </si>
  <si>
    <t>ธ. กรุงเทพ จำกัด (มหาชน) สาขา สุรินทร์</t>
  </si>
  <si>
    <t>OEM 1</t>
  </si>
  <si>
    <t>อ.บัวลาย</t>
  </si>
  <si>
    <t>TFCRET0193</t>
  </si>
  <si>
    <t>อ.จังหาร ร้อยเอ็ด</t>
  </si>
  <si>
    <t>0020302</t>
  </si>
  <si>
    <t>ธ. กรุงเทพ จำกัด (มหาชน) สาขา ชุมพร</t>
  </si>
  <si>
    <t>OEM 2</t>
  </si>
  <si>
    <t>อ.บัวใหญ่</t>
  </si>
  <si>
    <t>TFCRET0194</t>
  </si>
  <si>
    <t>อ.จตุรพักตรพิมาน</t>
  </si>
  <si>
    <t>0020303</t>
  </si>
  <si>
    <t>ธ. กรุงเทพ จำกัด (มหาชน) สาขา ตาก</t>
  </si>
  <si>
    <t>อ.บ้านเหลื่อม</t>
  </si>
  <si>
    <t>TFCRET0195</t>
  </si>
  <si>
    <t>อ.เชียงขวัญ ร้อยเอ็ด</t>
  </si>
  <si>
    <t>0020304</t>
  </si>
  <si>
    <t>ธ. กรุงเทพ จำกัด (มหาชน) สาขา แพร่</t>
  </si>
  <si>
    <t>อ.ประทาย</t>
  </si>
  <si>
    <t>TFCRET0196</t>
  </si>
  <si>
    <t>อ.เกษตรวิสัย ร้อยเอ็</t>
  </si>
  <si>
    <t>0020305</t>
  </si>
  <si>
    <t>ธ. กรุงเทพ จำกัด (มหาชน) สาขา นครนายก</t>
  </si>
  <si>
    <t>A11B01</t>
  </si>
  <si>
    <t>สมุทรสาคร บางแค</t>
  </si>
  <si>
    <t>อ.ปักธงชัย</t>
  </si>
  <si>
    <t>TFCRET0197</t>
  </si>
  <si>
    <t>อ.เมยวดี ร้อยเอ็ด</t>
  </si>
  <si>
    <t>0020306</t>
  </si>
  <si>
    <t>ธ. กรุงเทพ จำกัด (มหาชน) สาขา นครพนม</t>
  </si>
  <si>
    <t>A11B02</t>
  </si>
  <si>
    <t>ตลิ่งชัน สามพราน</t>
  </si>
  <si>
    <t>อ.ปากช่อง</t>
  </si>
  <si>
    <t>TFCRET0198</t>
  </si>
  <si>
    <t>อ.เมืองร้อยเอ็ด</t>
  </si>
  <si>
    <t>0020307</t>
  </si>
  <si>
    <t>ธ. กรุงเทพ จำกัด (มหาชน) สาขา สุพรรณบุรี</t>
  </si>
  <si>
    <t>A11B03</t>
  </si>
  <si>
    <t>นนทบุรี บางพลัด</t>
  </si>
  <si>
    <t>อ.พระทองคำ</t>
  </si>
  <si>
    <t>TFCRET0199</t>
  </si>
  <si>
    <t>อ.เมืองสรวง ร้อยเอ็ด</t>
  </si>
  <si>
    <t>0020308</t>
  </si>
  <si>
    <t>ธ. กรุงเทพ จำกัด (มหาชน) สาขา สมุทรสาคร</t>
  </si>
  <si>
    <t>A11B04</t>
  </si>
  <si>
    <t>ลาดพร้าว บางซื่อ</t>
  </si>
  <si>
    <t>อ.พิมาย</t>
  </si>
  <si>
    <t>TFCRET0200</t>
  </si>
  <si>
    <t>อ.หนองฮี ร้อยเอ็ด</t>
  </si>
  <si>
    <t>0020309</t>
  </si>
  <si>
    <t>ธ. กรุงเทพ จำกัด (มหาชน) สาขา กำแพงเพชร</t>
  </si>
  <si>
    <t>A12B01</t>
  </si>
  <si>
    <t>ยานนาวา บางนา</t>
  </si>
  <si>
    <t>TFCRET0201</t>
  </si>
  <si>
    <t>อ.หนองพอก ร้อยเอ็ด</t>
  </si>
  <si>
    <t>0020310</t>
  </si>
  <si>
    <t>ธ. กรุงเทพ จำกัด (มหาชน) สาขา ตาคลี</t>
  </si>
  <si>
    <t>A12B02</t>
  </si>
  <si>
    <t>สมุทรปราการ ธนบุรี</t>
  </si>
  <si>
    <t>อ.เมืองยาง</t>
  </si>
  <si>
    <t>TFCRET0202</t>
  </si>
  <si>
    <t>อ.ปทุมรัตต์ ร้อยเอ็ด</t>
  </si>
  <si>
    <t>0020311</t>
  </si>
  <si>
    <t>ธ. กรุงเทพ จำกัด (มหาชน) สาขา โคกสำโรง</t>
  </si>
  <si>
    <t>A12B03</t>
  </si>
  <si>
    <t>มีนบุรี สวนหลวง</t>
  </si>
  <si>
    <t>อ.ลำทะเมนชัย</t>
  </si>
  <si>
    <t>TFCRET0203</t>
  </si>
  <si>
    <t>อ.พนมไพร ร้อยเอ็ด</t>
  </si>
  <si>
    <t>0020312</t>
  </si>
  <si>
    <t>ธ. กรุงเทพ จำกัด (มหาชน) สาขา มุกดาหาร</t>
  </si>
  <si>
    <t>A12B04</t>
  </si>
  <si>
    <t>ปทุมธานี สายไหม</t>
  </si>
  <si>
    <t>อ.วังน้ำเขียว</t>
  </si>
  <si>
    <t>TFCRET0204</t>
  </si>
  <si>
    <t>อ.โพธิ์ชัย ร้อยเอ็ด</t>
  </si>
  <si>
    <t>0020313</t>
  </si>
  <si>
    <t>ธ. กรุงเทพ จำกัด (มหาชน) สาขา กันตัง</t>
  </si>
  <si>
    <t>A13C01</t>
  </si>
  <si>
    <t>ชลบุรี สัตหีบ</t>
  </si>
  <si>
    <t>อ.สีคิ้ว</t>
  </si>
  <si>
    <t>TFCRET0205</t>
  </si>
  <si>
    <t>อ.โพนทราย ร้อยเอ็ด</t>
  </si>
  <si>
    <t>0020314</t>
  </si>
  <si>
    <t>ธ. กรุงเทพ จำกัด (มหาชน) สาขา สิงห์บุรี</t>
  </si>
  <si>
    <t>A13C02</t>
  </si>
  <si>
    <t>ระยอง ชลบุรี</t>
  </si>
  <si>
    <t>อ.สีดา</t>
  </si>
  <si>
    <t>TFCRET0206</t>
  </si>
  <si>
    <t>อ.โพนทอง ร้อยเอ็ด</t>
  </si>
  <si>
    <t>0020315</t>
  </si>
  <si>
    <t>ธ. กรุงเทพ จำกัด (มหาชน) สาขา กาฬสินธุ์</t>
  </si>
  <si>
    <t>A13C03</t>
  </si>
  <si>
    <t>จันทฯ ตราด สระแก้ว</t>
  </si>
  <si>
    <t>อ.สูงเนิน</t>
  </si>
  <si>
    <t>TFCRET0207</t>
  </si>
  <si>
    <t>อ.เสลภูมิ ร้อยเอ็ด</t>
  </si>
  <si>
    <t>0020316</t>
  </si>
  <si>
    <t>ธ. กรุงเทพ จำกัด (มหาชน) สาขา สกลนคร</t>
  </si>
  <si>
    <t>A13C04</t>
  </si>
  <si>
    <t>ฉะเชิงเทรา ปราจีนฯ</t>
  </si>
  <si>
    <t>อ.เสิงสาง</t>
  </si>
  <si>
    <t>TFCRET0208</t>
  </si>
  <si>
    <t>อ.ศรีสมเด็จ ร้อยเอ็ด</t>
  </si>
  <si>
    <t>0020317</t>
  </si>
  <si>
    <t>ธ. กรุงเทพ จำกัด (มหาชน) สาขา หลังสวน</t>
  </si>
  <si>
    <t>A14C01</t>
  </si>
  <si>
    <t>ชัยนาทสุพรรณ อ่างทอง</t>
  </si>
  <si>
    <t>อ.หนองบุญมาก</t>
  </si>
  <si>
    <t>TFCRET0209</t>
  </si>
  <si>
    <t>อ.สุวรรณภูมิ ร้อยเอ็</t>
  </si>
  <si>
    <t>0020318</t>
  </si>
  <si>
    <t>ธ. กรุงเทพ จำกัด (มหาชน) สาขา พัทลุง</t>
  </si>
  <si>
    <t>A14C02</t>
  </si>
  <si>
    <t>นครปฐม ราชบุรี</t>
  </si>
  <si>
    <t>อ.ห้วยแถลง</t>
  </si>
  <si>
    <t>TFCRET0210</t>
  </si>
  <si>
    <t>อ.ธวัชบุรี ร้อยเอ็ด</t>
  </si>
  <si>
    <t>0020319</t>
  </si>
  <si>
    <t>ธ. กรุงเทพ จำกัด (มหาชน) สาขา สตูล</t>
  </si>
  <si>
    <t>A14C03</t>
  </si>
  <si>
    <t>กาญฯ เพชรฯ ประจวบฯ</t>
  </si>
  <si>
    <t>อ.ขนอม</t>
  </si>
  <si>
    <t>TFCRET0211</t>
  </si>
  <si>
    <t>อ.ทุ่งเขาหลวง</t>
  </si>
  <si>
    <t>0020320</t>
  </si>
  <si>
    <t>ธ. กรุงเทพ จำกัด (มหาชน) สาขา พนมสารคาม</t>
  </si>
  <si>
    <t>A14C04</t>
  </si>
  <si>
    <t>อยุธยาสระบุรี ลพบุรี</t>
  </si>
  <si>
    <t>อ.จุฬาภรณ์</t>
  </si>
  <si>
    <t>TFCSNK0212</t>
  </si>
  <si>
    <t>อ.อากาศอำนวย สกลนคร</t>
  </si>
  <si>
    <t>0020321</t>
  </si>
  <si>
    <t>ธ. กรุงเทพ จำกัด (มหาชน) สาขา ประจวบคีรีขันธ์</t>
  </si>
  <si>
    <t>A15E01</t>
  </si>
  <si>
    <t>ขอนแก่น ชัยภูมิ</t>
  </si>
  <si>
    <t>อ.ฉวาง</t>
  </si>
  <si>
    <t>TFCSNK0213</t>
  </si>
  <si>
    <t>อ.บ้านม่วง สกลนคร</t>
  </si>
  <si>
    <t>0020322</t>
  </si>
  <si>
    <t>ธ. กรุงเทพ จำกัด (มหาชน) สาขา อยุธยา</t>
  </si>
  <si>
    <t>A15E02</t>
  </si>
  <si>
    <t>ร้อยเอ็ด มหาสารคาม</t>
  </si>
  <si>
    <t>TFCSNK0214</t>
  </si>
  <si>
    <t>อ.เจริญศิลป์ สกลนคร</t>
  </si>
  <si>
    <t>0020323</t>
  </si>
  <si>
    <t>ธ. กรุงเทพ จำกัด (มหาชน) สาขา พิจิตร</t>
  </si>
  <si>
    <t>A15E03</t>
  </si>
  <si>
    <t>อุดรฯ เลย หนองบัวฯ</t>
  </si>
  <si>
    <t>อ.ชะอวด</t>
  </si>
  <si>
    <t>TFCSNK0215</t>
  </si>
  <si>
    <t>อ.คำตากล้า สกลนคร</t>
  </si>
  <si>
    <t>0020324</t>
  </si>
  <si>
    <t>ธ. กรุงเทพ จำกัด (มหาชน) สาขา ท่ายาง</t>
  </si>
  <si>
    <t>A15E04</t>
  </si>
  <si>
    <t>สกลนคร หนองคาย</t>
  </si>
  <si>
    <t>อ.ช้างกลาง</t>
  </si>
  <si>
    <t>TFCSNK0216</t>
  </si>
  <si>
    <t>อ.โคกศรีสุพรรณ สกลนค</t>
  </si>
  <si>
    <t>0020325</t>
  </si>
  <si>
    <t>ธ. กรุงเทพ จำกัด (มหาชน) สาขา หล่มสัก</t>
  </si>
  <si>
    <t>A15E05</t>
  </si>
  <si>
    <t>อ.เชียรใหญ่</t>
  </si>
  <si>
    <t>TFCSNK0217</t>
  </si>
  <si>
    <t>อ.กุสุมาลย์ สกลนคร</t>
  </si>
  <si>
    <t>0020326</t>
  </si>
  <si>
    <t>ธ. กรุงเทพ จำกัด (มหาชน) สาขา สวรรคโลก</t>
  </si>
  <si>
    <t>A15E06</t>
  </si>
  <si>
    <t>เมืองโคราช บุรีรัมย์</t>
  </si>
  <si>
    <t>อ.ถ้ำพรรณรา</t>
  </si>
  <si>
    <t>TFCSNK0218</t>
  </si>
  <si>
    <t>อ.กุดบาก สกลนคร</t>
  </si>
  <si>
    <t>0020327</t>
  </si>
  <si>
    <t>ธ. กรุงเทพ จำกัด (มหาชน) สาขา กาญจนบุรี</t>
  </si>
  <si>
    <t>A15E07</t>
  </si>
  <si>
    <t>ศรีสะเกษ สุรินทร์</t>
  </si>
  <si>
    <t>อ.ท่าศาลา</t>
  </si>
  <si>
    <t>TFCSNK0219</t>
  </si>
  <si>
    <t>อ.เมืองสกลนคร สกลนคร</t>
  </si>
  <si>
    <t>0020328</t>
  </si>
  <si>
    <t>ธ. กรุงเทพ จำกัด (มหาชน) สาขา แม่สอด</t>
  </si>
  <si>
    <t>A15E08</t>
  </si>
  <si>
    <t>อุบลฯ มุกดาหาร ยโสธร</t>
  </si>
  <si>
    <t>อ.ทุ่งสง</t>
  </si>
  <si>
    <t>TFCSNK0220</t>
  </si>
  <si>
    <t>อ.นิคมน้ำอูน สกลนคร</t>
  </si>
  <si>
    <t>0020329</t>
  </si>
  <si>
    <t>ธ. กรุงเทพ จำกัด (มหาชน) สาขา แกลง</t>
  </si>
  <si>
    <t>A16N01</t>
  </si>
  <si>
    <t>อ.ทุ่งใหญ่</t>
  </si>
  <si>
    <t>TFCSNK0221</t>
  </si>
  <si>
    <t>อ.พังโคน สกลนคร</t>
  </si>
  <si>
    <t>0020330</t>
  </si>
  <si>
    <t>ธ. กรุงเทพ จำกัด (มหาชน) สาขา อุทัยธานี</t>
  </si>
  <si>
    <t>A16N02</t>
  </si>
  <si>
    <t>พะเยา ลำปาง ลำพูน</t>
  </si>
  <si>
    <t>อ.นบพิตำ</t>
  </si>
  <si>
    <t>TFCSNK0222</t>
  </si>
  <si>
    <t>อ.พรรณานิคม สกลนคร</t>
  </si>
  <si>
    <t>0020331</t>
  </si>
  <si>
    <t>ธ. กรุงเทพ จำกัด (มหาชน) สาขา ปากช่อง</t>
  </si>
  <si>
    <t>A16N03</t>
  </si>
  <si>
    <t>อุตรดิตถ์ แพร่ น่าน</t>
  </si>
  <si>
    <t>TFCSNK0223</t>
  </si>
  <si>
    <t>อ.โพนนาแก้ว สกลนคร</t>
  </si>
  <si>
    <t>0020332</t>
  </si>
  <si>
    <t>ธ. กรุงเทพ จำกัด (มหาชน) สาขา เลย</t>
  </si>
  <si>
    <t>A16N04</t>
  </si>
  <si>
    <t>อ.นาบอน</t>
  </si>
  <si>
    <t>TFCSNK0224</t>
  </si>
  <si>
    <t>อ.ภูพาน สกลนคร</t>
  </si>
  <si>
    <t>0020333</t>
  </si>
  <si>
    <t>ธ. กรุงเทพ จำกัด (มหาชน) สาขา ศรีสะเกษ</t>
  </si>
  <si>
    <t>A16N05</t>
  </si>
  <si>
    <t>นครสวรรค์ อุทัยธานี</t>
  </si>
  <si>
    <t>อ.บางขัน</t>
  </si>
  <si>
    <t>TFCSNK0225</t>
  </si>
  <si>
    <t>อ.สว่างแดนดิน สกลนคร</t>
  </si>
  <si>
    <t>0020334</t>
  </si>
  <si>
    <t>ธ. กรุงเทพ จำกัด (มหาชน) สาขา ลำพูน</t>
  </si>
  <si>
    <t>A16N06</t>
  </si>
  <si>
    <t>พิษณุโลก เพชรบูรณ์</t>
  </si>
  <si>
    <t>อ.ปากพนัง</t>
  </si>
  <si>
    <t>TFCSNK0226</t>
  </si>
  <si>
    <t>อ.ส่องดาว สกลนคร</t>
  </si>
  <si>
    <t>0020335</t>
  </si>
  <si>
    <t>ธ. กรุงเทพ จำกัด (มหาชน) สาขา ปากพนัง</t>
  </si>
  <si>
    <t>A16N07</t>
  </si>
  <si>
    <t>พิจิตร กำแพงเพชร ตาก</t>
  </si>
  <si>
    <t>อ.พรหมคีรี</t>
  </si>
  <si>
    <t>TFCSNK0227</t>
  </si>
  <si>
    <t>อ.เต่างอย สกลนคร</t>
  </si>
  <si>
    <t>0020336</t>
  </si>
  <si>
    <t>ธ. กรุงเทพ จำกัด (มหาชน) สาขา ตราด</t>
  </si>
  <si>
    <t>A17S01</t>
  </si>
  <si>
    <t>สุราษฏร์ธานี ชุมพร</t>
  </si>
  <si>
    <t>อ.พระพรหม</t>
  </si>
  <si>
    <t>TFCSNK0228</t>
  </si>
  <si>
    <t>อ.วานรนิวาส สกลนคร</t>
  </si>
  <si>
    <t>0020337</t>
  </si>
  <si>
    <t>ธ. กรุงเทพ จำกัด (มหาชน) สาขา น่าน</t>
  </si>
  <si>
    <t>A17S02</t>
  </si>
  <si>
    <t>กระบี่ พังงา ระนอง</t>
  </si>
  <si>
    <t>อ.พิปูน</t>
  </si>
  <si>
    <t>TFCSNK0229</t>
  </si>
  <si>
    <t>อ.วาริชภูมิ สกลนคร</t>
  </si>
  <si>
    <t>0020338</t>
  </si>
  <si>
    <t>ธ. กรุงเทพ จำกัด (มหาชน) สาขา นราธิวาส</t>
  </si>
  <si>
    <t>A17S03</t>
  </si>
  <si>
    <t>อ.เมืองนครศรีธรรมราช</t>
  </si>
  <si>
    <t>TFCSRN0252</t>
  </si>
  <si>
    <t>อ.บัวเชด สุรินทร์</t>
  </si>
  <si>
    <t>0020339</t>
  </si>
  <si>
    <t>ธ. กรุงเทพ จำกัด (มหาชน) สาขา ถนนมิตรภาพ</t>
  </si>
  <si>
    <t>A17S04</t>
  </si>
  <si>
    <t>อ.ร่อนพิบูลย์</t>
  </si>
  <si>
    <t>TFCSRN0253</t>
  </si>
  <si>
    <t>อ.จอมพระ สุรินทร์</t>
  </si>
  <si>
    <t>0020340</t>
  </si>
  <si>
    <t>ธ. กรุงเทพ จำกัด (มหาชน) สาขา กิโลศูนย์</t>
  </si>
  <si>
    <t>A17S05</t>
  </si>
  <si>
    <t>สงขลา ปัตตานี ยะลา</t>
  </si>
  <si>
    <t>อ.ลานสกา</t>
  </si>
  <si>
    <t>TFCSRN0254</t>
  </si>
  <si>
    <t>อ.ชุมพลบุรี สุรินทร์</t>
  </si>
  <si>
    <t>0020341</t>
  </si>
  <si>
    <t>ธ. กรุงเทพ จำกัด (มหาชน) สาขา สัตหีบ</t>
  </si>
  <si>
    <t>A17S06</t>
  </si>
  <si>
    <t>ตรัง พัทลุง สตูล</t>
  </si>
  <si>
    <t>อ.สิชล</t>
  </si>
  <si>
    <t>TFCSRN0255</t>
  </si>
  <si>
    <t>อ.กาบเชิง สุรินทร์</t>
  </si>
  <si>
    <t>0020342</t>
  </si>
  <si>
    <t>ธ. กรุงเทพ จำกัด (มหาชน) สาขา บางละมุง</t>
  </si>
  <si>
    <t>A21001</t>
  </si>
  <si>
    <t>HMPRO-MGH</t>
  </si>
  <si>
    <t>อ.หัวไทร</t>
  </si>
  <si>
    <t>TFCSRN0256</t>
  </si>
  <si>
    <t>อ.เขวาสินรินทร์</t>
  </si>
  <si>
    <t>0020343</t>
  </si>
  <si>
    <t>ธ. กรุงเทพ จำกัด (มหาชน) สาขา พนัสนิคม</t>
  </si>
  <si>
    <t>A21002</t>
  </si>
  <si>
    <t>BTV</t>
  </si>
  <si>
    <t>อ.เก้าเลี้ยว</t>
  </si>
  <si>
    <t>TFCSRN0257</t>
  </si>
  <si>
    <t>อ.ลำดวน สุรินทร์</t>
  </si>
  <si>
    <t>0020344</t>
  </si>
  <si>
    <t>ธ. กรุงเทพ จำกัด (มหาชน) สาขา หาดใหญ่ ย่านถนนเพชรเกษม</t>
  </si>
  <si>
    <t>A22001</t>
  </si>
  <si>
    <t>TWD-BTV</t>
  </si>
  <si>
    <t>อ.โกรกพระ</t>
  </si>
  <si>
    <t>TFCSRN0258</t>
  </si>
  <si>
    <t>อ.เมืองสุรินทร์</t>
  </si>
  <si>
    <t>0020345</t>
  </si>
  <si>
    <t>ธ. กรุงเทพ จำกัด (มหาชน) สาขา ลำนารายณ์</t>
  </si>
  <si>
    <t>A22002</t>
  </si>
  <si>
    <t>GBH</t>
  </si>
  <si>
    <t>อ.ชุมตาบง</t>
  </si>
  <si>
    <t>TFCSRN0259</t>
  </si>
  <si>
    <t>อ.โนนนารายณ์ สุรินทร</t>
  </si>
  <si>
    <t>0020346</t>
  </si>
  <si>
    <t>ธ. กรุงเทพ จำกัด (มหาชน) สาขา ชุมแพ</t>
  </si>
  <si>
    <t>A31001</t>
  </si>
  <si>
    <t>โครงการนครหลวง 01</t>
  </si>
  <si>
    <t>อ.ชุมแสง</t>
  </si>
  <si>
    <t>TFCSRN0260</t>
  </si>
  <si>
    <t>อ.พนมดงรัก สุรินทร์</t>
  </si>
  <si>
    <t>0020347</t>
  </si>
  <si>
    <t>ธ. กรุงเทพ จำกัด (มหาชน) สาขา เนินเต็ง</t>
  </si>
  <si>
    <t>A31002</t>
  </si>
  <si>
    <t>โครงการนครหลวง 02</t>
  </si>
  <si>
    <t>อ.ตากฟ้า</t>
  </si>
  <si>
    <t>TFCSRN0261</t>
  </si>
  <si>
    <t>อ.ปราสาท สุรินทร์</t>
  </si>
  <si>
    <t>0020348</t>
  </si>
  <si>
    <t>ธ. กรุงเทพ จำกัด (มหาชน) สาขา ท่าเรือ กาญจนบุรี</t>
  </si>
  <si>
    <t>A31003</t>
  </si>
  <si>
    <t>โครงการนครหลวง 03</t>
  </si>
  <si>
    <t>อ.ตาคลี</t>
  </si>
  <si>
    <t>TFCSRN0262</t>
  </si>
  <si>
    <t>อ.รัตนบุรี สุรินทร์</t>
  </si>
  <si>
    <t>0020349</t>
  </si>
  <si>
    <t>ธ. กรุงเทพ จำกัด (มหาชน) สาขา ทุ่งสง</t>
  </si>
  <si>
    <t>A31004</t>
  </si>
  <si>
    <t>โครงการนครหลวง 04</t>
  </si>
  <si>
    <t>อ.ท่าตะโก</t>
  </si>
  <si>
    <t>TFCSRN0263</t>
  </si>
  <si>
    <t>อ.สำโรงทาบ สุรินทร์</t>
  </si>
  <si>
    <t>0020350</t>
  </si>
  <si>
    <t>ธ. กรุงเทพ จำกัด (มหาชน) สาขา โพธาราม</t>
  </si>
  <si>
    <t>A31005</t>
  </si>
  <si>
    <t>โครงการนครหลวง 05</t>
  </si>
  <si>
    <t>อ.บรรพตพิสัย</t>
  </si>
  <si>
    <t>TFCSRN0264</t>
  </si>
  <si>
    <t>อ.สังขะ สุรินทร์</t>
  </si>
  <si>
    <t>0020351</t>
  </si>
  <si>
    <t>ธ. กรุงเทพ จำกัด (มหาชน) สาขา กันทรลักษ์</t>
  </si>
  <si>
    <t>A31006</t>
  </si>
  <si>
    <t>โครงการนครหลวง 06</t>
  </si>
  <si>
    <t>อ.พยุหะคีรี</t>
  </si>
  <si>
    <t>TFCSRN0265</t>
  </si>
  <si>
    <t>อ.สนม สุรินทร์</t>
  </si>
  <si>
    <t>0020352</t>
  </si>
  <si>
    <t>ธ. กรุงเทพ จำกัด (มหาชน) สาขา เดชอุดม</t>
  </si>
  <si>
    <t>A31007</t>
  </si>
  <si>
    <t>โครงการนครหลวง 07</t>
  </si>
  <si>
    <t>อ.ไพศาลี</t>
  </si>
  <si>
    <t>TFCSRN0266</t>
  </si>
  <si>
    <t>อ.ศรีณรงค์ สุรินทร์</t>
  </si>
  <si>
    <t>0020353</t>
  </si>
  <si>
    <t>ธ. กรุงเทพ จำกัด (มหาชน) สาขา บ้านบึง</t>
  </si>
  <si>
    <t>A31008</t>
  </si>
  <si>
    <t>โครงการนครหลวง 08</t>
  </si>
  <si>
    <t>อ.เมืองนครสวรรค์</t>
  </si>
  <si>
    <t>TFCSRN0267</t>
  </si>
  <si>
    <t>อ.ศีขรภูมิ สุรินทร์</t>
  </si>
  <si>
    <t>0020354</t>
  </si>
  <si>
    <t>ธ. กรุงเทพ จำกัด (มหาชน) สาขา หัวหิน</t>
  </si>
  <si>
    <t>A31009</t>
  </si>
  <si>
    <t>โครงการนครหลวง 09</t>
  </si>
  <si>
    <t>อ.แม่เปิน</t>
  </si>
  <si>
    <t>TFCSRN0268</t>
  </si>
  <si>
    <t>อ.ท่าตูม สุรินทร์</t>
  </si>
  <si>
    <t>0020355</t>
  </si>
  <si>
    <t>ธ. กรุงเทพ จำกัด (มหาชน) สาขา บ้านหมี่</t>
  </si>
  <si>
    <t>A31010</t>
  </si>
  <si>
    <t>โครงการนครหลวง 10</t>
  </si>
  <si>
    <t>อ.แม่วงก์</t>
  </si>
  <si>
    <t>TFCSSK0230</t>
  </si>
  <si>
    <t>อ.เบญจลักษ์ ศรีสะเกษ</t>
  </si>
  <si>
    <t>0020356</t>
  </si>
  <si>
    <t>ธ. กรุงเทพ จำกัด (มหาชน) สาขา พิมาย</t>
  </si>
  <si>
    <t>A31011</t>
  </si>
  <si>
    <t>โครงการนครหลวง 11</t>
  </si>
  <si>
    <t>อ.ลาดยาว</t>
  </si>
  <si>
    <t>TFCSSK0231</t>
  </si>
  <si>
    <t>อ.บึงบูรพ์ ศรีสะเกษ</t>
  </si>
  <si>
    <t>0020357</t>
  </si>
  <si>
    <t>ธ. กรุงเทพ จำกัด (มหาชน) สาขา สันกำแพง</t>
  </si>
  <si>
    <t>A31012</t>
  </si>
  <si>
    <t>โครงการนครหลวง 12</t>
  </si>
  <si>
    <t>อ.หนองบัว</t>
  </si>
  <si>
    <t>TFCSSK0232</t>
  </si>
  <si>
    <t>อ.ห้วยทับทัน ศรีสะเก</t>
  </si>
  <si>
    <t>0020358</t>
  </si>
  <si>
    <t>ธ. กรุงเทพ จำกัด (มหาชน) สาขา แม่ริม</t>
  </si>
  <si>
    <t>A31013</t>
  </si>
  <si>
    <t>โครงการนครหลวง 13</t>
  </si>
  <si>
    <t>อ.ไทรน้อย</t>
  </si>
  <si>
    <t>TFCSSK0233</t>
  </si>
  <si>
    <t>อ.กันทรลักษ์ ศรีสะเก</t>
  </si>
  <si>
    <t>0020359</t>
  </si>
  <si>
    <t>ธ. กรุงเทพ จำกัด (มหาชน) สาขา กำแพงแสน</t>
  </si>
  <si>
    <t>A32001</t>
  </si>
  <si>
    <t>โครงการ IMAGICA 01</t>
  </si>
  <si>
    <t>อ.บางกรวย</t>
  </si>
  <si>
    <t>TFCSSK0234</t>
  </si>
  <si>
    <t>อ.กันทรารมย์ ศรีสะเก</t>
  </si>
  <si>
    <t>0020360</t>
  </si>
  <si>
    <t>ธ. กรุงเทพ จำกัด (มหาชน) สาขา วังทอง</t>
  </si>
  <si>
    <t>A32002</t>
  </si>
  <si>
    <t>โครงการ IMAGICA 02</t>
  </si>
  <si>
    <t>อ.บางบัวทอง</t>
  </si>
  <si>
    <t>TFCSSK0235</t>
  </si>
  <si>
    <t>อ.ขุขันธ์ ศรีสะเกษ</t>
  </si>
  <si>
    <t>0020361</t>
  </si>
  <si>
    <t>ธ. กรุงเทพ จำกัด (มหาชน) สาขา พาน</t>
  </si>
  <si>
    <t>A33001</t>
  </si>
  <si>
    <t>โครงการอุตสาหกรรม 01</t>
  </si>
  <si>
    <t>อ.บางใหญ่</t>
  </si>
  <si>
    <t>TFCSSK0236</t>
  </si>
  <si>
    <t>อ.ขุนหาญ ศรีสะเกษ</t>
  </si>
  <si>
    <t>0020362</t>
  </si>
  <si>
    <t>ธ. กรุงเทพ จำกัด (มหาชน) สาขา อำนาจเจริญ</t>
  </si>
  <si>
    <t>A33002</t>
  </si>
  <si>
    <t>โครงการอุตสาหกรรม 02</t>
  </si>
  <si>
    <t>อ.ปากเกร็ด</t>
  </si>
  <si>
    <t>TFCSSK0237</t>
  </si>
  <si>
    <t>อ.เมืองจันทร์ ศรีสะเ</t>
  </si>
  <si>
    <t>0020363</t>
  </si>
  <si>
    <t>ธ. กรุงเทพ จำกัด (มหาชน) สาขา พยุหะคีรี</t>
  </si>
  <si>
    <t>A33003</t>
  </si>
  <si>
    <t>โครงการอุตสาหกรรม 03</t>
  </si>
  <si>
    <t>อ.เมืองนนทบุรี</t>
  </si>
  <si>
    <t>TFCSSK0238</t>
  </si>
  <si>
    <t>อ.เมืองศรีสะเกษ</t>
  </si>
  <si>
    <t>0020364</t>
  </si>
  <si>
    <t>ธ. กรุงเทพ จำกัด (มหาชน) สาขา จอมบึง</t>
  </si>
  <si>
    <t>A41001</t>
  </si>
  <si>
    <t>อ.จะแนะ</t>
  </si>
  <si>
    <t>TFCSSK0239</t>
  </si>
  <si>
    <t>อ.น้ำเกลี้ยง ศรีสะเก</t>
  </si>
  <si>
    <t>0020365</t>
  </si>
  <si>
    <t>ธ. กรุงเทพ จำกัด (มหาชน) สาขา บางน้ำเปรี้ยว</t>
  </si>
  <si>
    <t>A51001</t>
  </si>
  <si>
    <t>อ.เจาะไอร้อง</t>
  </si>
  <si>
    <t>TFCSSK0240</t>
  </si>
  <si>
    <t>อ.โนนคูน ศรีสะเกษ</t>
  </si>
  <si>
    <t>0020366</t>
  </si>
  <si>
    <t>ธ. กรุงเทพ จำกัด (มหาชน) สาขา เพชรบูรณ์</t>
  </si>
  <si>
    <t>A61001</t>
  </si>
  <si>
    <t>อ.ตากใบ</t>
  </si>
  <si>
    <t>TFCSSK0241</t>
  </si>
  <si>
    <t>อ.พยุห์ ศรีสะเกษ</t>
  </si>
  <si>
    <t>0020367</t>
  </si>
  <si>
    <t>ธ. กรุงเทพ จำกัด (มหาชน) สาขา สันป่าตอง</t>
  </si>
  <si>
    <t>B21001</t>
  </si>
  <si>
    <t>อ.บาเจาะ</t>
  </si>
  <si>
    <t>TFCSSK0242</t>
  </si>
  <si>
    <t>อ.โพธิ์ศรีสุวรรณ</t>
  </si>
  <si>
    <t>0020368</t>
  </si>
  <si>
    <t>ธ. กรุงเทพ จำกัด (มหาชน) สาขา วิเศษชัยชาญ</t>
  </si>
  <si>
    <t>B31001</t>
  </si>
  <si>
    <t>Project North 1</t>
  </si>
  <si>
    <t>อ.เมืองนราธิวาส</t>
  </si>
  <si>
    <t>TFCSSK0243</t>
  </si>
  <si>
    <t>อ.ไพรบึง ศรีสะเกษ</t>
  </si>
  <si>
    <t>0020369</t>
  </si>
  <si>
    <t>ธ. กรุงเทพ จำกัด (มหาชน) สาขา กุมภวาปี</t>
  </si>
  <si>
    <t>B31002</t>
  </si>
  <si>
    <t>Project North 2</t>
  </si>
  <si>
    <t>อ.ยี่งอ</t>
  </si>
  <si>
    <t>TFCSSK0244</t>
  </si>
  <si>
    <t>อ.ภูสิงห์ ศรีสะเกษ</t>
  </si>
  <si>
    <t>0020370</t>
  </si>
  <si>
    <t>ธ. กรุงเทพ จำกัด (มหาชน) สาขา บ้านไผ่</t>
  </si>
  <si>
    <t>B31003</t>
  </si>
  <si>
    <t>Project North 3</t>
  </si>
  <si>
    <t>TFCSSK0245</t>
  </si>
  <si>
    <t>อ.ปรางค์กู่ ศรีสะเกษ</t>
  </si>
  <si>
    <t>0020371</t>
  </si>
  <si>
    <t>ธ. กรุงเทพ จำกัด (มหาชน) สาขา หลักสามบ้านแพ้ว</t>
  </si>
  <si>
    <t>B31005</t>
  </si>
  <si>
    <t>Project North 5</t>
  </si>
  <si>
    <t>อ.ระแงะ</t>
  </si>
  <si>
    <t>TFCSSK0246</t>
  </si>
  <si>
    <t>อ.ราษีไศล ศรีสะเกษ</t>
  </si>
  <si>
    <t>0020372</t>
  </si>
  <si>
    <t>ธ. กรุงเทพ จำกัด (มหาชน) สาขา บางมูลนาก</t>
  </si>
  <si>
    <t>B31006</t>
  </si>
  <si>
    <t>Project North 6</t>
  </si>
  <si>
    <t>อ.รือเสาะ</t>
  </si>
  <si>
    <t>TFCSSK0247</t>
  </si>
  <si>
    <t>อ.ศรีรัตนะ ศรีสะเกษ</t>
  </si>
  <si>
    <t>0020373</t>
  </si>
  <si>
    <t>ธ. กรุงเทพ จำกัด (มหาชน) สาขา ซับสมอทอด</t>
  </si>
  <si>
    <t>B32001</t>
  </si>
  <si>
    <t>Project South 1</t>
  </si>
  <si>
    <t>อ.แว้ง</t>
  </si>
  <si>
    <t>TFCSSK0248</t>
  </si>
  <si>
    <t>อ.ศิลาลาด ศรีสะเกษ</t>
  </si>
  <si>
    <t>0020374</t>
  </si>
  <si>
    <t>ธ. กรุงเทพ จำกัด (มหาชน) สาขา ฝาง</t>
  </si>
  <si>
    <t>B32002</t>
  </si>
  <si>
    <t>Project South 2</t>
  </si>
  <si>
    <t>TFCSSK0249</t>
  </si>
  <si>
    <t>อ.อุทุมพรพิสัย ศรีสะ</t>
  </si>
  <si>
    <t>0020375</t>
  </si>
  <si>
    <t>ธ. กรุงเทพ จำกัด (มหาชน) สาขา หันคา</t>
  </si>
  <si>
    <t>B32003</t>
  </si>
  <si>
    <t>Project South 3</t>
  </si>
  <si>
    <t>อ.ศรีสาคร</t>
  </si>
  <si>
    <t>TFCSSK0250</t>
  </si>
  <si>
    <t>อ.วังหิน ศรีสะเกษ</t>
  </si>
  <si>
    <t>0020376</t>
  </si>
  <si>
    <t>ธ. กรุงเทพ จำกัด (มหาชน) สาขา ปราจีนบุรี</t>
  </si>
  <si>
    <t>B32004</t>
  </si>
  <si>
    <t>Project South 4</t>
  </si>
  <si>
    <t>อ.สุคิริน</t>
  </si>
  <si>
    <t>TFCSSK0251</t>
  </si>
  <si>
    <t>อ.ยางชุมน้อย ศรีสะเก</t>
  </si>
  <si>
    <t>0020377</t>
  </si>
  <si>
    <t>ธ. กรุงเทพ จำกัด (มหาชน) สาขา สุโขทัย</t>
  </si>
  <si>
    <t>B32005</t>
  </si>
  <si>
    <t>Project South 8</t>
  </si>
  <si>
    <t>อ.สุไหงโก-ลก</t>
  </si>
  <si>
    <t>TFCUBN0269</t>
  </si>
  <si>
    <t>อ.บุณฑริก อุบลฯ</t>
  </si>
  <si>
    <t>0020378</t>
  </si>
  <si>
    <t>ธ. กรุงเทพ จำกัด (มหาชน) สาขา พังงา</t>
  </si>
  <si>
    <t>B32006</t>
  </si>
  <si>
    <t>Project South 9</t>
  </si>
  <si>
    <t>อ.สุไหงปาดี</t>
  </si>
  <si>
    <t>TFCUBN0270</t>
  </si>
  <si>
    <t>อ.เดชอุดม อุบลฯ</t>
  </si>
  <si>
    <t>0020379</t>
  </si>
  <si>
    <t>ธ. กรุงเทพ จำกัด (มหาชน) สาขา แม่ฮ่องสอน</t>
  </si>
  <si>
    <t>B32007</t>
  </si>
  <si>
    <t>Project South A</t>
  </si>
  <si>
    <t>อ.เชียงกลาง</t>
  </si>
  <si>
    <t>TFCUBN0271</t>
  </si>
  <si>
    <t>อ.ดอนมดแดง อุบลฯ</t>
  </si>
  <si>
    <t>0020380</t>
  </si>
  <si>
    <t>ธ. กรุงเทพ จำกัด (มหาชน) สาขา ขลุง</t>
  </si>
  <si>
    <t>B32008</t>
  </si>
  <si>
    <t>Project South 5</t>
  </si>
  <si>
    <t>อ.ท่าวังผา</t>
  </si>
  <si>
    <t>TFCUBN0272</t>
  </si>
  <si>
    <t>อ.เขมราฐ อุบลราชธานี</t>
  </si>
  <si>
    <t>0020381</t>
  </si>
  <si>
    <t>ธ. กรุงเทพ จำกัด (มหาชน) สาขา ชุมแสง</t>
  </si>
  <si>
    <t>B32009</t>
  </si>
  <si>
    <t>Project South 6</t>
  </si>
  <si>
    <t>อ.ทุ่งช้าง</t>
  </si>
  <si>
    <t>TFCUBN0273</t>
  </si>
  <si>
    <t>อ.โขงเจียม อุบลฯ</t>
  </si>
  <si>
    <t>0020382</t>
  </si>
  <si>
    <t>ธ. กรุงเทพ จำกัด (มหาชน) สาขา ชัยนาท</t>
  </si>
  <si>
    <t>B32010</t>
  </si>
  <si>
    <t>Project South 7</t>
  </si>
  <si>
    <t>อ.นาน้อย</t>
  </si>
  <si>
    <t>TFCUBN0274</t>
  </si>
  <si>
    <t>อ.เขื่องใน อุบลฯ</t>
  </si>
  <si>
    <t>0020383</t>
  </si>
  <si>
    <t>ธ. กรุงเทพ จำกัด (มหาชน) สาขา หนองมน</t>
  </si>
  <si>
    <t>B33001</t>
  </si>
  <si>
    <t>Project Central 1</t>
  </si>
  <si>
    <t>อ.นาหมื่น</t>
  </si>
  <si>
    <t>TFCUBN0275</t>
  </si>
  <si>
    <t>อ.กุดข้าวปุ้น อุบลฯ</t>
  </si>
  <si>
    <t>0020384</t>
  </si>
  <si>
    <t>ธ. กรุงเทพ จำกัด (มหาชน) สาขา อ่างทอง</t>
  </si>
  <si>
    <t>B41001</t>
  </si>
  <si>
    <t>อ.บ่อเกลือ</t>
  </si>
  <si>
    <t>TFCUBN0276</t>
  </si>
  <si>
    <t>อ.เหล่าเสือโก้ก อุบล</t>
  </si>
  <si>
    <t>0020385</t>
  </si>
  <si>
    <t>ธ. กรุงเทพ จำกัด (มหาชน) สาขา บางปลาสร้อย</t>
  </si>
  <si>
    <t>B42001</t>
  </si>
  <si>
    <t>อ.บ้านหลวง</t>
  </si>
  <si>
    <t>TFCUBN0277</t>
  </si>
  <si>
    <t>อ.ม่วงสามสิบ อุบลฯ</t>
  </si>
  <si>
    <t>0020386</t>
  </si>
  <si>
    <t>ธ. กรุงเทพ จำกัด (มหาชน) สาขา บางปะกง</t>
  </si>
  <si>
    <t>B51001</t>
  </si>
  <si>
    <t>Fac to Fac 1</t>
  </si>
  <si>
    <t>อ.ปัว</t>
  </si>
  <si>
    <t>TFCUBN0278</t>
  </si>
  <si>
    <t>อ.เมืองอุบลราชธานี</t>
  </si>
  <si>
    <t>0020387</t>
  </si>
  <si>
    <t>ธ. กรุงเทพ จำกัด (มหาชน) สาขา ท่าเรือ อยุธยา</t>
  </si>
  <si>
    <t>B51002</t>
  </si>
  <si>
    <t>Fac to Fac 2</t>
  </si>
  <si>
    <t>อ.ภูเพียง</t>
  </si>
  <si>
    <t>TFCUBN0279</t>
  </si>
  <si>
    <t>อ.นาจะหลวย อุบลฯ</t>
  </si>
  <si>
    <t>0020388</t>
  </si>
  <si>
    <t>ธ. กรุงเทพ จำกัด (มหาชน) สาขา อู่ทอง</t>
  </si>
  <si>
    <t>B51003</t>
  </si>
  <si>
    <t>Fac to Fac 3</t>
  </si>
  <si>
    <t>อ.เมืองน่าน</t>
  </si>
  <si>
    <t>TFCUBN0280</t>
  </si>
  <si>
    <t>อ.นาตาล อุบลราชธานี</t>
  </si>
  <si>
    <t>0020389</t>
  </si>
  <si>
    <t>ธ. กรุงเทพ จำกัด (มหาชน) สาขา ศรีประจันต์</t>
  </si>
  <si>
    <t>B51004</t>
  </si>
  <si>
    <t>Fac to Fac 4</t>
  </si>
  <si>
    <t>อ.แม่จริม</t>
  </si>
  <si>
    <t>TFCUBN0281</t>
  </si>
  <si>
    <t>อ.นาเยีย อุบลราชธานี</t>
  </si>
  <si>
    <t>0020390</t>
  </si>
  <si>
    <t>ธ. กรุงเทพ จำกัด (มหาชน) สาขา ประตูช้างเผือก</t>
  </si>
  <si>
    <t>B51005</t>
  </si>
  <si>
    <t>Fac to Fac 5</t>
  </si>
  <si>
    <t>อ.เวียงสา</t>
  </si>
  <si>
    <t>TFCUBN0282</t>
  </si>
  <si>
    <t>อ.น้ำขุ่น อุบลฯ</t>
  </si>
  <si>
    <t>0020391</t>
  </si>
  <si>
    <t>ธ. กรุงเทพ จำกัด (มหาชน) สาขา สระแก้ว ลพบุรี</t>
  </si>
  <si>
    <t>B51006</t>
  </si>
  <si>
    <t>Fac to Fac 6</t>
  </si>
  <si>
    <t>อ.สองแคว</t>
  </si>
  <si>
    <t>TFCUBN0283</t>
  </si>
  <si>
    <t>อ.น้ำยืน อุบลราชธานี</t>
  </si>
  <si>
    <t>0020392</t>
  </si>
  <si>
    <t>ธ. กรุงเทพ จำกัด (มหาชน) สาขา ลาดยาว</t>
  </si>
  <si>
    <t>B51007</t>
  </si>
  <si>
    <t>Fac to Fac 7</t>
  </si>
  <si>
    <t>อ.สันติสุข</t>
  </si>
  <si>
    <t>TFCUBN0284</t>
  </si>
  <si>
    <t>อ.พิบูลมังสาหาร อุบล</t>
  </si>
  <si>
    <t>0020393</t>
  </si>
  <si>
    <t>ธ. กรุงเทพ จำกัด (มหาชน) สาขา สลกบาตร</t>
  </si>
  <si>
    <t>B51008</t>
  </si>
  <si>
    <t>Fac to Fac 8</t>
  </si>
  <si>
    <t>อ.เซกา</t>
  </si>
  <si>
    <t>TFCUBN0285</t>
  </si>
  <si>
    <t>อ.โพธิ์ไทร อุบลฯ</t>
  </si>
  <si>
    <t>0020394</t>
  </si>
  <si>
    <t>ธ. กรุงเทพ จำกัด (มหาชน) สาขา แม่จัน</t>
  </si>
  <si>
    <t>B61001</t>
  </si>
  <si>
    <t>Other</t>
  </si>
  <si>
    <t>อ.โซ่พิสัย</t>
  </si>
  <si>
    <t>TFCUBN0286</t>
  </si>
  <si>
    <t>อ.สำโรง อุบลราชธานี</t>
  </si>
  <si>
    <t>0020395</t>
  </si>
  <si>
    <t>ธ. กรุงเทพ จำกัด (มหาชน) สาขา จอมทอง</t>
  </si>
  <si>
    <t>BC1001</t>
  </si>
  <si>
    <t>Central North 1</t>
  </si>
  <si>
    <t>อ.บึงโขงหลง</t>
  </si>
  <si>
    <t>TFCUBN0287</t>
  </si>
  <si>
    <t>อ.สว่างวีระวงศ์ อุบล</t>
  </si>
  <si>
    <t>0020396</t>
  </si>
  <si>
    <t>ธ. กรุงเทพ จำกัด (มหาชน) สาขา หนองฉาง</t>
  </si>
  <si>
    <t>BC1002</t>
  </si>
  <si>
    <t>Central North 2</t>
  </si>
  <si>
    <t>อ.บุ่งคล้า</t>
  </si>
  <si>
    <t>TFCUBN0288</t>
  </si>
  <si>
    <t>อ.ศรีเมืองใหม่ อุบลฯ</t>
  </si>
  <si>
    <t>0020397</t>
  </si>
  <si>
    <t>ธ. กรุงเทพ จำกัด (มหาชน) สาขา ศรีเทพ</t>
  </si>
  <si>
    <t>BC1003</t>
  </si>
  <si>
    <t>Central North 3</t>
  </si>
  <si>
    <t>อ.ปากคาด</t>
  </si>
  <si>
    <t>TFCUBN0289</t>
  </si>
  <si>
    <t>อ.สิรินธร อุบลฯ</t>
  </si>
  <si>
    <t>0020398</t>
  </si>
  <si>
    <t>ธ. กรุงเทพ จำกัด (มหาชน) สาขา แม่สาย</t>
  </si>
  <si>
    <t>BC1004</t>
  </si>
  <si>
    <t>Central North 4</t>
  </si>
  <si>
    <t>อ.พรเจริญ</t>
  </si>
  <si>
    <t>TFCUBN0290</t>
  </si>
  <si>
    <t>อ.ตาลสุม อุบลราชธานี</t>
  </si>
  <si>
    <t>0020399</t>
  </si>
  <si>
    <t>ธ. กรุงเทพ จำกัด (มหาชน) สาขา เถิน</t>
  </si>
  <si>
    <t>BC1005</t>
  </si>
  <si>
    <t>Central North 5</t>
  </si>
  <si>
    <t>อ.เมืองบึงกาฬ</t>
  </si>
  <si>
    <t>TFCUBN0291</t>
  </si>
  <si>
    <t>อ.ทุ่งศรีอุดม อุบลฯ</t>
  </si>
  <si>
    <t>0020400</t>
  </si>
  <si>
    <t>ธ. กรุงเทพ จำกัด (มหาชน) สาขา โคกกลอย</t>
  </si>
  <si>
    <t>BC1006</t>
  </si>
  <si>
    <t>Central North 6</t>
  </si>
  <si>
    <t>TFCUBN0292</t>
  </si>
  <si>
    <t>อ.ตระการพืชผล อุบลฯ</t>
  </si>
  <si>
    <t>0020401</t>
  </si>
  <si>
    <t>ธ. กรุงเทพ จำกัด (มหาชน) สาขา นาทวี</t>
  </si>
  <si>
    <t>BC2001</t>
  </si>
  <si>
    <t>Central Mid 1</t>
  </si>
  <si>
    <t>อ.ศรีวิไล</t>
  </si>
  <si>
    <t>TFCUBN0293</t>
  </si>
  <si>
    <t>อ.วารินชำราบ อุบลฯ</t>
  </si>
  <si>
    <t>0020402</t>
  </si>
  <si>
    <t>ธ. กรุงเทพ จำกัด (มหาชน) สาขา ท้ายเหมือง</t>
  </si>
  <si>
    <t>BC2002</t>
  </si>
  <si>
    <t>Central Mid 2</t>
  </si>
  <si>
    <t>อ.กระสัง</t>
  </si>
  <si>
    <t>TFCUDN0294</t>
  </si>
  <si>
    <t>อ.บ้านดุง อุดรธานี</t>
  </si>
  <si>
    <t>0020403</t>
  </si>
  <si>
    <t>ธ. กรุงเทพ จำกัด (มหาชน) สาขา อ่าวลึก</t>
  </si>
  <si>
    <t>BC2003</t>
  </si>
  <si>
    <t>Central Mid 3</t>
  </si>
  <si>
    <t>อ.คูเมือง</t>
  </si>
  <si>
    <t>TFCUDN0295</t>
  </si>
  <si>
    <t>อ.บ้านผือ อุดรธานี</t>
  </si>
  <si>
    <t>0020404</t>
  </si>
  <si>
    <t>ธ. กรุงเทพ จำกัด (มหาชน) สาขา สีคิ้ว</t>
  </si>
  <si>
    <t>BC2004</t>
  </si>
  <si>
    <t>Central Mid 4</t>
  </si>
  <si>
    <t>อ.แคนดง</t>
  </si>
  <si>
    <t>TFCUDN0296</t>
  </si>
  <si>
    <t>อ.ไชยวาน อุดรธานี</t>
  </si>
  <si>
    <t>0020405</t>
  </si>
  <si>
    <t>ธ. กรุงเทพ จำกัด (มหาชน) สาขา หนองบัวลำภู</t>
  </si>
  <si>
    <t>BC2005</t>
  </si>
  <si>
    <t>Central Mid 5</t>
  </si>
  <si>
    <t>TFCUDN0297</t>
  </si>
  <si>
    <t>อ.กู่แก้ว อุดรธานี</t>
  </si>
  <si>
    <t>0020406</t>
  </si>
  <si>
    <t>ธ. กรุงเทพ จำกัด (มหาชน) สาขา ศีขรภูมิ</t>
  </si>
  <si>
    <t>BC3001</t>
  </si>
  <si>
    <t>Central South 1</t>
  </si>
  <si>
    <t>อ.ชำนิ</t>
  </si>
  <si>
    <t>TFCUDN0298</t>
  </si>
  <si>
    <t>อ.กุมภวาปี อุดรธานี</t>
  </si>
  <si>
    <t>0020407</t>
  </si>
  <si>
    <t>ธ. กรุงเทพ จำกัด (มหาชน) สาขา ลำปลายมาศ</t>
  </si>
  <si>
    <t>BC3002</t>
  </si>
  <si>
    <t>Central South 2</t>
  </si>
  <si>
    <t>อ.นางรอง</t>
  </si>
  <si>
    <t>TFCUDN0299</t>
  </si>
  <si>
    <t>อ.กุดจับ อุดรธานี</t>
  </si>
  <si>
    <t>0020408</t>
  </si>
  <si>
    <t>ธ. กรุงเทพ จำกัด (มหาชน) สาขา สตึก</t>
  </si>
  <si>
    <t>BC3003</t>
  </si>
  <si>
    <t>Central South 3</t>
  </si>
  <si>
    <t>อ.นาโพธิ์</t>
  </si>
  <si>
    <t>TFCUDN0300</t>
  </si>
  <si>
    <t>อ.เมืองอุดรธานี</t>
  </si>
  <si>
    <t>0020409</t>
  </si>
  <si>
    <t>ธ. กรุงเทพ จำกัด (มหาชน) สาขา ขุขันธ์</t>
  </si>
  <si>
    <t>BC3004</t>
  </si>
  <si>
    <t>Central South 4</t>
  </si>
  <si>
    <t>อ.โนนดินแดง</t>
  </si>
  <si>
    <t>TFCUDN0301</t>
  </si>
  <si>
    <t>อ.นายูง อุดรธานี</t>
  </si>
  <si>
    <t>0020410</t>
  </si>
  <si>
    <t>ธ. กรุงเทพ จำกัด (มหาชน) สาขา พังโคน</t>
  </si>
  <si>
    <t>BC4001</t>
  </si>
  <si>
    <t>อ.โนนสุวรรณ</t>
  </si>
  <si>
    <t>TFCUDN0302</t>
  </si>
  <si>
    <t>อ.น้ำโสม อุดรธานี</t>
  </si>
  <si>
    <t>0020411</t>
  </si>
  <si>
    <t>ธ. กรุงเทพ จำกัด (มหาชน) สาขา ถนนประชาสโมสร</t>
  </si>
  <si>
    <t>BM1001</t>
  </si>
  <si>
    <t>Ho Chi Minh Mid 1</t>
  </si>
  <si>
    <t>อ.บ้านกรวด</t>
  </si>
  <si>
    <t>TFCUDN0303</t>
  </si>
  <si>
    <t>อ.โนนสะอาด อุดรธานี</t>
  </si>
  <si>
    <t>0020412</t>
  </si>
  <si>
    <t>ธ. กรุงเทพ จำกัด (มหาชน) สาขา ถนนโพธิ์ศรี</t>
  </si>
  <si>
    <t>BM1002</t>
  </si>
  <si>
    <t>Ho Chi Minh Mid 2</t>
  </si>
  <si>
    <t>อ.บ้านด่าน</t>
  </si>
  <si>
    <t>TFCUDN0304</t>
  </si>
  <si>
    <t>อ.หนองหาน อุดรธานี</t>
  </si>
  <si>
    <t>0020413</t>
  </si>
  <si>
    <t>ธ. กรุงเทพ จำกัด (มหาชน) สาขา สว่างแดนดิน</t>
  </si>
  <si>
    <t>BM1003</t>
  </si>
  <si>
    <t>Ho Chi Minh Mid 3</t>
  </si>
  <si>
    <t>TFCUDN0305</t>
  </si>
  <si>
    <t>อ.หนองแสง อุดรธานี</t>
  </si>
  <si>
    <t>0020414</t>
  </si>
  <si>
    <t>ธ. กรุงเทพ จำกัด (มหาชน) สาขา นางรอง</t>
  </si>
  <si>
    <t>BM1004</t>
  </si>
  <si>
    <t>Ho Chi Minh Mid 4</t>
  </si>
  <si>
    <t>อ.ประโคนชัย</t>
  </si>
  <si>
    <t>TFCUDN0306</t>
  </si>
  <si>
    <t>อ.หนองวัวซอ อุดรธานี</t>
  </si>
  <si>
    <t>0020415</t>
  </si>
  <si>
    <t>ธ. กรุงเทพ จำกัด (มหาชน) สาขา ตระการพืชผล</t>
  </si>
  <si>
    <t>BM1005</t>
  </si>
  <si>
    <t>Ho Chi Minh Mid 5</t>
  </si>
  <si>
    <t>อ.ปะคำ</t>
  </si>
  <si>
    <t>TFCUDN0307</t>
  </si>
  <si>
    <t>อ.เพ็ญ อุดรธานี</t>
  </si>
  <si>
    <t>0020416</t>
  </si>
  <si>
    <t>ธ. กรุงเทพ จำกัด (มหาชน) สาขา วังสะพุง</t>
  </si>
  <si>
    <t>BM2001</t>
  </si>
  <si>
    <t>Ho Chi Minh South 1</t>
  </si>
  <si>
    <t>อ.พลับพลาชัย</t>
  </si>
  <si>
    <t>TFCUDN0308</t>
  </si>
  <si>
    <t>อ.พิบูลย์รักษ์ อุดรฯ</t>
  </si>
  <si>
    <t>0020417</t>
  </si>
  <si>
    <t>ธ. กรุงเทพ จำกัด (มหาชน) สาขา บัวใหญ่</t>
  </si>
  <si>
    <t>BM2002</t>
  </si>
  <si>
    <t>Ho Chi Minh South 2</t>
  </si>
  <si>
    <t>อ.พุทไธสง</t>
  </si>
  <si>
    <t>TFCUDN0309</t>
  </si>
  <si>
    <t>อ.ประจักษ์ศิลปาคม</t>
  </si>
  <si>
    <t>0020418</t>
  </si>
  <si>
    <t>ธ. กรุงเทพ จำกัด (มหาชน) สาขา สามชุก</t>
  </si>
  <si>
    <t>BM2003</t>
  </si>
  <si>
    <t>Ho Chi Minh South 3</t>
  </si>
  <si>
    <t>TFCUDN0310</t>
  </si>
  <si>
    <t>อ.สร้างคอม อุดรธานี</t>
  </si>
  <si>
    <t>0020419</t>
  </si>
  <si>
    <t>ธ. กรุงเทพ จำกัด (มหาชน) สาขา ปราณบุรี</t>
  </si>
  <si>
    <t>BM2004</t>
  </si>
  <si>
    <t>Ho Chi Minh South 4</t>
  </si>
  <si>
    <t>อ.ละหานทราย</t>
  </si>
  <si>
    <t>TFCUDN0311</t>
  </si>
  <si>
    <t>อ.ศรีธาตุ อุดรธานี</t>
  </si>
  <si>
    <t>0020420</t>
  </si>
  <si>
    <t>ธ. กรุงเทพ จำกัด (มหาชน) สาขา ถนนศรีภูวนารถ</t>
  </si>
  <si>
    <t>BM3001</t>
  </si>
  <si>
    <t>Ho Chi Minh East 1</t>
  </si>
  <si>
    <t>อ.ลำปลายมาศ</t>
  </si>
  <si>
    <t>TFCUDN0312</t>
  </si>
  <si>
    <t>อ.ทุ่งฝน อุดรธานี</t>
  </si>
  <si>
    <t>0020421</t>
  </si>
  <si>
    <t>ธ. กรุงเทพ จำกัด (มหาชน) สาขา พุนพิน</t>
  </si>
  <si>
    <t>BM3002</t>
  </si>
  <si>
    <t>Ho Chi Minh East 2</t>
  </si>
  <si>
    <t>อ.สตึก</t>
  </si>
  <si>
    <t>TFCUDN0313</t>
  </si>
  <si>
    <t>อ.วังสามหมอ อุดรธานี</t>
  </si>
  <si>
    <t>0020422</t>
  </si>
  <si>
    <t>ธ. กรุงเทพ จำกัด (มหาชน) สาขา ดำเนินสะดวก</t>
  </si>
  <si>
    <t>BM3003</t>
  </si>
  <si>
    <t>Ho Chi Minh East 3</t>
  </si>
  <si>
    <t>อ.หนองกี่</t>
  </si>
  <si>
    <t>TFCYST0314</t>
  </si>
  <si>
    <t>อ.คำเขื่อนแก้ว ยโสธร</t>
  </si>
  <si>
    <t>0020423</t>
  </si>
  <si>
    <t>ธ. กรุงเทพ จำกัด (มหาชน) สาขา ถนนช้างคลาน</t>
  </si>
  <si>
    <t>BM3004</t>
  </si>
  <si>
    <t>Ho Chi Minh East 4</t>
  </si>
  <si>
    <t>อ.หนองหงส์</t>
  </si>
  <si>
    <t>TFCYST0315</t>
  </si>
  <si>
    <t>อ.ค้อวัง ยโสธร</t>
  </si>
  <si>
    <t>0020424</t>
  </si>
  <si>
    <t>ธ. กรุงเทพ จำกัด (มหาชน) สาขา ประตูเชียงใหม่</t>
  </si>
  <si>
    <t>BM3005</t>
  </si>
  <si>
    <t>Ho Chi Minh East 5</t>
  </si>
  <si>
    <t>อ.ห้วยราช</t>
  </si>
  <si>
    <t>TFCYST0316</t>
  </si>
  <si>
    <t>อ.กุดชุม ยโสธร</t>
  </si>
  <si>
    <t>0020425</t>
  </si>
  <si>
    <t>ธ. กรุงเทพ จำกัด (มหาชน) สาขา ถนนฉัตรไชย</t>
  </si>
  <si>
    <t>BM4001</t>
  </si>
  <si>
    <t>South East 1</t>
  </si>
  <si>
    <t>อ.คลองหลวง</t>
  </si>
  <si>
    <t>TFCYST0317</t>
  </si>
  <si>
    <t>อ.เลิงนกทา ยโสธร</t>
  </si>
  <si>
    <t>0020426</t>
  </si>
  <si>
    <t>ธ. กรุงเทพ จำกัด (มหาชน) สาขา ห้าแยกโคกมะตูม</t>
  </si>
  <si>
    <t>BM4002</t>
  </si>
  <si>
    <t>South East 2</t>
  </si>
  <si>
    <t>อ.ธัญบุรี</t>
  </si>
  <si>
    <t>TFCYST0318</t>
  </si>
  <si>
    <t>อ.มหาชนะชัย ยโสธร</t>
  </si>
  <si>
    <t>0020427</t>
  </si>
  <si>
    <t>ธ. กรุงเทพ จำกัด (มหาชน) สาขา ถนนชนเกษม</t>
  </si>
  <si>
    <t>BM4003</t>
  </si>
  <si>
    <t>South East 3</t>
  </si>
  <si>
    <t>อ.เมืองปทุมธานี</t>
  </si>
  <si>
    <t>TFCYST0319</t>
  </si>
  <si>
    <t>อ.เมืองยโสธร ยโสธร</t>
  </si>
  <si>
    <t>0020428</t>
  </si>
  <si>
    <t>ธ. กรุงเทพ จำกัด (มหาชน) สาขา โชคชัย</t>
  </si>
  <si>
    <t>BM4004</t>
  </si>
  <si>
    <t>South East 4</t>
  </si>
  <si>
    <t>อ.ลาดหลุมแก้ว</t>
  </si>
  <si>
    <t>TFCYST0320</t>
  </si>
  <si>
    <t>อ.ป่าติ้ว ยโสธร</t>
  </si>
  <si>
    <t>0020429</t>
  </si>
  <si>
    <t>ธ. กรุงเทพ จำกัด (มหาชน) สาขา สมเด็จ</t>
  </si>
  <si>
    <t>BM4005</t>
  </si>
  <si>
    <t>South East 5</t>
  </si>
  <si>
    <t>อ.ลำลูกกา</t>
  </si>
  <si>
    <t>TFCYST0321</t>
  </si>
  <si>
    <t>อ.ทรายมูล ยโสธร</t>
  </si>
  <si>
    <t>0020430</t>
  </si>
  <si>
    <t>ธ. กรุงเทพ จำกัด (มหาชน) สาขา จัตุรัส</t>
  </si>
  <si>
    <t>BM4006</t>
  </si>
  <si>
    <t>South East 6</t>
  </si>
  <si>
    <t>อ.สามโคก</t>
  </si>
  <si>
    <t>TFCYST0322</t>
  </si>
  <si>
    <t>อ.ไทยเจริญ ยโสธร</t>
  </si>
  <si>
    <t>0020431</t>
  </si>
  <si>
    <t>ธ. กรุงเทพ จำกัด (มหาชน) สาขา ศรีสัชนาลัย</t>
  </si>
  <si>
    <t>BM5001</t>
  </si>
  <si>
    <t>อ.หนองเสือ</t>
  </si>
  <si>
    <t>TMABKKB110</t>
  </si>
  <si>
    <t>ถ.พัฒนาการ คลองตัน</t>
  </si>
  <si>
    <t>0020432</t>
  </si>
  <si>
    <t>ธ. กรุงเทพ จำกัด (มหาชน) สาขา พิชัย</t>
  </si>
  <si>
    <t>BN1001</t>
  </si>
  <si>
    <t>Ha Noi North 1</t>
  </si>
  <si>
    <t>อ.กุยบุรี</t>
  </si>
  <si>
    <t>TMABKKB120</t>
  </si>
  <si>
    <t>ถ.สุขุมวิท77 บางจาก</t>
  </si>
  <si>
    <t>0020433</t>
  </si>
  <si>
    <t>ธ. กรุงเทพ จำกัด (มหาชน) สาขา เชียงคำ</t>
  </si>
  <si>
    <t>BN1002</t>
  </si>
  <si>
    <t>Ha Noi North 2</t>
  </si>
  <si>
    <t>อ.ทับสะแก</t>
  </si>
  <si>
    <t>TMABKKB130</t>
  </si>
  <si>
    <t>สุขุมวิท103-อุดมสุข</t>
  </si>
  <si>
    <t>0020434</t>
  </si>
  <si>
    <t>ธ. กรุงเทพ จำกัด (มหาชน) สาขา เด่นชัย</t>
  </si>
  <si>
    <t>BN1003</t>
  </si>
  <si>
    <t>Ha Noi North 3</t>
  </si>
  <si>
    <t>อ.บางสะพาน</t>
  </si>
  <si>
    <t>TMABKKB140</t>
  </si>
  <si>
    <t>ถ.สรรพาวุธ,บางนา-ตรา</t>
  </si>
  <si>
    <t>0020435</t>
  </si>
  <si>
    <t>ธ. กรุงเทพ จำกัด (มหาชน) สาขา ย่านยาว</t>
  </si>
  <si>
    <t>BN1004</t>
  </si>
  <si>
    <t>North West 5</t>
  </si>
  <si>
    <t>TMABKKB210</t>
  </si>
  <si>
    <t>ถ.กิ่งแก้ว ลาดกระบัง</t>
  </si>
  <si>
    <t>0020436</t>
  </si>
  <si>
    <t>ธ. กรุงเทพ จำกัด (มหาชน) สาขา สิชล</t>
  </si>
  <si>
    <t>BN2001</t>
  </si>
  <si>
    <t>Ha Noi South 1</t>
  </si>
  <si>
    <t>อ.ปราณบุรี</t>
  </si>
  <si>
    <t>TMABKKC110</t>
  </si>
  <si>
    <t>พระราม4,สุรวงศ์,สี่พ</t>
  </si>
  <si>
    <t>0020437</t>
  </si>
  <si>
    <t>ธ. กรุงเทพ จำกัด (มหาชน) สาขา ถนนกะโรมนครศรีธรรมราช</t>
  </si>
  <si>
    <t>BN2002</t>
  </si>
  <si>
    <t>Ha Noi South 2</t>
  </si>
  <si>
    <t>อ.เมืองประจวบคีรีขันธ์</t>
  </si>
  <si>
    <t>TMABKKC120</t>
  </si>
  <si>
    <t>ถ.เยาวราช,มหาไชย</t>
  </si>
  <si>
    <t>0020438</t>
  </si>
  <si>
    <t>ธ. กรุงเทพ จำกัด (มหาชน) สาขา สะเดา</t>
  </si>
  <si>
    <t>BN2003</t>
  </si>
  <si>
    <t>Ha Noi South 3</t>
  </si>
  <si>
    <t>อ.สามร้อยยอด</t>
  </si>
  <si>
    <t>ถ.ราชเทวี,สุขุมวิท39</t>
  </si>
  <si>
    <t>0020439</t>
  </si>
  <si>
    <t>ธ. กรุงเทพ จำกัด (มหาชน) สาขา เสนา</t>
  </si>
  <si>
    <t>BN2004</t>
  </si>
  <si>
    <t>Ha Noi South 4</t>
  </si>
  <si>
    <t>อ.หัวหิน</t>
  </si>
  <si>
    <t>TMABKKC220</t>
  </si>
  <si>
    <t>ถ.บรรทัดทอง ปทุมวัน</t>
  </si>
  <si>
    <t>0020440</t>
  </si>
  <si>
    <t>ธ. กรุงเทพ จำกัด (มหาชน) สาขา นายายอาม</t>
  </si>
  <si>
    <t>BN2005</t>
  </si>
  <si>
    <t>North West 4</t>
  </si>
  <si>
    <t>อ.กบินทร์บุรี</t>
  </si>
  <si>
    <t>บำรุงเมือง,หลานหลวง</t>
  </si>
  <si>
    <t>0020441</t>
  </si>
  <si>
    <t>ธ. กรุงเทพ จำกัด (มหาชน) สาขา ท่าม่วง กาญจนบุรี</t>
  </si>
  <si>
    <t>BN3001</t>
  </si>
  <si>
    <t>North East 1</t>
  </si>
  <si>
    <t>อ.นาดี</t>
  </si>
  <si>
    <t>TMABKKC240</t>
  </si>
  <si>
    <t>เทเวศน์,ถ.ราชดำเนิน</t>
  </si>
  <si>
    <t>0020442</t>
  </si>
  <si>
    <t>ธ. กรุงเทพ จำกัด (มหาชน) สาขา ถนนเทพกษัตรีย์</t>
  </si>
  <si>
    <t>BN3002</t>
  </si>
  <si>
    <t>North East 2</t>
  </si>
  <si>
    <t>อ.บ้านสร้าง</t>
  </si>
  <si>
    <t>TMABKKC320</t>
  </si>
  <si>
    <t>ถ.สาธุประดิษฐ์,เลียบ</t>
  </si>
  <si>
    <t>0020443</t>
  </si>
  <si>
    <t>ธ. กรุงเทพ จำกัด (มหาชน) สาขา มาบตาพุด</t>
  </si>
  <si>
    <t>BN3003</t>
  </si>
  <si>
    <t>North East 3</t>
  </si>
  <si>
    <t>อ.ประจันตคาม</t>
  </si>
  <si>
    <t>TMABKKC340</t>
  </si>
  <si>
    <t>ถ.จันทน์,ถ.สาธร สาทร</t>
  </si>
  <si>
    <t>0020444</t>
  </si>
  <si>
    <t>ธ. กรุงเทพ จำกัด (มหาชน) สาขา ปากน้ำ ชุมพร</t>
  </si>
  <si>
    <t>BN3004</t>
  </si>
  <si>
    <t>North East 4</t>
  </si>
  <si>
    <t>TMABKKD110</t>
  </si>
  <si>
    <t>จรัลสนิทวงศ์</t>
  </si>
  <si>
    <t>0020445</t>
  </si>
  <si>
    <t>ธ. กรุงเทพ จำกัด (มหาชน) สาขา ท่าแซะ</t>
  </si>
  <si>
    <t>BN3005</t>
  </si>
  <si>
    <t>North East 5</t>
  </si>
  <si>
    <t>อ.ศรีมหาโพธิ</t>
  </si>
  <si>
    <t>TMABKKD120</t>
  </si>
  <si>
    <t>แขวงฉิมพลี ตลิ่งชัน</t>
  </si>
  <si>
    <t>0020446</t>
  </si>
  <si>
    <t>ธ. กรุงเทพ จำกัด (มหาชน) สาขา สวี</t>
  </si>
  <si>
    <t>BN4001</t>
  </si>
  <si>
    <t>North West 1</t>
  </si>
  <si>
    <t>อ.ศรีมโหสถ</t>
  </si>
  <si>
    <t>TMABKKD130</t>
  </si>
  <si>
    <t>ถ.เพชรเกษมแขวงบางด้ว</t>
  </si>
  <si>
    <t>0020447</t>
  </si>
  <si>
    <t>ธ. กรุงเทพ จำกัด (มหาชน) สาขา นาบอน</t>
  </si>
  <si>
    <t>BN4002</t>
  </si>
  <si>
    <t>North West 2</t>
  </si>
  <si>
    <t>อ.กะพ้อ</t>
  </si>
  <si>
    <t>TMABKKD140</t>
  </si>
  <si>
    <t>อ.หนองแขม</t>
  </si>
  <si>
    <t>0020448</t>
  </si>
  <si>
    <t>ธ. กรุงเทพ จำกัด (มหาชน) สาขา ร่อนพิบูลย์</t>
  </si>
  <si>
    <t>BN4003</t>
  </si>
  <si>
    <t>North West 3</t>
  </si>
  <si>
    <t>อ.โคกโพธิ์</t>
  </si>
  <si>
    <t>TMABKKD150</t>
  </si>
  <si>
    <t>ถ.พุทธมณฑล สาย 2-5</t>
  </si>
  <si>
    <t>0020449</t>
  </si>
  <si>
    <t>ธ. กรุงเทพ จำกัด (มหาชน) สาขา หัวไทร</t>
  </si>
  <si>
    <t>BN5001</t>
  </si>
  <si>
    <t>North South 1</t>
  </si>
  <si>
    <t>อ.ทุ่งยางแดง</t>
  </si>
  <si>
    <t>TMABKKE110</t>
  </si>
  <si>
    <t>ถ.สุขาภิบาล1-2</t>
  </si>
  <si>
    <t>0020450</t>
  </si>
  <si>
    <t>ธ. กรุงเทพ จำกัด (มหาชน) สาขา ท่าชนะ</t>
  </si>
  <si>
    <t>BN5002</t>
  </si>
  <si>
    <t>North South 2</t>
  </si>
  <si>
    <t>อ.ปะนาเระ</t>
  </si>
  <si>
    <t>TMABKKE130</t>
  </si>
  <si>
    <t>ถ.รามอินทรา คันนายาว</t>
  </si>
  <si>
    <t>0020451</t>
  </si>
  <si>
    <t>ธ. กรุงเทพ จำกัด (มหาชน) สาขา ดอนสัก</t>
  </si>
  <si>
    <t>BN5003</t>
  </si>
  <si>
    <t>North South 3</t>
  </si>
  <si>
    <t>อ.มายอ</t>
  </si>
  <si>
    <t>TMABKKE140</t>
  </si>
  <si>
    <t>ถ.ลาดพร้าว,โชคชัย 4</t>
  </si>
  <si>
    <t>0020452</t>
  </si>
  <si>
    <t>ธ. กรุงเทพ จำกัด (มหาชน) สาขา พระแสง</t>
  </si>
  <si>
    <t>BN5004</t>
  </si>
  <si>
    <t>North South 4</t>
  </si>
  <si>
    <t>อ.เมืองปัตตานี</t>
  </si>
  <si>
    <t>TMABKKE150</t>
  </si>
  <si>
    <t>เขตมีนบุรี คลองสามวา</t>
  </si>
  <si>
    <t>0020453</t>
  </si>
  <si>
    <t>ธ. กรุงเทพ จำกัด (มหาชน) สาขา รัตภูมิ</t>
  </si>
  <si>
    <t>BN5005</t>
  </si>
  <si>
    <t>North South 5</t>
  </si>
  <si>
    <t>อ.แม่ลาน</t>
  </si>
  <si>
    <t>TMABKKE160</t>
  </si>
  <si>
    <t>อ.หนองจอก</t>
  </si>
  <si>
    <t>0020454</t>
  </si>
  <si>
    <t>ธ. กรุงเทพ จำกัด (มหาชน) สาขา ควนขนุน</t>
  </si>
  <si>
    <t>BN6001</t>
  </si>
  <si>
    <t>อ.ไม้แก่น</t>
  </si>
  <si>
    <t>TMABKKE170</t>
  </si>
  <si>
    <t>ถ.สุขาภิบาล3รามคำแหง</t>
  </si>
  <si>
    <t>0020455</t>
  </si>
  <si>
    <t>ธ. กรุงเทพ จำกัด (มหาชน) สาขา ละงู</t>
  </si>
  <si>
    <t>BS1001</t>
  </si>
  <si>
    <t>Mekong Delta North 1</t>
  </si>
  <si>
    <t>อ.ยะรัง</t>
  </si>
  <si>
    <t>TMABKKF110</t>
  </si>
  <si>
    <t>วงเวียนใหญ่,เจริญนคร</t>
  </si>
  <si>
    <t>0020456</t>
  </si>
  <si>
    <t>ธ. กรุงเทพ จำกัด (มหาชน) สาขา โคกโพธิ์</t>
  </si>
  <si>
    <t>BS1002</t>
  </si>
  <si>
    <t>Mekong Delta North 2</t>
  </si>
  <si>
    <t>อ.ยะหริ่ง</t>
  </si>
  <si>
    <t>TMABKKF120</t>
  </si>
  <si>
    <t>ประชาอุทิศ,พระประแดง</t>
  </si>
  <si>
    <t>0020457</t>
  </si>
  <si>
    <t>ธ. กรุงเทพ จำกัด (มหาชน) สาขา เกาะคา</t>
  </si>
  <si>
    <t>BS1003</t>
  </si>
  <si>
    <t>Mekong Delta North 3</t>
  </si>
  <si>
    <t>อ.สายบุรี</t>
  </si>
  <si>
    <t>TMABKKF130</t>
  </si>
  <si>
    <t>ถ.พระราม 2 เขตบางบอน</t>
  </si>
  <si>
    <t>0020458</t>
  </si>
  <si>
    <t>ธ. กรุงเทพ จำกัด (มหาชน) สาขา ตลาดแม่มาลัย</t>
  </si>
  <si>
    <t>BS1004</t>
  </si>
  <si>
    <t>Mekong Delta North 4</t>
  </si>
  <si>
    <t>อ.หนองจิก</t>
  </si>
  <si>
    <t>TMABKKG110</t>
  </si>
  <si>
    <t>ถ.ประชาชื่น ดุสิต</t>
  </si>
  <si>
    <t>0020459</t>
  </si>
  <si>
    <t>ธ. กรุงเทพ จำกัด (มหาชน) สาขา หางดง</t>
  </si>
  <si>
    <t>BS2001</t>
  </si>
  <si>
    <t>Mekong Delta Mid 1</t>
  </si>
  <si>
    <t>อ.ท่าเรือ</t>
  </si>
  <si>
    <t>TMABKKG120</t>
  </si>
  <si>
    <t>ถ.กรุงเทพ-นนทบุรี</t>
  </si>
  <si>
    <t>0020460</t>
  </si>
  <si>
    <t>ธ. กรุงเทพ จำกัด (มหาชน) สาขา ทุ่งเสลี่ยม</t>
  </si>
  <si>
    <t>BS2002</t>
  </si>
  <si>
    <t>Mekong Delta Mid 2</t>
  </si>
  <si>
    <t>อ.นครหลวง</t>
  </si>
  <si>
    <t>TMABKKH110</t>
  </si>
  <si>
    <t>ซ.ศูนย์วิจัย,พระราม9</t>
  </si>
  <si>
    <t>0020461</t>
  </si>
  <si>
    <t>ธ. กรุงเทพ จำกัด (มหาชน) สาขา ชุมพวง</t>
  </si>
  <si>
    <t>BS2003</t>
  </si>
  <si>
    <t>Mekong Delta Mid 3</t>
  </si>
  <si>
    <t>อ.บางซ้าย</t>
  </si>
  <si>
    <t>TMABKKH120</t>
  </si>
  <si>
    <t>สนามเป้า, ถ.วิภาวดี</t>
  </si>
  <si>
    <t>0020462</t>
  </si>
  <si>
    <t>ธ. กรุงเทพ จำกัด (มหาชน) สาขา ปราสาท</t>
  </si>
  <si>
    <t>BS2004</t>
  </si>
  <si>
    <t>Mekong Delta Mid 4</t>
  </si>
  <si>
    <t>อ.บางไทร</t>
  </si>
  <si>
    <t>TMABKKH130</t>
  </si>
  <si>
    <t>หลักสี่ ดอนเมือง</t>
  </si>
  <si>
    <t>0020463</t>
  </si>
  <si>
    <t>ธ. กรุงเทพ จำกัด (มหาชน) สาขา มัญจาคีรี</t>
  </si>
  <si>
    <t>BS3001</t>
  </si>
  <si>
    <t>Mekong Delta South 1</t>
  </si>
  <si>
    <t>อ.บางบาล</t>
  </si>
  <si>
    <t>TMABKKH140</t>
  </si>
  <si>
    <t>ซ.เสนาฯ,ถ.พหลโยธิน</t>
  </si>
  <si>
    <t>0020464</t>
  </si>
  <si>
    <t>ธ. กรุงเทพ จำกัด (มหาชน) สาขา เขาสมิง</t>
  </si>
  <si>
    <t>BS3002</t>
  </si>
  <si>
    <t>Mekong Delta South 2</t>
  </si>
  <si>
    <t>อ.บางปะหัน</t>
  </si>
  <si>
    <t>TMABKKH150</t>
  </si>
  <si>
    <t>เขตสายไหม, อ.ลำลูกกา</t>
  </si>
  <si>
    <t>0020465</t>
  </si>
  <si>
    <t>ธ. กรุงเทพ จำกัด (มหาชน) สาขา พานทอง</t>
  </si>
  <si>
    <t>BS3003</t>
  </si>
  <si>
    <t>Mekong Delta South 3</t>
  </si>
  <si>
    <t>อ.บางปะอิน</t>
  </si>
  <si>
    <t>TMACCOB150</t>
  </si>
  <si>
    <t>อ.บางพลี,บางปะกง</t>
  </si>
  <si>
    <t>0020466</t>
  </si>
  <si>
    <t>ธ. กรุงเทพ จำกัด (มหาชน) สาขา ดอนตูม</t>
  </si>
  <si>
    <t>BS3004</t>
  </si>
  <si>
    <t>Mekong Delta South 4</t>
  </si>
  <si>
    <t>อ.บ้านแพรก</t>
  </si>
  <si>
    <t>TMACCOE161</t>
  </si>
  <si>
    <t>0020467</t>
  </si>
  <si>
    <t>ธ. กรุงเทพ จำกัด (มหาชน) สาขา ถนนสวรรค์วิถี</t>
  </si>
  <si>
    <t>BS4001</t>
  </si>
  <si>
    <t>อ.ผักไห่</t>
  </si>
  <si>
    <t>TMANBIG140</t>
  </si>
  <si>
    <t>ถ.แจ้งวัฒนะ</t>
  </si>
  <si>
    <t>0020468</t>
  </si>
  <si>
    <t>ธ. กรุงเทพ จำกัด (มหาชน) สาขา คลองใหญ่</t>
  </si>
  <si>
    <t>CENTRE</t>
  </si>
  <si>
    <t>Lower North Island</t>
  </si>
  <si>
    <t>อ.พระนครศรีอยุธยา</t>
  </si>
  <si>
    <t>TMANBIG160</t>
  </si>
  <si>
    <t>ถ.บางกรวย-ไทรน้อย</t>
  </si>
  <si>
    <t>0020469</t>
  </si>
  <si>
    <t>ธ. กรุงเทพ จำกัด (มหาชน) สาขา นครหลวง</t>
  </si>
  <si>
    <t>Upper North Island</t>
  </si>
  <si>
    <t>อ.ภาชี</t>
  </si>
  <si>
    <t>TMANBIG170</t>
  </si>
  <si>
    <t>บางบัวทอง-สุพรรณบุรี</t>
  </si>
  <si>
    <t>0020470</t>
  </si>
  <si>
    <t>ธ. กรุงเทพ จำกัด (มหาชน) สาขา บางกระทุ่ม</t>
  </si>
  <si>
    <t>South Island</t>
  </si>
  <si>
    <t>อ.มหาราช</t>
  </si>
  <si>
    <t>TMANPTD170</t>
  </si>
  <si>
    <t>อ.สามพราน นครปฐม</t>
  </si>
  <si>
    <t>0020471</t>
  </si>
  <si>
    <t>ธ. กรุงเทพ จำกัด (มหาชน) สาขา จะนะ</t>
  </si>
  <si>
    <t>อ.ลาดบัวหลวง</t>
  </si>
  <si>
    <t>TMAPTEG130</t>
  </si>
  <si>
    <t>0020472</t>
  </si>
  <si>
    <t>ธ. กรุงเทพ จำกัด (มหาชน) สาขา ปะเหลียน</t>
  </si>
  <si>
    <t>อ.วังน้อย</t>
  </si>
  <si>
    <t>TMAPTEG150</t>
  </si>
  <si>
    <t>ลาดหลุมแก้ว สามโคก</t>
  </si>
  <si>
    <t>0020473</t>
  </si>
  <si>
    <t>ธ. กรุงเทพ จำกัด (มหาชน) สาขา หนองหาน</t>
  </si>
  <si>
    <t>อ.เสนา</t>
  </si>
  <si>
    <t>TMAPTEH150</t>
  </si>
  <si>
    <t>0020474</t>
  </si>
  <si>
    <t>ธ. กรุงเทพ จำกัด (มหาชน) สาขา ราษีไศล</t>
  </si>
  <si>
    <t>อ.อุทัย</t>
  </si>
  <si>
    <t>TMAPTEH160</t>
  </si>
  <si>
    <t>อ.หนองเสือ อ.ธัญบุรี</t>
  </si>
  <si>
    <t>0020475</t>
  </si>
  <si>
    <t>ธ. กรุงเทพ จำกัด (มหาชน) สาขา ถนนสรรพสิทธิ์</t>
  </si>
  <si>
    <t>อ.จุน</t>
  </si>
  <si>
    <t>TMAPTEH170</t>
  </si>
  <si>
    <t>นวนคร,คลองหลวง</t>
  </si>
  <si>
    <t>0020476</t>
  </si>
  <si>
    <t>ธ. กรุงเทพ จำกัด (มหาชน) สาขา ถนนท่าแฉลบ</t>
  </si>
  <si>
    <t>อ.เชียงคำ</t>
  </si>
  <si>
    <t>TMASKND160</t>
  </si>
  <si>
    <t>อ.กระทุ่มแบน สมุทรสา</t>
  </si>
  <si>
    <t>0020477</t>
  </si>
  <si>
    <t>ธ. กรุงเทพ จำกัด (มหาชน) สาขา จักราช</t>
  </si>
  <si>
    <t>อ.เชียงม่วน</t>
  </si>
  <si>
    <t>TMASKNF140</t>
  </si>
  <si>
    <t>ต.มหาชัย บ้านแพ้ว</t>
  </si>
  <si>
    <t>0020478</t>
  </si>
  <si>
    <t>ธ. กรุงเทพ จำกัด (มหาชน) สาขา ตลาดเจ้าพรหม</t>
  </si>
  <si>
    <t>อ.ดอกคำใต้</t>
  </si>
  <si>
    <t>TMASKNF150</t>
  </si>
  <si>
    <t>อ.เมืองสมุทรสาคร</t>
  </si>
  <si>
    <t>0020479</t>
  </si>
  <si>
    <t>ธ. กรุงเทพ จำกัด (มหาชน) สาขา อ่าวอุดม</t>
  </si>
  <si>
    <t>อ.ปง</t>
  </si>
  <si>
    <t>TMASPKB150</t>
  </si>
  <si>
    <t>อ.บางพลี,บางบ่อ</t>
  </si>
  <si>
    <t>0020480</t>
  </si>
  <si>
    <t>ธ. กรุงเทพ จำกัด (มหาชน) สาขา เบตงยะลา</t>
  </si>
  <si>
    <t>อ.ภูกามยาว</t>
  </si>
  <si>
    <t>TMASPKB210</t>
  </si>
  <si>
    <t>0020481</t>
  </si>
  <si>
    <t>ธ. กรุงเทพ จำกัด (มหาชน) สาขา อินทร์บุรี</t>
  </si>
  <si>
    <t>อ.ภูซาง</t>
  </si>
  <si>
    <t>TMASPKB220</t>
  </si>
  <si>
    <t>สำโรง ถ.ปู่เจ้าสมิงพ</t>
  </si>
  <si>
    <t>0020482</t>
  </si>
  <si>
    <t>ธ. กรุงเทพ จำกัด (มหาชน) สาขา เกษตรวิสัย</t>
  </si>
  <si>
    <t>อ.เมืองพะเยา</t>
  </si>
  <si>
    <t>TMASPKB230</t>
  </si>
  <si>
    <t>ถ.เทพารักษ์,ศรีนคริน</t>
  </si>
  <si>
    <t>0020483</t>
  </si>
  <si>
    <t>ธ. กรุงเทพ จำกัด (มหาชน) สาขา โนนไทย</t>
  </si>
  <si>
    <t>อ.แม่ใจ</t>
  </si>
  <si>
    <t>TMASPKB240</t>
  </si>
  <si>
    <t>แพรกษา,ปากน้ำ,บางปู</t>
  </si>
  <si>
    <t>0020484</t>
  </si>
  <si>
    <t>ธ. กรุงเทพ จำกัด (มหาชน) สาขา เมืองพัทยา</t>
  </si>
  <si>
    <t>อ.กงหรา</t>
  </si>
  <si>
    <t>TMASPKF110</t>
  </si>
  <si>
    <t>วงเวียนใหญ่,สุขสวัสด</t>
  </si>
  <si>
    <t>0020485</t>
  </si>
  <si>
    <t>ธ. กรุงเทพ จำกัด (มหาชน) สาขา ห้วยยอด</t>
  </si>
  <si>
    <t>อ.กะปง</t>
  </si>
  <si>
    <t>TMASPKF120</t>
  </si>
  <si>
    <t>0020486</t>
  </si>
  <si>
    <t>ธ. กรุงเทพ จำกัด (มหาชน) สาขา ดอยสะเก็ด</t>
  </si>
  <si>
    <t>อ.เกาะยาว</t>
  </si>
  <si>
    <t>TNCCMI0001</t>
  </si>
  <si>
    <t>อ.ไชยปราการ เชียงใหม</t>
  </si>
  <si>
    <t>0020487</t>
  </si>
  <si>
    <t>ธ. กรุงเทพ จำกัด (มหาชน) สาขา กันทรารมย์</t>
  </si>
  <si>
    <t>อ.เขาชัยสน</t>
  </si>
  <si>
    <t>TNCCMI0002</t>
  </si>
  <si>
    <t>อ.เชียงดาว เชียงใหม่</t>
  </si>
  <si>
    <t>0020488</t>
  </si>
  <si>
    <t>ธ. กรุงเทพ จำกัด (มหาชน) สาขา เชียงยืน</t>
  </si>
  <si>
    <t>อ.คุระบุรี</t>
  </si>
  <si>
    <t>TNCCMI0003</t>
  </si>
  <si>
    <t>อ.จอมทอง เชียงใหม่</t>
  </si>
  <si>
    <t>0020489</t>
  </si>
  <si>
    <t>ธ. กรุงเทพ จำกัด (มหาชน) สาขา จอมสุรางค์ยาตร</t>
  </si>
  <si>
    <t>อ.ตะกั่วทุ่ง</t>
  </si>
  <si>
    <t>TNCCMI0004</t>
  </si>
  <si>
    <t>อ.ดอยหล่อ เชียงใหม่</t>
  </si>
  <si>
    <t>0020490</t>
  </si>
  <si>
    <t>ธ. กรุงเทพ จำกัด (มหาชน) สาขา บางสะพานน้อย</t>
  </si>
  <si>
    <t>อ.ตะกั่วป่า</t>
  </si>
  <si>
    <t>TNCCMI0005</t>
  </si>
  <si>
    <t>อ.ดอยสะเก็ด เชียงใหม</t>
  </si>
  <si>
    <t>0020491</t>
  </si>
  <si>
    <t>ธ. กรุงเทพ จำกัด (มหาชน) สาขา แก่งคอย</t>
  </si>
  <si>
    <t>อ.ทับปุด</t>
  </si>
  <si>
    <t>TNCCMI0006</t>
  </si>
  <si>
    <t>อ.ดอยเต่า เชียงใหม่</t>
  </si>
  <si>
    <t>0020492</t>
  </si>
  <si>
    <t>ธ. กรุงเทพ จำกัด (มหาชน) สาขา มาบอำมฤต</t>
  </si>
  <si>
    <t>อ.ท้ายเหมือง</t>
  </si>
  <si>
    <t>TNCCMI0007</t>
  </si>
  <si>
    <t>อ.ฝาง เชียงใหม่</t>
  </si>
  <si>
    <t>0020493</t>
  </si>
  <si>
    <t>ธ. กรุงเทพ จำกัด (มหาชน) สาขา โพนพิสัย</t>
  </si>
  <si>
    <t>อ.ป่าพะยอม</t>
  </si>
  <si>
    <t>TNCCMI0008</t>
  </si>
  <si>
    <t>0020494</t>
  </si>
  <si>
    <t>ธ. กรุงเทพ จำกัด (มหาชน) สาขา หนองแค</t>
  </si>
  <si>
    <t>อ.เมืองพังงา</t>
  </si>
  <si>
    <t>TNCCMI0009</t>
  </si>
  <si>
    <t>อ.หางดง เชียงใหม่</t>
  </si>
  <si>
    <t>0020495</t>
  </si>
  <si>
    <t>ธ. กรุงเทพ จำกัด (มหาชน) สาขา หนองบัวแดง</t>
  </si>
  <si>
    <t>อ.ศรีนครินทร์</t>
  </si>
  <si>
    <t>TNCCMI0010</t>
  </si>
  <si>
    <t>อ.ฮอด เชียงใหม่</t>
  </si>
  <si>
    <t>0020496</t>
  </si>
  <si>
    <t>ธ. กรุงเทพ จำกัด (มหาชน) สาขา บ้านแพง</t>
  </si>
  <si>
    <t>อ.ศรีบรรพต</t>
  </si>
  <si>
    <t>TNCCMI0011</t>
  </si>
  <si>
    <t>อ.แม่อาย เชียงใหม่</t>
  </si>
  <si>
    <t>0020497</t>
  </si>
  <si>
    <t>ธ. กรุงเทพ จำกัด (มหาชน) สาขา บ้านฉาง</t>
  </si>
  <si>
    <t>TNCCMI0012</t>
  </si>
  <si>
    <t>อ.แม่แจ่ม เชียงใหม่</t>
  </si>
  <si>
    <t>0020498</t>
  </si>
  <si>
    <t>ธ. กรุงเทพ จำกัด (มหาชน) สาขา บ้านเพ</t>
  </si>
  <si>
    <t>TNCCMI0013</t>
  </si>
  <si>
    <t>อ.แม่ออน เชียงใหม่</t>
  </si>
  <si>
    <t>0020499</t>
  </si>
  <si>
    <t>ธ. กรุงเทพ จำกัด (มหาชน) สาขา ห้าแยกสะพานติณสูลานนท์</t>
  </si>
  <si>
    <t>TNCCMI0014</t>
  </si>
  <si>
    <t>อ.แม่ริม เชียงใหม่</t>
  </si>
  <si>
    <t>0020500</t>
  </si>
  <si>
    <t>ธ. กรุงเทพ จำกัด (มหาชน) สาขา ห้าแยกโนนไฮ</t>
  </si>
  <si>
    <t>อ.ควนขนุน</t>
  </si>
  <si>
    <t>TNCCMI0015</t>
  </si>
  <si>
    <t>อ.แม่แตง เชียงใหม่</t>
  </si>
  <si>
    <t>0020501</t>
  </si>
  <si>
    <t>ธ. กรุงเทพ จำกัด (มหาชน) สาขา อัมพวา</t>
  </si>
  <si>
    <t>อ.ตะโหมด</t>
  </si>
  <si>
    <t>TNCCMI0016</t>
  </si>
  <si>
    <t>อ.แม่วาง เชียงใหม่</t>
  </si>
  <si>
    <t>0020502</t>
  </si>
  <si>
    <t>ธ. กรุงเทพ จำกัด (มหาชน) สาขา บางเลน</t>
  </si>
  <si>
    <t>TNCCMI0017</t>
  </si>
  <si>
    <t>0020503</t>
  </si>
  <si>
    <t>ธ. กรุงเทพ จำกัด (มหาชน) สาขา ปักธงชัย</t>
  </si>
  <si>
    <t>อ.บางแก้ว</t>
  </si>
  <si>
    <t>TNCCMI0018</t>
  </si>
  <si>
    <t>อ.อมก๋อย เชียงใหม่</t>
  </si>
  <si>
    <t>0020504</t>
  </si>
  <si>
    <t>ธ. กรุงเทพ จำกัด (มหาชน) สาขา ถนนสุเทพ</t>
  </si>
  <si>
    <t>อ.ปากพะยูน</t>
  </si>
  <si>
    <t>TNCCMI0019</t>
  </si>
  <si>
    <t>อ.พร้าว เชียงใหม่</t>
  </si>
  <si>
    <t>0020505</t>
  </si>
  <si>
    <t>ธ. กรุงเทพ จำกัด (มหาชน) สาขา ฮอด</t>
  </si>
  <si>
    <t>อ.ป่าบอน</t>
  </si>
  <si>
    <t>TNCCMI0020</t>
  </si>
  <si>
    <t>อ.สะเมิง เชียงใหม่</t>
  </si>
  <si>
    <t>0020506</t>
  </si>
  <si>
    <t>ธ. กรุงเทพ จำกัด (มหาชน) สาขา สะบ้าย้อยสงขลา</t>
  </si>
  <si>
    <t>TNCCMI0021</t>
  </si>
  <si>
    <t>อ.สันกำแพง เชียงใหม่</t>
  </si>
  <si>
    <t>0020507</t>
  </si>
  <si>
    <t>ธ. กรุงเทพ จำกัด (มหาชน) สาขา เขมราฐ</t>
  </si>
  <si>
    <t>อ.เมืองพัทลุง</t>
  </si>
  <si>
    <t>TNCCMI0022</t>
  </si>
  <si>
    <t>อ.สันป่าตอง เชียงใหม</t>
  </si>
  <si>
    <t>0020508</t>
  </si>
  <si>
    <t>ธ. กรุงเทพ จำกัด (มหาชน) สาขา บางคนที</t>
  </si>
  <si>
    <t>TNCCMI0023</t>
  </si>
  <si>
    <t>อ.สันทราย เชียงใหม่</t>
  </si>
  <si>
    <t>0020509</t>
  </si>
  <si>
    <t>ธ. กรุงเทพ จำกัด (มหาชน) สาขา มะขาม</t>
  </si>
  <si>
    <t>TNCCMI0024</t>
  </si>
  <si>
    <t>อ.สารภี เชียงใหม่</t>
  </si>
  <si>
    <t>0020510</t>
  </si>
  <si>
    <t>ธ. กรุงเทพ จำกัด (มหาชน) สาขา แม่อาย</t>
  </si>
  <si>
    <t>อ.ดงเจริญ</t>
  </si>
  <si>
    <t>TNCCMI0025</t>
  </si>
  <si>
    <t>อ.เวียงแหง เชียงใหม่</t>
  </si>
  <si>
    <t>0020511</t>
  </si>
  <si>
    <t>ธ. กรุงเทพ จำกัด (มหาชน) สาขา แม่สรวย</t>
  </si>
  <si>
    <t>อ.ตะพานหิน</t>
  </si>
  <si>
    <t>TNCCRI0026</t>
  </si>
  <si>
    <t>อ.เชียงของ เชียงราย</t>
  </si>
  <si>
    <t>0020512</t>
  </si>
  <si>
    <t>ธ. กรุงเทพ จำกัด (มหาชน) สาขา โพนางดำ</t>
  </si>
  <si>
    <t>อ.ทับคล้อ</t>
  </si>
  <si>
    <t>TNCCRI0027</t>
  </si>
  <si>
    <t>อ.เชียงแสน เชียงราย</t>
  </si>
  <si>
    <t>0020513</t>
  </si>
  <si>
    <t>ธ. กรุงเทพ จำกัด (มหาชน) สาขา สวนแตง</t>
  </si>
  <si>
    <t>อ.บางมูลนาก</t>
  </si>
  <si>
    <t>TNCCRI0028</t>
  </si>
  <si>
    <t>อ.ดอยหลวง เชียงราย</t>
  </si>
  <si>
    <t>0020514</t>
  </si>
  <si>
    <t>ธ. กรุงเทพ จำกัด (มหาชน) สาขา น้ำยืน</t>
  </si>
  <si>
    <t>อ.บึงนาราง</t>
  </si>
  <si>
    <t>TNCCRI0029</t>
  </si>
  <si>
    <t>อ.ขุนตาล เชียงราย</t>
  </si>
  <si>
    <t>0020515</t>
  </si>
  <si>
    <t>ธ. กรุงเทพ จำกัด (มหาชน) สาขา แม่ใจ</t>
  </si>
  <si>
    <t>อ.โพทะเล</t>
  </si>
  <si>
    <t>TNCCRI0030</t>
  </si>
  <si>
    <t>อ.แม่จัน เชียงราย</t>
  </si>
  <si>
    <t>0020516</t>
  </si>
  <si>
    <t>ธ. กรุงเทพ จำกัด (มหาชน) สาขา ทุ่งหว้า</t>
  </si>
  <si>
    <t>อ.โพธิ์ประทับช้าง</t>
  </si>
  <si>
    <t>TNCCRI0031</t>
  </si>
  <si>
    <t>อ.แม่ฟ้าหลวง เชียงรา</t>
  </si>
  <si>
    <t>0020517</t>
  </si>
  <si>
    <t>ธ. กรุงเทพ จำกัด (มหาชน) สาขา ถนนประชารักษา</t>
  </si>
  <si>
    <t>อ.เมืองพิจิตร</t>
  </si>
  <si>
    <t>TNCCRI0032</t>
  </si>
  <si>
    <t>อ.แม่ลาว เชียงราย</t>
  </si>
  <si>
    <t>0020518</t>
  </si>
  <si>
    <t>ธ. กรุงเทพ จำกัด (มหาชน) สาขา ท่าฉลอม</t>
  </si>
  <si>
    <t>อ.วชิรบารมี</t>
  </si>
  <si>
    <t>TNCCRI0033</t>
  </si>
  <si>
    <t>อ.แม่สาย เชียงราย</t>
  </si>
  <si>
    <t>0020519</t>
  </si>
  <si>
    <t>ธ. กรุงเทพ จำกัด (มหาชน) สาขา ท่าใหม่</t>
  </si>
  <si>
    <t>อ.วังทรายพูน</t>
  </si>
  <si>
    <t>TNCCRI0034</t>
  </si>
  <si>
    <t>อ.แม่สรวย เชียงราย</t>
  </si>
  <si>
    <t>0020520</t>
  </si>
  <si>
    <t>ธ. กรุงเทพ จำกัด (มหาชน) สาขา ถนนทรงพล</t>
  </si>
  <si>
    <t>อ.สากเหล็ก</t>
  </si>
  <si>
    <t>TNCCRI0035</t>
  </si>
  <si>
    <t>0020521</t>
  </si>
  <si>
    <t>ธ. กรุงเทพ จำกัด (มหาชน) สาขา ถนนหน้าเมือง</t>
  </si>
  <si>
    <t>อ.สามง่าม</t>
  </si>
  <si>
    <t>TNCCRI0036</t>
  </si>
  <si>
    <t>อ.ป่าแดด เชียงราย</t>
  </si>
  <si>
    <t>0020522</t>
  </si>
  <si>
    <t>ธ. กรุงเทพ จำกัด (มหาชน) สาขา เวียงสระ</t>
  </si>
  <si>
    <t>อ.ชาติตระการ</t>
  </si>
  <si>
    <t>TNCCRI0037</t>
  </si>
  <si>
    <t>อ.พาน เชียงราย</t>
  </si>
  <si>
    <t>0020523</t>
  </si>
  <si>
    <t>ธ. กรุงเทพ จำกัด (มหาชน) สาขา สารภี</t>
  </si>
  <si>
    <t>อ.นครไทย</t>
  </si>
  <si>
    <t>TNCCRI0038</t>
  </si>
  <si>
    <t>อ.พญาเม็งราย เชียงรา</t>
  </si>
  <si>
    <t>0020524</t>
  </si>
  <si>
    <t>ธ. กรุงเทพ จำกัด (มหาชน) สาขา เขาวัง</t>
  </si>
  <si>
    <t>อ.เนินมะปราง</t>
  </si>
  <si>
    <t>TNCCRI0039</t>
  </si>
  <si>
    <t>อ.เทิง เชียงราย</t>
  </si>
  <si>
    <t>0020525</t>
  </si>
  <si>
    <t>ธ. กรุงเทพ จำกัด (มหาชน) สาขา เชียงม่วน</t>
  </si>
  <si>
    <t>อ.บางกระทุ่ม</t>
  </si>
  <si>
    <t>TNCCRI0040</t>
  </si>
  <si>
    <t>อ.เวียงชัย เชียงราย</t>
  </si>
  <si>
    <t>0020526</t>
  </si>
  <si>
    <t>ธ. กรุงเทพ จำกัด (มหาชน) สาขา บางคล้า</t>
  </si>
  <si>
    <t>อ.บางระกำ</t>
  </si>
  <si>
    <t>TNCCRI0041</t>
  </si>
  <si>
    <t>0020527</t>
  </si>
  <si>
    <t>ธ. กรุงเทพ จำกัด (มหาชน) สาขา สะพานปลา</t>
  </si>
  <si>
    <t>อ.พรหมพิราม</t>
  </si>
  <si>
    <t>TNCCRI0042</t>
  </si>
  <si>
    <t>อ.เวียงแก่น เชียงราย</t>
  </si>
  <si>
    <t>0020528</t>
  </si>
  <si>
    <t>ธ. กรุงเทพ จำกัด (มหาชน) สาขา บิ๊กซี ฉะเชิงเทรา 2</t>
  </si>
  <si>
    <t>อ.เมืองพิษณุโลก</t>
  </si>
  <si>
    <t>TNCCRI0043</t>
  </si>
  <si>
    <t>0020529</t>
  </si>
  <si>
    <t>ธ. กรุงเทพ จำกัด (มหาชน) สาขา ข่วงสิงห์</t>
  </si>
  <si>
    <t>อ.วังทอง</t>
  </si>
  <si>
    <t>TNCLPG0044</t>
  </si>
  <si>
    <t>อ.แจ้ห่ม ลำปาง</t>
  </si>
  <si>
    <t>0020530</t>
  </si>
  <si>
    <t>ธ. กรุงเทพ จำกัด (มหาชน) สาขา ถนนศรีสุริยวงศ์</t>
  </si>
  <si>
    <t>อ.วัดโบสถ์</t>
  </si>
  <si>
    <t>TNCLPG0045</t>
  </si>
  <si>
    <t>อ.ห้างฉัตร ลำปาง</t>
  </si>
  <si>
    <t>0020531</t>
  </si>
  <si>
    <t>ธ. กรุงเทพ จำกัด (มหาชน) สาขา กาดสวนแก้ว</t>
  </si>
  <si>
    <t>อ.แก่งกระจาน</t>
  </si>
  <si>
    <t>TNCLPG0046</t>
  </si>
  <si>
    <t>อ.เกาะคา ลำปาง</t>
  </si>
  <si>
    <t>0020532</t>
  </si>
  <si>
    <t>ธ. กรุงเทพ จำกัด (มหาชน) สาขา บ่อสร้าง</t>
  </si>
  <si>
    <t>อ.เขาย้อย</t>
  </si>
  <si>
    <t>TNCLPG0047</t>
  </si>
  <si>
    <t>อ.แม่เมาะ ลำปาง</t>
  </si>
  <si>
    <t>0020533</t>
  </si>
  <si>
    <t>ธ. กรุงเทพ จำกัด (มหาชน) สาขา ตลาดมะขามเตี้ย</t>
  </si>
  <si>
    <t>อ.ชะอำ</t>
  </si>
  <si>
    <t>TNCLPG0048</t>
  </si>
  <si>
    <t>อ.แม่ริม ลำปาง</t>
  </si>
  <si>
    <t>0020534</t>
  </si>
  <si>
    <t>ธ. กรุงเทพ จำกัด (มหาชน) สาขา สี่แยกปฐมพร</t>
  </si>
  <si>
    <t>อ.ท่ายาง</t>
  </si>
  <si>
    <t>TNCLPG0049</t>
  </si>
  <si>
    <t>อ.แม่ทะ ลำปาง</t>
  </si>
  <si>
    <t>0020535</t>
  </si>
  <si>
    <t>ธ. กรุงเทพ จำกัด (มหาชน) สาขา ถนนสิงหวัฒน์</t>
  </si>
  <si>
    <t>อ.บ้านลาด</t>
  </si>
  <si>
    <t>TNCLPG0050</t>
  </si>
  <si>
    <t>อ.เมืองลำปาง ลำปาง</t>
  </si>
  <si>
    <t>0020536</t>
  </si>
  <si>
    <t>ธ. กรุงเทพ จำกัด (มหาชน) สาขา ถนนราชการดำเนิน</t>
  </si>
  <si>
    <t>อ.บ้านแหลม</t>
  </si>
  <si>
    <t>TNCLPG0051</t>
  </si>
  <si>
    <t>อ.เมืองปาน ลำปาง</t>
  </si>
  <si>
    <t>0020537</t>
  </si>
  <si>
    <t>ธ. กรุงเทพ จำกัด (มหาชน) สาขา ห้าแยกพ่อขุนเม็งราย</t>
  </si>
  <si>
    <t>อ.เมืองเพชรบุรี</t>
  </si>
  <si>
    <t>TNCLPG0052</t>
  </si>
  <si>
    <t>อ.งาว ลำปาง</t>
  </si>
  <si>
    <t>0020538</t>
  </si>
  <si>
    <t>ธ. กรุงเทพ จำกัด (มหาชน) สาขา ถนนอัษฎางค์</t>
  </si>
  <si>
    <t>TNCLPG0053</t>
  </si>
  <si>
    <t>อ.เสริมงาม ลำปาง</t>
  </si>
  <si>
    <t>0020539</t>
  </si>
  <si>
    <t>ธ. กรุงเทพ จำกัด (มหาชน) สาขา สระแก้ว</t>
  </si>
  <si>
    <t>อ.เขาค้อ</t>
  </si>
  <si>
    <t>TNCLPG0054</t>
  </si>
  <si>
    <t>อ.สบปราบ ลำปาง</t>
  </si>
  <si>
    <t>0020540</t>
  </si>
  <si>
    <t>ธ. กรุงเทพ จำกัด (มหาชน) สาขา สวนอุตสาหกรรมสหพัฒน</t>
  </si>
  <si>
    <t>อ.ชนแดน</t>
  </si>
  <si>
    <t>TNCLPG0055</t>
  </si>
  <si>
    <t>อ.เถิน ลำปาง</t>
  </si>
  <si>
    <t>0020541</t>
  </si>
  <si>
    <t>ธ. กรุงเทพ จำกัด (มหาชน) สาขา เกาะสมุย</t>
  </si>
  <si>
    <t>อ.น้ำหนาว</t>
  </si>
  <si>
    <t>TNCLPG0056</t>
  </si>
  <si>
    <t>อ.วังเหนือ ลำปาง</t>
  </si>
  <si>
    <t>0020542</t>
  </si>
  <si>
    <t>ธ. กรุงเทพ จำกัด (มหาชน) สาขา อรัญประเทศ</t>
  </si>
  <si>
    <t>อ.บึงสามพัน</t>
  </si>
  <si>
    <t>TNCLPN0057</t>
  </si>
  <si>
    <t>อ.บ้านโฮ่ง ลำพูน</t>
  </si>
  <si>
    <t>0020543</t>
  </si>
  <si>
    <t>ธ. กรุงเทพ จำกัด (มหาชน) สาขา นาโยงตรัง</t>
  </si>
  <si>
    <t>อ.เมืองเพชรบูรณ์</t>
  </si>
  <si>
    <t>TNCLPN0058</t>
  </si>
  <si>
    <t>อ.บ้านธิ ลำพูน</t>
  </si>
  <si>
    <t>0020544</t>
  </si>
  <si>
    <t>ธ. กรุงเทพ จำกัด (มหาชน) สาขา สะเมิง</t>
  </si>
  <si>
    <t>อ.วังโป่ง</t>
  </si>
  <si>
    <t>TNCLPN0059</t>
  </si>
  <si>
    <t>อ.ลี้ ลำพูน</t>
  </si>
  <si>
    <t>0020545</t>
  </si>
  <si>
    <t>ธ. กรุงเทพ จำกัด (มหาชน) สาขา กาบเชิง</t>
  </si>
  <si>
    <t>อ.วิเชียรบุรี</t>
  </si>
  <si>
    <t>TNCLPN0060</t>
  </si>
  <si>
    <t>อ.แม่ทา ลำพูน</t>
  </si>
  <si>
    <t>0020546</t>
  </si>
  <si>
    <t>ธ. กรุงเทพ จำกัด (มหาชน) สาขา เขาสวนกวาง</t>
  </si>
  <si>
    <t>อ.ศรีเทพ</t>
  </si>
  <si>
    <t>TNCLPN0061</t>
  </si>
  <si>
    <t>อ.เมืองลำพูน ลำพูน</t>
  </si>
  <si>
    <t>0020547</t>
  </si>
  <si>
    <t>ธ. กรุงเทพ จำกัด (มหาชน) สาขา วัดเพลง</t>
  </si>
  <si>
    <t>อ.หนองไผ่</t>
  </si>
  <si>
    <t>TNCLPN0062</t>
  </si>
  <si>
    <t>อ.ป่าซาง ลำพูน</t>
  </si>
  <si>
    <t>0020548</t>
  </si>
  <si>
    <t>ธ. กรุงเทพ จำกัด (มหาชน) สาขา กะเปอร์</t>
  </si>
  <si>
    <t>อ.หล่มเก่า</t>
  </si>
  <si>
    <t>TNCLPN0063</t>
  </si>
  <si>
    <t>อ.ทุ่งหัวช้าง ลำพูน</t>
  </si>
  <si>
    <t>0020549</t>
  </si>
  <si>
    <t>ธ. กรุงเทพ จำกัด (มหาชน) สาขา ถนนนเรศวร</t>
  </si>
  <si>
    <t>อ.หล่มสัก</t>
  </si>
  <si>
    <t>TNCLPN0064</t>
  </si>
  <si>
    <t>อ.เวียงหนองล่องลำพูน</t>
  </si>
  <si>
    <t>0020550</t>
  </si>
  <si>
    <t>ธ. กรุงเทพ จำกัด (มหาชน) สาขา ถนนพระตำหนัก</t>
  </si>
  <si>
    <t>อ.เด่นชัย</t>
  </si>
  <si>
    <t>TNCMSN0065</t>
  </si>
  <si>
    <t>อ.ขุนยวม แม่ฮ่องสอน</t>
  </si>
  <si>
    <t>0020551</t>
  </si>
  <si>
    <t>ธ. กรุงเทพ จำกัด (มหาชน) สาขา ปาดังเบซาร์</t>
  </si>
  <si>
    <t>อ.เมืองแพร่</t>
  </si>
  <si>
    <t>TNCMSN0066</t>
  </si>
  <si>
    <t>แม่ลาน้อย แม่ฮ่องสอน</t>
  </si>
  <si>
    <t>0020552</t>
  </si>
  <si>
    <t>ธ. กรุงเทพ จำกัด (มหาชน) สาขา ถนนราษฎร์ประสงค์</t>
  </si>
  <si>
    <t>อ.ร้องกวาง</t>
  </si>
  <si>
    <t>TNCMSN0067</t>
  </si>
  <si>
    <t>แม่สะเรียง แม่ฮ่องสอ</t>
  </si>
  <si>
    <t>0020553</t>
  </si>
  <si>
    <t>ธ. กรุงเทพ จำกัด (มหาชน) สาขา ดอกคำใต้ พะเยา</t>
  </si>
  <si>
    <t>อ.ลอง</t>
  </si>
  <si>
    <t>TNCMSN0068</t>
  </si>
  <si>
    <t>อ.เมืองแม่ฮ่องสอน</t>
  </si>
  <si>
    <t>0020554</t>
  </si>
  <si>
    <t>ธ. กรุงเทพ จำกัด (มหาชน) สาขา หนองโพ</t>
  </si>
  <si>
    <t>อ.วังชิ้น</t>
  </si>
  <si>
    <t>TNCMSN0069</t>
  </si>
  <si>
    <t>อ.ปาย แม่ฮ่องสอน</t>
  </si>
  <si>
    <t>0020555</t>
  </si>
  <si>
    <t>ธ. กรุงเทพ จำกัด (มหาชน) สาขา คลองวาฬ</t>
  </si>
  <si>
    <t>อ.สอง</t>
  </si>
  <si>
    <t>TNCMSN0070</t>
  </si>
  <si>
    <t>ปางมะผ้า แม่ฮ่องสอน</t>
  </si>
  <si>
    <t>0020556</t>
  </si>
  <si>
    <t>ธ. กรุงเทพ จำกัด (มหาชน) สาขา ถนนบรมอาสน์</t>
  </si>
  <si>
    <t>อ.สูงเม่น</t>
  </si>
  <si>
    <t>TNCMSN0071</t>
  </si>
  <si>
    <t>อ.สบเมย แม่ฮ่องสอน</t>
  </si>
  <si>
    <t>0020557</t>
  </si>
  <si>
    <t>ธ. กรุงเทพ จำกัด (มหาชน) สาขา นครชุม</t>
  </si>
  <si>
    <t>อ.หนองม่วงไข่</t>
  </si>
  <si>
    <t>TNCNAN0087</t>
  </si>
  <si>
    <t>อ.บ้านหลวง น่าน</t>
  </si>
  <si>
    <t>0020558</t>
  </si>
  <si>
    <t>ธ. กรุงเทพ จำกัด (มหาชน) สาขา ขาณุวรลักษบุรี</t>
  </si>
  <si>
    <t>อ.กะทู้</t>
  </si>
  <si>
    <t>TNCNAN0088</t>
  </si>
  <si>
    <t>อ.บ่อเกลือ น่าน</t>
  </si>
  <si>
    <t>0020559</t>
  </si>
  <si>
    <t>ธ. กรุงเทพ จำกัด (มหาชน) สาขา สูงเนินนครราชสีมา</t>
  </si>
  <si>
    <t>อ.ถลาง</t>
  </si>
  <si>
    <t>TNCNAN0089</t>
  </si>
  <si>
    <t>เฉลิมพระเกียรติ น่าน</t>
  </si>
  <si>
    <t>0020560</t>
  </si>
  <si>
    <t>ธ. กรุงเทพ จำกัด (มหาชน) สาขา ถนนสุดบรรทัด</t>
  </si>
  <si>
    <t>อ.เมืองภูเก็ต</t>
  </si>
  <si>
    <t>TNCNAN0090</t>
  </si>
  <si>
    <t>อ.เชียงกลาง น่าน</t>
  </si>
  <si>
    <t>0020561</t>
  </si>
  <si>
    <t>ธ. กรุงเทพ จำกัด (มหาชน) สาขา ถนนเมืองสมุทร</t>
  </si>
  <si>
    <t>อ.กันทรวิชัย</t>
  </si>
  <si>
    <t>TNCNAN0091</t>
  </si>
  <si>
    <t>อ.แม่จริม น่าน</t>
  </si>
  <si>
    <t>0020562</t>
  </si>
  <si>
    <t>ธ. กรุงเทพ จำกัด (มหาชน) สาขา หาดใหญ่ใน</t>
  </si>
  <si>
    <t>อ.กุดรัง</t>
  </si>
  <si>
    <t>TNCNAN0092</t>
  </si>
  <si>
    <t>อ.เมืองน่าน น่าน</t>
  </si>
  <si>
    <t>0020563</t>
  </si>
  <si>
    <t>ธ. กรุงเทพ จำกัด (มหาชน) สาขา ป่าตอง</t>
  </si>
  <si>
    <t>อ.แกดำ</t>
  </si>
  <si>
    <t>TNCNAN0093</t>
  </si>
  <si>
    <t>อ.นาหมื่น น่าน</t>
  </si>
  <si>
    <t>0020564</t>
  </si>
  <si>
    <t>ธ. กรุงเทพ จำกัด (มหาชน) สาขา ด่านขุนทด</t>
  </si>
  <si>
    <t>อ.โกสุมพิสัย</t>
  </si>
  <si>
    <t>TNCNAN0094</t>
  </si>
  <si>
    <t>อ.นาน้อย น่าน</t>
  </si>
  <si>
    <t>0020565</t>
  </si>
  <si>
    <t>ธ. กรุงเทพ จำกัด (มหาชน) สาขา สอยดาว</t>
  </si>
  <si>
    <t>อ.ชื่นชม</t>
  </si>
  <si>
    <t>TNCNAN0095</t>
  </si>
  <si>
    <t>อ.ภูเพียง น่าน</t>
  </si>
  <si>
    <t>0020566</t>
  </si>
  <si>
    <t>ธ. กรุงเทพ จำกัด (มหาชน) สาขา ชะอำ</t>
  </si>
  <si>
    <t>อ.เชียงยืน</t>
  </si>
  <si>
    <t>TNCNAN0096</t>
  </si>
  <si>
    <t>อ.ปัว น่าน</t>
  </si>
  <si>
    <t>0020567</t>
  </si>
  <si>
    <t>ธ. กรุงเทพ จำกัด (มหาชน) สาขา สามแยกวังมะนาว</t>
  </si>
  <si>
    <t>อ.นาเชือก</t>
  </si>
  <si>
    <t>TNCNAN0097</t>
  </si>
  <si>
    <t>อ.สันติสุข น่าน</t>
  </si>
  <si>
    <t>0020568</t>
  </si>
  <si>
    <t>ธ. กรุงเทพ จำกัด (มหาชน) สาขา วังชิ้น</t>
  </si>
  <si>
    <t>อ.นาดูน</t>
  </si>
  <si>
    <t>TNCNAN0098</t>
  </si>
  <si>
    <t>อ.สองแคว น่าน</t>
  </si>
  <si>
    <t>0020569</t>
  </si>
  <si>
    <t>ธ. กรุงเทพ จำกัด (มหาชน) สาขา กันทรวิชัย</t>
  </si>
  <si>
    <t>อ.บรบือ</t>
  </si>
  <si>
    <t>TNCNAN0099</t>
  </si>
  <si>
    <t>อ.ท่าวังผา น่าน</t>
  </si>
  <si>
    <t>0020570</t>
  </si>
  <si>
    <t>ธ. กรุงเทพ จำกัด (มหาชน) สาขา บ้านธิ</t>
  </si>
  <si>
    <t>TNCNAN0100</t>
  </si>
  <si>
    <t>อ.ทุ่งช้าง น่าน</t>
  </si>
  <si>
    <t>0020571</t>
  </si>
  <si>
    <t>ธ. กรุงเทพ จำกัด (มหาชน) สาขา วาริชภูมิ</t>
  </si>
  <si>
    <t>TNCNAN0101</t>
  </si>
  <si>
    <t>อ.เวียงสา น่าน</t>
  </si>
  <si>
    <t>0020572</t>
  </si>
  <si>
    <t>ธ. กรุงเทพ จำกัด (มหาชน) สาขา เทสโก้ โลตัส ระยอง</t>
  </si>
  <si>
    <t>อ.ยางสีสุราช</t>
  </si>
  <si>
    <t>TNCNSN0072</t>
  </si>
  <si>
    <t>บรรพตพิสัย นครสวรรค์</t>
  </si>
  <si>
    <t>0020573</t>
  </si>
  <si>
    <t>ธ. กรุงเทพ จำกัด (มหาชน) สาขา ถลาง</t>
  </si>
  <si>
    <t>อ.วาปีปทุม</t>
  </si>
  <si>
    <t>TNCNSN0073</t>
  </si>
  <si>
    <t>อ.ชุมแสง นครสวรรค์</t>
  </si>
  <si>
    <t>0020574</t>
  </si>
  <si>
    <t>ธ. กรุงเทพ จำกัด (มหาชน) สาขา คอหงส์</t>
  </si>
  <si>
    <t>อ.คำชะอี</t>
  </si>
  <si>
    <t>TNCNSN0074</t>
  </si>
  <si>
    <t>อ.ชุมตาบง นครสวรรค์</t>
  </si>
  <si>
    <t>0020575</t>
  </si>
  <si>
    <t>ธ. กรุงเทพ จำกัด (มหาชน) สาขา ถนนมิตรภาพ หนองคาย</t>
  </si>
  <si>
    <t>อ.ดงหลวง</t>
  </si>
  <si>
    <t>TNCNSN0075</t>
  </si>
  <si>
    <t>เก้าเลี้ยว นครสวรรค์</t>
  </si>
  <si>
    <t>0020576</t>
  </si>
  <si>
    <t>ธ. กรุงเทพ จำกัด (มหาชน) สาขา ถนนมาตุลี</t>
  </si>
  <si>
    <t>อ.ดอนตาล</t>
  </si>
  <si>
    <t>TNCNSN0076</t>
  </si>
  <si>
    <t>อ.โกรกพระ นครสวรรค์</t>
  </si>
  <si>
    <t>0020577</t>
  </si>
  <si>
    <t>ธ. กรุงเทพ จำกัด (มหาชน) สาขา เทสโก้ โลตัส สุราษฎร์ธานี</t>
  </si>
  <si>
    <t>อ.นิคมคำสร้อย</t>
  </si>
  <si>
    <t>TNCNSN0077</t>
  </si>
  <si>
    <t>อ.ลาดยาว นครสวรรค์</t>
  </si>
  <si>
    <t>0020578</t>
  </si>
  <si>
    <t>TNCNSN0078</t>
  </si>
  <si>
    <t>อ.แม่เปิน นครสวรรค์</t>
  </si>
  <si>
    <t>0020579</t>
  </si>
  <si>
    <t>ธ. กรุงเทพ จำกัด (มหาชน) สาขา อุโมงค์</t>
  </si>
  <si>
    <t>อ.หนองสูง</t>
  </si>
  <si>
    <t>TNCNSN0079</t>
  </si>
  <si>
    <t>อ.แม่วงก์ นครสวรรค์</t>
  </si>
  <si>
    <t>0020580</t>
  </si>
  <si>
    <t>ธ. กรุงเทพ จำกัด (มหาชน) สาขา นิคมอุตสาหกรรมเวลโกรว์</t>
  </si>
  <si>
    <t>อ.หว้านใหญ่</t>
  </si>
  <si>
    <t>TNCNSN0080</t>
  </si>
  <si>
    <t>0020581</t>
  </si>
  <si>
    <t>ธ. กรุงเทพ จำกัด (มหาชน) สาขา เหนือคลอง</t>
  </si>
  <si>
    <t>อ.ขุนยวม</t>
  </si>
  <si>
    <t>TNCNSN0081</t>
  </si>
  <si>
    <t>อ.หนองบัว นครสวรรค์</t>
  </si>
  <si>
    <t>0020582</t>
  </si>
  <si>
    <t>ธ. กรุงเทพ จำกัด (มหาชน) สาขา นิคมอุตสาหกรรมอมตะนคร</t>
  </si>
  <si>
    <t>อ.ปางมะผ้า</t>
  </si>
  <si>
    <t>TNCNSN0082</t>
  </si>
  <si>
    <t>อ.ไพศาลี นครสวรรค์</t>
  </si>
  <si>
    <t>0020583</t>
  </si>
  <si>
    <t>ธ. กรุงเทพ จำกัด (มหาชน) สาขา ถนนพระรามหก ตรัง</t>
  </si>
  <si>
    <t>อ.ปาย</t>
  </si>
  <si>
    <t>TNCNSN0083</t>
  </si>
  <si>
    <t>พยุหะคีรี นครสวรรค์</t>
  </si>
  <si>
    <t>0020584</t>
  </si>
  <si>
    <t>ธ. กรุงเทพ จำกัด (มหาชน) สาขา จอหอ</t>
  </si>
  <si>
    <t>TNCNSN0084</t>
  </si>
  <si>
    <t>อ.ตากฟ้า นครสวรรค์</t>
  </si>
  <si>
    <t>0020585</t>
  </si>
  <si>
    <t>ธ. กรุงเทพ จำกัด (มหาชน) สาขา พระพุทธบาท</t>
  </si>
  <si>
    <t>อ.แม่ลาน้อย</t>
  </si>
  <si>
    <t>TNCNSN0085</t>
  </si>
  <si>
    <t>อ.ตาคลี นครสวรรค์</t>
  </si>
  <si>
    <t>0020586</t>
  </si>
  <si>
    <t>ธ. กรุงเทพ จำกัด (มหาชน) สาขา กระนวน</t>
  </si>
  <si>
    <t>อ.แม่สะเรียง</t>
  </si>
  <si>
    <t>TNCNSN0086</t>
  </si>
  <si>
    <t>อ.ท่าตะโก นครสวรรค์</t>
  </si>
  <si>
    <t>0020587</t>
  </si>
  <si>
    <t>ธ. กรุงเทพ จำกัด (มหาชน) สาขา แม่โจ้</t>
  </si>
  <si>
    <t>อ.สบเมย</t>
  </si>
  <si>
    <t>TNCPCT0122</t>
  </si>
  <si>
    <t>อ.บางมูลนาก พิจิตร</t>
  </si>
  <si>
    <t>0020588</t>
  </si>
  <si>
    <t>ธ. กรุงเทพ จำกัด (มหาชน) สาขา หนองบัว นครสวรรค์</t>
  </si>
  <si>
    <t>อ.กุดชุม</t>
  </si>
  <si>
    <t>TNCPCT0123</t>
  </si>
  <si>
    <t>อ.บึงนาราง พิจิตร</t>
  </si>
  <si>
    <t>0020589</t>
  </si>
  <si>
    <t>ธ. กรุงเทพ จำกัด (มหาชน) สาขา นิคมพัฒนา</t>
  </si>
  <si>
    <t>อ.ค้อวัง</t>
  </si>
  <si>
    <t>TNCPCT0124</t>
  </si>
  <si>
    <t>อ.ดงเจริญ พิจิตร</t>
  </si>
  <si>
    <t>0020590</t>
  </si>
  <si>
    <t>ธ. กรุงเทพ จำกัด (มหาชน) สาขา บิ๊กซี เชียงใหม่ 2</t>
  </si>
  <si>
    <t>อ.คำเขื่อนแก้ว</t>
  </si>
  <si>
    <t>TNCPCT0125</t>
  </si>
  <si>
    <t>0020591</t>
  </si>
  <si>
    <t>ธ. กรุงเทพ จำกัด (มหาชน) สาขา สุไหงปาดีนราธิวาส</t>
  </si>
  <si>
    <t>อ.ทรายมูล</t>
  </si>
  <si>
    <t>TNCPCT0126</t>
  </si>
  <si>
    <t>โพธิ์ประทับช้าง</t>
  </si>
  <si>
    <t>0020592</t>
  </si>
  <si>
    <t>ธ. กรุงเทพ จำกัด (มหาชน) สาขา บางสะพาน</t>
  </si>
  <si>
    <t>อ.ไทยเจริญ</t>
  </si>
  <si>
    <t>TNCPCT0127</t>
  </si>
  <si>
    <t>อ.โพทะเล พิจิตร</t>
  </si>
  <si>
    <t>0020593</t>
  </si>
  <si>
    <t>ธ. กรุงเทพ จำกัด (มหาชน) สาขา เมืองใหม่</t>
  </si>
  <si>
    <t>อ.ป่าติ้ว</t>
  </si>
  <si>
    <t>TNCPCT0128</t>
  </si>
  <si>
    <t>อ.สากเหล็ก พิจิตร</t>
  </si>
  <si>
    <t>0020594</t>
  </si>
  <si>
    <t>ธ. กรุงเทพ จำกัด (มหาชน) สาขา หัวทะเล</t>
  </si>
  <si>
    <t>อ.มหาชนะชัย</t>
  </si>
  <si>
    <t>TNCPCT0129</t>
  </si>
  <si>
    <t>อ.สามง่าม พิจิตร</t>
  </si>
  <si>
    <t>0020595</t>
  </si>
  <si>
    <t>ธ. กรุงเทพ จำกัด (มหาชน) สาขา เดอะมอลล์ นครราชสีมา</t>
  </si>
  <si>
    <t>อ.เมืองยโสธร</t>
  </si>
  <si>
    <t>TNCPCT0130</t>
  </si>
  <si>
    <t>อ.ตะพานหิน พิจิตร</t>
  </si>
  <si>
    <t>0020596</t>
  </si>
  <si>
    <t>ธ. กรุงเทพ จำกัด (มหาชน) สาขา หนองแซง</t>
  </si>
  <si>
    <t>อ.เลิงนกทา</t>
  </si>
  <si>
    <t>TNCPCT0131</t>
  </si>
  <si>
    <t>อ.ทับคล้อ พิจิตร</t>
  </si>
  <si>
    <t>0020597</t>
  </si>
  <si>
    <t>ธ. กรุงเทพ จำกัด (มหาชน) สาขา ท่ามะเขือ กำแพงเพชร</t>
  </si>
  <si>
    <t>อ.กรงปินัง</t>
  </si>
  <si>
    <t>TNCPCT0132</t>
  </si>
  <si>
    <t>อ.วชิรบารมี พิจิตร</t>
  </si>
  <si>
    <t>0020598</t>
  </si>
  <si>
    <t>ธ. กรุงเทพ จำกัด (มหาชน) สาขา แม่ขะจาน</t>
  </si>
  <si>
    <t>อ.กาบัง</t>
  </si>
  <si>
    <t>TNCPCT0133</t>
  </si>
  <si>
    <t>อ.วังทรายพูน พิจิตร</t>
  </si>
  <si>
    <t>0020599</t>
  </si>
  <si>
    <t>ธ. กรุงเทพ จำกัด (มหาชน) สาขา เขาย้อย เพชรบุรี</t>
  </si>
  <si>
    <t>อ.ธารโต</t>
  </si>
  <si>
    <t>TNCPLK0134</t>
  </si>
  <si>
    <t>อ.บางกระทุ่ม พิษณุโล</t>
  </si>
  <si>
    <t>0020600</t>
  </si>
  <si>
    <t>ธ. กรุงเทพ จำกัด (มหาชน) สาขา บ้านโพธิ์</t>
  </si>
  <si>
    <t>อ.บันนังสตา</t>
  </si>
  <si>
    <t>TNCPLK0135</t>
  </si>
  <si>
    <t>อ.บางระกำ พิษณุโลก</t>
  </si>
  <si>
    <t>0020601</t>
  </si>
  <si>
    <t>ธ. กรุงเทพ จำกัด (มหาชน) สาขา ปากน้ำปราณ</t>
  </si>
  <si>
    <t>อ.เบตง</t>
  </si>
  <si>
    <t>TNCPLK0136</t>
  </si>
  <si>
    <t>อ.ชาติตระการ พิษณุโล</t>
  </si>
  <si>
    <t>0020602</t>
  </si>
  <si>
    <t>ธ. กรุงเทพ จำกัด (มหาชน) สาขา สยามแม็คโคร นครปฐม</t>
  </si>
  <si>
    <t>อ.เมืองยะลา</t>
  </si>
  <si>
    <t>TNCPLK0137</t>
  </si>
  <si>
    <t>0020603</t>
  </si>
  <si>
    <t>ธ. กรุงเทพ จำกัด (มหาชน) สาขา สยามแม็คโคร หาดใหญ่</t>
  </si>
  <si>
    <t>อ.ยะหา</t>
  </si>
  <si>
    <t>TNCPLK0138</t>
  </si>
  <si>
    <t>อ.นครไทย พิษณุโลก</t>
  </si>
  <si>
    <t>0020604</t>
  </si>
  <si>
    <t>ธ. กรุงเทพ จำกัด (มหาชน) สาขา ถนนหนองจิก</t>
  </si>
  <si>
    <t>อ.รามัน</t>
  </si>
  <si>
    <t>TNCPLK0139</t>
  </si>
  <si>
    <t>อ.เนินมะปราง พิษณุโล</t>
  </si>
  <si>
    <t>0020605</t>
  </si>
  <si>
    <t>ธ. กรุงเทพ จำกัด (มหาชน) สาขา เมืองปาน</t>
  </si>
  <si>
    <t>อ.เกษตรวิสัย</t>
  </si>
  <si>
    <t>TNCPLK0140</t>
  </si>
  <si>
    <t>อ.พรหมพิราม พิษณุโลก</t>
  </si>
  <si>
    <t>0020606</t>
  </si>
  <si>
    <t>ธ. กรุงเทพ จำกัด (มหาชน) สาขา แว้งนราธิวาส</t>
  </si>
  <si>
    <t>TNCPLK0141</t>
  </si>
  <si>
    <t>อ.วังทอง พิษณุโลก</t>
  </si>
  <si>
    <t>0020607</t>
  </si>
  <si>
    <t>ธ. กรุงเทพ จำกัด (มหาชน) สาขา สยามแม็คโคร ชลบุรี</t>
  </si>
  <si>
    <t>อ.จังหาร</t>
  </si>
  <si>
    <t>TNCPLK0142</t>
  </si>
  <si>
    <t>อ.วัดโบสถ์ พิษณุโลก</t>
  </si>
  <si>
    <t>0020608</t>
  </si>
  <si>
    <t>ธ. กรุงเทพ จำกัด (มหาชน) สาขา เขาวง</t>
  </si>
  <si>
    <t>อ.เชียงขวัญ</t>
  </si>
  <si>
    <t>TNCPNB0111</t>
  </si>
  <si>
    <t>บึงสามพัน เพชรบูรณ์</t>
  </si>
  <si>
    <t>0020609</t>
  </si>
  <si>
    <t>ธ. กรุงเทพ จำกัด (มหาชน) สาขา ยางชุมน้อย</t>
  </si>
  <si>
    <t>TNCPNB0112</t>
  </si>
  <si>
    <t>อ.ชนแดน เพชรบูรณ์</t>
  </si>
  <si>
    <t>0020610</t>
  </si>
  <si>
    <t>ธ. กรุงเทพ จำกัด (มหาชน) สาขา ทองแสนขัน</t>
  </si>
  <si>
    <t>อ.ธวัชบุรี</t>
  </si>
  <si>
    <t>TNCPNB0113</t>
  </si>
  <si>
    <t>อ.เขาค้อ เพชรบูรณ์</t>
  </si>
  <si>
    <t>0020611</t>
  </si>
  <si>
    <t>ธ. กรุงเทพ จำกัด (มหาชน) สาขา ลำดวน</t>
  </si>
  <si>
    <t>อ.ปทุมรัตต์</t>
  </si>
  <si>
    <t>TNCPNB0114</t>
  </si>
  <si>
    <t>อ.หล่มเก่า เพชรบูรณ์</t>
  </si>
  <si>
    <t>0020612</t>
  </si>
  <si>
    <t>ธ. กรุงเทพ จำกัด (มหาชน) สาขา เทสโก้ โลตัส อุบลราชธานี</t>
  </si>
  <si>
    <t>อ.พนมไพร</t>
  </si>
  <si>
    <t>TNCPNB0115</t>
  </si>
  <si>
    <t>อ.หล่มสัก เพชรบูรณ์</t>
  </si>
  <si>
    <t>0020613</t>
  </si>
  <si>
    <t>ธ. กรุงเทพ จำกัด (มหาชน) สาขา เซ็นทรัลแอร์พอร์ท เชียงใหม่</t>
  </si>
  <si>
    <t>อ.โพธิ์ชัย</t>
  </si>
  <si>
    <t>TNCPNB0116</t>
  </si>
  <si>
    <t>0020614</t>
  </si>
  <si>
    <t>ธ. กรุงเทพ จำกัด (มหาชน) สาขา เทสโก้ โลตัส พัทยาใต้</t>
  </si>
  <si>
    <t>อ.โพนทราย</t>
  </si>
  <si>
    <t>TNCPNB0117</t>
  </si>
  <si>
    <t>อ.น้ำหนาว เพชรบูรณ์</t>
  </si>
  <si>
    <t>0020615</t>
  </si>
  <si>
    <t>ธ. กรุงเทพ จำกัด (มหาชน) สาขา บิ๊กซี เชียงใหม่</t>
  </si>
  <si>
    <t>อ.โพนทอง</t>
  </si>
  <si>
    <t>TNCPNB0118</t>
  </si>
  <si>
    <t>อ.หนองไผ่ เพชรบูรณ์</t>
  </si>
  <si>
    <t>0020616</t>
  </si>
  <si>
    <t>ธ. กรุงเทพ จำกัด (มหาชน) สาขา เทสโก้ โลตัส อุดรธานี</t>
  </si>
  <si>
    <t>อ.เมยวดี</t>
  </si>
  <si>
    <t>TNCPNB0119</t>
  </si>
  <si>
    <t>อ.ศรีเทพ เพชรบูรณ์</t>
  </si>
  <si>
    <t>0020617</t>
  </si>
  <si>
    <t>ธ. กรุงเทพ จำกัด (มหาชน) สาขา เทสโก้ โลตัส หาดใหญ่</t>
  </si>
  <si>
    <t>TNCPNB0120</t>
  </si>
  <si>
    <t>อ.วังโป่ง เพชรบูรณ์</t>
  </si>
  <si>
    <t>0020618</t>
  </si>
  <si>
    <t>ธ. กรุงเทพ จำกัด (มหาชน) สาขา เทสโก้ โลตัส ภูเก็ต</t>
  </si>
  <si>
    <t>อ.เมืองสรวง</t>
  </si>
  <si>
    <t>TNCPNB0121</t>
  </si>
  <si>
    <t>วิเชียรบุรี เพชรบูรณ</t>
  </si>
  <si>
    <t>0020619</t>
  </si>
  <si>
    <t>ธ. กรุงเทพ จำกัด (มหาชน) สาขา เทสโก้ โลตัส พัทยาเหนือ</t>
  </si>
  <si>
    <t>อ.ศรีสมเด็จ</t>
  </si>
  <si>
    <t>TNCPRE0143</t>
  </si>
  <si>
    <t>อ.เด่นชัย แพร่</t>
  </si>
  <si>
    <t>0020620</t>
  </si>
  <si>
    <t>ธ. กรุงเทพ จำกัด (มหาชน) สาขา มหาวิทยาลัยนเรศวร พิษณุโลก</t>
  </si>
  <si>
    <t>อ.สุวรรณภูมิ</t>
  </si>
  <si>
    <t>TNCPRE0144</t>
  </si>
  <si>
    <t>อ.ลอง แพร่</t>
  </si>
  <si>
    <t>0020621</t>
  </si>
  <si>
    <t>ธ. กรุงเทพ จำกัด (มหาชน) สาขา เทสโก้ โลตัส หางดง</t>
  </si>
  <si>
    <t>อ.เสลภูมิ</t>
  </si>
  <si>
    <t>TNCPRE0145</t>
  </si>
  <si>
    <t>อ.เมืองแพร่ แพร่</t>
  </si>
  <si>
    <t>0020622</t>
  </si>
  <si>
    <t>ธ. กรุงเทพ จำกัด (มหาชน) สาขา เทสโก้ โลตัส คำเที่ยง</t>
  </si>
  <si>
    <t>อ.หนองพอก</t>
  </si>
  <si>
    <t>TNCPRE0146</t>
  </si>
  <si>
    <t>อ.หนองม่วงไข่ แพร่</t>
  </si>
  <si>
    <t>0020623</t>
  </si>
  <si>
    <t>ธ. กรุงเทพ จำกัด (มหาชน) สาขา เทสโก้ โลตัส ตรัง</t>
  </si>
  <si>
    <t>อ.หนองฮี</t>
  </si>
  <si>
    <t>TNCPRE0147</t>
  </si>
  <si>
    <t>อ.ร้องกวาง แพร่</t>
  </si>
  <si>
    <t>0020624</t>
  </si>
  <si>
    <t>ธ. กรุงเทพ จำกัด (มหาชน) สาขา บิ๊กซี ลำปาง</t>
  </si>
  <si>
    <t>อ.อาจสามารถ</t>
  </si>
  <si>
    <t>TNCPRE0148</t>
  </si>
  <si>
    <t>อ.สอง แพร่</t>
  </si>
  <si>
    <t>0020625</t>
  </si>
  <si>
    <t>ธ. กรุงเทพ จำกัด (มหาชน) สาขา เทสโก้ โลตัส สมุย</t>
  </si>
  <si>
    <t>อ.กระบุรี</t>
  </si>
  <si>
    <t>TNCPRE0149</t>
  </si>
  <si>
    <t>อ.สูงเม่น แพร่</t>
  </si>
  <si>
    <t>0020626</t>
  </si>
  <si>
    <t>ธ. กรุงเทพ จำกัด (มหาชน) สาขา นิคมอุตสาหกรรมอมตะซิตี้</t>
  </si>
  <si>
    <t>อ.กะเปอร์</t>
  </si>
  <si>
    <t>TNCPRE0150</t>
  </si>
  <si>
    <t>อ.วังชิ้น แพร่</t>
  </si>
  <si>
    <t>0020627</t>
  </si>
  <si>
    <t>ธ. กรุงเทพ จำกัด (มหาชน) สาขา บิ๊กซี นครสวรรค์</t>
  </si>
  <si>
    <t>อ.เมืองระนอง</t>
  </si>
  <si>
    <t>TNCPYO0102</t>
  </si>
  <si>
    <t>อ.เชียงคำ พะเยา</t>
  </si>
  <si>
    <t>0020628</t>
  </si>
  <si>
    <t>ธ. กรุงเทพ จำกัด (มหาชน) สาขา บิ๊กซี พัทยา 2</t>
  </si>
  <si>
    <t>อ.ละอุ่น</t>
  </si>
  <si>
    <t>TNCPYO0103</t>
  </si>
  <si>
    <t>อ.เชียงม่วน พะเยา</t>
  </si>
  <si>
    <t>0020629</t>
  </si>
  <si>
    <t>ธ. กรุงเทพ จำกัด (มหาชน) สาขา บิ๊กซี เชียงราย</t>
  </si>
  <si>
    <t>อ.สุขสำราญ</t>
  </si>
  <si>
    <t>TNCPYO0104</t>
  </si>
  <si>
    <t>อ.จุน พะเยา</t>
  </si>
  <si>
    <t>0020630</t>
  </si>
  <si>
    <t>ธ. กรุงเทพ จำกัด (มหาชน) สาขา มหาวิทยาลัยมหาสารคาม</t>
  </si>
  <si>
    <t>อ.แกลง</t>
  </si>
  <si>
    <t>TNCPYO0105</t>
  </si>
  <si>
    <t>อ.ดอกคำใต้ พะเยา</t>
  </si>
  <si>
    <t>0020631</t>
  </si>
  <si>
    <t>ธ. กรุงเทพ จำกัด (มหาชน) สาขา มหาวิทยาลัยขอนแก่น</t>
  </si>
  <si>
    <t>อ.เขาชะเมา</t>
  </si>
  <si>
    <t>TNCPYO0106</t>
  </si>
  <si>
    <t>อ.แม่ใจ พะเยา</t>
  </si>
  <si>
    <t>0020632</t>
  </si>
  <si>
    <t>ธ. กรุงเทพ จำกัด (มหาชน) สาขา เทสโก้โลตัส กาญจนบุรี</t>
  </si>
  <si>
    <t>อ.นิคมพัฒนา</t>
  </si>
  <si>
    <t>TNCPYO0107</t>
  </si>
  <si>
    <t>อ.เมืองพะเยา พะเยา</t>
  </si>
  <si>
    <t>0020633</t>
  </si>
  <si>
    <t>ธ. กรุงเทพ จำกัด (มหาชน) สาขา เทสโก้ โลตัส ขอนแก่น</t>
  </si>
  <si>
    <t>อ.บ้านค่าย</t>
  </si>
  <si>
    <t>TNCPYO0108</t>
  </si>
  <si>
    <t>อ.ภูกามยาว พะเยา</t>
  </si>
  <si>
    <t>0020634</t>
  </si>
  <si>
    <t>ธ. กรุงเทพ จำกัด (มหาชน) สาขา บิ๊กซี หาดใหญ่ 2</t>
  </si>
  <si>
    <t>อ.บ้านฉาง</t>
  </si>
  <si>
    <t>TNCPYO0109</t>
  </si>
  <si>
    <t>อ.ภูซาง พะเยา</t>
  </si>
  <si>
    <t>0020635</t>
  </si>
  <si>
    <t>ธ. กรุงเทพ จำกัด (มหาชน) สาขา ปะคำ</t>
  </si>
  <si>
    <t>อ.ปลวกแดง</t>
  </si>
  <si>
    <t>TNCPYO0110</t>
  </si>
  <si>
    <t>อ.ปง พะเยา</t>
  </si>
  <si>
    <t>0020636</t>
  </si>
  <si>
    <t>ธ. กรุงเทพ จำกัด (มหาชน) สาขา บ้านม่วงสกลนคร</t>
  </si>
  <si>
    <t>อ.เมืองระยอง</t>
  </si>
  <si>
    <t>TNCSTI0151</t>
  </si>
  <si>
    <t>อ.บ้านด่านลานหอย</t>
  </si>
  <si>
    <t>0020637</t>
  </si>
  <si>
    <t>ธ. กรุงเทพ จำกัด (มหาชน) สาขา เทสโก้ โลตัส นครปฐม</t>
  </si>
  <si>
    <t>อ.วังจันทร์</t>
  </si>
  <si>
    <t>TNCSTI0152</t>
  </si>
  <si>
    <t>อ.คีรีมาศ สุโขทัย</t>
  </si>
  <si>
    <t>0020638</t>
  </si>
  <si>
    <t>ธ. กรุงเทพ จำกัด (มหาชน) สาขา ปทุมราชวงศา</t>
  </si>
  <si>
    <t>อ.จอมบึง</t>
  </si>
  <si>
    <t>TNCSTI0153</t>
  </si>
  <si>
    <t>อ.กงไกรลาศ สุโขทัย</t>
  </si>
  <si>
    <t>0020639</t>
  </si>
  <si>
    <t>ธ. กรุงเทพ จำกัด (มหาชน) สาขา บิ๊กซี พัทยากลาง</t>
  </si>
  <si>
    <t>อ.ดำเนินสะดวก</t>
  </si>
  <si>
    <t>TNCSTI0154</t>
  </si>
  <si>
    <t>อ.เมืองสุโขทัย สุโขท</t>
  </si>
  <si>
    <t>0020640</t>
  </si>
  <si>
    <t>ธ. กรุงเทพ จำกัด (มหาชน) สาขา บ้านกรวด</t>
  </si>
  <si>
    <t>อ.บางแพ</t>
  </si>
  <si>
    <t>TNCSTI0155</t>
  </si>
  <si>
    <t>อ.สวรรคโลก สุโขทัย</t>
  </si>
  <si>
    <t>0020641</t>
  </si>
  <si>
    <t>ธ. กรุงเทพ จำกัด (มหาชน) สาขา มหาวิทยาลัยสงขลานครินทร์</t>
  </si>
  <si>
    <t>อ.บ้านคา</t>
  </si>
  <si>
    <t>TNCSTI0156</t>
  </si>
  <si>
    <t>อ.ศรีนคร สุโขทัย</t>
  </si>
  <si>
    <t>0020642</t>
  </si>
  <si>
    <t>ธ. กรุงเทพ จำกัด (มหาชน) สาขา เทสโก้ โลตัส จันทบุรี</t>
  </si>
  <si>
    <t>อ.บ้านโป่ง</t>
  </si>
  <si>
    <t>TNCSTI0157</t>
  </si>
  <si>
    <t>อ.ศรีสำโรง สุโขทัย</t>
  </si>
  <si>
    <t>0020644</t>
  </si>
  <si>
    <t>ธ. กรุงเทพ จำกัด (มหาชน) สาขา มหาวิทยาลัยราชภัฏ สุรินทร์</t>
  </si>
  <si>
    <t>อ.ปากท่อ</t>
  </si>
  <si>
    <t>TNCSTI0158</t>
  </si>
  <si>
    <t>อ.ศรีสัชนาลัย สุโขทั</t>
  </si>
  <si>
    <t>0020645</t>
  </si>
  <si>
    <t>ธ. กรุงเทพ จำกัด (มหาชน) สาขา บิ๊กซี พิษณุโลก</t>
  </si>
  <si>
    <t>อ.โพธาราม</t>
  </si>
  <si>
    <t>TNCSTI0159</t>
  </si>
  <si>
    <t>อ.ทุ่งเสลี่ยม สุโขทั</t>
  </si>
  <si>
    <t>0020646</t>
  </si>
  <si>
    <t>ธ. กรุงเทพ จำกัด (มหาชน) สาขา ป่าติ้ว</t>
  </si>
  <si>
    <t>TNCUTT0160</t>
  </si>
  <si>
    <t>อ.บ้านโคก อุตรดิตถ์</t>
  </si>
  <si>
    <t>0020647</t>
  </si>
  <si>
    <t>ธ. กรุงเทพ จำกัด (มหาชน) สาขา บิ๊กซี ลพบุรี</t>
  </si>
  <si>
    <t>อ.วัดเพลง</t>
  </si>
  <si>
    <t>TNCUTT0161</t>
  </si>
  <si>
    <t>อ.ฟากท่า อุตรดิตถ์</t>
  </si>
  <si>
    <t>0020648</t>
  </si>
  <si>
    <t>ธ. กรุงเทพ จำกัด (มหาชน) สาขา เทสโก้ โลตัส หนองคาย</t>
  </si>
  <si>
    <t>อ.สวนผึ้ง</t>
  </si>
  <si>
    <t>TNCUTT0162</t>
  </si>
  <si>
    <t>อ.ลับแล อุตรดิตถ์</t>
  </si>
  <si>
    <t>0020649</t>
  </si>
  <si>
    <t>ธ. กรุงเทพ จำกัด (มหาชน) สาขา เทสโก้ โลตัส ราชบุรี</t>
  </si>
  <si>
    <t>อ.โคกเจริญ</t>
  </si>
  <si>
    <t>TNCUTT0163</t>
  </si>
  <si>
    <t>อ.เมืองอุตรดิตถ์</t>
  </si>
  <si>
    <t>0020650</t>
  </si>
  <si>
    <t>ธ. กรุงเทพ จำกัด (มหาชน) สาขา เทสโก้ โลตัส สระบุรี</t>
  </si>
  <si>
    <t>อ.โคกสำโรง</t>
  </si>
  <si>
    <t>TNCUTT0164</t>
  </si>
  <si>
    <t>อ.น้ำปาด อุตรดิตถ์</t>
  </si>
  <si>
    <t>0020651</t>
  </si>
  <si>
    <t>ธ. กรุงเทพ จำกัด (มหาชน) สาขา ท่าเรือ แหลมฉบัง</t>
  </si>
  <si>
    <t>อ.ชัยบาดาล</t>
  </si>
  <si>
    <t>TNCUTT0165</t>
  </si>
  <si>
    <t>อ.พิชัย อุตรดิตถ์</t>
  </si>
  <si>
    <t>0020652</t>
  </si>
  <si>
    <t>ธ. กรุงเทพ จำกัด (มหาชน) สาขา บิ๊กซี นครปฐม</t>
  </si>
  <si>
    <t>อ.ท่าวุ้ง</t>
  </si>
  <si>
    <t>TNCUTT0166</t>
  </si>
  <si>
    <t>อ.ท่าปลา อุตรดิตถ์</t>
  </si>
  <si>
    <t>0020653</t>
  </si>
  <si>
    <t>ธ. กรุงเทพ จำกัด (มหาชน) สาขา บิ๊กซี ระยอง</t>
  </si>
  <si>
    <t>อ.ท่าหลวง</t>
  </si>
  <si>
    <t>TNCUTT0167</t>
  </si>
  <si>
    <t>อ.ทองแสนขัน อุตรดิตถ</t>
  </si>
  <si>
    <t>0020654</t>
  </si>
  <si>
    <t>ธ. กรุงเทพ จำกัด (มหาชน) สาขา เทสโก้ โลตัส น่าน</t>
  </si>
  <si>
    <t>อ.บ้านหมี่</t>
  </si>
  <si>
    <t>TNCUTT0168</t>
  </si>
  <si>
    <t>อ.ตรอน อุตรดิตถ์</t>
  </si>
  <si>
    <t>0020655</t>
  </si>
  <si>
    <t>ธ. กรุงเทพ จำกัด (มหาชน) สาขา เทสโก้ โลตัส สุพรรณบุรี</t>
  </si>
  <si>
    <t>อ.พัฒนานิคม</t>
  </si>
  <si>
    <t>TSCCPN0001</t>
  </si>
  <si>
    <t>อ.ละแม ชุมพร</t>
  </si>
  <si>
    <t>0020656</t>
  </si>
  <si>
    <t>ธ. กรุงเทพ จำกัด (มหาชน) สาขา เทสโก้ โลตัส นครศรีธรรมราช</t>
  </si>
  <si>
    <t>อ.เมืองลพบุรี</t>
  </si>
  <si>
    <t>TSCCPN0002</t>
  </si>
  <si>
    <t>อ.หลังสวน ชุมพร</t>
  </si>
  <si>
    <t>0020657</t>
  </si>
  <si>
    <t>ธ. กรุงเทพ จำกัด (มหาชน) สาขา เทสโก้ โลตัส พิษณุโลก</t>
  </si>
  <si>
    <t>อ.ลำสนธิ</t>
  </si>
  <si>
    <t>TSCCPN0003</t>
  </si>
  <si>
    <t>อ.เมืองชุมพร ชุมพร</t>
  </si>
  <si>
    <t>0020658</t>
  </si>
  <si>
    <t>ธ. กรุงเทพ จำกัด (มหาชน) สาขา เทสโก้ โลตัส ลำปาง</t>
  </si>
  <si>
    <t>TSCCPN0004</t>
  </si>
  <si>
    <t>อ.ปะทิว ชุมพร</t>
  </si>
  <si>
    <t>0020659</t>
  </si>
  <si>
    <t>ธ. กรุงเทพ จำกัด (มหาชน) สาขา เทสโก้ โลตัส ชัยนาท</t>
  </si>
  <si>
    <t>อ.สระโบสถ์</t>
  </si>
  <si>
    <t>TSCCPN0005</t>
  </si>
  <si>
    <t>อ.พะโต๊ะ ชุมพร</t>
  </si>
  <si>
    <t>0020660</t>
  </si>
  <si>
    <t>ธ. กรุงเทพ จำกัด (มหาชน) สาขา มหาวิทยาลัยราชภัฏพิบูลย์สงคราม</t>
  </si>
  <si>
    <t>อ.หนองม่วง</t>
  </si>
  <si>
    <t>TSCCPN0006</t>
  </si>
  <si>
    <t>อ.สวี ชุมพร</t>
  </si>
  <si>
    <t>0020661</t>
  </si>
  <si>
    <t>ธ. กรุงเทพ จำกัด (มหาชน) สาขา นิคมอุตสาหกรรมภาคเหนือ จังหวัดลำพูน</t>
  </si>
  <si>
    <t>อ.เกาะคา</t>
  </si>
  <si>
    <t>TSCCPN0007</t>
  </si>
  <si>
    <t>อ.ท่าแซะ ชุมพร</t>
  </si>
  <si>
    <t>0020662</t>
  </si>
  <si>
    <t>ธ. กรุงเทพ จำกัด (มหาชน) สาขา บิ๊กซี ฉะเชิงเทรา</t>
  </si>
  <si>
    <t>อ.งาว</t>
  </si>
  <si>
    <t>TSCCPN0008</t>
  </si>
  <si>
    <t>อ.ทุ่งตะโก ชุมพร</t>
  </si>
  <si>
    <t>0020663</t>
  </si>
  <si>
    <t>ธ. กรุงเทพ จำกัด (มหาชน) สาขา เทสโก้ โลตัส มุกดาหาร</t>
  </si>
  <si>
    <t>อ.แจ้ห่ม</t>
  </si>
  <si>
    <t>TSCKBI0009</t>
  </si>
  <si>
    <t>อ.อ่าวลึก กระบี่</t>
  </si>
  <si>
    <t>0020664</t>
  </si>
  <si>
    <t>ธ. กรุงเทพ จำกัด (มหาชน) สาขา เทสโก้ โลตัส สุรินทร์</t>
  </si>
  <si>
    <t>อ.เถิน</t>
  </si>
  <si>
    <t>TSCKBI0010</t>
  </si>
  <si>
    <t>อ.เขาพนม กระบี่</t>
  </si>
  <si>
    <t>0020665</t>
  </si>
  <si>
    <t>ธ. กรุงเทพ จำกัด (มหาชน) สาขา มหาวิทยาลัยราชภัฏเชียงราย</t>
  </si>
  <si>
    <t>อ.เมืองปาน</t>
  </si>
  <si>
    <t>TSCKBI0011</t>
  </si>
  <si>
    <t>อ.คลองท่อม กระบี่</t>
  </si>
  <si>
    <t>0020666</t>
  </si>
  <si>
    <t>ธ. กรุงเทพ จำกัด (มหาชน) สาขา เทสโก้ โลตัส นครพนม</t>
  </si>
  <si>
    <t>อ.เมืองลำปาง</t>
  </si>
  <si>
    <t>TSCKBI0012</t>
  </si>
  <si>
    <t>อ.เกาะลันตา กระบี่</t>
  </si>
  <si>
    <t>0020667</t>
  </si>
  <si>
    <t>ธ. กรุงเทพ จำกัด (มหาชน) สาขา มหาวิทยาลัยเชียงใหม่</t>
  </si>
  <si>
    <t>อ.แม่ทะ</t>
  </si>
  <si>
    <t>TSCKBI0013</t>
  </si>
  <si>
    <t>อ.ลำทับ กระบี่</t>
  </si>
  <si>
    <t>0020668</t>
  </si>
  <si>
    <t>ธ. กรุงเทพ จำกัด (มหาชน) สาขา เซ็นทรัล เฟสติวัล ภูเก็ต</t>
  </si>
  <si>
    <t>อ.แม่พริก</t>
  </si>
  <si>
    <t>TSCKBI0014</t>
  </si>
  <si>
    <t>0020669</t>
  </si>
  <si>
    <t>ธ. กรุงเทพ จำกัด (มหาชน) สาขา เทสโก้ โลตัส สมุทรสงคราม</t>
  </si>
  <si>
    <t>อ.แม่เมาะ</t>
  </si>
  <si>
    <t>TSCKBI0015</t>
  </si>
  <si>
    <t>อ.เหนือคลอง กระบี่</t>
  </si>
  <si>
    <t>0020670</t>
  </si>
  <si>
    <t>ธ. กรุงเทพ จำกัด (มหาชน) สาขา เทสโก้ โลตัส สกลนคร</t>
  </si>
  <si>
    <t>อ.วังเหนือ</t>
  </si>
  <si>
    <t>TSCKBI0016</t>
  </si>
  <si>
    <t>อ.ปลายพระยา กระบี่</t>
  </si>
  <si>
    <t>0020671</t>
  </si>
  <si>
    <t>ธ. กรุงเทพ จำกัด (มหาชน) สาขา บิ๊กซี สุรินทร์</t>
  </si>
  <si>
    <t>อ.สบปราบ</t>
  </si>
  <si>
    <t>TSCNST0017</t>
  </si>
  <si>
    <t>บางขัน นครศรีธรรมราช</t>
  </si>
  <si>
    <t>0020672</t>
  </si>
  <si>
    <t>ธ. กรุงเทพ จำกัด (มหาชน) สาขา มหาวิทยาลัยแม่ฟ้าหลวง</t>
  </si>
  <si>
    <t>อ.เสริมงาม</t>
  </si>
  <si>
    <t>TSCNST0018</t>
  </si>
  <si>
    <t>ชะอวด นครศรีธรรมราช</t>
  </si>
  <si>
    <t>0020673</t>
  </si>
  <si>
    <t>ธ. กรุงเทพ จำกัด (มหาชน) สาขา บิ๊กซี อุบลราชธานี</t>
  </si>
  <si>
    <t>อ.ห้างฉัตร</t>
  </si>
  <si>
    <t>TSCNST0019</t>
  </si>
  <si>
    <t>0020674</t>
  </si>
  <si>
    <t>ธ. กรุงเทพ จำกัด (มหาชน) สาขา จังซีลอน-ภูเก็ต</t>
  </si>
  <si>
    <t>อ.ทุ่งหัวช้าง</t>
  </si>
  <si>
    <t>TSCNST0020</t>
  </si>
  <si>
    <t>ช้างกลาง นครศรีธรรมร</t>
  </si>
  <si>
    <t>0020675</t>
  </si>
  <si>
    <t>ธ. กรุงเทพ จำกัด (มหาชน) สาขา ตลาดมีโชค</t>
  </si>
  <si>
    <t>อ.บ้านธิ</t>
  </si>
  <si>
    <t>TSCNST0021</t>
  </si>
  <si>
    <t>อ.ฉวาง นครศรีธรรมราช</t>
  </si>
  <si>
    <t>0020676</t>
  </si>
  <si>
    <t>ธ. กรุงเทพ จำกัด (มหาชน) สาขา ถนนสุขุมวิท พัทยากลาง</t>
  </si>
  <si>
    <t>อ.บ้านโฮ่ง</t>
  </si>
  <si>
    <t>TSCNST0022</t>
  </si>
  <si>
    <t>เชียรใหญ่ นครศรีธรรม</t>
  </si>
  <si>
    <t>0020677</t>
  </si>
  <si>
    <t>ธ. กรุงเทพ จำกัด (มหาชน) สาขา มหาวิทยาลัยราชภัฎ บุรีรัมย์</t>
  </si>
  <si>
    <t>อ.ป่าซาง</t>
  </si>
  <si>
    <t>TSCNST0023</t>
  </si>
  <si>
    <t>จุฬาภรณ์ นครศรีธรรมร</t>
  </si>
  <si>
    <t>0020678</t>
  </si>
  <si>
    <t>ธ. กรุงเทพ จำกัด (มหาชน) สาขา มหาวิทยาลัยแม่โจ้</t>
  </si>
  <si>
    <t>อ.เมืองลำพูน</t>
  </si>
  <si>
    <t>TSCNST0024</t>
  </si>
  <si>
    <t>หัวไทร นครศรีธรรมราช</t>
  </si>
  <si>
    <t>0020679</t>
  </si>
  <si>
    <t>ธ. กรุงเทพ จำกัด (มหาชน) สาขา พันธ์ทิพย์ พลาซ่า เชียงใหม่</t>
  </si>
  <si>
    <t>อ.แม่ทา</t>
  </si>
  <si>
    <t>TSCNST0025</t>
  </si>
  <si>
    <t>อ.ขนอม นครศรีธรรมราช</t>
  </si>
  <si>
    <t>0020680</t>
  </si>
  <si>
    <t>ธ. กรุงเทพ จำกัด (มหาชน) สาขา เทสโก้ โลตัส ชัยภูมิ</t>
  </si>
  <si>
    <t>อ.ลี้</t>
  </si>
  <si>
    <t>TSCNST0026</t>
  </si>
  <si>
    <t>ลานสกา นครศรีธรรมราช</t>
  </si>
  <si>
    <t>0020681</t>
  </si>
  <si>
    <t>ธ. กรุงเทพ จำกัด (มหาชน) สาขา นิคมอุตสาหกรรม มาบตาพุด</t>
  </si>
  <si>
    <t>อ.เวียงหนองล่อง</t>
  </si>
  <si>
    <t>TSCNST0027</t>
  </si>
  <si>
    <t>0020682</t>
  </si>
  <si>
    <t>ธ. กรุงเทพ จำกัด (มหาชน) สาขา เทสโก้ โลตัส แพร่</t>
  </si>
  <si>
    <t>อ.เชียงคาน</t>
  </si>
  <si>
    <t>TSCNST0028</t>
  </si>
  <si>
    <t>นาบอน นครศรีธรรมราช</t>
  </si>
  <si>
    <t>0020683</t>
  </si>
  <si>
    <t>ธ. กรุงเทพ จำกัด (มหาชน) สาขา สหไทยพลาซ่า นครศรีธรรมราช</t>
  </si>
  <si>
    <t>อ.ด่านซ้าย</t>
  </si>
  <si>
    <t>TSCNST0029</t>
  </si>
  <si>
    <t>นบพิตำ นครศรีธรรมราช</t>
  </si>
  <si>
    <t>0020684</t>
  </si>
  <si>
    <t>ธ. กรุงเทพ จำกัด (มหาชน) สาขา เทสโก้ โลตัส แม่สาย</t>
  </si>
  <si>
    <t>อ.ท่าลี่</t>
  </si>
  <si>
    <t>TSCNST0030</t>
  </si>
  <si>
    <t>ปากพนัง นครศรีธรรมรา</t>
  </si>
  <si>
    <t>0020685</t>
  </si>
  <si>
    <t>ธ. กรุงเทพ จำกัด (มหาชน) สาขา มหาวิทยาลัยราชภัฏ กำแพงเพชร</t>
  </si>
  <si>
    <t>อ.นาด้วง</t>
  </si>
  <si>
    <t>TSCNST0031</t>
  </si>
  <si>
    <t>พิปูน นครศรีธรรมราช</t>
  </si>
  <si>
    <t>0020686</t>
  </si>
  <si>
    <t>ธ. กรุงเทพ จำกัด (มหาชน) สาขา บิ๊กซี เพชรบุรี</t>
  </si>
  <si>
    <t>อ.นาแห้ว</t>
  </si>
  <si>
    <t>TSCNST0032</t>
  </si>
  <si>
    <t>พระพรหม นครศรีธรรมรา</t>
  </si>
  <si>
    <t>0020687</t>
  </si>
  <si>
    <t>ธ. กรุงเทพ จำกัด (มหาชน) สาขา เทสโก้ โลตัส แฟรี่ พลาซ่า ขอนแก่น</t>
  </si>
  <si>
    <t>อ.ปากชม</t>
  </si>
  <si>
    <t>TSCNST0033</t>
  </si>
  <si>
    <t>พรหมคีรี นครศรีธรรมร</t>
  </si>
  <si>
    <t>0020688</t>
  </si>
  <si>
    <t>ธ. กรุงเทพ จำกัด (มหาชน) สาขา บิ๊กซี โคราช</t>
  </si>
  <si>
    <t>อ.ผาขาว</t>
  </si>
  <si>
    <t>TSCNST0034</t>
  </si>
  <si>
    <t>0020689</t>
  </si>
  <si>
    <t>ธ. กรุงเทพ จำกัด (มหาชน) สาขา เทสโก้ โลตัส สุรินทร์ พลาซ่า</t>
  </si>
  <si>
    <t>อ.ภูกระดึง</t>
  </si>
  <si>
    <t>TSCNST0035</t>
  </si>
  <si>
    <t>อ.สิชล นครศรีธรรมราช</t>
  </si>
  <si>
    <t>0020690</t>
  </si>
  <si>
    <t>ธ. กรุงเทพ จำกัด (มหาชน) สาขา บิ๊กซี สกลนคร</t>
  </si>
  <si>
    <t>อ.ภูเรือ</t>
  </si>
  <si>
    <t>TSCNST0036</t>
  </si>
  <si>
    <t>ท่าศาลา นครศรีธรรมรา</t>
  </si>
  <si>
    <t>0020691</t>
  </si>
  <si>
    <t>ธ. กรุงเทพ จำกัด (มหาชน) สาขา หาดเฉวง</t>
  </si>
  <si>
    <t>อ.ภูหลวง</t>
  </si>
  <si>
    <t>TSCNST0037</t>
  </si>
  <si>
    <t>ถ้ำพรรณรา นครศรีธรรม</t>
  </si>
  <si>
    <t>0020692</t>
  </si>
  <si>
    <t>ธ. กรุงเทพ จำกัด (มหาชน) สาขา หาดเฉวง 2</t>
  </si>
  <si>
    <t>TSCNST0038</t>
  </si>
  <si>
    <t>ทุ่งสง นครศรีธรรมราช</t>
  </si>
  <si>
    <t>0020693</t>
  </si>
  <si>
    <t>ธ. กรุงเทพ จำกัด (มหาชน) สาขา หาดละไม</t>
  </si>
  <si>
    <t>อ.วังสะพุง</t>
  </si>
  <si>
    <t>TSCNST0039</t>
  </si>
  <si>
    <t>ทุ่งใหญ่ นครศรีธรรมร</t>
  </si>
  <si>
    <t>0020694</t>
  </si>
  <si>
    <t>ธ. กรุงเทพ จำกัด (มหาชน) สาขา สี่แยกปากร่วม ชลบุรี</t>
  </si>
  <si>
    <t>อ.หนองหิน</t>
  </si>
  <si>
    <t>TSCNWT0040</t>
  </si>
  <si>
    <t>อ.บาเจาะ นราธิวาส</t>
  </si>
  <si>
    <t>0020695</t>
  </si>
  <si>
    <t>ธ. กรุงเทพ จำกัด (มหาชน) สาขา มหาวิทยาลัยราชภัฏเพชรบูรณ์</t>
  </si>
  <si>
    <t>อ.เอราวัณ</t>
  </si>
  <si>
    <t>TSCNWT0041</t>
  </si>
  <si>
    <t>อ.จะแนะ นราธิวาส</t>
  </si>
  <si>
    <t>0020696</t>
  </si>
  <si>
    <t>ธ. กรุงเทพ จำกัด (มหาชน) สาขา โคลีเซี่ยม พาราไดส์ ภูเก็ต</t>
  </si>
  <si>
    <t>อ.กันทรลักษ์</t>
  </si>
  <si>
    <t>TSCNWT0042</t>
  </si>
  <si>
    <t>เจาะไอร้อง นราธิวาส</t>
  </si>
  <si>
    <t>0020697</t>
  </si>
  <si>
    <t>ธ. กรุงเทพ จำกัด (มหาชน) สาขา เกาะพะงัน</t>
  </si>
  <si>
    <t>อ.กันทรารมย์</t>
  </si>
  <si>
    <t>TSCNWT0043</t>
  </si>
  <si>
    <t>0020698</t>
  </si>
  <si>
    <t>ธ. กรุงเทพ จำกัด (มหาชน) สาขา เทสโก้ โลตัส พะเยา</t>
  </si>
  <si>
    <t>อ.ขุขันธ์</t>
  </si>
  <si>
    <t>TSCNWT0044</t>
  </si>
  <si>
    <t>อ.ระแงะ นราธิวาส</t>
  </si>
  <si>
    <t>0020699</t>
  </si>
  <si>
    <t>ธ. กรุงเทพ จำกัด (มหาชน) สาขา บ้านถวาย เชียงใหม่</t>
  </si>
  <si>
    <t>อ.ขุนหาญ</t>
  </si>
  <si>
    <t>TSCNWT0045</t>
  </si>
  <si>
    <t>อ.รือเสาะ นราธิวาส</t>
  </si>
  <si>
    <t>0020700</t>
  </si>
  <si>
    <t>ธ. กรุงเทพ จำกัด (มหาชน) สาขา ย่อย เทสโก้ โลตัส เลย</t>
  </si>
  <si>
    <t>อ.น้ำเกลี้ยง</t>
  </si>
  <si>
    <t>TSCNWT0046</t>
  </si>
  <si>
    <t>อ.ศรีสาคร นราธิวาส</t>
  </si>
  <si>
    <t>0020701</t>
  </si>
  <si>
    <t>ธ. กรุงเทพ จำกัด (มหาชน) สาขา เทสโก้ โลตัส สัตหีบ</t>
  </si>
  <si>
    <t>อ.โนนคูณ</t>
  </si>
  <si>
    <t>TSCNWT0047</t>
  </si>
  <si>
    <t>สุไหงโก-ลก นราธิวาส</t>
  </si>
  <si>
    <t>0020702</t>
  </si>
  <si>
    <t>ธ. กรุงเทพ จำกัด (มหาชน) สาขา แฟรี่แลนด์ นครสวรรค์</t>
  </si>
  <si>
    <t>อ.บึงบูรพ์</t>
  </si>
  <si>
    <t>TSCNWT0048</t>
  </si>
  <si>
    <t>อ.สุไหงปาดี นราธิวาส</t>
  </si>
  <si>
    <t>0020703</t>
  </si>
  <si>
    <t>ธ. กรุงเทพ จำกัด (มหาชน) สาขา นิคมอุตสาหกรรม อิสเทิร์น ซีบอร์ด</t>
  </si>
  <si>
    <t>อ.เบญจลักษ์</t>
  </si>
  <si>
    <t>TSCNWT0049</t>
  </si>
  <si>
    <t>อ.สุคิริน นราธิวาส</t>
  </si>
  <si>
    <t>0020704</t>
  </si>
  <si>
    <t>ธ. กรุงเทพ จำกัด (มหาชน) สาขา เอสเค ช๊อปปิ้ง พาร์ค อุบลราชธานี</t>
  </si>
  <si>
    <t>อ.ปรางค์กู่</t>
  </si>
  <si>
    <t>TSCNWT0050</t>
  </si>
  <si>
    <t>อ.ตากใบ นราธิวาส</t>
  </si>
  <si>
    <t>0020705</t>
  </si>
  <si>
    <t>ธ. กรุงเทพ จำกัด (มหาชน) สาขา เชียงแสน เชียงราย</t>
  </si>
  <si>
    <t>อ.พยุห์</t>
  </si>
  <si>
    <t>TSCNWT0051</t>
  </si>
  <si>
    <t>อ.แว้ง นราธิวาส</t>
  </si>
  <si>
    <t>0020706</t>
  </si>
  <si>
    <t>ธ. กรุงเทพ จำกัด (มหาชน) สาขา เทสโก้ โลตัส ท็อปแลนด์ เพชรบูรณ์</t>
  </si>
  <si>
    <t>TSCNWT0052</t>
  </si>
  <si>
    <t>อ.ยี่งอ นราธิวาส</t>
  </si>
  <si>
    <t>0020707</t>
  </si>
  <si>
    <t>ธ. กรุงเทพ จำกัด (มหาชน) สาขา ปาย แม่ฮ่องสอน</t>
  </si>
  <si>
    <t>อ.ไพรบึง</t>
  </si>
  <si>
    <t>TSCPKT0084</t>
  </si>
  <si>
    <t>อ.กะทู้ ภูเก็ต</t>
  </si>
  <si>
    <t>0020708</t>
  </si>
  <si>
    <t>ธ. กรุงเทพ จำกัด (มหาชน) สาขา ยเสริมไทย พลาซ่า มหาสารคาม</t>
  </si>
  <si>
    <t>อ.ภูสิงห์</t>
  </si>
  <si>
    <t>TSCPKT0085</t>
  </si>
  <si>
    <t>อ.เมืองภูเก็ต ภูเก็ต</t>
  </si>
  <si>
    <t>0020709</t>
  </si>
  <si>
    <t>ธ. กรุงเทพ จำกัด (มหาชน) สาขา บิ๊กซี ราชบุรี</t>
  </si>
  <si>
    <t>อ.เมืองจันทร์</t>
  </si>
  <si>
    <t>TSCPKT0086</t>
  </si>
  <si>
    <t>อ.ถลาง ภูเก็ต</t>
  </si>
  <si>
    <t>0020710</t>
  </si>
  <si>
    <t>ธ. กรุงเทพ จำกัด (มหาชน) สาขา ด่านสะเดา (จังโหลน) สงขลา</t>
  </si>
  <si>
    <t>TSCPLG0073</t>
  </si>
  <si>
    <t>อ.บางแก้ว พัทลุง</t>
  </si>
  <si>
    <t>0020711</t>
  </si>
  <si>
    <t>ธ. กรุงเทพ จำกัด (มหาชน) สาขา เทสโก้ โลตัส ท่ามะกา</t>
  </si>
  <si>
    <t>อ.ยางชุมน้อย</t>
  </si>
  <si>
    <t>TSCPLG0074</t>
  </si>
  <si>
    <t>อ.เขาชัยสน พัทลุง</t>
  </si>
  <si>
    <t>0020712</t>
  </si>
  <si>
    <t>ธ. กรุงเทพ จำกัด (มหาชน) สาขา เทสโก้ โลตัส โพธาราม</t>
  </si>
  <si>
    <t>อ.ราษีไศล</t>
  </si>
  <si>
    <t>TSCPLG0075</t>
  </si>
  <si>
    <t>อ.ควนขนุน พัทลุง</t>
  </si>
  <si>
    <t>0020713</t>
  </si>
  <si>
    <t>ธ. กรุงเทพ จำกัด (มหาชน) สาขา เทสโก้ โลตัส แม่สอด</t>
  </si>
  <si>
    <t>อ.วังหิน</t>
  </si>
  <si>
    <t>TSCPLG0076</t>
  </si>
  <si>
    <t>อ.กงหรา พัทลุง</t>
  </si>
  <si>
    <t>0020714</t>
  </si>
  <si>
    <t>ธ. กรุงเทพ จำกัด (มหาชน) สาขา เทสโก้ โลตัส โคราช</t>
  </si>
  <si>
    <t>อ.ศรีรัตนะ</t>
  </si>
  <si>
    <t>TSCPLG0077</t>
  </si>
  <si>
    <t>อ.เมืองพัทลุง พัทลุง</t>
  </si>
  <si>
    <t>0020715</t>
  </si>
  <si>
    <t>ธ. กรุงเทพ จำกัด (มหาชน) สาขา เทสโก้ โลตัส ลพบุรี อินน์ พลาซ่า</t>
  </si>
  <si>
    <t>อ.ศิลาลาด</t>
  </si>
  <si>
    <t>TSCPLG0078</t>
  </si>
  <si>
    <t>อ.ป่าบอน พัทลุง</t>
  </si>
  <si>
    <t>0020716</t>
  </si>
  <si>
    <t>ธ. กรุงเทพ จำกัด (มหาชน) สาขา หนองหอย เชียงใหม่</t>
  </si>
  <si>
    <t>อ.ห้วยทับทัน</t>
  </si>
  <si>
    <t>TSCPLG0079</t>
  </si>
  <si>
    <t>อ.ป่าพะยอม พัทลุง</t>
  </si>
  <si>
    <t>0020717</t>
  </si>
  <si>
    <t>ธ. กรุงเทพ จำกัด (มหาชน) สาขา เทสโก้ โลตัส สว่างแดนดิน</t>
  </si>
  <si>
    <t>อ.อุทุมพรพิสัย</t>
  </si>
  <si>
    <t>TSCPLG0080</t>
  </si>
  <si>
    <t>อ.ปากพะยูน พัทลุง</t>
  </si>
  <si>
    <t>0020718</t>
  </si>
  <si>
    <t>ธ. กรุงเทพ จำกัด (มหาชน) สาขา ถนนศรีดอนไชย เชียงใหม่</t>
  </si>
  <si>
    <t>อ.กุดบาก</t>
  </si>
  <si>
    <t>TSCPLG0081</t>
  </si>
  <si>
    <t>อ.ศรีบรรพต พัทลุง</t>
  </si>
  <si>
    <t>0020719</t>
  </si>
  <si>
    <t>ธ. กรุงเทพ จำกัด (มหาชน) สาขา เทสโก้ โลตัส พล ขอนแก่น</t>
  </si>
  <si>
    <t>อ.กุสุมาลย์</t>
  </si>
  <si>
    <t>TSCPLG0082</t>
  </si>
  <si>
    <t>อ.ศรีนครินทร์ พัทลุง</t>
  </si>
  <si>
    <t>0020720</t>
  </si>
  <si>
    <t>ธ. กรุงเทพ จำกัด (มหาชน) สาขา ถนนสุรนารายณ์</t>
  </si>
  <si>
    <t>อ.คำตากล้า</t>
  </si>
  <si>
    <t>TSCPLG0083</t>
  </si>
  <si>
    <t>อ.ตะโหมด พัทลุง</t>
  </si>
  <si>
    <t>0020721</t>
  </si>
  <si>
    <t>ธ. กรุงเทพ จำกัด (มหาชน) สาขา เทสโก้ โลตัส ท่าม่วง</t>
  </si>
  <si>
    <t>อ.โคกศรีสุพรรณ</t>
  </si>
  <si>
    <t>TSCPNA0065</t>
  </si>
  <si>
    <t>อ.กะปง พังงา</t>
  </si>
  <si>
    <t>0020722</t>
  </si>
  <si>
    <t>ธ. กรุงเทพ จำกัด (มหาชน) สาขา เขตอุตสาหกรรม กบินทร์บุรี</t>
  </si>
  <si>
    <t>อ.เจริญศิลป์</t>
  </si>
  <si>
    <t>TSCPNA0066</t>
  </si>
  <si>
    <t>อ.คุระบุรี พังงา</t>
  </si>
  <si>
    <t>0020723</t>
  </si>
  <si>
    <t>ธ. กรุงเทพ จำกัด (มหาชน) สาขา ศาลากลางจังหวัด พิษณุโลก</t>
  </si>
  <si>
    <t>อ.เต่างอย</t>
  </si>
  <si>
    <t>TSCPNA0067</t>
  </si>
  <si>
    <t>อ.เกาะยาว พังงา</t>
  </si>
  <si>
    <t>0020724</t>
  </si>
  <si>
    <t>ธ. กรุงเทพ จำกัด (มหาชน) สาขา โคลีเซียม ซีเนเพล็กซ์ ยะลา</t>
  </si>
  <si>
    <t>อ.นิคมน้ำอูน</t>
  </si>
  <si>
    <t>TSCPNA0068</t>
  </si>
  <si>
    <t>อ.เมืองพังงา พังงา</t>
  </si>
  <si>
    <t>0020725</t>
  </si>
  <si>
    <t>ธ. กรุงเทพ จำกัด (มหาชน) สาขา เทสโก้ โลตัส สันทราย</t>
  </si>
  <si>
    <t>อ.บ้านม่วง</t>
  </si>
  <si>
    <t>TSCPNA0069</t>
  </si>
  <si>
    <t>อ.ตะกั่วป่า พังงา</t>
  </si>
  <si>
    <t>0020726</t>
  </si>
  <si>
    <t>ธ. กรุงเทพ จำกัด (มหาชน) สาขา เทสโก้ โลตัส สองพี่น้อง</t>
  </si>
  <si>
    <t>อ.พรรณานิคม</t>
  </si>
  <si>
    <t>TSCPNA0070</t>
  </si>
  <si>
    <t>อ.ตะกั่วทุ่ง พังงา</t>
  </si>
  <si>
    <t>0020727</t>
  </si>
  <si>
    <t>ธ. กรุงเทพ จำกัด (มหาชน) สาขา โรบินสัน หาดใหญ่</t>
  </si>
  <si>
    <t>อ.พังโคน</t>
  </si>
  <si>
    <t>TSCPNA0071</t>
  </si>
  <si>
    <t>อ.ท้ายเหมือง พังงา</t>
  </si>
  <si>
    <t>0020728</t>
  </si>
  <si>
    <t>ธ. กรุงเทพ จำกัด (มหาชน) สาขา บิ๊กซี ชลบุรี 2</t>
  </si>
  <si>
    <t>อ.โพนนาแก้ว</t>
  </si>
  <si>
    <t>TSCPNA0072</t>
  </si>
  <si>
    <t>อ.ทับปุด พังงา</t>
  </si>
  <si>
    <t>0020729</t>
  </si>
  <si>
    <t>ธ. กรุงเทพ จำกัด (มหาชน) สาขา ชายหาดพัทยา ชลบุรี</t>
  </si>
  <si>
    <t>อ.ภูพาน</t>
  </si>
  <si>
    <t>TSCPTN0053</t>
  </si>
  <si>
    <t>อ.กะพ้อ ปัตตานี</t>
  </si>
  <si>
    <t>0020730</t>
  </si>
  <si>
    <t>ธ. กรุงเทพ จำกัด (มหาชน) สาขา กาดน้ำทอง แพร่</t>
  </si>
  <si>
    <t>อ.เมืองสกลนคร</t>
  </si>
  <si>
    <t>TSCPTN0054</t>
  </si>
  <si>
    <t>อ.โคกโพธิ์ ปัตตานี</t>
  </si>
  <si>
    <t>0020731</t>
  </si>
  <si>
    <t>ธ. กรุงเทพ จำกัด (มหาชน) สาขา เกาะเต่า สุราษฎร์ธานี</t>
  </si>
  <si>
    <t>อ.วานรนิวาส</t>
  </si>
  <si>
    <t>TSCPTN0055</t>
  </si>
  <si>
    <t>อ.แม่ลาน ปัตตานี</t>
  </si>
  <si>
    <t>0020732</t>
  </si>
  <si>
    <t>ธ. กรุงเทพ จำกัด (มหาชน) สาขา บิ๊กซี ลำพูน</t>
  </si>
  <si>
    <t>อ.วาริชภูมิ</t>
  </si>
  <si>
    <t>TSCPTN0056</t>
  </si>
  <si>
    <t>อ.ไม้แก่น ปัตตานี</t>
  </si>
  <si>
    <t>0020733</t>
  </si>
  <si>
    <t>ธ. กรุงเทพ จำกัด (มหาชน) สาขา บ่อผุด เกาะสมุย</t>
  </si>
  <si>
    <t>อ.สว่างแดนดิน</t>
  </si>
  <si>
    <t>TSCPTN0057</t>
  </si>
  <si>
    <t>อ.มายอ ปัตตานี</t>
  </si>
  <si>
    <t>0020734</t>
  </si>
  <si>
    <t>ธ. กรุงเทพ จำกัด (มหาชน) สาขา เทสโก้ โลตัส ท่าศาลา</t>
  </si>
  <si>
    <t>อ.ส่องดาว</t>
  </si>
  <si>
    <t>TSCPTN0058</t>
  </si>
  <si>
    <t>0020735</t>
  </si>
  <si>
    <t>ธ. กรุงเทพ จำกัด (มหาชน) สาขา บิ๊กซี อุดรธานี</t>
  </si>
  <si>
    <t>อ.อากาศอำนวย</t>
  </si>
  <si>
    <t>TSCPTN0059</t>
  </si>
  <si>
    <t>อ.หนองจิก ปัตตานี</t>
  </si>
  <si>
    <t>0020736</t>
  </si>
  <si>
    <t>ธ. กรุงเทพ จำกัด (มหาชน) สาขา ดอนหัวฬ่อ ชลบุรี</t>
  </si>
  <si>
    <t>อ.กระแสสินธุ์</t>
  </si>
  <si>
    <t>TSCPTN0060</t>
  </si>
  <si>
    <t>อ.ปะนาเระ ปัตตานี</t>
  </si>
  <si>
    <t>0020737</t>
  </si>
  <si>
    <t>ธ. กรุงเทพ จำกัด (มหาชน) สาขา ถนนพระยาสัจจา</t>
  </si>
  <si>
    <t>อ.คลองหอยโข่ง</t>
  </si>
  <si>
    <t>TSCPTN0061</t>
  </si>
  <si>
    <t>อ.สายบุรี ปัตตานี</t>
  </si>
  <si>
    <t>0020738</t>
  </si>
  <si>
    <t>ธ. กรุงเทพ จำกัด (มหาชน) สาขา เทสโก้ โลตัส ฝาง</t>
  </si>
  <si>
    <t>อ.ควนเนียง</t>
  </si>
  <si>
    <t>TSCPTN0062</t>
  </si>
  <si>
    <t>อ.ทุ่งยางแดง ปัตตานี</t>
  </si>
  <si>
    <t>0020739</t>
  </si>
  <si>
    <t>ธ. กรุงเทพ จำกัด (มหาชน) สาขา เทสโก้ โลตัส ท่าบ่อ</t>
  </si>
  <si>
    <t>อ.จะนะ</t>
  </si>
  <si>
    <t>TSCPTN0063</t>
  </si>
  <si>
    <t>อ.ยะรัง ปัตตานี</t>
  </si>
  <si>
    <t>0020740</t>
  </si>
  <si>
    <t>ธ. กรุงเทพ จำกัด (มหาชน) สาขา บางพระ ศรีราชา</t>
  </si>
  <si>
    <t>อ.เทพา</t>
  </si>
  <si>
    <t>TSCPTN0064</t>
  </si>
  <si>
    <t>อ.ยะหริ่ง ปัตตานี</t>
  </si>
  <si>
    <t>0020741</t>
  </si>
  <si>
    <t>ธ. กรุงเทพ จำกัด (มหาชน) สาขา เกาะช้าง</t>
  </si>
  <si>
    <t>อ.นาทวี</t>
  </si>
  <si>
    <t>TSCRNG0087</t>
  </si>
  <si>
    <t>อ.กะเปอร์ ระนอง</t>
  </si>
  <si>
    <t>0020742</t>
  </si>
  <si>
    <t>ธ. กรุงเทพ จำกัด (มหาชน) สาขา คลังพลาซ่า</t>
  </si>
  <si>
    <t>อ.นาหม่อม</t>
  </si>
  <si>
    <t>TSCRNG0088</t>
  </si>
  <si>
    <t>อ.กระบุรี ระนอง</t>
  </si>
  <si>
    <t>0020743</t>
  </si>
  <si>
    <t>ธ. กรุงเทพ จำกัด (มหาชน) สาขา บิ๊กซี เกาะสมุย</t>
  </si>
  <si>
    <t>อ.บางกล่ำ</t>
  </si>
  <si>
    <t>TSCRNG0089</t>
  </si>
  <si>
    <t>อ.ละอุ่น ระนอง</t>
  </si>
  <si>
    <t>0020744</t>
  </si>
  <si>
    <t>ธ. กรุงเทพ จำกัด (มหาชน) สาขา เทสโก้ โลตัส กระบี่</t>
  </si>
  <si>
    <t>อ.เมืองสงขลา</t>
  </si>
  <si>
    <t>TSCRNG0090</t>
  </si>
  <si>
    <t>0020745</t>
  </si>
  <si>
    <t>ธ. กรุงเทพ จำกัด (มหาชน) สาขา โรบินสัน จันทบุรี</t>
  </si>
  <si>
    <t>อ.ระโนด</t>
  </si>
  <si>
    <t>TSCRNG0091</t>
  </si>
  <si>
    <t>อ.สุขสำราญ ระนอง</t>
  </si>
  <si>
    <t>0020746</t>
  </si>
  <si>
    <t>ธ. กรุงเทพ จำกัด (มหาชน) สาขา บิ๊กซี บุรีรัมย์</t>
  </si>
  <si>
    <t>อ.รัตภูมิ</t>
  </si>
  <si>
    <t>TSCSKA0099</t>
  </si>
  <si>
    <t>อ.บางกล่ำ สงขลา</t>
  </si>
  <si>
    <t>0020747</t>
  </si>
  <si>
    <t>ธ. กรุงเทพ จำกัด (มหาชน) สาขา บิ๊กซี ชลบุรี</t>
  </si>
  <si>
    <t>อ.สทิงพระ</t>
  </si>
  <si>
    <t>TSCSKA0100</t>
  </si>
  <si>
    <t>อ.จะนะ สงขลา</t>
  </si>
  <si>
    <t>0020748</t>
  </si>
  <si>
    <t>ธ. กรุงเทพ จำกัด (มหาชน) สาขา บิ๊กซี หางดง เชียงใหม่</t>
  </si>
  <si>
    <t>อ.สะเดา</t>
  </si>
  <si>
    <t>TSCSKA0101</t>
  </si>
  <si>
    <t>อ.หาดใหญ่ สงขลา</t>
  </si>
  <si>
    <t>0020749</t>
  </si>
  <si>
    <t>ธ. กรุงเทพ จำกัด (มหาชน) สาขา ตลาดเซฟวัน</t>
  </si>
  <si>
    <t>อ.สะบ้าย้อย</t>
  </si>
  <si>
    <t>TSCSKA0102</t>
  </si>
  <si>
    <t>อ.คลองหอยโข่ง สงขลา</t>
  </si>
  <si>
    <t>0020750</t>
  </si>
  <si>
    <t>ธ. กรุงเทพ จำกัด (มหาชน) สาขา เทสโก้ โลตัส เดชอุดม</t>
  </si>
  <si>
    <t>อ.สิงหนคร</t>
  </si>
  <si>
    <t>TSCSKA0103</t>
  </si>
  <si>
    <t>อ.ควนเนียง สงขลา</t>
  </si>
  <si>
    <t>0020751</t>
  </si>
  <si>
    <t>ธ. กรุงเทพ จำกัด (มหาชน) สาขา สวนอุตสาหกรรมโรจนะ ปราจีนบุรี</t>
  </si>
  <si>
    <t>อ.หาดใหญ่</t>
  </si>
  <si>
    <t>TSCSKA0104</t>
  </si>
  <si>
    <t>อ.กระแสสินธุ์ สงขลา</t>
  </si>
  <si>
    <t>0020752</t>
  </si>
  <si>
    <t>ธ. กรุงเทพ จำกัด (มหาชน) สาขา เทสโก้ โลตัส ศรีมหาโพธิ</t>
  </si>
  <si>
    <t>อ.ควนกาหลง</t>
  </si>
  <si>
    <t>TSCSKA0105</t>
  </si>
  <si>
    <t>อ.เมืองสงขลา สงขลา</t>
  </si>
  <si>
    <t>0020753</t>
  </si>
  <si>
    <t>ธ. กรุงเทพ จำกัด (มหาชน) สาขา เทสโก้ โลตัส สามชุก</t>
  </si>
  <si>
    <t>อ.ควนโดน</t>
  </si>
  <si>
    <t>TSCSKA0106</t>
  </si>
  <si>
    <t>อ.นาหม่อม สงขลา</t>
  </si>
  <si>
    <t>0020754</t>
  </si>
  <si>
    <t>ธ. กรุงเทพ จำกัด (มหาชน) สาขา โตโยต้า ฉะเชิงเทรา</t>
  </si>
  <si>
    <t>อ.ท่าแพ</t>
  </si>
  <si>
    <t>TSCSKA0107</t>
  </si>
  <si>
    <t>อ.นาทวี สงขลา</t>
  </si>
  <si>
    <t>0020755</t>
  </si>
  <si>
    <t>ธ. กรุงเทพ จำกัด (มหาชน) สาขา แลมป์เทค ลำปาง</t>
  </si>
  <si>
    <t>อ.ทุ่งหว้า</t>
  </si>
  <si>
    <t>TSCSKA0108</t>
  </si>
  <si>
    <t>อ.ระโนด สงขลา</t>
  </si>
  <si>
    <t>0020756</t>
  </si>
  <si>
    <t>ธ. กรุงเทพ จำกัด (มหาชน) สาขา ถนนสวรรค์วิถี 2</t>
  </si>
  <si>
    <t>อ.มะนัง</t>
  </si>
  <si>
    <t>TSCSKA0109</t>
  </si>
  <si>
    <t>อ.รัตภูมิ สงขลา</t>
  </si>
  <si>
    <t>0020757</t>
  </si>
  <si>
    <t>ธ. กรุงเทพ จำกัด (มหาชน) สาขา เทสโก้ โลตัส แม่จัน</t>
  </si>
  <si>
    <t>อ.เมืองสตูล</t>
  </si>
  <si>
    <t>TSCSKA0110</t>
  </si>
  <si>
    <t>อ.สะบ้าย้อย สงขลา</t>
  </si>
  <si>
    <t>0020758</t>
  </si>
  <si>
    <t>ธ. กรุงเทพ จำกัด (มหาชน) สาขา เทสโก้ โลตัส กันทรลักษ์</t>
  </si>
  <si>
    <t>อ.ละงู</t>
  </si>
  <si>
    <t>TSCSKA0111</t>
  </si>
  <si>
    <t>อ.สะเดา สงขลา</t>
  </si>
  <si>
    <t>0020759</t>
  </si>
  <si>
    <t>ธ. กรุงเทพ จำกัด (มหาชน) สาขา เทสโก้ โลตัส ปากช่อง</t>
  </si>
  <si>
    <t>อ.บางบ่อ</t>
  </si>
  <si>
    <t>TSCSKA0112</t>
  </si>
  <si>
    <t>อ.สทิงพระ สงขลา</t>
  </si>
  <si>
    <t>0020760</t>
  </si>
  <si>
    <t>ธ. กรุงเทพ จำกัด (มหาชน) สาขา กาฬสินธุ์ พลาซ่า</t>
  </si>
  <si>
    <t>อ.บางพลี</t>
  </si>
  <si>
    <t>TSCSKA0113</t>
  </si>
  <si>
    <t>อ.สิงหนคร สงขลา</t>
  </si>
  <si>
    <t>0020761</t>
  </si>
  <si>
    <t>ธ. กรุงเทพ จำกัด (มหาชน) สาขา บิ๊กซี สุราษฎร์ธานี</t>
  </si>
  <si>
    <t>อ.บางเสาธง</t>
  </si>
  <si>
    <t>TSCSKA0114</t>
  </si>
  <si>
    <t>อ.เทพา สงขลา</t>
  </si>
  <si>
    <t>0020762</t>
  </si>
  <si>
    <t>ธ. กรุงเทพ จำกัด (มหาชน) สาขา โฮมโปร ระยอง</t>
  </si>
  <si>
    <t>อ.พระประแดง</t>
  </si>
  <si>
    <t>TSCSNI0115</t>
  </si>
  <si>
    <t>อ.บ้านนาเดิม สุราษฯ</t>
  </si>
  <si>
    <t>0020763</t>
  </si>
  <si>
    <t>ธ. กรุงเทพ จำกัด (มหาชน) สาขา เทสโก้ โลตัส ชลบุรี</t>
  </si>
  <si>
    <t>อ.พระสมุทรเจดีย์</t>
  </si>
  <si>
    <t>TSCSNI0116</t>
  </si>
  <si>
    <t>อ.บ้านนาสาร สุราษฯ</t>
  </si>
  <si>
    <t>0020764</t>
  </si>
  <si>
    <t>ธ. กรุงเทพ จำกัด (มหาชน) สาขา ตลาดพงศ์เจริญ หาดใหญ่</t>
  </si>
  <si>
    <t>อ.เมืองสมุทรปราการ</t>
  </si>
  <si>
    <t>TSCSNI0117</t>
  </si>
  <si>
    <t>อ.บ้านตาขุน สุราษฯ</t>
  </si>
  <si>
    <t>0020765</t>
  </si>
  <si>
    <t>ธ. กรุงเทพ จำกัด (มหาชน) สาขา เทสโก้ โลตัส พนมสารคาม</t>
  </si>
  <si>
    <t>อ.บางคนที</t>
  </si>
  <si>
    <t>TSCSNI0118</t>
  </si>
  <si>
    <t>อ.ชัยบุรี สุราษฯ</t>
  </si>
  <si>
    <t>0020766</t>
  </si>
  <si>
    <t>ธ. กรุงเทพ จำกัด (มหาชน) สาขา ห้าแยกฉลอง ภูเก็ต</t>
  </si>
  <si>
    <t>อ.เมืองสมุทรสงคราม</t>
  </si>
  <si>
    <t>TSCSNI0119</t>
  </si>
  <si>
    <t>อ.ไชยา สุราษฎร์ธานี</t>
  </si>
  <si>
    <t>0020767</t>
  </si>
  <si>
    <t>ธ. กรุงเทพ จำกัด (มหาชน) สาขา เทสโก้ โลตัส เชียงคำ</t>
  </si>
  <si>
    <t>อ.อัมพวา</t>
  </si>
  <si>
    <t>TSCSNI0120</t>
  </si>
  <si>
    <t>อ.ดอนสัก สุราษฯ</t>
  </si>
  <si>
    <t>0020768</t>
  </si>
  <si>
    <t>ธ. กรุงเทพ จำกัด (มหาชน) สาขา ตั้งงี่สุน อุดรธานี</t>
  </si>
  <si>
    <t>อ.กระทุ่มแบน</t>
  </si>
  <si>
    <t>TSCSNI0121</t>
  </si>
  <si>
    <t>อ.กาญจนดิษฐ์ สุราษฯ</t>
  </si>
  <si>
    <t>0020769</t>
  </si>
  <si>
    <t>ธ. กรุงเทพ จำกัด (มหาชน) สาขา เทสโก้ โลตัส กำแพงแสน</t>
  </si>
  <si>
    <t>อ.บ้านแพ้ว</t>
  </si>
  <si>
    <t>TSCSNI0122</t>
  </si>
  <si>
    <t>อ.เคียนซา สุราษฯ</t>
  </si>
  <si>
    <t>0020770</t>
  </si>
  <si>
    <t>ธ. กรุงเทพ จำกัด (มหาชน) สาขา เทสโก้ โลตัส บ้านฉาง</t>
  </si>
  <si>
    <t>TSCSNI0123</t>
  </si>
  <si>
    <t>อ.คีรีรัฐนิคม สุราษฯ</t>
  </si>
  <si>
    <t>0020771</t>
  </si>
  <si>
    <t>ธ. กรุงเทพ จำกัด (มหาชน) สาขา เทสโก้ โลตัส เพชรบูรณ์</t>
  </si>
  <si>
    <t>อ.เขาฉกรรจ์</t>
  </si>
  <si>
    <t>TSCSNI0124</t>
  </si>
  <si>
    <t>อ.เกาะพะงัน สุราษฯ</t>
  </si>
  <si>
    <t>0020772</t>
  </si>
  <si>
    <t>ธ. กรุงเทพ จำกัด (มหาชน) สาขา ตลาดสันทราย เชียงใหม่</t>
  </si>
  <si>
    <t>อ.คลองหาด</t>
  </si>
  <si>
    <t>TSCSNI0125</t>
  </si>
  <si>
    <t>อ.เกาะสมุย สุราษฯ</t>
  </si>
  <si>
    <t>0020773</t>
  </si>
  <si>
    <t>ธ. กรุงเทพ จำกัด (มหาชน) สาขา บิ๊กซี กระบี่</t>
  </si>
  <si>
    <t>อ.โคกสูง</t>
  </si>
  <si>
    <t>TSCSNI0126</t>
  </si>
  <si>
    <t>อ.เมืองสุราษฎร์ธานี</t>
  </si>
  <si>
    <t>0020774</t>
  </si>
  <si>
    <t>ธ. กรุงเทพ จำกัด (มหาชน) สาขา เทสโก้ โลตัส ธาตุพนม นครพนม</t>
  </si>
  <si>
    <t>อ.ตาพระยา</t>
  </si>
  <si>
    <t>TSCSNI0127</t>
  </si>
  <si>
    <t>อ.พนม สุราษฎร์ธานี</t>
  </si>
  <si>
    <t>0020775</t>
  </si>
  <si>
    <t>ธ. กรุงเทพ จำกัด (มหาชน) สาขา บิ๊กซี เลย</t>
  </si>
  <si>
    <t>TSCSNI0128</t>
  </si>
  <si>
    <t>อ.พระแสง สุราษฯ</t>
  </si>
  <si>
    <t>0020776</t>
  </si>
  <si>
    <t>ธ. กรุงเทพ จำกัด (มหาชน) สาขา โรบินสัน มุกดาหาร</t>
  </si>
  <si>
    <t>อ.วังน้ำเย็น</t>
  </si>
  <si>
    <t>TSCSNI0129</t>
  </si>
  <si>
    <t>อ.พุนพิน สุราษฯ</t>
  </si>
  <si>
    <t>0020777</t>
  </si>
  <si>
    <t>ธ. กรุงเทพ จำกัด (มหาชน) สาขา หัวหิน 2</t>
  </si>
  <si>
    <t>อ.วังสมบูรณ์</t>
  </si>
  <si>
    <t>TSCSNI0130</t>
  </si>
  <si>
    <t>อ.ท่าชนะ สุราษฯ</t>
  </si>
  <si>
    <t>0020779</t>
  </si>
  <si>
    <t>ธ. กรุงเทพ จำกัด (มหาชน) สาขา บิ๊กซี บ้านโป่ง</t>
  </si>
  <si>
    <t>อ.วัฒนานคร</t>
  </si>
  <si>
    <t>TSCSNI0131</t>
  </si>
  <si>
    <t>อ.ท่าฉาง สุราษฯ</t>
  </si>
  <si>
    <t>0020780</t>
  </si>
  <si>
    <t>ธ. กรุงเทพ จำกัด (มหาชน) สาขา บิ๊กซี สุโขทัย</t>
  </si>
  <si>
    <t>อ.อรัญประเทศ</t>
  </si>
  <si>
    <t>TSCSNI0132</t>
  </si>
  <si>
    <t>อ.วิภาวดี สุราษฯ</t>
  </si>
  <si>
    <t>0020781</t>
  </si>
  <si>
    <t>ธ. กรุงเทพ จำกัด (มหาชน) สาขา เทสโก้ โลตัส หลังสวน</t>
  </si>
  <si>
    <t>อ.แก่งคอย</t>
  </si>
  <si>
    <t>TSCSNI0133</t>
  </si>
  <si>
    <t>อ.เวียงสระ สุราษฯ</t>
  </si>
  <si>
    <t>0020782</t>
  </si>
  <si>
    <t>ธ. กรุงเทพ จำกัด (มหาชน) สาขา บิ๊กซี เพชรบรูณ์</t>
  </si>
  <si>
    <t>TSCSTN0092</t>
  </si>
  <si>
    <t>อ.ควนโดน สตูล</t>
  </si>
  <si>
    <t>0020783</t>
  </si>
  <si>
    <t>ธ. กรุงเทพ จำกัด (มหาชน) สาขา เทสโก้ โลตัส ระนอง</t>
  </si>
  <si>
    <t>อ.ดอนพุด</t>
  </si>
  <si>
    <t>TSCSTN0093</t>
  </si>
  <si>
    <t>อ.ควนกาหลง สตูล</t>
  </si>
  <si>
    <t>0020784</t>
  </si>
  <si>
    <t>ธ. กรุงเทพ จำกัด (มหาชน) สาขา บิ๊กซี ชัยภูมิ</t>
  </si>
  <si>
    <t>อ.บ้านหมอ</t>
  </si>
  <si>
    <t>TSCSTN0094</t>
  </si>
  <si>
    <t>อ.ละงู สตูล</t>
  </si>
  <si>
    <t>0020785</t>
  </si>
  <si>
    <t>ธ. กรุงเทพ จำกัด (มหาชน) สาขา เทสโก้ โลตัส สิงห์บุรี</t>
  </si>
  <si>
    <t>อ.พระพุทธบาท</t>
  </si>
  <si>
    <t>TSCSTN0095</t>
  </si>
  <si>
    <t>อ.มะนัง สตูล</t>
  </si>
  <si>
    <t>0020786</t>
  </si>
  <si>
    <t>ธ. กรุงเทพ จำกัด (มหาชน) สาขา เทสโก้ โลตัส พิบูลมังสาหาร</t>
  </si>
  <si>
    <t>อ.มวกเหล็ก</t>
  </si>
  <si>
    <t>TSCSTN0096</t>
  </si>
  <si>
    <t>อ.เมืองสตูล สตูล</t>
  </si>
  <si>
    <t>0020787</t>
  </si>
  <si>
    <t>ธ. กรุงเทพ จำกัด (มหาชน) สาขา อ่าวนาง กระบี่</t>
  </si>
  <si>
    <t>อ.เมืองสระบุรี</t>
  </si>
  <si>
    <t>TSCSTN0097</t>
  </si>
  <si>
    <t>อ.ท่าแพ สตูล</t>
  </si>
  <si>
    <t>0020788</t>
  </si>
  <si>
    <t>ธ. กรุงเทพ จำกัด (มหาชน) สาขา เทสโก้ โลตัส ขุขันธ์</t>
  </si>
  <si>
    <t>อ.วังม่วง</t>
  </si>
  <si>
    <t>TSCSTN0098</t>
  </si>
  <si>
    <t>อ.ทุ่งหว้า สตูล</t>
  </si>
  <si>
    <t>0020789</t>
  </si>
  <si>
    <t>ธ. กรุงเทพ จำกัด (มหาชน) สาขา เทสโก้ โลตัส อุทุมพรพิสัย</t>
  </si>
  <si>
    <t>อ.วิหารแดง</t>
  </si>
  <si>
    <t>TSCTRG0134</t>
  </si>
  <si>
    <t>อ.หาดสำราญ ตรัง</t>
  </si>
  <si>
    <t>0020790</t>
  </si>
  <si>
    <t>ธ. กรุงเทพ จำกัด (มหาชน) สาขา บิ๊กซี อยุธยา</t>
  </si>
  <si>
    <t>อ.เสาไห้</t>
  </si>
  <si>
    <t>TSCTRG0135</t>
  </si>
  <si>
    <t>อ.ห้วยยอด ตรัง</t>
  </si>
  <si>
    <t>0020791</t>
  </si>
  <si>
    <t>ธ. กรุงเทพ จำกัด (มหาชน) สาขา เทสโก้ โลตัส เสนา อยุธยา</t>
  </si>
  <si>
    <t>อ.หนองแค</t>
  </si>
  <si>
    <t>TSCTRG0136</t>
  </si>
  <si>
    <t>อ.กันตัง ตรัง</t>
  </si>
  <si>
    <t>0020801</t>
  </si>
  <si>
    <t>ธ. กรุงเทพ จำกัด (มหาชน) สาขา ฮ่องกง</t>
  </si>
  <si>
    <t>อ.หนองแซง</t>
  </si>
  <si>
    <t>TSCTRG0137</t>
  </si>
  <si>
    <t>อ.เมืองตรัง ตรัง</t>
  </si>
  <si>
    <t>0020802</t>
  </si>
  <si>
    <t>ธ. กรุงเทพ จำกัด (มหาชน) สาขา โตเกียว</t>
  </si>
  <si>
    <t>อ.หนองโดน</t>
  </si>
  <si>
    <t>TSCTRG0138</t>
  </si>
  <si>
    <t>อ.นาโยง ตรัง</t>
  </si>
  <si>
    <t>0020803</t>
  </si>
  <si>
    <t>ธ. กรุงเทพ จำกัด (มหาชน) สาขา สิงคโปร์</t>
  </si>
  <si>
    <t>อ.หนองแสง</t>
  </si>
  <si>
    <t>TSCTRG0139</t>
  </si>
  <si>
    <t>อ.ปะเหลียน ตรัง</t>
  </si>
  <si>
    <t>0020804</t>
  </si>
  <si>
    <t>ธ. กรุงเทพ จำกัด (มหาชน) สาขา กัวลาลัมเปอร์</t>
  </si>
  <si>
    <t>อ.ค่ายบางระจัน</t>
  </si>
  <si>
    <t>TSCTRG0140</t>
  </si>
  <si>
    <t>อ.รัษฎา ตรัง</t>
  </si>
  <si>
    <t>0020805</t>
  </si>
  <si>
    <t>ธ. กรุงเทพ จำกัด (มหาชน) สาขา ลอนดอน</t>
  </si>
  <si>
    <t>อ.ท่าช้าง</t>
  </si>
  <si>
    <t>TSCTRG0141</t>
  </si>
  <si>
    <t>อ.สิเกา ตรัง</t>
  </si>
  <si>
    <t>0020807</t>
  </si>
  <si>
    <t>ธ. กรุงเทพ จำกัด (มหาชน) สาขา ไทเป</t>
  </si>
  <si>
    <t>อ.บางระจัน</t>
  </si>
  <si>
    <t>TSCTRG0142</t>
  </si>
  <si>
    <t>อ.วังวิเศษ ตรัง</t>
  </si>
  <si>
    <t>0020808</t>
  </si>
  <si>
    <t>ธ. กรุงเทพ จำกัด (มหาชน) สาขา นิวยอร์ค</t>
  </si>
  <si>
    <t>อ.พรหมบุรี</t>
  </si>
  <si>
    <t>TSCTRG0143</t>
  </si>
  <si>
    <t>อ.ย่านตาขาว ตรัง</t>
  </si>
  <si>
    <t>0020809</t>
  </si>
  <si>
    <t>ธ. กรุงเทพ จำกัด (มหาชน) สาขา จาการ์ต้า</t>
  </si>
  <si>
    <t>อ.เมืองสิงห์บุรี</t>
  </si>
  <si>
    <t>TSCYLA0144</t>
  </si>
  <si>
    <t>อ.บันนังสตา ยะลา</t>
  </si>
  <si>
    <t>0020810</t>
  </si>
  <si>
    <t>ธ. กรุงเทพ จำกัด (มหาชน) สาขา โอซากา</t>
  </si>
  <si>
    <t>TSCYLA0145</t>
  </si>
  <si>
    <t>อ.เบตง ยะลา</t>
  </si>
  <si>
    <t>0020811</t>
  </si>
  <si>
    <t>ธ. กรุงเทพ จำกัด (มหาชน) สาขา ลอสแอนเจลิส</t>
  </si>
  <si>
    <t>อ.กงไกรลาศ</t>
  </si>
  <si>
    <t>TSCYLA0146</t>
  </si>
  <si>
    <t>อ.กาบัง ยะลา</t>
  </si>
  <si>
    <t>0020812</t>
  </si>
  <si>
    <t>ธ. กรุงเทพ จำกัด (มหาชน) สาขา แฮมบูร์ก</t>
  </si>
  <si>
    <t>อ.คีรีมาศ</t>
  </si>
  <si>
    <t>TSCYLA0147</t>
  </si>
  <si>
    <t>อ.กรงปินัง ยะลา</t>
  </si>
  <si>
    <t>0020813</t>
  </si>
  <si>
    <t>ธ. กรุงเทพ จำกัด (มหาชน) สาขา ปักกิ่ง</t>
  </si>
  <si>
    <t>อ.ทุ่งเสลี่ยม</t>
  </si>
  <si>
    <t>TSCYLA0148</t>
  </si>
  <si>
    <t>อ.เมืองยะลา ยะลา</t>
  </si>
  <si>
    <t>0020814</t>
  </si>
  <si>
    <t>ธ. กรุงเทพ จำกัด (มหาชน) สาขา ย่อยเกาสุง</t>
  </si>
  <si>
    <t>TSCYLA0149</t>
  </si>
  <si>
    <t>อ.รามัน ยะลา</t>
  </si>
  <si>
    <t>0020815</t>
  </si>
  <si>
    <t>ธ. กรุงเทพ จำกัด (มหาชน) สาขา ย่อยเวสเทอร์น</t>
  </si>
  <si>
    <t>อ.เมืองสุโขทัย</t>
  </si>
  <si>
    <t>TSCYLA0150</t>
  </si>
  <si>
    <t>อ.ธารโต ยะลา</t>
  </si>
  <si>
    <t>0020816</t>
  </si>
  <si>
    <t>ธ. กรุงเทพ จำกัด (มหาชน) สาขา ย่อยเกาลูน</t>
  </si>
  <si>
    <t>อ.ศรีนคร</t>
  </si>
  <si>
    <t>TSCYLA0151</t>
  </si>
  <si>
    <t>อ.ยะหา ยะลา</t>
  </si>
  <si>
    <t>0020817</t>
  </si>
  <si>
    <t>ธ. กรุงเทพ จำกัด (มหาชน) สาขา ย่อยจาการ์ต้าโกต้า</t>
  </si>
  <si>
    <t>อ.ศรีสัชนาลัย</t>
  </si>
  <si>
    <t>TWCKPT0001</t>
  </si>
  <si>
    <t>อ.บึงสามัคคี กำแพงเพ</t>
  </si>
  <si>
    <t>0020818</t>
  </si>
  <si>
    <t>ธ. กรุงเทพ จำกัด (มหาชน) สาขา โฮจิมินห์ซิตี้</t>
  </si>
  <si>
    <t>อ.ศรีสำโรง</t>
  </si>
  <si>
    <t>TWCKPT0002</t>
  </si>
  <si>
    <t>0020819</t>
  </si>
  <si>
    <t>ธ. กรุงเทพ จำกัด (มหาชน) สาขา พนมเปญ</t>
  </si>
  <si>
    <t>อ.สวรรคโลก</t>
  </si>
  <si>
    <t>TWCKPT0003</t>
  </si>
  <si>
    <t>อ.คลองขลุง กำแพงเพชร</t>
  </si>
  <si>
    <t>0020820</t>
  </si>
  <si>
    <t>ธ. กรุงเทพ จำกัด (มหาชน) สาขา ซัวเถา</t>
  </si>
  <si>
    <t>อ.ดอนเจดีย์</t>
  </si>
  <si>
    <t>TWCKPT0004</t>
  </si>
  <si>
    <t>อ.คลองลาน กำแพงเพชร</t>
  </si>
  <si>
    <t>0020821</t>
  </si>
  <si>
    <t>ธ. กรุงเทพ จำกัด (มหาชน) สาขา เวียงจันทน์</t>
  </si>
  <si>
    <t>อ.ด่านช้าง</t>
  </si>
  <si>
    <t>TWCKPT0005</t>
  </si>
  <si>
    <t>อ.โกสัมพีนคร กำแพงเพ</t>
  </si>
  <si>
    <t>0020822</t>
  </si>
  <si>
    <t>ธ. กรุงเทพ จำกัด (มหาชน) สาขา เซี่ยงไฮ้</t>
  </si>
  <si>
    <t>อ.เดิมบางนางบวช</t>
  </si>
  <si>
    <t>TWCKPT0006</t>
  </si>
  <si>
    <t>อ.ลานกระบือ กำแพงเพช</t>
  </si>
  <si>
    <t>0020823</t>
  </si>
  <si>
    <t>ธ. กรุงเทพ จำกัด (มหาชน) สาขา ย่อยณกรุงฮานอย</t>
  </si>
  <si>
    <t>อ.บางปลาม้า</t>
  </si>
  <si>
    <t>TWCKPT0007</t>
  </si>
  <si>
    <t>0020824</t>
  </si>
  <si>
    <t>ธ. กรุงเทพ จำกัด (มหาชน) สาขา สำนักงานผู้แทนเฉิงตู</t>
  </si>
  <si>
    <t>TWCKPT0008</t>
  </si>
  <si>
    <t>อ.ปางศิลาทอง กำแพงเพ</t>
  </si>
  <si>
    <t>0020825</t>
  </si>
  <si>
    <t>ธ. กรุงเทพ จำกัด (มหาชน) สาขา มะนิลา</t>
  </si>
  <si>
    <t>TWCKPT0009</t>
  </si>
  <si>
    <t>อ.พรานกระต่าย กำแพงเ</t>
  </si>
  <si>
    <t>0020826</t>
  </si>
  <si>
    <t>ธ. กรุงเทพ จำกัด (มหาชน) สาขา สำนักงานผู้แทนณกรุงร่างกุ้ง</t>
  </si>
  <si>
    <t>อ.ศรีประจันต์</t>
  </si>
  <si>
    <t>TWCKPT0010</t>
  </si>
  <si>
    <t>อ.ไทรงาม กำแพงเพชร</t>
  </si>
  <si>
    <t>0020827</t>
  </si>
  <si>
    <t>ธ. กรุงเทพ จำกัด (มหาชน) สาขา ย่อยไทจง</t>
  </si>
  <si>
    <t>อ.สองพี่น้อง</t>
  </si>
  <si>
    <t>TWCKPT0011</t>
  </si>
  <si>
    <t>0020828</t>
  </si>
  <si>
    <t>ธ. กรุงเทพ จำกัด (มหาชน) สาขา เมืองเซี่ยเหมิน</t>
  </si>
  <si>
    <t>อ.สามชุก</t>
  </si>
  <si>
    <t>TWCTAK0012</t>
  </si>
  <si>
    <t>อ.บ้านตาก ตาก</t>
  </si>
  <si>
    <t>0020829</t>
  </si>
  <si>
    <t>ธ. กรุงเทพ จำกัด (มหาชน) สาขา เสิ่นเจิ้น</t>
  </si>
  <si>
    <t>อ.หนองหญ้าไซ</t>
  </si>
  <si>
    <t>TWCTAK0013</t>
  </si>
  <si>
    <t>อ.แม่ระมาด ตาก</t>
  </si>
  <si>
    <t>0020830</t>
  </si>
  <si>
    <t>ธ. กรุงเทพ จำกัด (มหาชน) สาขา สุราบายา</t>
  </si>
  <si>
    <t>อ.อู่ทอง</t>
  </si>
  <si>
    <t>TWCTAK0014</t>
  </si>
  <si>
    <t>อ.แม่สอด ตาก</t>
  </si>
  <si>
    <t>0020831</t>
  </si>
  <si>
    <t>ธ. กรุงเทพ จำกัด (มหาชน) สาขา เมดาน</t>
  </si>
  <si>
    <t>อ.กาญจนดิษฐ์</t>
  </si>
  <si>
    <t>TWCTAK0015</t>
  </si>
  <si>
    <t>อ.เมืองตาก ตาก</t>
  </si>
  <si>
    <t>0020832</t>
  </si>
  <si>
    <t>ธ. กรุงเทพ จำกัด (มหาชน) สาขา กัมพูชา</t>
  </si>
  <si>
    <t>อ.เกาะพะงัน</t>
  </si>
  <si>
    <t>TWCTAK0016</t>
  </si>
  <si>
    <t>อ.พบพระ ตาก</t>
  </si>
  <si>
    <t>0020833</t>
  </si>
  <si>
    <t>ธ. กรุงเทพ จำกัด (มหาชน) สาขา  ณ หมู่เกาะเคย์แมน</t>
  </si>
  <si>
    <t>อ.เกาะสมุย</t>
  </si>
  <si>
    <t>TWCTAK0017</t>
  </si>
  <si>
    <t>อ.สามเงา ตาก</t>
  </si>
  <si>
    <t>0020834</t>
  </si>
  <si>
    <t>ธ. กรุงเทพ จำกัด (มหาชน) สาขา ย่างกุ้ง</t>
  </si>
  <si>
    <t>อ.คีรีรัฐนิคม</t>
  </si>
  <si>
    <t>TWCTAK0018</t>
  </si>
  <si>
    <t>อ.ท่าสองยาง ตาก</t>
  </si>
  <si>
    <t>0020835</t>
  </si>
  <si>
    <t>ธ. กรุงเทพ จำกัด (มหาชน) สาขา  ณ เมืองปากเซ</t>
  </si>
  <si>
    <t>อ.เคียนซา</t>
  </si>
  <si>
    <t>TWCTAK0019</t>
  </si>
  <si>
    <t>อ.อุ้มผาง ตาก</t>
  </si>
  <si>
    <t>0020843</t>
  </si>
  <si>
    <t>อ.ชัยบุรี</t>
  </si>
  <si>
    <t>TWCTAK0020</t>
  </si>
  <si>
    <t>อ.วังเจ้า ตาก</t>
  </si>
  <si>
    <t>0020847</t>
  </si>
  <si>
    <t>อ.ไชยา</t>
  </si>
  <si>
    <t>TWCUTI0021</t>
  </si>
  <si>
    <t>อ.บ้านไร่ อุทัยธานี</t>
  </si>
  <si>
    <t>0020855</t>
  </si>
  <si>
    <t>ธ. กรุงเทพ จำกัด (มหาชน) สาขา สยามพารากอน</t>
  </si>
  <si>
    <t>อ.ดอนสัก</t>
  </si>
  <si>
    <t>TWCUTI0022</t>
  </si>
  <si>
    <t>อ.ห้วยคต อุทัยธานี</t>
  </si>
  <si>
    <t>0020856</t>
  </si>
  <si>
    <t>ธ. กรุงเทพ จำกัด (มหาชน) สาขา ตลาดไท</t>
  </si>
  <si>
    <t>อ.ท่าฉาง</t>
  </si>
  <si>
    <t>TWCUTI0023</t>
  </si>
  <si>
    <t>อ.ลานสัก อุทัยธานี</t>
  </si>
  <si>
    <t>0020857</t>
  </si>
  <si>
    <t>ธ. กรุงเทพ จำกัด (มหาชน) สาขา บิ๊กซี อิสรภาพ</t>
  </si>
  <si>
    <t>อ.ท่าชนะ</t>
  </si>
  <si>
    <t>TWCUTI0024</t>
  </si>
  <si>
    <t>อ.เมืองอุทัยธานี</t>
  </si>
  <si>
    <t>0020858</t>
  </si>
  <si>
    <t>ธ. กรุงเทพ จำกัด (มหาชน) สาขา บิ๊กซี พระราม 4</t>
  </si>
  <si>
    <t>อ.บ้านตาขุน</t>
  </si>
  <si>
    <t>TWCUTI0025</t>
  </si>
  <si>
    <t>อ.หนองฉาง อุทัยธานี</t>
  </si>
  <si>
    <t>0020859</t>
  </si>
  <si>
    <t>ธ. กรุงเทพ จำกัด (มหาชน) สาขา ตลาดธนบุรี สนามหลวง 2</t>
  </si>
  <si>
    <t>อ.บ้านนาเดิม</t>
  </si>
  <si>
    <t>TWCUTI0026</t>
  </si>
  <si>
    <t>อ.หนองขาหย่าง อุทัยฯ</t>
  </si>
  <si>
    <t>0020860</t>
  </si>
  <si>
    <t>ธ. กรุงเทพ จำกัด (มหาชน) สาขา อาคารซิลลิค เฮาส์</t>
  </si>
  <si>
    <t>อ.บ้านนาสาร</t>
  </si>
  <si>
    <t>TWCUTI0027</t>
  </si>
  <si>
    <t>อ.สว่างอารมณ์ อุทัยฯ</t>
  </si>
  <si>
    <t>0020861</t>
  </si>
  <si>
    <t>ธ. กรุงเทพ จำกัด (มหาชน) สาขา บิ๊กซี ลำลูกกา</t>
  </si>
  <si>
    <t>อ.พนม</t>
  </si>
  <si>
    <t>TWCUTI0028</t>
  </si>
  <si>
    <t>อ.ทัพทัน อุทัยธานี</t>
  </si>
  <si>
    <t>0020862</t>
  </si>
  <si>
    <t>ธ. กรุงเทพ จำกัด (มหาชน) สาขา ท่าอากาศยานสุวรรณภูมิ</t>
  </si>
  <si>
    <t>อ.พระแสง</t>
  </si>
  <si>
    <t>TZCBKKT010</t>
  </si>
  <si>
    <t>ถ.พุทธมณฑลสาย 2</t>
  </si>
  <si>
    <t>0020863</t>
  </si>
  <si>
    <t>ธ. กรุงเทพ จำกัด (มหาชน) สาขา เขตปลอดอากร ท่าอากาศยานสุวรรณภูมิ</t>
  </si>
  <si>
    <t>อ.พุนพิน</t>
  </si>
  <si>
    <t>TZCBKKT020</t>
  </si>
  <si>
    <t>ถ.พุทธมณฑลสาย3 บางแค</t>
  </si>
  <si>
    <t>0020864</t>
  </si>
  <si>
    <t>ธ. กรุงเทพ จำกัด (มหาชน) สาขา นิคมอุตสาหกรรมลาดกระบัง</t>
  </si>
  <si>
    <t>TZCBKKT040</t>
  </si>
  <si>
    <t>ถ. พระราม 2 – บางบอน</t>
  </si>
  <si>
    <t>0020865</t>
  </si>
  <si>
    <t>ธ. กรุงเทพ จำกัด (มหาชน) สาขา แฟชั่น ไอส์แลนด์</t>
  </si>
  <si>
    <t>อ.วิภาวดี</t>
  </si>
  <si>
    <t>TZCBKKT050</t>
  </si>
  <si>
    <t>ถ.กาญจนาภิเษก-สายใต้</t>
  </si>
  <si>
    <t>0020866</t>
  </si>
  <si>
    <t>ธ. กรุงเทพ จำกัด (มหาชน) สาขา วิภาวดีรังสิต-ดอนเมือง</t>
  </si>
  <si>
    <t>อ.เวียงสระ</t>
  </si>
  <si>
    <t>TZCNBIT060</t>
  </si>
  <si>
    <t>เจริญผล-วงเวียนใหญ่</t>
  </si>
  <si>
    <t>0020867</t>
  </si>
  <si>
    <t>ธ. กรุงเทพ จำกัด (มหาชน) สาขา สุขุมวิท ซอย 11</t>
  </si>
  <si>
    <t>อ.กาบเชิง</t>
  </si>
  <si>
    <t>TZCNBIT080</t>
  </si>
  <si>
    <t>ถ.ราชพฤกษ์ อ.บางกรวย</t>
  </si>
  <si>
    <t>0020868</t>
  </si>
  <si>
    <t>ธ. กรุงเทพ จำกัด (มหาชน) สาขา นิคมอุตสาหกรรมบางพลี</t>
  </si>
  <si>
    <t>TZCNPTT070</t>
  </si>
  <si>
    <t>0020869</t>
  </si>
  <si>
    <t>ธ. กรุงเทพ จำกัด (มหาชน) สาขา เจ.เจ.มอลล์</t>
  </si>
  <si>
    <t>อ.จอมพระ</t>
  </si>
  <si>
    <t>TZCNPTT090</t>
  </si>
  <si>
    <t>กระทุ่มล้ม พุทธมณฑล</t>
  </si>
  <si>
    <t>0020870</t>
  </si>
  <si>
    <t>ธ. กรุงเทพ จำกัด (มหาชน) สาขา เทสโก้ โลตัส ปากเกร็ด</t>
  </si>
  <si>
    <t>อ.ชุมพลบุรี</t>
  </si>
  <si>
    <t>TZCNPTT100</t>
  </si>
  <si>
    <t>0020871</t>
  </si>
  <si>
    <t>ธ. กรุงเทพ จำกัด (มหาชน) สาขา ถนนเอกชัย สมุทรสาคร</t>
  </si>
  <si>
    <t>อ.ท่าตูม</t>
  </si>
  <si>
    <t>TZCSKNT030</t>
  </si>
  <si>
    <t>0020872</t>
  </si>
  <si>
    <t>ธ. กรุงเทพ จำกัด (มหาชน) สาขา นิคมอุตสาหกรรมไฮเทค</t>
  </si>
  <si>
    <t>อ.โนนนารายณ์</t>
  </si>
  <si>
    <t>TZCSKNT110</t>
  </si>
  <si>
    <t>อ.เมือง จ.สมุทรสาคร</t>
  </si>
  <si>
    <t>0020873</t>
  </si>
  <si>
    <t>ธ. กรุงเทพ จำกัด (มหาชน) สาขา เทสโก้ โลตัส รังสิต คลอง 7</t>
  </si>
  <si>
    <t>อ.บัวเชด</t>
  </si>
  <si>
    <t>TZCSPKT120</t>
  </si>
  <si>
    <t>ถ.กิ่งแก้ว สมุทรปราก</t>
  </si>
  <si>
    <t>0020875</t>
  </si>
  <si>
    <t>ธ. กรุงเทพ จำกัด (มหาชน) สาขา เทสโก้ โลตัส นวนคร</t>
  </si>
  <si>
    <t>อ.ปราสาท</t>
  </si>
  <si>
    <t>TZCSPKT130</t>
  </si>
  <si>
    <t>อ.บางเสาธง สมุทรปราก</t>
  </si>
  <si>
    <t>0020876</t>
  </si>
  <si>
    <t>อ.พนมดงรัก</t>
  </si>
  <si>
    <t>0020877</t>
  </si>
  <si>
    <t>ธ. กรุงเทพ จำกัด (มหาชน) สาขา เอสพละนาด</t>
  </si>
  <si>
    <t>0020878</t>
  </si>
  <si>
    <t>ธ. กรุงเทพ จำกัด (มหาชน) สาขา เดอะมอลล์ บางกะปิ 2</t>
  </si>
  <si>
    <t>อ.รัตนบุรี</t>
  </si>
  <si>
    <t>0020879</t>
  </si>
  <si>
    <t>ธ. กรุงเทพ จำกัด (มหาชน) สาขา เซ็นทรัลเวิลด์</t>
  </si>
  <si>
    <t>อ.ลำดวน</t>
  </si>
  <si>
    <t>0020880</t>
  </si>
  <si>
    <t>ธ. กรุงเทพ จำกัด (มหาชน) สาขา จรัญสนิทวงศ์ ซอย 13</t>
  </si>
  <si>
    <t>อ.ศรีณรงค์</t>
  </si>
  <si>
    <t>0020883</t>
  </si>
  <si>
    <t>อ.ศีขรภูมิ</t>
  </si>
  <si>
    <t>0020890</t>
  </si>
  <si>
    <t>อ.สนม</t>
  </si>
  <si>
    <t>0020900</t>
  </si>
  <si>
    <t>อ.สังขะ</t>
  </si>
  <si>
    <t>0020901</t>
  </si>
  <si>
    <t>ธ. กรุงเทพ จำกัด (มหาชน) สาขา เพชรเกษม ซอย 63/2</t>
  </si>
  <si>
    <t>อ.สำโรงทาบ</t>
  </si>
  <si>
    <t>0020902</t>
  </si>
  <si>
    <t>ธ. กรุงเทพ จำกัด (มหาชน) สาขา ถนนรามคำแหง-เทพลีลา</t>
  </si>
  <si>
    <t>0020903</t>
  </si>
  <si>
    <t>ธ. กรุงเทพ จำกัด (มหาชน) สาขา พุทธมณฑลสาย 4 นครปฐม</t>
  </si>
  <si>
    <t>0020904</t>
  </si>
  <si>
    <t>ธ. กรุงเทพ จำกัด (มหาชน) สาขา เทสโก้ โลตัส สามพราน</t>
  </si>
  <si>
    <t>อ.ท่าบ่อ</t>
  </si>
  <si>
    <t>0020905</t>
  </si>
  <si>
    <t>ธ. กรุงเทพ จำกัด (มหาชน) สาขา มหาวิทยาลัยธรรมศาสตร์ ท่าพระจันทร์</t>
  </si>
  <si>
    <t>0020906</t>
  </si>
  <si>
    <t>ธ. กรุงเทพ จำกัด (มหาชน) สาขา เดอะ คริสตัล</t>
  </si>
  <si>
    <t>0020907</t>
  </si>
  <si>
    <t>ธ. กรุงเทพ จำกัด (มหาชน) สาขา เทสโก้ โลตัส บางกะปิ</t>
  </si>
  <si>
    <t>0020908</t>
  </si>
  <si>
    <t>ธ. กรุงเทพ จำกัด (มหาชน) สาขา อินเดีย เอ็มโพเรี่ยม</t>
  </si>
  <si>
    <t>อ.เฝ้าไร่</t>
  </si>
  <si>
    <t>0020909</t>
  </si>
  <si>
    <t>0020911</t>
  </si>
  <si>
    <t>ธ. กรุงเทพ จำกัด (มหาชน) สาขา ถนนวิทยุ (ALL SEASONS PLACE)</t>
  </si>
  <si>
    <t>อ.โพธิ์ตาก</t>
  </si>
  <si>
    <t>0020912</t>
  </si>
  <si>
    <t>ธ. กรุงเทพ จำกัด (มหาชน) สาขา สวนอุตสาหกรรมบางกะดี</t>
  </si>
  <si>
    <t>อ.โพนพิสัย</t>
  </si>
  <si>
    <t>0020913</t>
  </si>
  <si>
    <t>ธ. กรุงเทพ จำกัด (มหาชน) สาขา บิ๊กซี บางนา</t>
  </si>
  <si>
    <t>0020914</t>
  </si>
  <si>
    <t>ธ. กรุงเทพ จำกัด (มหาชน) สาขา เทสโก้ โลตัส รัตนาธิเบศร์</t>
  </si>
  <si>
    <t>อ.รัตนวาปี</t>
  </si>
  <si>
    <t>0020915</t>
  </si>
  <si>
    <t>ธ. กรุงเทพ จำกัด (มหาชน) สาขา บิ๊กซี พระราม 2 สาขา  2</t>
  </si>
  <si>
    <t>อ.ศรีเชียงใหม่</t>
  </si>
  <si>
    <t>0020916</t>
  </si>
  <si>
    <t>ธ. กรุงเทพ จำกัด (มหาชน) สาขา เทสโก้ โลตัส บางปู</t>
  </si>
  <si>
    <t>0020917</t>
  </si>
  <si>
    <t>ธ. กรุงเทพ จำกัด (มหาชน) สาขา ถนนงามวงศ์วาน</t>
  </si>
  <si>
    <t>อ.สระใคร</t>
  </si>
  <si>
    <t>0020918</t>
  </si>
  <si>
    <t>ธ. กรุงเทพ จำกัด (มหาชน) สาขา ถนนนาคนิวาส</t>
  </si>
  <si>
    <t>อ.สังคม</t>
  </si>
  <si>
    <t>0020919</t>
  </si>
  <si>
    <t>ธ. กรุงเทพ จำกัด (มหาชน) สาขา สุขุมวิท 77 (ประเวศ)</t>
  </si>
  <si>
    <t>อ.นากลาง</t>
  </si>
  <si>
    <t>0020920</t>
  </si>
  <si>
    <t>ธ. กรุงเทพ จำกัด (มหาชน) สาขา สุขุมวิท 103 (อุดมสุข)</t>
  </si>
  <si>
    <t>อ.นาวัง</t>
  </si>
  <si>
    <t>0020921</t>
  </si>
  <si>
    <t>ธ. กรุงเทพ จำกัด (มหาชน) สาขา ถนนเทพารักษ์ กม.22</t>
  </si>
  <si>
    <t>อ.โนนสัง</t>
  </si>
  <si>
    <t>0020922</t>
  </si>
  <si>
    <t>ธ. กรุงเทพ จำกัด (มหาชน) สาขา ถนนแพรกษา</t>
  </si>
  <si>
    <t>0020923</t>
  </si>
  <si>
    <t>ธ. กรุงเทพ จำกัด (มหาชน) สาขา มหาชัย สมุทรสาคร</t>
  </si>
  <si>
    <t>0020924</t>
  </si>
  <si>
    <t>ธ. กรุงเทพ จำกัด (มหาชน) สาขา เซ็นทรัล รัตนาธิเบศร์</t>
  </si>
  <si>
    <t>0020925</t>
  </si>
  <si>
    <t>ธ. กรุงเทพ จำกัด (มหาชน) สาขา ถนนอโศกมนตรี</t>
  </si>
  <si>
    <t>0020926</t>
  </si>
  <si>
    <t>ธ. กรุงเทพ จำกัด (มหาชน) สาขา เอ็กเชน ทาวเวอร์ ถนนสุขุมวิท</t>
  </si>
  <si>
    <t>0020927</t>
  </si>
  <si>
    <t>ธ. กรุงเทพ จำกัด (มหาชน) สาขา แพลทินั่ม ประตูน้ำ</t>
  </si>
  <si>
    <t>0020928</t>
  </si>
  <si>
    <t>ธ. กรุงเทพ จำกัด (มหาชน) สาขา เอ็น มาร์ค พลาซ่า บางกะปิ</t>
  </si>
  <si>
    <t>0020929</t>
  </si>
  <si>
    <t>ธ. กรุงเทพ จำกัด (มหาชน) สาขา ถนนเอกชัย 2</t>
  </si>
  <si>
    <t>อ.วิเศษชัยชาญ</t>
  </si>
  <si>
    <t>0020930</t>
  </si>
  <si>
    <t>ธ. กรุงเทพ จำกัด (มหาชน) สาขา เซ็นทรัล รามอินทรา</t>
  </si>
  <si>
    <t>อ.สามโก้</t>
  </si>
  <si>
    <t>0020931</t>
  </si>
  <si>
    <t>ธ. กรุงเทพ จำกัด (มหาชน) สาขา เมืองทองธานี</t>
  </si>
  <si>
    <t>0020932</t>
  </si>
  <si>
    <t>ธ. กรุงเทพ จำกัด (มหาชน) สาขา โรงพยาบาลเกษมราษฎร์ บางแค</t>
  </si>
  <si>
    <t>0020933</t>
  </si>
  <si>
    <t>ธ. กรุงเทพ จำกัด (มหาชน) สาขา บิ๊กซี อุดมสุข</t>
  </si>
  <si>
    <t>0020934</t>
  </si>
  <si>
    <t>ธ. กรุงเทพ จำกัด (มหาชน) สาขา เทสโก้ โลตัส บางปะอิน</t>
  </si>
  <si>
    <t>0020935</t>
  </si>
  <si>
    <t>ธ. กรุงเทพ จำกัด (มหาชน) สาขา ตลาดยิ่งเจริญ</t>
  </si>
  <si>
    <t>0020936</t>
  </si>
  <si>
    <t>ธ. กรุงเทพ จำกัด (มหาชน) สาขา บิ๊กซี รังสิต คลอง 3</t>
  </si>
  <si>
    <t>0020937</t>
  </si>
  <si>
    <t>ธ. กรุงเทพ จำกัด (มหาชน) สาขา โรงพยาบาลพญาไท 2</t>
  </si>
  <si>
    <t>0020938</t>
  </si>
  <si>
    <t>ธ. กรุงเทพ จำกัด (มหาชน) สาขา เทสโก้ โลตัส ศาลายา</t>
  </si>
  <si>
    <t>0020939</t>
  </si>
  <si>
    <t>ธ. กรุงเทพ จำกัด (มหาชน) สาขา จามจุรี สแควร์</t>
  </si>
  <si>
    <t>อ.กุดจับ</t>
  </si>
  <si>
    <t>0020940</t>
  </si>
  <si>
    <t>ธ. กรุงเทพ จำกัด (มหาชน) สาขา อิมพีเรียล เวิลด์ สำโรง</t>
  </si>
  <si>
    <t>อ.กุมภวาปี</t>
  </si>
  <si>
    <t>0020941</t>
  </si>
  <si>
    <t>ธ. กรุงเทพ จำกัด (มหาชน) สาขา รัชโยธิน</t>
  </si>
  <si>
    <t>อ.กู่แก้ว</t>
  </si>
  <si>
    <t>0020942</t>
  </si>
  <si>
    <t>ธ. กรุงเทพ จำกัด (มหาชน) สาขา ศูนย์ราชการเฉลิมพระเกียรติ อาคาร B</t>
  </si>
  <si>
    <t>อ.ไชยวาน</t>
  </si>
  <si>
    <t>0020943</t>
  </si>
  <si>
    <t>ธ. กรุงเทพ จำกัด (มหาชน) สาขา ศูนย์ราชการเฉลิมพระเกียรติ อาคาร A</t>
  </si>
  <si>
    <t>อ.ทุ่งฝน</t>
  </si>
  <si>
    <t>0020944</t>
  </si>
  <si>
    <t>ธ. กรุงเทพ จำกัด (มหาชน) สาขา สถาบันบัณฑิตพัฒนบริหารศาสตร์</t>
  </si>
  <si>
    <t>อ.นายูง</t>
  </si>
  <si>
    <t>0020946</t>
  </si>
  <si>
    <t>ธ. กรุงเทพ จำกัด (มหาชน) สาขา บิ๊กซี ธัญบุรี</t>
  </si>
  <si>
    <t>อ.น้ำโสม</t>
  </si>
  <si>
    <t>0020947</t>
  </si>
  <si>
    <t>ธ. กรุงเทพ จำกัด (มหาชน) สาขา บิ๊กซี นวนคร</t>
  </si>
  <si>
    <t>อ.โนนสะอาด</t>
  </si>
  <si>
    <t>0020948</t>
  </si>
  <si>
    <t>ธ. กรุงเทพ จำกัด (มหาชน) สาขา เทสโก้ โลตัส หลักสี่</t>
  </si>
  <si>
    <t>อ.บ้านดุง</t>
  </si>
  <si>
    <t>0020949</t>
  </si>
  <si>
    <t>ธ. กรุงเทพ จำกัด (มหาชน) สาขา เทสโก้ โลตัส พระราม 3</t>
  </si>
  <si>
    <t>อ.บ้านผือ</t>
  </si>
  <si>
    <t>0020950</t>
  </si>
  <si>
    <t>ธ. กรุงเทพ จำกัด (มหาชน) สาขา พาต้า ปิ่นเกล้า</t>
  </si>
  <si>
    <t>0020951</t>
  </si>
  <si>
    <t>ธ. กรุงเทพ จำกัด (มหาชน) สาขา เทสโก้ โลตัส ศรีสะเกษ</t>
  </si>
  <si>
    <t>อ.พิบูลย์รักษ์</t>
  </si>
  <si>
    <t>0020952</t>
  </si>
  <si>
    <t>ธ. กรุงเทพ จำกัด (มหาชน) สาขา กิจการวิเทศธนกิจ</t>
  </si>
  <si>
    <t>อ.เพ็ญ</t>
  </si>
  <si>
    <t>0020953</t>
  </si>
  <si>
    <t>ธ. กรุงเทพ จำกัด (มหาชน) สาขา เทสโก้ โลตัส เจ้าฟ้า</t>
  </si>
  <si>
    <t>0020954</t>
  </si>
  <si>
    <t>ธ. กรุงเทพ จำกัด (มหาชน) สาขา เทสโก้ โลตัส อ่าวลึก</t>
  </si>
  <si>
    <t>อ.วังสามหมอ</t>
  </si>
  <si>
    <t>0020955</t>
  </si>
  <si>
    <t>ธ. กรุงเทพ จำกัด (มหาชน) สาขา เทสโก้ โลตัส ราไวย์</t>
  </si>
  <si>
    <t>อ.ศรีธาตุ</t>
  </si>
  <si>
    <t>0020956</t>
  </si>
  <si>
    <t>ธ. กรุงเทพ จำกัด (มหาชน) สาขา บิ๊กซี สระแก้ว</t>
  </si>
  <si>
    <t>อ.สร้างคอม</t>
  </si>
  <si>
    <t>0020957</t>
  </si>
  <si>
    <t>ธ. กรุงเทพ จำกัด (มหาชน) สาขา หาดกะรน ภูเก็ต</t>
  </si>
  <si>
    <t>อ.หนองวัวซอ</t>
  </si>
  <si>
    <t>0020958</t>
  </si>
  <si>
    <t>ธ. กรุงเทพ จำกัด (มหาชน) สาขา บัดดี้ เกาะสมุย</t>
  </si>
  <si>
    <t>อ.หนองหาน</t>
  </si>
  <si>
    <t>0020959</t>
  </si>
  <si>
    <t>ธ. กรุงเทพ จำกัด (มหาชน) สาขา สาระสโมสร รร.จปร. นครนายก</t>
  </si>
  <si>
    <t>อ.ตรอน</t>
  </si>
  <si>
    <t>0020960</t>
  </si>
  <si>
    <t>ธ. กรุงเทพ จำกัด (มหาชน) สาขา ถนนอินทรคีรี</t>
  </si>
  <si>
    <t>อ.ทองแสนขัน</t>
  </si>
  <si>
    <t>0020961</t>
  </si>
  <si>
    <t>ธ. กรุงเทพ จำกัด (มหาชน) สาขา พัทยาเหนือ</t>
  </si>
  <si>
    <t>อ.ท่าปลา</t>
  </si>
  <si>
    <t>0020962</t>
  </si>
  <si>
    <t>ธ. กรุงเทพ จำกัด (มหาชน) สาขา บางแสน</t>
  </si>
  <si>
    <t>อ.น้ำปาด</t>
  </si>
  <si>
    <t>0020963</t>
  </si>
  <si>
    <t>ธ. กรุงเทพ จำกัด (มหาชน) สาขา เทสโก้ โลตัส บ้านโป่ง</t>
  </si>
  <si>
    <t>อ.บ้านโคก</t>
  </si>
  <si>
    <t>0020964</t>
  </si>
  <si>
    <t>ธ. กรุงเทพ จำกัด (มหาชน) สาขา บิ๊กซี ยโสธร</t>
  </si>
  <si>
    <t>อ.พิชัย</t>
  </si>
  <si>
    <t>0020965</t>
  </si>
  <si>
    <t>ธ. กรุงเทพ จำกัด (มหาชน) สาขา เทสโก้ โลตัส ทุ่งสง</t>
  </si>
  <si>
    <t>อ.ฟากท่า</t>
  </si>
  <si>
    <t>0020966</t>
  </si>
  <si>
    <t>ธ. กรุงเทพ จำกัด (มหาชน) สาขา เทสโก้ โลตัส พัทลุง</t>
  </si>
  <si>
    <t>0020967</t>
  </si>
  <si>
    <t>ธ. กรุงเทพ จำกัด (มหาชน) สาขา ถนนนิมมานเหมินทร์ เชียงใหม่</t>
  </si>
  <si>
    <t>อ.ลับแล</t>
  </si>
  <si>
    <t>0020968</t>
  </si>
  <si>
    <t>ธ. กรุงเทพ จำกัด (มหาชน) สาขา คณะเทคนิคการแพทย์ ม เชียงใหม่</t>
  </si>
  <si>
    <t>อ.ทัพทัน</t>
  </si>
  <si>
    <t>0020969</t>
  </si>
  <si>
    <t>ธ. กรุงเทพ จำกัด (มหาชน) สาขา ประตูน้ำ ขอนแก่น</t>
  </si>
  <si>
    <t>อ.บ้านไร่</t>
  </si>
  <si>
    <t>0020970</t>
  </si>
  <si>
    <t>ธ. กรุงเทพ จำกัด (มหาชน) สาขา หาดจอมเทียน สาย 2 พัทยา</t>
  </si>
  <si>
    <t>0020971</t>
  </si>
  <si>
    <t>ธ. กรุงเทพ จำกัด (มหาชน) สาขา โคลี่เซี่ยม ซีเนเพล็กซ์ พัทลุง</t>
  </si>
  <si>
    <t>อ.ลานสัก</t>
  </si>
  <si>
    <t>0020972</t>
  </si>
  <si>
    <t>ธ. กรุงเทพ จำกัด (มหาชน) สาขา เทสโก้ โลตัส หนองหาน อุดรธานี</t>
  </si>
  <si>
    <t>อ.สว่างอารมณ์</t>
  </si>
  <si>
    <t>0020973</t>
  </si>
  <si>
    <t>ธ. กรุงเทพ จำกัด (มหาชน) สาขา เทสโก้ โลตั ปราณบุรี</t>
  </si>
  <si>
    <t>อ.หนองขาหย่าง</t>
  </si>
  <si>
    <t>0020974</t>
  </si>
  <si>
    <t>ธ. กรุงเทพ จำกัด (มหาชน) สาขา บิ๊กซี วารินชำราบ</t>
  </si>
  <si>
    <t>อ.หนองฉาง</t>
  </si>
  <si>
    <t>0020981</t>
  </si>
  <si>
    <t>ธ. กรุงเทพ จำกัด (มหาชน) สาขา บุญสัมพันธ์ พัทยา</t>
  </si>
  <si>
    <t>อ.ห้วยคต</t>
  </si>
  <si>
    <t>0020982</t>
  </si>
  <si>
    <t>ธ. กรุงเทพ จำกัด (มหาชน) สาขา ถนนอัสสัมชัญ ศรีราชา</t>
  </si>
  <si>
    <t>อ.กุดข้าวปุ้น</t>
  </si>
  <si>
    <t>0020983</t>
  </si>
  <si>
    <t>ธ. กรุงเทพ จำกัด (มหาชน) สาขา บุญถาวร เมืองพัทยา</t>
  </si>
  <si>
    <t>อ.เขมราฐ</t>
  </si>
  <si>
    <t>0020984</t>
  </si>
  <si>
    <t>ธ. กรุงเทพ จำกัด (มหาชน) สาขา ตลาดบ้านดู่ เชียงราย</t>
  </si>
  <si>
    <t>อ.เขื่องใน</t>
  </si>
  <si>
    <t>0020985</t>
  </si>
  <si>
    <t>ธ. กรุงเทพ จำกัด (มหาชน) สาขา มหาวิทยาลัยราชภัฏ ภูเก็ต</t>
  </si>
  <si>
    <t>อ.โขงเจียม</t>
  </si>
  <si>
    <t>0020986</t>
  </si>
  <si>
    <t>ธ. กรุงเทพ จำกัด (มหาชน) สาขา ศาลากลางจังหวัด ลพบุรี</t>
  </si>
  <si>
    <t>อ.ดอนมดแดง</t>
  </si>
  <si>
    <t>0020987</t>
  </si>
  <si>
    <t>ธ. กรุงเทพ จำกัด (มหาชน) สาขา บิ๊กซี มหาสารคาม</t>
  </si>
  <si>
    <t>อ.เดชอุดม</t>
  </si>
  <si>
    <t>0020988</t>
  </si>
  <si>
    <t>ธ. กรุงเทพ จำกัด (มหาชน) สาขา มหาวิทยาลัยราชภัฎเทพสตรี</t>
  </si>
  <si>
    <t>อ.ตระการพืชผล</t>
  </si>
  <si>
    <t>0020989</t>
  </si>
  <si>
    <t>ธ. กรุงเทพ จำกัด (มหาชน) สาขา โฮมเวิร์ค ภูเก็ต</t>
  </si>
  <si>
    <t>อ.ตาลสุม</t>
  </si>
  <si>
    <t>0020990</t>
  </si>
  <si>
    <t>อ.ทุ่งศรีอุดม</t>
  </si>
  <si>
    <t>0020992</t>
  </si>
  <si>
    <t>ธ. กรุงเทพ จำกัด (มหาชน) สาขา เทสโก้ โลตัส วังน้ำเย็น</t>
  </si>
  <si>
    <t>อ.นาจะหลวย</t>
  </si>
  <si>
    <t>0020995</t>
  </si>
  <si>
    <t>ธ. กรุงเทพ จำกัด (มหาชน) สาขา โพนทอง ร้อยเอ็ด</t>
  </si>
  <si>
    <t>อ.นาตาล</t>
  </si>
  <si>
    <t>0021061</t>
  </si>
  <si>
    <t>ธ. กรุงเทพ จำกัด (มหาชน) สาขา โรงพยาบาลเซนต์หลุยส์</t>
  </si>
  <si>
    <t>อ.นาเยีย</t>
  </si>
  <si>
    <t>0021062</t>
  </si>
  <si>
    <t>ธ. กรุงเทพ จำกัด (มหาชน) สาขา ฮอไรซอน เอกมัย</t>
  </si>
  <si>
    <t>อ.น้ำขุ่น</t>
  </si>
  <si>
    <t>0021063</t>
  </si>
  <si>
    <t>ธ. กรุงเทพ จำกัด (มหาชน) สาขา ทีโอที แจ้งวัฒนะ</t>
  </si>
  <si>
    <t>อ.น้ำยืน</t>
  </si>
  <si>
    <t>0021064</t>
  </si>
  <si>
    <t>ธ. กรุงเทพ จำกัด (มหาชน) สาขา เซ็นทรัล แจ้งวัฒนะ</t>
  </si>
  <si>
    <t>อ.บุณฑริก</t>
  </si>
  <si>
    <t>0021065</t>
  </si>
  <si>
    <t>ธ. กรุงเทพ จำกัด (มหาชน) สาขา โฮมโปร บางนา</t>
  </si>
  <si>
    <t>อ.พิบูลมังสาหาร</t>
  </si>
  <si>
    <t>0021066</t>
  </si>
  <si>
    <t>ธ. กรุงเทพ จำกัด (มหาชน) สาขา บิ๊กซี สายไหม</t>
  </si>
  <si>
    <t>อ.โพธิ์ไทร</t>
  </si>
  <si>
    <t>0021067</t>
  </si>
  <si>
    <t>ธ. กรุงเทพ จำกัด (มหาชน) สาขา เดอะมอลล์ งามวงศ์วาน 2</t>
  </si>
  <si>
    <t>อ.ม่วงสามสิบ</t>
  </si>
  <si>
    <t>0021068</t>
  </si>
  <si>
    <t>ธ. กรุงเทพ จำกัด (มหาชน) สาขา ซีดับเบิ้ลยู ทาวเวอร์</t>
  </si>
  <si>
    <t>0021069</t>
  </si>
  <si>
    <t>ธ. กรุงเทพ จำกัด (มหาชน) สาขา ลาดพร้าว 101</t>
  </si>
  <si>
    <t>อ.วารินชำราบ</t>
  </si>
  <si>
    <t>0021070</t>
  </si>
  <si>
    <t>ธ. กรุงเทพ จำกัด (มหาชน) สาขา หมู่บ้าน ดี.เค. (บางบอน)</t>
  </si>
  <si>
    <t>อ.ศรีเมืองใหม่</t>
  </si>
  <si>
    <t>0021071</t>
  </si>
  <si>
    <t>ธ. กรุงเทพ จำกัด (มหาชน) สาขา ปตท.ถนนรามอินทรา</t>
  </si>
  <si>
    <t>อ.สว่างวีระวงศ์</t>
  </si>
  <si>
    <t>0021072</t>
  </si>
  <si>
    <t>ธ. กรุงเทพ จำกัด (มหาชน) สาขา บิ๊กซี สุขาภิบาล 5</t>
  </si>
  <si>
    <t>อ.สำโรง</t>
  </si>
  <si>
    <t>0021073</t>
  </si>
  <si>
    <t>ธ. กรุงเทพ จำกัด (มหาชน) สาขา เทสโก้ โลตัส รามอินทรา 109</t>
  </si>
  <si>
    <t>อ.สิรินธร</t>
  </si>
  <si>
    <t>0021074</t>
  </si>
  <si>
    <t>ธ. กรุงเทพ จำกัด (มหาชน) สาขา บิ๊กซี ประชาอุทิศ 90</t>
  </si>
  <si>
    <t>อ.เหล่าเสือโก้ก</t>
  </si>
  <si>
    <t>0021075</t>
  </si>
  <si>
    <t>ธ. กรุงเทพ จำกัด (มหาชน) สาขา โรงพยาบาลบำรุงราษฎร์</t>
  </si>
  <si>
    <t>Huyen An Phu</t>
  </si>
  <si>
    <t>0021076</t>
  </si>
  <si>
    <t>ธ. กรุงเทพ จำกัด (มหาชน) สาขา นิคมอุตสาหกรรมนวนคร</t>
  </si>
  <si>
    <t>Huyen Chau Phu</t>
  </si>
  <si>
    <t>0021077</t>
  </si>
  <si>
    <t>ธ. กรุงเทพ จำกัด (มหาชน) สาขา นิคมอุตสาหกรรมบางปู</t>
  </si>
  <si>
    <t>Huyen Chau Thanh</t>
  </si>
  <si>
    <t>0021078</t>
  </si>
  <si>
    <t>ธ. กรุงเทพ จำกัด (มหาชน) สาขา ม.เทคโนโลยีพระจอมเกล้าธนบุรี</t>
  </si>
  <si>
    <t>Huyen Cho Moi</t>
  </si>
  <si>
    <t>0021079</t>
  </si>
  <si>
    <t>ธ. กรุงเทพ จำกัด (มหาชน) สาขา บุญถาวร เกษตร-นวมินทร์</t>
  </si>
  <si>
    <t>Huyen Phu Tan</t>
  </si>
  <si>
    <t>0021080</t>
  </si>
  <si>
    <t>ธ. กรุงเทพ จำกัด (มหาชน) สาขา เยาวราช</t>
  </si>
  <si>
    <t>Huyen Tan Chau</t>
  </si>
  <si>
    <t>0021081</t>
  </si>
  <si>
    <t>ธ. กรุงเทพ จำกัด (มหาชน) สาขา มหาวิทยาลัยเกษตรศาสตร์</t>
  </si>
  <si>
    <t>Huyen Thoai Son</t>
  </si>
  <si>
    <t>0021082</t>
  </si>
  <si>
    <t>ธ. กรุงเทพ จำกัด (มหาชน) สาขา เอนเนอร์ยี่ คอมเพล็กซ์</t>
  </si>
  <si>
    <t>Huyen Tinh Bien</t>
  </si>
  <si>
    <t>0021083</t>
  </si>
  <si>
    <t>ธ. กรุงเทพ จำกัด (มหาชน) สาขา คณะทันตแพทยศาสตร์ มหาวิทยาลัยมหิดล</t>
  </si>
  <si>
    <t>Huyen Tri Ton</t>
  </si>
  <si>
    <t>0021084</t>
  </si>
  <si>
    <t>ธ. กรุงเทพ จำกัด (มหาชน) สาขา ซี.พี. ทาวเวอร์</t>
  </si>
  <si>
    <t>TP. Chau Doc</t>
  </si>
  <si>
    <t>0021085</t>
  </si>
  <si>
    <t>ธ. กรุงเทพ จำกัด (มหาชน) สาขา เหม่งจ๋าย</t>
  </si>
  <si>
    <t>TP. Long Xuyen</t>
  </si>
  <si>
    <t>0021086</t>
  </si>
  <si>
    <t>ธ. กรุงเทพ จำกัด (มหาชน) สาขา มหาวิทยาลัยรามคำแหง 2</t>
  </si>
  <si>
    <t>Huyen Chau Duc</t>
  </si>
  <si>
    <t>0021087</t>
  </si>
  <si>
    <t>ธ. กรุงเทพ จำกัด (มหาชน) สาขา ซิตี้ รีสอร์ท (สุขุมวิท 39)</t>
  </si>
  <si>
    <t>Huyen dao Con Dao</t>
  </si>
  <si>
    <t>0021088</t>
  </si>
  <si>
    <t>ธ. กรุงเทพ จำกัด (มหาชน) สาขา ม.ศรีนครินทรวิโรฒประสานมิตร</t>
  </si>
  <si>
    <t>Huyen Dat Do</t>
  </si>
  <si>
    <t>0021089</t>
  </si>
  <si>
    <t>ธ. กรุงเทพ จำกัด (มหาชน) สาขา คริสตัล ดีไซน์ เซ็นเตอร์</t>
  </si>
  <si>
    <t>Huyen Long Dien</t>
  </si>
  <si>
    <t>0021090</t>
  </si>
  <si>
    <t>ธ. กรุงเทพ จำกัด (มหาชน) สาขา พาราไดซ์ พาร์ค</t>
  </si>
  <si>
    <t>Huyen Phu My</t>
  </si>
  <si>
    <t>0021091</t>
  </si>
  <si>
    <t>ธ. กรุงเทพ จำกัด (มหาชน) สาขา มหาวิทยาลัยราชภัฏสวนสุนันทา</t>
  </si>
  <si>
    <t>Huyen Xuyen Moc</t>
  </si>
  <si>
    <t>0021092</t>
  </si>
  <si>
    <t>ธ. กรุงเทพ จำกัด (มหาชน) สาขา มหาวิทยาลัยสวนดุสิต</t>
  </si>
  <si>
    <t>TP. Ba Ria</t>
  </si>
  <si>
    <t>0021093</t>
  </si>
  <si>
    <t>ธ. กรุงเทพ จำกัด (มหาชน) สาขา บิ๊กซี เคหะร่มเกล้า</t>
  </si>
  <si>
    <t>TP. Vung Tau</t>
  </si>
  <si>
    <t>0021094</t>
  </si>
  <si>
    <t>Huyen Hiep Hoa</t>
  </si>
  <si>
    <t>0021095</t>
  </si>
  <si>
    <t>Huyen Lang Giang</t>
  </si>
  <si>
    <t>0021096</t>
  </si>
  <si>
    <t>ธ. กรุงเทพ จำกัด (มหาชน) สาขา เดอะเซอร์เคิล ราชพฤกษ์</t>
  </si>
  <si>
    <t>Huyen Luc Nam</t>
  </si>
  <si>
    <t>0021097</t>
  </si>
  <si>
    <t>ธ. กรุงเทพ จำกัด (มหาชน) สาขา อาคารสมเด็จพระเทพรัตน์ร.พ.รามาธิบดี</t>
  </si>
  <si>
    <t>Huyen Luc Ngan</t>
  </si>
  <si>
    <t>0021098</t>
  </si>
  <si>
    <t>ธ. กรุงเทพ จำกัด (มหาชน) สาขา เทสโก้ โลตัส หนองจอก</t>
  </si>
  <si>
    <t>Huyen Son Dong</t>
  </si>
  <si>
    <t>0021099</t>
  </si>
  <si>
    <t>ธ. กรุงเทพ จำกัด (มหาชน) สาขา อินทรา สแควร์</t>
  </si>
  <si>
    <t>Huyen Tan Yen</t>
  </si>
  <si>
    <t>0021151</t>
  </si>
  <si>
    <t>ธ. กรุงเทพ จำกัด (มหาชน) สาขา เอ็มไพร์ ทาวเวอร์</t>
  </si>
  <si>
    <t>Huyen Viet Yen</t>
  </si>
  <si>
    <t>0021152</t>
  </si>
  <si>
    <t>ธ. กรุงเทพ จำกัด (มหาชน) สาขา ถนนข้าวสาร</t>
  </si>
  <si>
    <t>Huyen Yen Dung</t>
  </si>
  <si>
    <t>0021153</t>
  </si>
  <si>
    <t>ธ. กรุงเทพ จำกัด (มหาชน) สาขา เทสโก้ โลตัส สุทธิสาร</t>
  </si>
  <si>
    <t>Huyen Yen The</t>
  </si>
  <si>
    <t>0021154</t>
  </si>
  <si>
    <t>ธ. กรุงเทพ จำกัด (มหาชน) สาขา อมอรินี</t>
  </si>
  <si>
    <t>TP. Bac Giang</t>
  </si>
  <si>
    <t>0021155</t>
  </si>
  <si>
    <t>ธ. กรุงเทพ จำกัด (มหาชน) สาขา เทสโก้ โลตัส พระราม 4</t>
  </si>
  <si>
    <t>Huyen Ba Be</t>
  </si>
  <si>
    <t>0021156</t>
  </si>
  <si>
    <t>ธ. กรุงเทพ จำกัด (มหาชน) สาขา เมกาบางนา</t>
  </si>
  <si>
    <t>Huyen Bach Thong</t>
  </si>
  <si>
    <t>0021157</t>
  </si>
  <si>
    <t>ธ. กรุงเทพ จำกัด (มหาชน) สาขา ทรี ออน ธรี</t>
  </si>
  <si>
    <t>Huyen Cho Don</t>
  </si>
  <si>
    <t>0021158</t>
  </si>
  <si>
    <t>ธ. กรุงเทพ จำกัด (มหาชน) สาขา เทสโก้ โลตัส ประชาอุทิศ</t>
  </si>
  <si>
    <t>0021159</t>
  </si>
  <si>
    <t>ธ. กรุงเทพ จำกัด (มหาชน) สาขา แฟชั่นมอลล์</t>
  </si>
  <si>
    <t>Huyen Na Ri</t>
  </si>
  <si>
    <t>0021160</t>
  </si>
  <si>
    <t>ธ. กรุงเทพ จำกัด (มหาชน) สาขา โรงพยาบาลกรุงเทพ</t>
  </si>
  <si>
    <t>Huyen Ngan Son</t>
  </si>
  <si>
    <t>0021161</t>
  </si>
  <si>
    <t>ธ. กรุงเทพ จำกัด (มหาชน) สาขา เซ็นทรัล พระราม 9</t>
  </si>
  <si>
    <t>Huyen Pac Nam</t>
  </si>
  <si>
    <t>0021162</t>
  </si>
  <si>
    <t>ธ. กรุงเทพ จำกัด (มหาชน) สาขา อาคารกรุงเทพ ทาวเวอร์</t>
  </si>
  <si>
    <t>TP. Bac Kan</t>
  </si>
  <si>
    <t>0021163</t>
  </si>
  <si>
    <t>ธ. กรุงเทพ จำกัด (มหาชน) สาขา มทร.พระนคร (ศูนย์เทเวศร์)</t>
  </si>
  <si>
    <t>Huyen Dong Hai</t>
  </si>
  <si>
    <t>0021164</t>
  </si>
  <si>
    <t>ธ. กรุงเทพ จำกัด (มหาชน) สาขา  รพ.ศิริราช ปิยมหาราชการุณย์</t>
  </si>
  <si>
    <t>Huyen Gia Rai</t>
  </si>
  <si>
    <t>0021165</t>
  </si>
  <si>
    <t>ธ. กรุงเทพ จำกัด (มหาชน) สาขา มหาวิทยาลัยเทคโนโลยีราชมงคลกรุงเทพ</t>
  </si>
  <si>
    <t>Huyen Hoa Binh</t>
  </si>
  <si>
    <t>0021166</t>
  </si>
  <si>
    <t>ธ. กรุงเทพ จำกัด (มหาชน) สาขา เดอะซีน ทาวน์ อิน ทาวน์</t>
  </si>
  <si>
    <t>Huyen Hong Dan</t>
  </si>
  <si>
    <t>0021167</t>
  </si>
  <si>
    <t>ธ. กรุงเทพ จำกัด (มหาชน) สาขา มหาวิทยาลัยรามคำแหง</t>
  </si>
  <si>
    <t>Huyen Phuoc Long</t>
  </si>
  <si>
    <t>0021168</t>
  </si>
  <si>
    <t>ธ. กรุงเทพ จำกัด (มหาชน) สาขา ม.เทคโนโลยีพระจอมเกล้าพระนครเหนือ</t>
  </si>
  <si>
    <t>Huyen Vinh Loi</t>
  </si>
  <si>
    <t>0021169</t>
  </si>
  <si>
    <t>ธ. กรุงเทพ จำกัด (มหาชน) สาขา คลองถม</t>
  </si>
  <si>
    <t>TP. Bac Lieu</t>
  </si>
  <si>
    <t>0021170</t>
  </si>
  <si>
    <t>ธ. กรุงเทพ จำกัด (มหาชน) สาขา ฟอร์จูน ทาวน์ 2</t>
  </si>
  <si>
    <t>Huyen Gia Binh</t>
  </si>
  <si>
    <t>0021171</t>
  </si>
  <si>
    <t>ธ. กรุงเทพ จำกัด (มหาชน) สาขา บิ๊กซี คู้บอน</t>
  </si>
  <si>
    <t>Huyen Luong Tai</t>
  </si>
  <si>
    <t>0021172</t>
  </si>
  <si>
    <t>ธ. กรุงเทพ จำกัด (มหาชน) สาขา โรงพยาบาลจุฬาลงกรณ์</t>
  </si>
  <si>
    <t>Huyen Que Vo</t>
  </si>
  <si>
    <t>0021173</t>
  </si>
  <si>
    <t>ธ. กรุงเทพ จำกัด (มหาชน) สาขา เทสโก้ โลตัส พัฒนาการ</t>
  </si>
  <si>
    <t>Huyen Thuan Thanh</t>
  </si>
  <si>
    <t>0021174</t>
  </si>
  <si>
    <t>ธ. กรุงเทพ จำกัด (มหาชน) สาขา เทสโก้ โลตัส สุขาภิบาล 3</t>
  </si>
  <si>
    <t>Huyen Tien Du</t>
  </si>
  <si>
    <t>0021175</t>
  </si>
  <si>
    <t>ธ. กรุงเทพ จำกัด (มหาชน) สาขา โอเรียนเต็ล 2</t>
  </si>
  <si>
    <t>Huyen Yen Phong</t>
  </si>
  <si>
    <t>0021176</t>
  </si>
  <si>
    <t>ธ. กรุงเทพ จำกัด (มหาชน) สาขา เซ็นทรัล บางนา 2</t>
  </si>
  <si>
    <t>TP. Bac Ninh</t>
  </si>
  <si>
    <t>0021177</t>
  </si>
  <si>
    <t>ธ. กรุงเทพ จำกัด (มหาชน) สาขา เบ็ล แกรนด์ พระราม 9</t>
  </si>
  <si>
    <t>TP. Tu Son</t>
  </si>
  <si>
    <t>0021178</t>
  </si>
  <si>
    <t>ธ. กรุงเทพ จำกัด (มหาชน) สาขา อาคารเกษมกิจ สีลม</t>
  </si>
  <si>
    <t>Huyen Ba Tri</t>
  </si>
  <si>
    <t>0021179</t>
  </si>
  <si>
    <t>ธ. กรุงเทพ จำกัด (มหาชน) สาขา เดอะวอล์ค เกษตร-นวมินทร์</t>
  </si>
  <si>
    <t>Huyen Binh Dai</t>
  </si>
  <si>
    <t>0021180</t>
  </si>
  <si>
    <t>ธ. กรุงเทพ จำกัด (มหาชน) สาขา เทสโก้ โลตัส อ่อนนุช 80</t>
  </si>
  <si>
    <t>0021181</t>
  </si>
  <si>
    <t>ธ. กรุงเทพ จำกัด (มหาชน) สาขา ดิอัพ พระราม 3</t>
  </si>
  <si>
    <t>Huyen Cho Lach</t>
  </si>
  <si>
    <t>0021182</t>
  </si>
  <si>
    <t>ธ. กรุงเทพ จำกัด (มหาชน) สาขา สุขุมวิท 71</t>
  </si>
  <si>
    <t>Huyen Giong Trom</t>
  </si>
  <si>
    <t>0021183</t>
  </si>
  <si>
    <t>ธ. กรุงเทพ จำกัด (มหาชน) สาขา ซอยเซนต์หลุยส์ 3</t>
  </si>
  <si>
    <t>Huyen Mo Cay Bac</t>
  </si>
  <si>
    <t>0021184</t>
  </si>
  <si>
    <t>ธ. กรุงเทพ จำกัด (มหาชน) สาขา สี่แยกราชวงศ์</t>
  </si>
  <si>
    <t>Huyen Mo Cay Nam</t>
  </si>
  <si>
    <t>0021185</t>
  </si>
  <si>
    <t>ธ. กรุงเทพ จำกัด (มหาชน) สาขา จรัญสนิทวงศ์ ซอย 70/2</t>
  </si>
  <si>
    <t>Huyen Thanh Phu</t>
  </si>
  <si>
    <t>0021186</t>
  </si>
  <si>
    <t>ธ. กรุงเทพ จำกัด (มหาชน) สาขา ท่าเตียน 2</t>
  </si>
  <si>
    <t>TP. Ben Tre</t>
  </si>
  <si>
    <t>0021187</t>
  </si>
  <si>
    <t>ธ. กรุงเทพ จำกัด (มหาชน) สาขา ท่าน้ำศิริราช</t>
  </si>
  <si>
    <t>Huyen An Lao</t>
  </si>
  <si>
    <t>0021188</t>
  </si>
  <si>
    <t>ธ. กรุงเทพ จำกัด (มหาชน) สาขา ตลาดนานาเจริญ</t>
  </si>
  <si>
    <t>Huyen An Nhon</t>
  </si>
  <si>
    <t>0021189</t>
  </si>
  <si>
    <t>ธ. กรุงเทพ จำกัด (มหาชน) สาขา อุทยานวิทยาศาสตร์ 2</t>
  </si>
  <si>
    <t>Huyen Hoai An</t>
  </si>
  <si>
    <t>0021190</t>
  </si>
  <si>
    <t>ธ. กรุงเทพ จำกัด (มหาชน) สาขา เดอะ ไนน์ ทาวเวอร์ส</t>
  </si>
  <si>
    <t>Huyen Hoai Nhon</t>
  </si>
  <si>
    <t>0021191</t>
  </si>
  <si>
    <t>ธ. กรุงเทพ จำกัด (มหาชน) สาขา มหาวิทยาลัยสยาม</t>
  </si>
  <si>
    <t>Huyen Phu Cat</t>
  </si>
  <si>
    <t>0021192</t>
  </si>
  <si>
    <t>ธ. กรุงเทพ จำกัด (มหาชน) สาขา มหาวิทยาลัยศรีปทุม</t>
  </si>
  <si>
    <t>0021193</t>
  </si>
  <si>
    <t>ธ. กรุงเทพ จำกัด (มหาชน) สาขา เดอะ พาซิโอ ทาวน์ (สุขาภิบาล 3)</t>
  </si>
  <si>
    <t>Huyen Tay Son</t>
  </si>
  <si>
    <t>0021194</t>
  </si>
  <si>
    <t>ธ. กรุงเทพ จำกัด (มหาชน) สาขา เซ็นทรัล เอ็มบาสซี</t>
  </si>
  <si>
    <t>Huyen Tuy Phuoc</t>
  </si>
  <si>
    <t>0021195</t>
  </si>
  <si>
    <t>ธ. กรุงเทพ จำกัด (มหาชน) สาขา ออมนิ ลาดพร้าว 116</t>
  </si>
  <si>
    <t>Huyen Van Canh</t>
  </si>
  <si>
    <t>0021196</t>
  </si>
  <si>
    <t>ธ. กรุงเทพ จำกัด (มหาชน) สาขา บิ๊กซี กัลปพฤกษ์</t>
  </si>
  <si>
    <t>Huyen Vinh Thanh</t>
  </si>
  <si>
    <t>0021197</t>
  </si>
  <si>
    <t>ธ. กรุงเทพ จำกัด (มหาชน) สาขา ยอดพิมาน ริเวอร์วอล์ค</t>
  </si>
  <si>
    <t>TP. Quy Nhon</t>
  </si>
  <si>
    <t>0021198</t>
  </si>
  <si>
    <t>ธ. กรุงเทพ จำกัด (มหาชน) สาขา ไชน่า เวิลด์</t>
  </si>
  <si>
    <t>Huyen Bac Tan Uyen</t>
  </si>
  <si>
    <t>0021199</t>
  </si>
  <si>
    <t>ธ. กรุงเทพ จำกัด (มหาชน) สาขา เพลินนารี่ มอลล์ วัชรพล</t>
  </si>
  <si>
    <t>Huyen Bau Bang</t>
  </si>
  <si>
    <t>0021221</t>
  </si>
  <si>
    <t>ธ. กรุงเทพ จำกัด (มหาชน) สาขา เทสโก้ โลตัส ประชาชื่น</t>
  </si>
  <si>
    <t>Huyen Ben Cat</t>
  </si>
  <si>
    <t>0021222</t>
  </si>
  <si>
    <t>ธ. กรุงเทพ จำกัด (มหาชน) สาขา วิทยาลัยเทคโนโลยีสยาม</t>
  </si>
  <si>
    <t>Huyen Dau Tieng</t>
  </si>
  <si>
    <t>0021223</t>
  </si>
  <si>
    <t>ธ. กรุงเทพ จำกัด (มหาชน) สาขา เอไอเอแคปปิตอลเซ็นเตอร์ถ.รัชดาภิเษก</t>
  </si>
  <si>
    <t>Huyen Phu Giao</t>
  </si>
  <si>
    <t>0021224</t>
  </si>
  <si>
    <t>ธ. กรุงเทพ จำกัด (มหาชน) สาขา ดิ เอ็มควอเทียร์</t>
  </si>
  <si>
    <t>Huyen Tan Uyen</t>
  </si>
  <si>
    <t>0021225</t>
  </si>
  <si>
    <t>ธ. กรุงเทพ จำกัด (มหาชน) สาขา เดอะ พาซิโอ พาร์ค (กาญจนาภิเษก)</t>
  </si>
  <si>
    <t>TP. Di An</t>
  </si>
  <si>
    <t>0021226</t>
  </si>
  <si>
    <t>ธ. กรุงเทพ จำกัด (มหาชน) สาขา เดอะแจส รามอินทรา</t>
  </si>
  <si>
    <t>TP. Thu Dau Mot</t>
  </si>
  <si>
    <t>0021227</t>
  </si>
  <si>
    <t>ธ. กรุงเทพ จำกัด (มหาชน) สาขา เมโทร เวสต์ทาวน์ (กัลปพฤกษ์)</t>
  </si>
  <si>
    <t>TP. Thuan An</t>
  </si>
  <si>
    <t>0021228</t>
  </si>
  <si>
    <t>ธ. กรุงเทพ จำกัด (มหาชน) สาขา เดอะ ไบรท์ พระราม 2</t>
  </si>
  <si>
    <t>Huyen Binh Long</t>
  </si>
  <si>
    <t>0021229</t>
  </si>
  <si>
    <t>ธ. กรุงเทพ จำกัด (มหาชน) สาขา เดอะ คริสตัล 2</t>
  </si>
  <si>
    <t>Huyen Bu Dang</t>
  </si>
  <si>
    <t>0021230</t>
  </si>
  <si>
    <t>ธ. กรุงเทพ จำกัด (มหาชน) สาขา เซ็นทรัล เฟสติวัล อีสต์วิลล์</t>
  </si>
  <si>
    <t>Huyen Bu Dop</t>
  </si>
  <si>
    <t>0021231</t>
  </si>
  <si>
    <t>ธ. กรุงเทพ จำกัด (มหาชน) สาขา โรงพยาบาลพระมงกุฎเกล้า</t>
  </si>
  <si>
    <t>Huyen Bu Gia Map</t>
  </si>
  <si>
    <t>0021233</t>
  </si>
  <si>
    <t>ธ. กรุงเทพ จำกัด (มหาชน) สาขา อาคารสินธร ทาวเวอร์</t>
  </si>
  <si>
    <t>Huyen Chon Thanh</t>
  </si>
  <si>
    <t>0021234</t>
  </si>
  <si>
    <t>ธ. กรุงเทพ จำกัด (มหาชน) สาขา มหาวิทยาลัยกรุงเทพธนบุรี</t>
  </si>
  <si>
    <t>Huyen Dong Phu</t>
  </si>
  <si>
    <t>0021235</t>
  </si>
  <si>
    <t>ธ. กรุงเทพ จำกัด (มหาชน) สาขา อาคารซันทาวเวอร์ส</t>
  </si>
  <si>
    <t>Huyen Hon Quan</t>
  </si>
  <si>
    <t>0021236</t>
  </si>
  <si>
    <t>ธ. กรุงเทพ จำกัด (มหาชน) สาขา ท่าอากาศยานดอนเมือง อาคาร 2</t>
  </si>
  <si>
    <t>Huyen Loc Ninh</t>
  </si>
  <si>
    <t>0021237</t>
  </si>
  <si>
    <t>ธ. กรุงเทพ จำกัด (มหาชน) สาขา เอ็ม ทาวเวอร์</t>
  </si>
  <si>
    <t>Huyen Phu Rieng</t>
  </si>
  <si>
    <t>0021238</t>
  </si>
  <si>
    <t>ธ. กรุงเทพ จำกัด (มหาชน) สาขา จี ทาวเวอร์</t>
  </si>
  <si>
    <t>0021239</t>
  </si>
  <si>
    <t>ธ. กรุงเทพ จำกัด (มหาชน) สาขา อาคารเพิร์ล แบงก์ค็อก</t>
  </si>
  <si>
    <t>TP. Dong Xoai</t>
  </si>
  <si>
    <t>0021240</t>
  </si>
  <si>
    <t>ธ. กรุงเทพ จำกัด (มหาชน) สาขา พระที่นั่งอัมพรสถาน</t>
  </si>
  <si>
    <t>Huyen Bac Binh</t>
  </si>
  <si>
    <t>0021241</t>
  </si>
  <si>
    <t>ธ. กรุงเทพ จำกัด (มหาชน) สาขา อาวานี ริเวอร์ไซด์</t>
  </si>
  <si>
    <t>Huyen dao Phu Quy</t>
  </si>
  <si>
    <t>0021242</t>
  </si>
  <si>
    <t>ธ. กรุงเทพ จำกัด (มหาชน) สาขา วัน-โอ-วัน เดอะเทิร์ดเพลส</t>
  </si>
  <si>
    <t>Huyen Duc Linh</t>
  </si>
  <si>
    <t>0021624</t>
  </si>
  <si>
    <t>ธ. กรุงเทพ จำกัด (มหาชน) สาขา สุวินทวงศ์</t>
  </si>
  <si>
    <t>Huyen Ham Tan</t>
  </si>
  <si>
    <t>0021625</t>
  </si>
  <si>
    <t>ธ. กรุงเทพ จำกัด (มหาชน) สาขา โรบินสัน ฉะเชิงเทรา</t>
  </si>
  <si>
    <t>Huyen Ham Thuan Bac</t>
  </si>
  <si>
    <t>0021630</t>
  </si>
  <si>
    <t>ธ. กรุงเทพ จำกัด (มหาชน) สาขา มหาวิทยาลัยมหิดล ศาลายา</t>
  </si>
  <si>
    <t>Huyen Ham Thuan Nam</t>
  </si>
  <si>
    <t>0021631</t>
  </si>
  <si>
    <t>ธ. กรุงเทพ จำกัด (มหาชน) สาขา พุทธมณฑล สาย 5</t>
  </si>
  <si>
    <t>Huyen La Gi</t>
  </si>
  <si>
    <t>0021632</t>
  </si>
  <si>
    <t>ธ. กรุงเทพ จำกัด (มหาชน) สาขา หน้ามหาวิทยาลัยศิลปากร นครปฐม</t>
  </si>
  <si>
    <t>Huyen Tanh Linh</t>
  </si>
  <si>
    <t>0021633</t>
  </si>
  <si>
    <t>ธ. กรุงเทพ จำกัด (มหาชน) สาขา เซ็นทรัล พลาซ่า ศาลายา</t>
  </si>
  <si>
    <t>Huyen Tuy Phong</t>
  </si>
  <si>
    <t>0021634</t>
  </si>
  <si>
    <t>ธ. กรุงเทพ จำกัด (มหาชน) สาขา คลองโยง ศาลายา นครปฐม</t>
  </si>
  <si>
    <t>TP. Phan Thiet</t>
  </si>
  <si>
    <t>0021635</t>
  </si>
  <si>
    <t>ธ. กรุงเทพ จำกัด (มหาชน) สาขา เทสโก้ โลตัส วัดลาดปลาดุก</t>
  </si>
  <si>
    <t>Huyen Cai Nuoc</t>
  </si>
  <si>
    <t>0021636</t>
  </si>
  <si>
    <t>ธ. กรุงเทพ จำกัด (มหาชน) สาขา ถนนบางบัวทอง-สุพรรณบุรี กม.28</t>
  </si>
  <si>
    <t>Huyen Dam Doi</t>
  </si>
  <si>
    <t>0021637</t>
  </si>
  <si>
    <t>ธ. กรุงเทพ จำกัด (มหาชน) สาขา เดอะวอล์ค ราชพฤกษ์</t>
  </si>
  <si>
    <t>Huyen Nam Can</t>
  </si>
  <si>
    <t>0021638</t>
  </si>
  <si>
    <t>ธ. กรุงเทพ จำกัด (มหาชน) สาขา ถนนบางบัวทอง-สุพรรณบุรี กม.45</t>
  </si>
  <si>
    <t>Huyen Ngoc Hien</t>
  </si>
  <si>
    <t>0021640</t>
  </si>
  <si>
    <t>ธ. กรุงเทพ จำกัด (มหาชน) สาขา มิ้นท์ วิลเลจ ติวานนท์</t>
  </si>
  <si>
    <t>0021641</t>
  </si>
  <si>
    <t>ธ. กรุงเทพ จำกัด (มหาชน) สาขา เดอะ คริสตัล ราชพฤกษ์</t>
  </si>
  <si>
    <t>Huyen Thoi Binh</t>
  </si>
  <si>
    <t>0021642</t>
  </si>
  <si>
    <t>ธ. กรุงเทพ จำกัด (มหาชน) สาขา เดอะ คริสตัล พีทีที ชัยพฤกษ์</t>
  </si>
  <si>
    <t>Huyen Tran Van Thoi</t>
  </si>
  <si>
    <t>0021643</t>
  </si>
  <si>
    <t>ธ. กรุงเทพ จำกัด (มหาชน) สาขา ท่าอิฐ (นนทบุรี)</t>
  </si>
  <si>
    <t>Huyen U Minh</t>
  </si>
  <si>
    <t>0021644</t>
  </si>
  <si>
    <t>ธ. กรุงเทพ จำกัด (มหาชน) สาขา  บัวทองสแควร์</t>
  </si>
  <si>
    <t>TP. Ca Mau</t>
  </si>
  <si>
    <t>0021645</t>
  </si>
  <si>
    <t>ธ. กรุงเทพ จำกัด (มหาชน) สาขา ตลาดพูนทรัพย์</t>
  </si>
  <si>
    <t>Huyen Co Do</t>
  </si>
  <si>
    <t>0021646</t>
  </si>
  <si>
    <t>ธ. กรุงเทพ จำกัด (มหาชน) สาขา บิ๊กซี ลำลูกกา 2</t>
  </si>
  <si>
    <t>Huyen Phong Dien</t>
  </si>
  <si>
    <t>0021647</t>
  </si>
  <si>
    <t>ธ. กรุงเทพ จำกัด (มหาชน) สาขา สาขาเอ็มพาร์ค รังสิต คลอง 3</t>
  </si>
  <si>
    <t>Huyen Thoi Lai</t>
  </si>
  <si>
    <t>0021648</t>
  </si>
  <si>
    <t>ธ. กรุงเทพ จำกัด (มหาชน) สาขา ถนนบางขันธ์-คลองหลวง</t>
  </si>
  <si>
    <t>0021649</t>
  </si>
  <si>
    <t>ธ. กรุงเทพ จำกัด (มหาชน) สาขา มหาวิทยาลัยกรุงเทพ (วิทยาเขตรังสิต)</t>
  </si>
  <si>
    <t>Quan Binh Thuy</t>
  </si>
  <si>
    <t>0021650</t>
  </si>
  <si>
    <t>ธ. กรุงเทพ จำกัด (มหาชน) สาขา ระแหง</t>
  </si>
  <si>
    <t>Quan Cai Rang</t>
  </si>
  <si>
    <t>0021651</t>
  </si>
  <si>
    <t>ธ. กรุงเทพ จำกัด (มหาชน) สาขา ฟิวเจอร์พาร์ค รังสิต 2</t>
  </si>
  <si>
    <t>Quan Ninh Kieu</t>
  </si>
  <si>
    <t>0021652</t>
  </si>
  <si>
    <t>ธ. กรุงเทพ จำกัด (มหาชน) สาขา ตลาดไอยรา</t>
  </si>
  <si>
    <t>Quan O Mon</t>
  </si>
  <si>
    <t>0021653</t>
  </si>
  <si>
    <t>ธ. กรุงเทพ จำกัด (มหาชน) สาขา ลำลูกกา คลอง 8</t>
  </si>
  <si>
    <t>Quan Thot Not</t>
  </si>
  <si>
    <t>0021654</t>
  </si>
  <si>
    <t>ธ. กรุงเทพ จำกัด (มหาชน) สาขา มหาวิทยาลัยรังสิต 2</t>
  </si>
  <si>
    <t>Huyen Bao Lac</t>
  </si>
  <si>
    <t>0021655</t>
  </si>
  <si>
    <t>ธ. กรุงเทพ จำกัด (มหาชน) สาขา มาร์เก็ตเพลส รังสิต คลอง1</t>
  </si>
  <si>
    <t>Huyen Bao Lam</t>
  </si>
  <si>
    <t>0021663</t>
  </si>
  <si>
    <t>ธ. กรุงเทพ จำกัด (มหาชน) สาขา เทสโก้ โลตัส ศรีนครินทร์</t>
  </si>
  <si>
    <t>Huyen Ha Lang</t>
  </si>
  <si>
    <t>0021664</t>
  </si>
  <si>
    <t>ธ. กรุงเทพ จำกัด (มหาชน) สาขา บิ๊กซี สมุทรปราการ</t>
  </si>
  <si>
    <t>Huyen Ha Quang</t>
  </si>
  <si>
    <t>0021665</t>
  </si>
  <si>
    <t>ธ. กรุงเทพ จำกัด (มหาชน) สาขา บางโฉลง</t>
  </si>
  <si>
    <t>Huyen Hoa An</t>
  </si>
  <si>
    <t>0021666</t>
  </si>
  <si>
    <t>ธ. กรุงเทพ จำกัด (มหาชน) สาขา เทสโก้ โลตัส แพรกษา</t>
  </si>
  <si>
    <t>Huyen Nguyen Binh</t>
  </si>
  <si>
    <t>0021667</t>
  </si>
  <si>
    <t>ธ. กรุงเทพ จำกัด (มหาชน) สาขา บิ๊กซี บางพลี</t>
  </si>
  <si>
    <t>Huyen Quang Hoa</t>
  </si>
  <si>
    <t>0021668</t>
  </si>
  <si>
    <t>ธ. กรุงเทพ จำกัด (มหาชน) สาขา เทศบาลตำบลแพรกษา</t>
  </si>
  <si>
    <t>Huyen Thach An</t>
  </si>
  <si>
    <t>0021669</t>
  </si>
  <si>
    <t>ธ. กรุงเทพ จำกัด (มหาชน) สาขา โรบินสัน สมุทรปราการ</t>
  </si>
  <si>
    <t>Huyen Trung Khanh</t>
  </si>
  <si>
    <t>0021670</t>
  </si>
  <si>
    <t>ธ. กรุงเทพ จำกัด (มหาชน) สาขา บิ๊กซี ปาล์ม ไอล์แลนด์</t>
  </si>
  <si>
    <t>TP. Cao Bang</t>
  </si>
  <si>
    <t>0021671</t>
  </si>
  <si>
    <t>ธ. กรุงเทพ จำกัด (มหาชน) สาขา บิ๊กซี สุขสวัสดิ์</t>
  </si>
  <si>
    <t>Huyen dao Hoang Sa</t>
  </si>
  <si>
    <t>0021672</t>
  </si>
  <si>
    <t>ธ. กรุงเทพ จำกัด (มหาชน) สาขา บิ๊กซี มหาชัย</t>
  </si>
  <si>
    <t>Huyen Hoa Vang</t>
  </si>
  <si>
    <t>0021673</t>
  </si>
  <si>
    <t>ธ. กรุงเทพ จำกัด (มหาชน) สาขา เทสโก้ โลตัส กระทุ่มแบน</t>
  </si>
  <si>
    <t>Quan Cam Le</t>
  </si>
  <si>
    <t>0021674</t>
  </si>
  <si>
    <t>ธ. กรุงเทพ จำกัด (มหาชน) สาขา พุทธสาคร</t>
  </si>
  <si>
    <t>Quan Hai Chau</t>
  </si>
  <si>
    <t>0021675</t>
  </si>
  <si>
    <t>ธ. กรุงเทพ จำกัด (มหาชน) สาขา อัสสัมชัญ พระราม 2</t>
  </si>
  <si>
    <t>Quan Lien Chieu</t>
  </si>
  <si>
    <t>0021676</t>
  </si>
  <si>
    <t>ธ. กรุงเทพ จำกัด (มหาชน) สาขา เทสโก้ โลตัส มหาชัย 2</t>
  </si>
  <si>
    <t>Quan Ngu Hanh Son</t>
  </si>
  <si>
    <t>0021677</t>
  </si>
  <si>
    <t>ธ. กรุงเทพ จำกัด (มหาชน) สาขา เซ็นทรัล พลาซา มหาชัย</t>
  </si>
  <si>
    <t>Quan Son Tra</t>
  </si>
  <si>
    <t>0021682</t>
  </si>
  <si>
    <t>ธ. กรุงเทพ จำกัด (มหาชน) สาขา โรงพยาบาลรามาธิบดีจักรีนฤบดินทร์</t>
  </si>
  <si>
    <t>Quan Thanh Khe</t>
  </si>
  <si>
    <t>0021683</t>
  </si>
  <si>
    <t>ธ. กรุงเทพ จำกัด (มหาชน) สาขา เซ็นทรัล เวสต์เกต</t>
  </si>
  <si>
    <t>Huyen Buon Don</t>
  </si>
  <si>
    <t>0021684</t>
  </si>
  <si>
    <t>ธ. กรุงเทพ จำกัด (มหาชน) สาขา โรบินสัน ศรีสมาน</t>
  </si>
  <si>
    <t>Huyen Buon Ho</t>
  </si>
  <si>
    <t>0022041</t>
  </si>
  <si>
    <t>ธ. กรุงเทพ จำกัด (มหาชน) สาขา บิ๊กซี หางดง 2 เชียงใหม่</t>
  </si>
  <si>
    <t>Huyen Cu Kuin</t>
  </si>
  <si>
    <t>0022042</t>
  </si>
  <si>
    <t>ธ. กรุงเทพ จำกัด (มหาชน) สาขา สยามทีวี เชียงใหม่</t>
  </si>
  <si>
    <t>Huyen Cu M'gar</t>
  </si>
  <si>
    <t>0022043</t>
  </si>
  <si>
    <t>ธ. กรุงเทพ จำกัด (มหาชน) สาขา มหาวิทยาลัยราชภัฏ เชียงใหม่</t>
  </si>
  <si>
    <t>Huyen Ea H'leo</t>
  </si>
  <si>
    <t>0022044</t>
  </si>
  <si>
    <t>ธ. กรุงเทพ จำกัด (มหาชน) สาขา ไชยปราการ เชียงใหม่</t>
  </si>
  <si>
    <t>Huyen Ea Kar</t>
  </si>
  <si>
    <t>0022045</t>
  </si>
  <si>
    <t>ธ. กรุงเทพ จำกัด (มหาชน) สาขา เดอะ ฮาร์เบอร์ เชียงใหม่</t>
  </si>
  <si>
    <t>Huyen Ea Sup</t>
  </si>
  <si>
    <t>0022046</t>
  </si>
  <si>
    <t>ธ. กรุงเทพ จำกัด (มหาชน) สาขา ตลาดแม่เหียะ เชียงใหม่</t>
  </si>
  <si>
    <t>Huyen Krong Ana</t>
  </si>
  <si>
    <t>0022047</t>
  </si>
  <si>
    <t>ธ. กรุงเทพ จำกัด (มหาชน) สาขา พรอมเมนาดา เชียงใหม่</t>
  </si>
  <si>
    <t>Huyen Krong Bong</t>
  </si>
  <si>
    <t>0022048</t>
  </si>
  <si>
    <t>ธ. กรุงเทพ จำกัด (มหาชน) สาขา เทสโก้ โลตัส รวมโชค เชียงใหม่</t>
  </si>
  <si>
    <t>Huyen Krong Buk</t>
  </si>
  <si>
    <t>0022049</t>
  </si>
  <si>
    <t>ธ. กรุงเทพ จำกัด (มหาชน) สาขา เซ็นทรัล เฟสติวัล เชียงใหม่</t>
  </si>
  <si>
    <t>Huyen Krong Nang</t>
  </si>
  <si>
    <t>0022050</t>
  </si>
  <si>
    <t>ธ. กรุงเทพ จำกัด (มหาชน) สาขา บุญถาวร เชียงใหม่</t>
  </si>
  <si>
    <t>Huyen Krong Pac</t>
  </si>
  <si>
    <t>0022067</t>
  </si>
  <si>
    <t>ธ. กรุงเทพ จำกัด (มหาชน) สาขา เซ็นทรัล พลาซา เชียงราย</t>
  </si>
  <si>
    <t>Huyen Lak</t>
  </si>
  <si>
    <t>0022068</t>
  </si>
  <si>
    <t>ธ. กรุงเทพ จำกัด (มหาชน) สาขา เทสโก้ โลตัส เชียงของ</t>
  </si>
  <si>
    <t>Huyen M'Drak</t>
  </si>
  <si>
    <t>0022075</t>
  </si>
  <si>
    <t>ธ. กรุงเทพ จำกัด (มหาชน) สาขา เทสโก้ โลตัส ตาก</t>
  </si>
  <si>
    <t>TP. Buon Ma Thuot</t>
  </si>
  <si>
    <t>0022076</t>
  </si>
  <si>
    <t>ธ. กรุงเทพ จำกัด (มหาชน) สาขา เทสโก้ โลตัส เวียงสา</t>
  </si>
  <si>
    <t>Huyen Cu Jut</t>
  </si>
  <si>
    <t>0022077</t>
  </si>
  <si>
    <t>ธ. กรุงเทพ จำกัด (มหาชน) สาขา หน้ามหาวิทยาลัยพะเยา</t>
  </si>
  <si>
    <t>Huyen Dak Glong</t>
  </si>
  <si>
    <t>0022082</t>
  </si>
  <si>
    <t>ธ. กรุงเทพ จำกัด (มหาชน) สาขา เซ็นทรัล พลาซ่า พิษณุโลก</t>
  </si>
  <si>
    <t>Huyen Dak Mil</t>
  </si>
  <si>
    <t>0022083</t>
  </si>
  <si>
    <t>ธ. กรุงเทพ จำกัด (มหาชน) สาขา เทสโก้โลตัสพิษณุโลกท่าทอง</t>
  </si>
  <si>
    <t>Huyen Dak R'lap</t>
  </si>
  <si>
    <t>0022084</t>
  </si>
  <si>
    <t>ธ. กรุงเทพ จำกัด (มหาชน) สาขา สี่แยกอินโดจีน พิษณุโลก</t>
  </si>
  <si>
    <t>Huyen Dak Song</t>
  </si>
  <si>
    <t>0022095</t>
  </si>
  <si>
    <t>ธ. กรุงเทพ จำกัด (มหาชน) สาขา เทสโก้ โลตัส ห้างฉัตร</t>
  </si>
  <si>
    <t>Huyen Krong No</t>
  </si>
  <si>
    <t>0022096</t>
  </si>
  <si>
    <t>ธ. กรุงเทพ จำกัด (มหาชน) สาขา เทสโก้ โลตัส ปงสนุก</t>
  </si>
  <si>
    <t>Huyen Tuy Duc</t>
  </si>
  <si>
    <t>0022097</t>
  </si>
  <si>
    <t>ธ. กรุงเทพ จำกัด (มหาชน) สาขา เซ็นทรัล พลาซา ลำปาง</t>
  </si>
  <si>
    <t>TP. Gia Nghia</t>
  </si>
  <si>
    <t>0022099</t>
  </si>
  <si>
    <t>ธ. กรุงเทพ จำกัด (มหาชน) สาขา ตลาดลำพูน จตุจักร</t>
  </si>
  <si>
    <t>Huyen Dien Bien</t>
  </si>
  <si>
    <t>0022144</t>
  </si>
  <si>
    <t>ธ. กรุงเทพ จำกัด (มหาชน) สาขา เทสโก้ โลตัส เมืองสุโขทัย</t>
  </si>
  <si>
    <t>Huyen Dien Bien Dong</t>
  </si>
  <si>
    <t>0022146</t>
  </si>
  <si>
    <t>ธ. กรุงเทพ จำกัด (มหาชน) สาขา พัฒนานิคม</t>
  </si>
  <si>
    <t>Huyen Muong Ang</t>
  </si>
  <si>
    <t>0022147</t>
  </si>
  <si>
    <t>ธ. กรุงเทพ จำกัด (มหาชน) สาขา ถนนเจษฎาบดินทร์</t>
  </si>
  <si>
    <t>Huyen Muong Cha</t>
  </si>
  <si>
    <t>0022151</t>
  </si>
  <si>
    <t>ธ. กรุงเทพ จำกัด (มหาชน) สาขา บิ๊กซี จันทบุรี</t>
  </si>
  <si>
    <t>Huyen Muong Lay</t>
  </si>
  <si>
    <t>0022156</t>
  </si>
  <si>
    <t>ธ. กรุงเทพ จำกัด (มหาชน) สาขา เซ็นทรัลทรัลเฟสติวัล พัทยาบีช</t>
  </si>
  <si>
    <t>Huyen Muong Nhe</t>
  </si>
  <si>
    <t>0022157</t>
  </si>
  <si>
    <t>ธ. กรุงเทพ จำกัด (มหาชน) สาขา เทสโก้ โลตัส อมตะนคร ชลบุรี</t>
  </si>
  <si>
    <t>Huyen Nam Po</t>
  </si>
  <si>
    <t>0022158</t>
  </si>
  <si>
    <t>ธ. กรุงเทพ จำกัด (มหาชน) สาขา เทสโก้ โลตัส บ่อวิน</t>
  </si>
  <si>
    <t>Huyen Tua Chua</t>
  </si>
  <si>
    <t>0022159</t>
  </si>
  <si>
    <t>ธ. กรุงเทพ จำกัด (มหาชน) สาขา เซ็นทรัล พลาซ่า ชลบุรี</t>
  </si>
  <si>
    <t>Huyen Tuan Giao</t>
  </si>
  <si>
    <t>0022161</t>
  </si>
  <si>
    <t>ธ. กรุงเทพ จำกัด (มหาชน) สาขา วอล์คกิ้ง สตรีท พัทยา</t>
  </si>
  <si>
    <t>TP. Dien Bien Phu</t>
  </si>
  <si>
    <t>0022162</t>
  </si>
  <si>
    <t>ธ. กรุงเทพ จำกัด (มหาชน) สาขา ซอยบัวขาว พัทยา</t>
  </si>
  <si>
    <t>Huyen Cam My</t>
  </si>
  <si>
    <t>0022163</t>
  </si>
  <si>
    <t>ธ. กรุงเทพ จำกัด (มหาชน) สาขา บ่อทอง ชลบุรี</t>
  </si>
  <si>
    <t>Huyen Dinh Quan</t>
  </si>
  <si>
    <t>0022164</t>
  </si>
  <si>
    <t>ธ. กรุงเทพ จำกัด (มหาชน) สาขา ซอยเนินพลับหวาน</t>
  </si>
  <si>
    <t>Huyen Long Thanh</t>
  </si>
  <si>
    <t>0022165</t>
  </si>
  <si>
    <t>ธ. กรุงเทพ จำกัด (มหาชน) สาขา ถนนเทพประสิทธิ์ พัทยา</t>
  </si>
  <si>
    <t>Huyen Nhon Trach</t>
  </si>
  <si>
    <t>0022166</t>
  </si>
  <si>
    <t>ธ. กรุงเทพ จำกัด (มหาชน) สาขา สยามคันทรีคลับ</t>
  </si>
  <si>
    <t>Huyen Tan Phu</t>
  </si>
  <si>
    <t>0022167</t>
  </si>
  <si>
    <t>ธ. กรุงเทพ จำกัด (มหาชน) สาขา แหลมฉบัง ศรีราชา</t>
  </si>
  <si>
    <t>Huyen Thong Nhat</t>
  </si>
  <si>
    <t>0022168</t>
  </si>
  <si>
    <t>ธ. กรุงเทพ จำกัด (มหาชน) สาขา บ้านเก่า ชลบุรี</t>
  </si>
  <si>
    <t>Huyen Trang Bom</t>
  </si>
  <si>
    <t>0022169</t>
  </si>
  <si>
    <t>ธ. กรุงเทพ จำกัด (มหาชน) สาขา ศรีราชา 2</t>
  </si>
  <si>
    <t>Huyen Vinh Cuu</t>
  </si>
  <si>
    <t>0022171</t>
  </si>
  <si>
    <t>ธ. กรุงเทพ จำกัด (มหาชน) สาขา พัทยากลาง</t>
  </si>
  <si>
    <t>Huyen Xuan Loc</t>
  </si>
  <si>
    <t>0022172</t>
  </si>
  <si>
    <t>ธ. กรุงเทพ จำกัด (มหาชน) สาขา อาทาระ ศรีราชา</t>
  </si>
  <si>
    <t>TP. Bien Hoa</t>
  </si>
  <si>
    <t>0022177</t>
  </si>
  <si>
    <t>ธ. กรุงเทพ จำกัด (มหาชน) สาขา เทสโก้ โลตัส ตราด</t>
  </si>
  <si>
    <t>TP. Long Khanh</t>
  </si>
  <si>
    <t>0022181</t>
  </si>
  <si>
    <t>ธ. กรุงเทพ จำกัด (มหาชน) สาขา นิคมอุตสาหกรรมเหมราช ระยอง</t>
  </si>
  <si>
    <t>Huyen Cao Lanh</t>
  </si>
  <si>
    <t>0022182</t>
  </si>
  <si>
    <t>ธ. กรุงเทพ จำกัด (มหาชน) สาขา เซ็นทรัล พลาซ่า ระยอง</t>
  </si>
  <si>
    <t>0022188</t>
  </si>
  <si>
    <t>ธ. กรุงเทพ จำกัด (มหาชน) สาขา บิ๊กซี สมุทรสงคราม</t>
  </si>
  <si>
    <t>Huyen Hong Ngu</t>
  </si>
  <si>
    <t>0022191</t>
  </si>
  <si>
    <t>ธ. กรุงเทพ จำกัด (มหาชน) สาขา บ่อพลอย-นิวกรุงไทย</t>
  </si>
  <si>
    <t>Huyen Lai Vung</t>
  </si>
  <si>
    <t>0022192</t>
  </si>
  <si>
    <t>ธ. กรุงเทพ จำกัด (มหาชน) สาขา โรบินสัน กาญจนบุรี</t>
  </si>
  <si>
    <t>Huyen Lap Vo</t>
  </si>
  <si>
    <t>0022195</t>
  </si>
  <si>
    <t>ธ. กรุงเทพ จำกัด (มหาชน) สาขา บิ๊กซี กำแพงเพชร</t>
  </si>
  <si>
    <t>Huyen Tam Nong</t>
  </si>
  <si>
    <t>0022243</t>
  </si>
  <si>
    <t>ธ. กรุงเทพ จำกัด (มหาชน) สาขา เกษตรไทยอุตสาหกรรมน้ำตาล</t>
  </si>
  <si>
    <t>Huyen Tan Hong</t>
  </si>
  <si>
    <t>0022244</t>
  </si>
  <si>
    <t>ธ. กรุงเทพ จำกัด (มหาชน) สาขา เทสโก้ โลตัส นครสวรรค์ 2</t>
  </si>
  <si>
    <t>Huyen Thanh Binh</t>
  </si>
  <si>
    <t>0022250</t>
  </si>
  <si>
    <t>ธ. กรุงเทพ จำกัด (มหาชน) สาขา ตลาดศรีเมือง ราชบุรี</t>
  </si>
  <si>
    <t>Huyen Thap Muoi</t>
  </si>
  <si>
    <t>0022251</t>
  </si>
  <si>
    <t>ธ. กรุงเทพ จำกัด (มหาชน) สาขา ถนนสมบูรณ์กุล ราชบุรี</t>
  </si>
  <si>
    <t>TP. Cao Lanh</t>
  </si>
  <si>
    <t>0022260</t>
  </si>
  <si>
    <t>ธ. กรุงเทพ จำกัด (มหาชน) สาขา บิ๊กซี ลพบุรี 2</t>
  </si>
  <si>
    <t>TP. Hong Ngu</t>
  </si>
  <si>
    <t>0022263</t>
  </si>
  <si>
    <t>ธ. กรุงเทพ จำกัด (มหาชน) สาขา โรบินสัน สุพรรณบุรี</t>
  </si>
  <si>
    <t>TP. Sa Dec</t>
  </si>
  <si>
    <t>0022264</t>
  </si>
  <si>
    <t>ธ. กรุงเทพ จำกัด (มหาชน) สาขา บิ๊กซี สุพรรณบุรี</t>
  </si>
  <si>
    <t>Huyen An Khe</t>
  </si>
  <si>
    <t>0022265</t>
  </si>
  <si>
    <t>ธ. กรุงเทพ จำกัด (มหาชน) สาขา ด่านช้าง สุพรรณบุรี</t>
  </si>
  <si>
    <t>Huyen Ayun Pa</t>
  </si>
  <si>
    <t>0022268</t>
  </si>
  <si>
    <t>ธ. กรุงเทพ จำกัด (มหาชน) สาขา บิ๊กซี อ่างทอง</t>
  </si>
  <si>
    <t>Huyen Chu Pah</t>
  </si>
  <si>
    <t>0022277</t>
  </si>
  <si>
    <t>ธ. กรุงเทพ จำกัด (มหาชน) สาขา บ้านนา</t>
  </si>
  <si>
    <t>Huyen Chu Prong</t>
  </si>
  <si>
    <t>0022278</t>
  </si>
  <si>
    <t>ธ. กรุงเทพ จำกัด (มหาชน) สาขา เทสโก้ โลตัส นครนายก</t>
  </si>
  <si>
    <t>Huyen Chu Puh</t>
  </si>
  <si>
    <t>0022279</t>
  </si>
  <si>
    <t>ธ. กรุงเทพ จำกัด (มหาชน) สาขา เทอร์มินอล 21 โคราช</t>
  </si>
  <si>
    <t>Huyen Chu Se</t>
  </si>
  <si>
    <t>0022280</t>
  </si>
  <si>
    <t>ธ. กรุงเทพ จำกัด (มหาชน) สาขา เซ็นทรัล พลาซา นครราชสีมา</t>
  </si>
  <si>
    <t>Huyen Dak Doa</t>
  </si>
  <si>
    <t>0022287</t>
  </si>
  <si>
    <t>ธ. กรุงเทพ จำกัด (มหาชน) สาขา โรบินสัน บุรีรัมย์</t>
  </si>
  <si>
    <t>Huyen Dak Po</t>
  </si>
  <si>
    <t>0022341</t>
  </si>
  <si>
    <t>ธ. กรุงเทพ จำกัด (มหาชน) สาขา เทสโก้ โลตัส กบินทร์บุรี</t>
  </si>
  <si>
    <t>Huyen Duc Co</t>
  </si>
  <si>
    <t>0022342</t>
  </si>
  <si>
    <t>ธ. กรุงเทพ จำกัด (มหาชน) สาขา เทสโก้ โลตัส ปราจีนบุรี</t>
  </si>
  <si>
    <t>Huyen Ia Grai</t>
  </si>
  <si>
    <t>0022350</t>
  </si>
  <si>
    <t>ธ. กรุงเทพ จำกัด (มหาชน) สาขา โรบินสัน สระบุรี</t>
  </si>
  <si>
    <t>Huyen Ia Pa</t>
  </si>
  <si>
    <t>0022351</t>
  </si>
  <si>
    <t>ธ. กรุงเทพ จำกัด (มหาชน) สาขา เขตอุตสาหกรรมเหมราช สระบุรี</t>
  </si>
  <si>
    <t>Huyen Kbang</t>
  </si>
  <si>
    <t>0022353</t>
  </si>
  <si>
    <t>ธ. กรุงเทพ จำกัด (มหาชน) สาขา โรบินสัน สุรินทร์</t>
  </si>
  <si>
    <t>Huyen Kong Chro</t>
  </si>
  <si>
    <t>0022359</t>
  </si>
  <si>
    <t>ธ. กรุงเทพ จำกัด (มหาชน) สาขา สุนีย์แกรนด์ซิตี้มอลล์</t>
  </si>
  <si>
    <t>Huyen Krong Pa</t>
  </si>
  <si>
    <t>0022360</t>
  </si>
  <si>
    <t>ธ. กรุงเทพ จำกัด (มหาชน) สาขา เซ็นทรัล พลาซา อุบลราชธานี</t>
  </si>
  <si>
    <t>Huyen Mang Yang</t>
  </si>
  <si>
    <t>0022366</t>
  </si>
  <si>
    <t>ธ. กรุงเทพ จำกัด (มหาชน) สาขา เซ็นทรัล พลาซ่า ขอนแก่น</t>
  </si>
  <si>
    <t>Huyen Phu Thien</t>
  </si>
  <si>
    <t>0022367</t>
  </si>
  <si>
    <t>ธ. กรุงเทพ จำกัด (มหาชน) สาขา เทสโก้ โลตัส ชุมแพ</t>
  </si>
  <si>
    <t>TP. Pleiku</t>
  </si>
  <si>
    <t>0022368</t>
  </si>
  <si>
    <t>ธ. กรุงเทพ จำกัด (มหาชน) สาขา เทสโก้ โลตัส ขอนแก่น 2</t>
  </si>
  <si>
    <t>Huyen Bac Me</t>
  </si>
  <si>
    <t>0022369</t>
  </si>
  <si>
    <t>ธ. กรุงเทพ จำกัด (มหาชน) สาขา เทสโก้ โลตัส หนองสองห้อง</t>
  </si>
  <si>
    <t>Huyen Bac Quang</t>
  </si>
  <si>
    <t>0022370</t>
  </si>
  <si>
    <t>ธ. กรุงเทพ จำกัด (มหาชน) สาขา หน้าพิพิธภัณฑ์ขอนแก่น</t>
  </si>
  <si>
    <t>Huyen Dong Van</t>
  </si>
  <si>
    <t>0022373</t>
  </si>
  <si>
    <t>ธ. กรุงเทพ จำกัด (มหาชน) สาขา แก้งคร้อ</t>
  </si>
  <si>
    <t>Huyen Hoang Su Phi</t>
  </si>
  <si>
    <t>0022375</t>
  </si>
  <si>
    <t>ธ. กรุงเทพ จำกัด (มหาชน) สาขา บิ๊กซี นครพนม</t>
  </si>
  <si>
    <t>Huyen Meo Vac</t>
  </si>
  <si>
    <t>0022378</t>
  </si>
  <si>
    <t>ธ. กรุงเทพ จำกัด (มหาชน) สาขา บิ๊กซี หล่มสัก</t>
  </si>
  <si>
    <t>Huyen Quan Ba</t>
  </si>
  <si>
    <t>0022382</t>
  </si>
  <si>
    <t>ธ. กรุงเทพ จำกัด (มหาชน) สาขา เสริมไทย คอมเพล็กซ์ มหาสารคาม</t>
  </si>
  <si>
    <t>Huyen Quang Binh</t>
  </si>
  <si>
    <t>0022383</t>
  </si>
  <si>
    <t>ธ. กรุงเทพ จำกัด (มหาชน) สาขา โกสุมพิสัย มหาสารคาม</t>
  </si>
  <si>
    <t>Huyen Vi Xuyen</t>
  </si>
  <si>
    <t>0022384</t>
  </si>
  <si>
    <t>ธ. กรุงเทพ จำกัด (มหาชน) สาขา หน้ามหาวิทยาลัยมหาสารคาม</t>
  </si>
  <si>
    <t>Huyen Xin Man</t>
  </si>
  <si>
    <t>0022385</t>
  </si>
  <si>
    <t>ธ. กรุงเทพ จำกัด (มหาชน) สาขา บิ๊กซี มุกดาหาร</t>
  </si>
  <si>
    <t>Huyen Yen Minh</t>
  </si>
  <si>
    <t>0022386</t>
  </si>
  <si>
    <t>ธ. กรุงเทพ จำกัด (มหาชน) สาขา ศาลากลางจังหวัดร้อยเอ็ด</t>
  </si>
  <si>
    <t>TP. Ha Giang</t>
  </si>
  <si>
    <t>0022387</t>
  </si>
  <si>
    <t>ธ. กรุงเทพ จำกัด (มหาชน) สาขา เทสโก้ โลตัส เลย</t>
  </si>
  <si>
    <t>Huyen Binh Luc</t>
  </si>
  <si>
    <t>0022388</t>
  </si>
  <si>
    <t>ธ. กรุงเทพ จำกัด (มหาชน) สาขา เทสโก้ โลตัส ด่านซ้าย</t>
  </si>
  <si>
    <t>Huyen Duy Tien</t>
  </si>
  <si>
    <t>0022389</t>
  </si>
  <si>
    <t>ธ. กรุงเทพ จำกัด (มหาชน) สาขา โรบินสัน สกลนคร</t>
  </si>
  <si>
    <t>Huyen Kim Bang</t>
  </si>
  <si>
    <t>0022397</t>
  </si>
  <si>
    <t>ธ. กรุงเทพ จำกัด (มหาชน) สาขา ยูดี ทาวน์ อุดรธานี</t>
  </si>
  <si>
    <t>Huyen Ly Nhan</t>
  </si>
  <si>
    <t>0022398</t>
  </si>
  <si>
    <t>ธ. กรุงเทพ จำกัด (มหาชน) สาขา เซ็นทรัล พลาซ่า อุดรธานี</t>
  </si>
  <si>
    <t>Huyen Thanh Liem</t>
  </si>
  <si>
    <t>0022399</t>
  </si>
  <si>
    <t>ธ. กรุงเทพ จำกัด (มหาชน) สาขา บ้านดุง อุดรธานี</t>
  </si>
  <si>
    <t>TP. Phu Ly</t>
  </si>
  <si>
    <t>0022441</t>
  </si>
  <si>
    <t>ธ. กรุงเทพ จำกัด (มหาชน) สาขา บ้านผือ อุดรธานี</t>
  </si>
  <si>
    <t>Huyen Ba Vi</t>
  </si>
  <si>
    <t>0022442</t>
  </si>
  <si>
    <t>ธ. กรุงเทพ จำกัด (มหาชน) สาขา เทสโก้ โลตัส กุมภวาปี</t>
  </si>
  <si>
    <t>Huyen Chuong My</t>
  </si>
  <si>
    <t>0022443</t>
  </si>
  <si>
    <t>ธ. กรุงเทพ จำกัด (มหาชน) สาขา เซ็นทรัล พลาซา นครศรีธรรมราช</t>
  </si>
  <si>
    <t>Huyen Dan Phuong</t>
  </si>
  <si>
    <t>0022459</t>
  </si>
  <si>
    <t>ธ. กรุงเทพ จำกัด (มหาชน) สาขา ศาลากลางจังหวัดสงขลา</t>
  </si>
  <si>
    <t>Huyen Dong Anh</t>
  </si>
  <si>
    <t>0022461</t>
  </si>
  <si>
    <t>ธ. กรุงเทพ จำกัด (มหาชน) สาขา บิ๊กซี หาดใหญ่</t>
  </si>
  <si>
    <t>Huyen Gia Lam</t>
  </si>
  <si>
    <t>0022462</t>
  </si>
  <si>
    <t>ธ. กรุงเทพ จำกัด (มหาชน) สาขา รัถการ (ตลาดสด)</t>
  </si>
  <si>
    <t>Huyen Hoai Duc</t>
  </si>
  <si>
    <t>0022463</t>
  </si>
  <si>
    <t>ธ. กรุงเทพ จำกัด (มหาชน) สาขา ถนนปุณณกัณฑ์ หาดใหญ่</t>
  </si>
  <si>
    <t>Huyen Me Linh</t>
  </si>
  <si>
    <t>0022464</t>
  </si>
  <si>
    <t>ธ. กรุงเทพ จำกัด (มหาชน) สาขา กาญจนวนิช-สงขลา</t>
  </si>
  <si>
    <t>Huyen My Duc</t>
  </si>
  <si>
    <t>0022465</t>
  </si>
  <si>
    <t>ธ. กรุงเทพ จำกัด (มหาชน) สาขา เทสโก้ โลตัส สงขลา</t>
  </si>
  <si>
    <t>Huyen Phu Xuyen</t>
  </si>
  <si>
    <t>0022466</t>
  </si>
  <si>
    <t>ธ. กรุงเทพ จำกัด (มหาชน) สาขา เซ็นทรัล เฟสติวัล หาดใหญ่</t>
  </si>
  <si>
    <t>Huyen Phuc Tho</t>
  </si>
  <si>
    <t>0022470</t>
  </si>
  <si>
    <t>ธ. กรุงเทพ จำกัด (มหาชน) สาขา บิ๊กซี สตูล</t>
  </si>
  <si>
    <t>Huyen Quoc Oai</t>
  </si>
  <si>
    <t>0022477</t>
  </si>
  <si>
    <t>ธ. กรุงเทพ จำกัด (มหาชน) สาขา โอเชี่ยน ช็อปปิ้งมอลล์ ชุมพร</t>
  </si>
  <si>
    <t>Huyen Soc Son</t>
  </si>
  <si>
    <t>0022478</t>
  </si>
  <si>
    <t>ธ. กรุงเทพ จำกัด (มหาชน) สาขา เทสโก้ โลตัส ชุมพร</t>
  </si>
  <si>
    <t>Huyen Son Tay</t>
  </si>
  <si>
    <t>0022482</t>
  </si>
  <si>
    <t>ธ. กรุงเทพ จำกัด (มหาชน) สาขา โรบินสัน ตรัง</t>
  </si>
  <si>
    <t>Huyen Thach That</t>
  </si>
  <si>
    <t>0022483</t>
  </si>
  <si>
    <t>ธ. กรุงเทพ จำกัด (มหาชน) สาขา โฮมโปร ตรัง</t>
  </si>
  <si>
    <t>Huyen Thanh Oai</t>
  </si>
  <si>
    <t>0022484</t>
  </si>
  <si>
    <t>ธ. กรุงเทพ จำกัด (มหาชน) สาขา ย่านตาขาว ตรัง</t>
  </si>
  <si>
    <t>Huyen Thanh Tri</t>
  </si>
  <si>
    <t>0022487</t>
  </si>
  <si>
    <t>ธ. กรุงเทพ จำกัด (มหาชน) สาขา เทสโก้ โลตัส ประจวบคีรีขันธ์</t>
  </si>
  <si>
    <t>Huyen Thuong Tin</t>
  </si>
  <si>
    <t>0022488</t>
  </si>
  <si>
    <t>ธ. กรุงเทพ จำกัด (มหาชน) สาขา บุญถาวร หัวหิน</t>
  </si>
  <si>
    <t>Huyen Ung Hoa</t>
  </si>
  <si>
    <t>0022489</t>
  </si>
  <si>
    <t>ธ. กรุงเทพ จำกัด (มหาชน) สาขา บลูพอร์ต หัวหิน</t>
  </si>
  <si>
    <t>Quan Ba Dinh</t>
  </si>
  <si>
    <t>0022495</t>
  </si>
  <si>
    <t>ธ. กรุงเทพ จำกัด (มหาชน) สาขา เขาหลัก พังงา</t>
  </si>
  <si>
    <t>Quan Bac Tu Liem</t>
  </si>
  <si>
    <t>0022498</t>
  </si>
  <si>
    <t>ธ. กรุงเทพ จำกัด (มหาชน) สาขา เทสโก้ โลตัส เพชรบุรี</t>
  </si>
  <si>
    <t>Quan Cau Giay</t>
  </si>
  <si>
    <t>0022499</t>
  </si>
  <si>
    <t>ธ. กรุงเทพ จำกัด (มหาชน) สาขา เทสโก้ โลตัส ท่ายาง</t>
  </si>
  <si>
    <t>Quan Dong Da</t>
  </si>
  <si>
    <t>0022733</t>
  </si>
  <si>
    <t>ธ. กรุงเทพ จำกัด (มหาชน) สาขา กมลา ภูเก็ต</t>
  </si>
  <si>
    <t>Quan Ha Dong</t>
  </si>
  <si>
    <t>0022734</t>
  </si>
  <si>
    <t>ธ. กรุงเทพ จำกัด (มหาชน) สาขา เทสโก้ โลตัส ถลาง</t>
  </si>
  <si>
    <t>Quan Hai Ba Trung</t>
  </si>
  <si>
    <t>0022735</t>
  </si>
  <si>
    <t>ธ. กรุงเทพ จำกัด (มหาชน) สาขา ป่าตอง 2 (ถนนสาย ก.)</t>
  </si>
  <si>
    <t>Quan Hoan Kiem</t>
  </si>
  <si>
    <t>0022736</t>
  </si>
  <si>
    <t>ธ. กรุงเทพ จำกัด (มหาชน) สาขา บางลามอลล์ ภูเก็ต</t>
  </si>
  <si>
    <t>Quan Hoang Mai</t>
  </si>
  <si>
    <t>0022737</t>
  </si>
  <si>
    <t>ธ. กรุงเทพ จำกัด (มหาชน) สาขา เชิงทะเล</t>
  </si>
  <si>
    <t>Quan Long Bien</t>
  </si>
  <si>
    <t>0022739</t>
  </si>
  <si>
    <t>ธ. กรุงเทพ จำกัด (มหาชน) สาขา ถนนเทพกษัตรีย์ 2 (สามแยกสะปำ)</t>
  </si>
  <si>
    <t>Quan Nam Tu Liem</t>
  </si>
  <si>
    <t>0022740</t>
  </si>
  <si>
    <t>ธ. กรุงเทพ จำกัด (มหาชน) สาขา กะทู้ ภูเก็ต</t>
  </si>
  <si>
    <t>Quan Tay Ho</t>
  </si>
  <si>
    <t>0022741</t>
  </si>
  <si>
    <t>ธ. กรุงเทพ จำกัด (มหาชน) สาขา เซ็นทรัล ภูเก็ต ฟลอเรสต้า</t>
  </si>
  <si>
    <t>Quan Thanh Xuan</t>
  </si>
  <si>
    <t>0022742</t>
  </si>
  <si>
    <t>ธ. กรุงเทพ จำกัด (มหาชน) สาขา ท่าอากาศยานนานาชาติ ภูเก็ต</t>
  </si>
  <si>
    <t>Huyen Cam Xuyen</t>
  </si>
  <si>
    <t>0022746</t>
  </si>
  <si>
    <t>ธ. กรุงเทพ จำกัด (มหาชน) สาขา เซ็นทรัลพลาซา สุราษฎร์ธานี</t>
  </si>
  <si>
    <t>Huyen Can Loc</t>
  </si>
  <si>
    <t>0022747</t>
  </si>
  <si>
    <t>ธ. กรุงเทพ จำกัด (มหาชน) สาขา เซ็นทรัล เฟสติวัล สมุย</t>
  </si>
  <si>
    <t>Huyen Duc Tho</t>
  </si>
  <si>
    <t>0022748</t>
  </si>
  <si>
    <t>ธ. กรุงเทพ จำกัด (มหาชน) สาขา ถนนกาญจนวิถี</t>
  </si>
  <si>
    <t>Huyen Hong Linh</t>
  </si>
  <si>
    <t>0022749</t>
  </si>
  <si>
    <t>ธ. กรุงเทพ จำกัด (มหาชน) สาขา บุญถาวร สุราษฎร์ธานี</t>
  </si>
  <si>
    <t>Huyen Huong Khe</t>
  </si>
  <si>
    <t>0022763</t>
  </si>
  <si>
    <t>ธ. กรุงเทพ จำกัด (มหาชน) สาขา บิ๊กซี อำนาจเจริญ</t>
  </si>
  <si>
    <t>Huyen Huong Son</t>
  </si>
  <si>
    <t>0022764</t>
  </si>
  <si>
    <t>ธ. กรุงเทพ จำกัด (มหาชน) สาขา เทสโก้ โลตัส หนองบัวลำภู</t>
  </si>
  <si>
    <t>Huyen Ky Anh</t>
  </si>
  <si>
    <t>0022765</t>
  </si>
  <si>
    <t>ธ. กรุงเทพ จำกัด (มหาชน) สาขา เทสโก้ โลตัส อรัญประเทศ</t>
  </si>
  <si>
    <t>Huyen Loc Ha</t>
  </si>
  <si>
    <t>0022766</t>
  </si>
  <si>
    <t>ธ. กรุงเทพ จำกัด (มหาชน) สาขา ตลาดโรงเกลือ</t>
  </si>
  <si>
    <t>Huyen Nghi Xuan</t>
  </si>
  <si>
    <t>0022767</t>
  </si>
  <si>
    <t>ธ. กรุงเทพ จำกัด (มหาชน) สาขา เทสโก้ โลตัส วัฒนานคร</t>
  </si>
  <si>
    <t>Huyen Thach Ha</t>
  </si>
  <si>
    <t>0022768</t>
  </si>
  <si>
    <t>ธ. กรุงเทพ จำกัด (มหาชน) สาขา เทสโก้ โลตัส บึงกาฬ</t>
  </si>
  <si>
    <t>Huyen Vu Quang</t>
  </si>
  <si>
    <t>0022770</t>
  </si>
  <si>
    <t>ธ. กรุงเทพ จำกัด (มหาชน) สาขา บึงกาฬ</t>
  </si>
  <si>
    <t>TP. Ha Tinh</t>
  </si>
  <si>
    <t>0022774</t>
  </si>
  <si>
    <t>ธ. กรุงเทพ จำกัด (มหาชน) สาขา เสลภูมิ</t>
  </si>
  <si>
    <t>Huyen Binh Giang</t>
  </si>
  <si>
    <t>0022780</t>
  </si>
  <si>
    <t>ธ. กรุงเทพ จำกัด (มหาชน) สาขา ปัว น่าน</t>
  </si>
  <si>
    <t>Huyen Cam Giang</t>
  </si>
  <si>
    <t>0022781</t>
  </si>
  <si>
    <t>ธ. กรุงเทพ จำกัด (มหาชน) สาขา บิ๊กซี น่าน</t>
  </si>
  <si>
    <t>Huyen Gia Loc</t>
  </si>
  <si>
    <t>0022787</t>
  </si>
  <si>
    <t>ธ. กรุงเทพ จำกัด (มหาชน) สาขา เทสโก้ โลตัส แม่สอด-ตาก</t>
  </si>
  <si>
    <t>Huyen Kim Thanh</t>
  </si>
  <si>
    <t>0022789</t>
  </si>
  <si>
    <t>ธ. กรุงเทพ จำกัด (มหาชน) สาขา บุญถาวร อุดรธานี</t>
  </si>
  <si>
    <t>Huyen Kinh Mon</t>
  </si>
  <si>
    <t>0022792</t>
  </si>
  <si>
    <t>ธ. กรุงเทพ จำกัด (มหาชน) สาขา โรบินสัน ร้อยเอ็ด</t>
  </si>
  <si>
    <t>Huyen Nam Sach</t>
  </si>
  <si>
    <t>0022794</t>
  </si>
  <si>
    <t>ธ. กรุงเทพ จำกัด (มหาชน) สาขา สาขาบิ๊กซี ศรีมหาโพธิ</t>
  </si>
  <si>
    <t>Huyen Ninh Giang</t>
  </si>
  <si>
    <t>0022796</t>
  </si>
  <si>
    <t>ธ. กรุงเทพ จำกัด (มหาชน) สาขา โรบินสัน ปราจีนบุรี</t>
  </si>
  <si>
    <t>Huyen Thanh Ha</t>
  </si>
  <si>
    <t>0040001</t>
  </si>
  <si>
    <t>ธ. กสิกรไทย จำกัด (มหาชน) สาขา สำนักสีลม</t>
  </si>
  <si>
    <t>Huyen Thanh Mien</t>
  </si>
  <si>
    <t>0040002</t>
  </si>
  <si>
    <t>ธ. กสิกรไทย จำกัด (มหาชน) สาขา ตลาดพลู</t>
  </si>
  <si>
    <t>Huyen Tu Ky</t>
  </si>
  <si>
    <t>0040003</t>
  </si>
  <si>
    <t>ธ. กสิกรไทย จำกัด (มหาชน) สาขา สุขุมวิท 33 (บางกะปิ)</t>
  </si>
  <si>
    <t>TP. Chi Linh</t>
  </si>
  <si>
    <t>0040004</t>
  </si>
  <si>
    <t>ธ. กสิกรไทย จำกัด (มหาชน) สาขา เสาชิงช้า</t>
  </si>
  <si>
    <t>TP. Hai Duong</t>
  </si>
  <si>
    <t>0040005</t>
  </si>
  <si>
    <t>ธ. กสิกรไทย จำกัด (มหาชน) สาขา ประตูน้ำปทุมวัน</t>
  </si>
  <si>
    <t>Huyen An Duong</t>
  </si>
  <si>
    <t>0040006</t>
  </si>
  <si>
    <t>ธ. กสิกรไทย จำกัด (มหาชน) สาขา ธนบุรี</t>
  </si>
  <si>
    <t>0040007</t>
  </si>
  <si>
    <t>ธ. กสิกรไทย จำกัด (มหาชน) สาขา บางกระบือ</t>
  </si>
  <si>
    <t>Huyen dao Bach Long Vi</t>
  </si>
  <si>
    <t>0040008</t>
  </si>
  <si>
    <t>ธ. กสิกรไทย จำกัด (มหาชน) สาขา บางลำภู</t>
  </si>
  <si>
    <t>Huyen dao Cat Hai</t>
  </si>
  <si>
    <t>0040009</t>
  </si>
  <si>
    <t>ธ. กสิกรไทย จำกัด (มหาชน) สาขา ยศเส</t>
  </si>
  <si>
    <t>Huyen Kien Thuy</t>
  </si>
  <si>
    <t>0040010</t>
  </si>
  <si>
    <t>ธ. กสิกรไทย จำกัด (มหาชน) สาขา พระโขนง</t>
  </si>
  <si>
    <t>Huyen Thuy Nguyen</t>
  </si>
  <si>
    <t>0040011</t>
  </si>
  <si>
    <t>ธ. กสิกรไทย จำกัด (มหาชน) สาขา สะพานเหลือง</t>
  </si>
  <si>
    <t>Huyen Tien Lang</t>
  </si>
  <si>
    <t>0040012</t>
  </si>
  <si>
    <t>ธ. กสิกรไทย จำกัด (มหาชน) สาขา มหาพฤฒาราม</t>
  </si>
  <si>
    <t>Huyen Vinh Bao</t>
  </si>
  <si>
    <t>0040013</t>
  </si>
  <si>
    <t>ธ. กสิกรไทย จำกัด (มหาชน) สาขา ยานนาวา</t>
  </si>
  <si>
    <t>Quan Do Son</t>
  </si>
  <si>
    <t>0040014</t>
  </si>
  <si>
    <t>ธ. กสิกรไทย จำกัด (มหาชน) สาขา บางรัก</t>
  </si>
  <si>
    <t>Quan Duong Kinh</t>
  </si>
  <si>
    <t>0040015</t>
  </si>
  <si>
    <t>ธ. กสิกรไทย จำกัด (มหาชน) สาขา สะพานพุทธ</t>
  </si>
  <si>
    <t>Quan Hai An</t>
  </si>
  <si>
    <t>0040016</t>
  </si>
  <si>
    <t>ธ. กสิกรไทย จำกัด (มหาชน) สาขา ถนนประดิพัทธ</t>
  </si>
  <si>
    <t>Quan Hong Bang</t>
  </si>
  <si>
    <t>0040017</t>
  </si>
  <si>
    <t>ธ. กสิกรไทย จำกัด (มหาชน) สาขา คลองเตย</t>
  </si>
  <si>
    <t>Quan Kien An</t>
  </si>
  <si>
    <t>0040018</t>
  </si>
  <si>
    <t>ธ. กสิกรไทย จำกัด (มหาชน) สาขา พัฒน์พงศ์</t>
  </si>
  <si>
    <t>Quan Le Chan</t>
  </si>
  <si>
    <t>0040019</t>
  </si>
  <si>
    <t>ธ. กสิกรไทย จำกัด (มหาชน) สาขา พรานนก</t>
  </si>
  <si>
    <t>Quan Ngo Quyen</t>
  </si>
  <si>
    <t>0040020</t>
  </si>
  <si>
    <t>ธ. กสิกรไทย จำกัด (มหาชน) สาขา บางซื่อ</t>
  </si>
  <si>
    <t>0040021</t>
  </si>
  <si>
    <t>ธ. กสิกรไทย จำกัด (มหาชน) สาขา สะพานกรุงธน</t>
  </si>
  <si>
    <t>Huyen Chau Thanh A</t>
  </si>
  <si>
    <t>0040022</t>
  </si>
  <si>
    <t>ธ. กสิกรไทย จำกัด (มหาชน) สาขา สะพานใหม่ ดอนเมือง</t>
  </si>
  <si>
    <t>Huyen Long My</t>
  </si>
  <si>
    <t>0040023</t>
  </si>
  <si>
    <t>ธ. กสิกรไทย จำกัด (มหาชน) สาขา กิ่งเพชร</t>
  </si>
  <si>
    <t>Huyen Phung Hiep</t>
  </si>
  <si>
    <t>0040024</t>
  </si>
  <si>
    <t>ธ. กสิกรไทย จำกัด (มหาชน) สาขา เยาวราช</t>
  </si>
  <si>
    <t>Huyen Vi Thuy</t>
  </si>
  <si>
    <t>0040025</t>
  </si>
  <si>
    <t>ธ. กสิกรไทย จำกัด (มหาชน) สาขา ท่าพระ</t>
  </si>
  <si>
    <t>TP. Nga Bay</t>
  </si>
  <si>
    <t>0040026</t>
  </si>
  <si>
    <t>ธ. กสิกรไทย จำกัด (มหาชน) สาขา สยามสแควร์</t>
  </si>
  <si>
    <t>TP. Vi Thanh</t>
  </si>
  <si>
    <t>0040027</t>
  </si>
  <si>
    <t>ธ. กสิกรไทย จำกัด (มหาชน) สาขา สำนักถนนเสือป่า</t>
  </si>
  <si>
    <t>Huyen Cao Phong</t>
  </si>
  <si>
    <t>0040028</t>
  </si>
  <si>
    <t>ธ. กสิกรไทย จำกัด (มหาชน) สาขา ถนนเพชรบุรีตัดใหม่</t>
  </si>
  <si>
    <t>Huyen Da Bac</t>
  </si>
  <si>
    <t>0040029</t>
  </si>
  <si>
    <t>ธ. กสิกรไทย จำกัด (มหาชน) สาขา สนามเป้า</t>
  </si>
  <si>
    <t>Huyen Kim Boi</t>
  </si>
  <si>
    <t>0040030</t>
  </si>
  <si>
    <t>ธ. กสิกรไทย จำกัด (มหาชน) สาขา เทเวศร์</t>
  </si>
  <si>
    <t>Huyen Lac Son</t>
  </si>
  <si>
    <t>0040031</t>
  </si>
  <si>
    <t>ธ. กสิกรไทย จำกัด (มหาชน) สาขา บางขุนเทียน</t>
  </si>
  <si>
    <t>Huyen Lac Thuy</t>
  </si>
  <si>
    <t>0040032</t>
  </si>
  <si>
    <t>ธ. กสิกรไทย จำกัด (มหาชน) สาขา สำเหร่</t>
  </si>
  <si>
    <t>Huyen Luong Son</t>
  </si>
  <si>
    <t>0040033</t>
  </si>
  <si>
    <t>ธ. กสิกรไทย จำกัด (มหาชน) สาขา บางโพ</t>
  </si>
  <si>
    <t>Huyen Mai Chau</t>
  </si>
  <si>
    <t>0040034</t>
  </si>
  <si>
    <t>ธ. กสิกรไทย จำกัด (มหาชน) สาขา ซีคอน บางแค</t>
  </si>
  <si>
    <t>Huyen Tan Lac</t>
  </si>
  <si>
    <t>0040035</t>
  </si>
  <si>
    <t>ธ. กสิกรไทย จำกัด (มหาชน) สาขา สุขุมวิท 101</t>
  </si>
  <si>
    <t>Huyen Yen Thuy</t>
  </si>
  <si>
    <t>0040036</t>
  </si>
  <si>
    <t>ธ. กสิกรไทย จำกัด (มหาชน) สาขา ลาดกระบัง</t>
  </si>
  <si>
    <t>TP. Hoa Binh</t>
  </si>
  <si>
    <t>0040037</t>
  </si>
  <si>
    <t>ธ. กสิกรไทย จำกัด (มหาชน) สาขา ถนนมหาไชย</t>
  </si>
  <si>
    <t>Huyen An Thi</t>
  </si>
  <si>
    <t>0040038</t>
  </si>
  <si>
    <t>ธ. กสิกรไทย จำกัด (มหาชน) สาขา ถนนสาทร</t>
  </si>
  <si>
    <t>Huyen Khoai Chau</t>
  </si>
  <si>
    <t>0040039</t>
  </si>
  <si>
    <t>ธ. กสิกรไทย จำกัด (มหาชน) สาขา บางซ่อน</t>
  </si>
  <si>
    <t>Huyen Kim Dong</t>
  </si>
  <si>
    <t>0040040</t>
  </si>
  <si>
    <t>ธ. กสิกรไทย จำกัด (มหาชน) สาขา คลองจั่น</t>
  </si>
  <si>
    <t>Huyen My Hao</t>
  </si>
  <si>
    <t>0040041</t>
  </si>
  <si>
    <t>ธ. กสิกรไทย จำกัด (มหาชน) สาขา ถนนสาธุประดิษฐ์</t>
  </si>
  <si>
    <t>Huyen Phu Cu</t>
  </si>
  <si>
    <t>0040042</t>
  </si>
  <si>
    <t>ธ. กสิกรไทย จำกัด (มหาชน) สาขา ราชดำริ</t>
  </si>
  <si>
    <t>Huyen Tien Lu</t>
  </si>
  <si>
    <t>0040043</t>
  </si>
  <si>
    <t>ธ. กสิกรไทย จำกัด (มหาชน) สาขา ถนนสุขสวัสดิ์</t>
  </si>
  <si>
    <t>Huyen Van Giang</t>
  </si>
  <si>
    <t>0040044</t>
  </si>
  <si>
    <t>ธ. กสิกรไทย จำกัด (มหาชน) สาขา วังบูรพา</t>
  </si>
  <si>
    <t>Huyen Van Lam</t>
  </si>
  <si>
    <t>0040045</t>
  </si>
  <si>
    <t>ธ. กสิกรไทย จำกัด (มหาชน) สาขา ลาดพร้าว 25</t>
  </si>
  <si>
    <t>Huyen Yen My</t>
  </si>
  <si>
    <t>0040046</t>
  </si>
  <si>
    <t>ธ. กสิกรไทย จำกัด (มหาชน) สาขา สุขุมวิท 57</t>
  </si>
  <si>
    <t>TP. Hung Yen</t>
  </si>
  <si>
    <t>0040047</t>
  </si>
  <si>
    <t>ธ. กสิกรไทย จำกัด (มหาชน) สาขา บางยี่ขัน</t>
  </si>
  <si>
    <t>Huyen Cam Lam</t>
  </si>
  <si>
    <t>0040048</t>
  </si>
  <si>
    <t>ธ. กสิกรไทย จำกัด (มหาชน) สาขา ท่าเรือสาธุประดิษฐ์</t>
  </si>
  <si>
    <t>Huyen dao Truong Sa</t>
  </si>
  <si>
    <t>0040049</t>
  </si>
  <si>
    <t>ธ. กสิกรไทย จำกัด (มหาชน) สาขา ถนนอโศกดินแดง</t>
  </si>
  <si>
    <t>Huyen Dien Khanh</t>
  </si>
  <si>
    <t>0040050</t>
  </si>
  <si>
    <t>ธ. กสิกรไทย จำกัด (มหาชน) สาขา เซียงกง</t>
  </si>
  <si>
    <t>Huyen Khanh Son</t>
  </si>
  <si>
    <t>0040051</t>
  </si>
  <si>
    <t>ธ. กสิกรไทย จำกัด (มหาชน) สาขา จักรวรรดิ</t>
  </si>
  <si>
    <t>Huyen Khanh Vinh</t>
  </si>
  <si>
    <t>0040052</t>
  </si>
  <si>
    <t>ธ. กสิกรไทย จำกัด (มหาชน) สาขา ถนนรางน้ำ</t>
  </si>
  <si>
    <t>Huyen Ninh Hoa</t>
  </si>
  <si>
    <t>0040053</t>
  </si>
  <si>
    <t>ธ. กสิกรไทย จำกัด (มหาชน) สาขา บางแค</t>
  </si>
  <si>
    <t>Huyen Van Ninh</t>
  </si>
  <si>
    <t>0040054</t>
  </si>
  <si>
    <t>ธ. กสิกรไทย จำกัด (มหาชน) สาขา สุรวงศ์</t>
  </si>
  <si>
    <t>TP. Cam Ranh</t>
  </si>
  <si>
    <t>0040055</t>
  </si>
  <si>
    <t>ธ. กสิกรไทย จำกัด (มหาชน) สาขา บางบอน</t>
  </si>
  <si>
    <t>TP. Nha Trang</t>
  </si>
  <si>
    <t>0040056</t>
  </si>
  <si>
    <t>ธ. กสิกรไทย จำกัด (มหาชน) สาขา สี่แยกบางนา</t>
  </si>
  <si>
    <t>Huyen An Bien</t>
  </si>
  <si>
    <t>0040057</t>
  </si>
  <si>
    <t>ธ. กสิกรไทย จำกัด (มหาชน) สาขา ถนนพระรามที่ 3</t>
  </si>
  <si>
    <t>Huyen An Minh</t>
  </si>
  <si>
    <t>0040058</t>
  </si>
  <si>
    <t>ธ. กสิกรไทย จำกัด (มหาชน) สาขา ถนนงามวงศ์วาน</t>
  </si>
  <si>
    <t>0040059</t>
  </si>
  <si>
    <t>ธ. กสิกรไทย จำกัด (มหาชน) สาขา เอกมัย</t>
  </si>
  <si>
    <t>Huyen dao Kien Hai</t>
  </si>
  <si>
    <t>0040060</t>
  </si>
  <si>
    <t>ธ. กสิกรไทย จำกัด (มหาชน) สาขา อ่อนนุช</t>
  </si>
  <si>
    <t>Huyen Giang Thanh</t>
  </si>
  <si>
    <t>0040061</t>
  </si>
  <si>
    <t>ธ. กสิกรไทย จำกัด (มหาชน) สาขา สวนจตุจักร</t>
  </si>
  <si>
    <t>Huyen Giong Rieng</t>
  </si>
  <si>
    <t>0040062</t>
  </si>
  <si>
    <t>ธ. กสิกรไทย จำกัด (มหาชน) สาขา นางเลิ้ง</t>
  </si>
  <si>
    <t>Huyen Go Quao</t>
  </si>
  <si>
    <t>0040063</t>
  </si>
  <si>
    <t>ธ. กสิกรไทย จำกัด (มหาชน) สาขา นานาเหนือ</t>
  </si>
  <si>
    <t>Huyen Hon Dat</t>
  </si>
  <si>
    <t>0040064</t>
  </si>
  <si>
    <t>ธ. กสิกรไทย จำกัด (มหาชน) สาขา สวนพลู</t>
  </si>
  <si>
    <t>Huyen Kien Luong</t>
  </si>
  <si>
    <t>0040065</t>
  </si>
  <si>
    <t>ธ. กสิกรไทย จำกัด (มหาชน) สาขา วรจักร</t>
  </si>
  <si>
    <t>Huyen Tan Hiep</t>
  </si>
  <si>
    <t>0040066</t>
  </si>
  <si>
    <t>ธ. กสิกรไทย จำกัด (มหาชน) สาขา สี่แยกสะพานกรุงเทพ</t>
  </si>
  <si>
    <t>Huyen U Minh Thuong</t>
  </si>
  <si>
    <t>0040067</t>
  </si>
  <si>
    <t>ธ. กสิกรไทย จำกัด (มหาชน) สาขา โพธิ์สามต้น</t>
  </si>
  <si>
    <t>Huyen Vinh Thuan</t>
  </si>
  <si>
    <t>0040068</t>
  </si>
  <si>
    <t>ธ. กสิกรไทย จำกัด (มหาชน) สาขา ไอคอนสยาม</t>
  </si>
  <si>
    <t>TP. Ha Tien</t>
  </si>
  <si>
    <t>0040069</t>
  </si>
  <si>
    <t>ธ. กสิกรไทย จำกัด (มหาชน) สาขา สุทธิสาร</t>
  </si>
  <si>
    <t>TP. Phu Quoc</t>
  </si>
  <si>
    <t>0040070</t>
  </si>
  <si>
    <t>ธ. กสิกรไทย จำกัด (มหาชน) สาขา บางเขน</t>
  </si>
  <si>
    <t>TP. Rach Gia</t>
  </si>
  <si>
    <t>0040071</t>
  </si>
  <si>
    <t>ธ. กสิกรไทย จำกัด (มหาชน) สาขา ซอยจารุรัตน์</t>
  </si>
  <si>
    <t>Huyen Dak Glei</t>
  </si>
  <si>
    <t>0040072</t>
  </si>
  <si>
    <t>ธ. กสิกรไทย จำกัด (มหาชน) สาขา กิจการวิเทศธนกิจ</t>
  </si>
  <si>
    <t>Huyen Dak Ha</t>
  </si>
  <si>
    <t>0040073</t>
  </si>
  <si>
    <t>ธ. กสิกรไทย จำกัด (มหาชน) สาขา บางพลัด</t>
  </si>
  <si>
    <t>Huyen Dak To</t>
  </si>
  <si>
    <t>0040074</t>
  </si>
  <si>
    <t>ธ. กสิกรไทย จำกัด (มหาชน) สาขา ลาดพร้าว 67</t>
  </si>
  <si>
    <t>Huyen Ia H'Drai</t>
  </si>
  <si>
    <t>0040075</t>
  </si>
  <si>
    <t>ธ. กสิกรไทย จำกัด (มหาชน) สาขา ถนนลาดหญ้า</t>
  </si>
  <si>
    <t>Huyen Kon Plong</t>
  </si>
  <si>
    <t>0040076</t>
  </si>
  <si>
    <t>ธ. กสิกรไทย จำกัด (มหาชน) สาขา วงเวียน 22 กรกฎา</t>
  </si>
  <si>
    <t>Huyen Kon Ray</t>
  </si>
  <si>
    <t>0040077</t>
  </si>
  <si>
    <t>ธ. กสิกรไทย จำกัด (มหาชน) สาขา ถนนนวมินทร์ 36</t>
  </si>
  <si>
    <t>Huyen Ngoc Hoi</t>
  </si>
  <si>
    <t>0040078</t>
  </si>
  <si>
    <t>ธ. กสิกรไทย จำกัด (มหาชน) สาขา หัวหมาก</t>
  </si>
  <si>
    <t>Huyen Sa Thay</t>
  </si>
  <si>
    <t>0040079</t>
  </si>
  <si>
    <t>ธ. กสิกรไทย จำกัด (มหาชน) สาขา บางปะกอก</t>
  </si>
  <si>
    <t>Huyen Tu Mo Rong</t>
  </si>
  <si>
    <t>0040080</t>
  </si>
  <si>
    <t>ธ. กสิกรไทย จำกัด (มหาชน) สาขา ดาวคนอง</t>
  </si>
  <si>
    <t>TP. Kon Tum</t>
  </si>
  <si>
    <t>0040081</t>
  </si>
  <si>
    <t>ธ. กสิกรไทย จำกัด (มหาชน) สาขา แม็กซ์แวลู พัฒนาการ</t>
  </si>
  <si>
    <t>Huyen Muong Te</t>
  </si>
  <si>
    <t>0040082</t>
  </si>
  <si>
    <t>ธ. กสิกรไทย จำกัด (มหาชน) สาขา ถนนหลังสวน</t>
  </si>
  <si>
    <t>Huyen Nam Nhun</t>
  </si>
  <si>
    <t>0040083</t>
  </si>
  <si>
    <t>ธ. กสิกรไทย จำกัด (มหาชน) สาขา บรรทัดทอง</t>
  </si>
  <si>
    <t>Huyen Phong Tho</t>
  </si>
  <si>
    <t>0040084</t>
  </si>
  <si>
    <t>ธ. กสิกรไทย จำกัด (มหาชน) สาขา ห้วยขวาง</t>
  </si>
  <si>
    <t>Huyen Sin Ho</t>
  </si>
  <si>
    <t>0040085</t>
  </si>
  <si>
    <t>ธ. กสิกรไทย จำกัด (มหาชน) สาขา จรัญสนิทวงศ์ 11</t>
  </si>
  <si>
    <t>Huyen Tam Duong</t>
  </si>
  <si>
    <t>0040086</t>
  </si>
  <si>
    <t>ธ. กสิกรไทย จำกัด (มหาชน) สาขา เทสโก้ โลตัส สระบุรี</t>
  </si>
  <si>
    <t>0040087</t>
  </si>
  <si>
    <t>ธ. กสิกรไทย จำกัด (มหาชน) สาขา แม่ริม เชียงใหม่</t>
  </si>
  <si>
    <t>Huyen Than Uyen</t>
  </si>
  <si>
    <t>0040088</t>
  </si>
  <si>
    <t>ธ. กสิกรไทย จำกัด (มหาชน) สาขา ถนนรามอินทรา</t>
  </si>
  <si>
    <t>TP. Lai Chau</t>
  </si>
  <si>
    <t>0040089</t>
  </si>
  <si>
    <t>ธ. กสิกรไทย จำกัด (มหาชน) สาขา ถนนรัชดาภิเษก ห้วยขวาง</t>
  </si>
  <si>
    <t>0040090</t>
  </si>
  <si>
    <t>ธ. กสิกรไทย จำกัด (มหาชน) สาขา บางมด</t>
  </si>
  <si>
    <t>Huyen Cat Tien</t>
  </si>
  <si>
    <t>0040091</t>
  </si>
  <si>
    <t>ธ. กสิกรไทย จำกัด (มหาชน) สาขา สี่แยกราชวงศ์</t>
  </si>
  <si>
    <t>Huyen Da Huoai</t>
  </si>
  <si>
    <t>0040092</t>
  </si>
  <si>
    <t>ธ. กสิกรไทย จำกัด (มหาชน) สาขา ย่อยตลาดโบ๊เบ๊</t>
  </si>
  <si>
    <t>Huyen Da Teh</t>
  </si>
  <si>
    <t>0040093</t>
  </si>
  <si>
    <t>ธ. กสิกรไทย จำกัด (มหาชน) สาขา ถนนประชาชื่น</t>
  </si>
  <si>
    <t>Huyen Dam Rong</t>
  </si>
  <si>
    <t>0040094</t>
  </si>
  <si>
    <t>ธ. กสิกรไทย จำกัด (มหาชน) สาขา มีนบุรี</t>
  </si>
  <si>
    <t>Huyen Di Linh</t>
  </si>
  <si>
    <t>0040095</t>
  </si>
  <si>
    <t>ธ. กสิกรไทย จำกัด (มหาชน) สาขา ซีคอนสแควร์</t>
  </si>
  <si>
    <t>Huyen Don Duong</t>
  </si>
  <si>
    <t>0040096</t>
  </si>
  <si>
    <t>ธ. กสิกรไทย จำกัด (มหาชน) สาขา สุขุมวิท 39</t>
  </si>
  <si>
    <t>Huyen Duc Trong</t>
  </si>
  <si>
    <t>0040097</t>
  </si>
  <si>
    <t>ธ. กสิกรไทย จำกัด (มหาชน) สาขา บิ๊กซี สะพานควาย</t>
  </si>
  <si>
    <t>Huyen Lac Duong</t>
  </si>
  <si>
    <t>0040098</t>
  </si>
  <si>
    <t>ธ. กสิกรไทย จำกัด (มหาชน) สาขา ถนนเสรีไทย 46 (สวนสยาม)</t>
  </si>
  <si>
    <t>Huyen Lam Ha</t>
  </si>
  <si>
    <t>0040099</t>
  </si>
  <si>
    <t>ธ. กสิกรไทย จำกัด (มหาชน) สาขา สำนักพหลโยธิน</t>
  </si>
  <si>
    <t>TP. Bao Loc</t>
  </si>
  <si>
    <t>0040100</t>
  </si>
  <si>
    <t>ธ. กสิกรไทย จำกัด (มหาชน) สาขา ลาดพร้าว 99</t>
  </si>
  <si>
    <t>TP. Da Lat</t>
  </si>
  <si>
    <t>0040101</t>
  </si>
  <si>
    <t>ธ. กสิกรไทย จำกัด (มหาชน) สาขา ถนนศุภสารรังสรรค์ หาดใหญ่</t>
  </si>
  <si>
    <t>Huyen Bac Son</t>
  </si>
  <si>
    <t>0040102</t>
  </si>
  <si>
    <t>ธ. กสิกรไทย จำกัด (มหาชน) สาขา ภูเก็ต</t>
  </si>
  <si>
    <t>Huyen Binh Gia</t>
  </si>
  <si>
    <t>0040103</t>
  </si>
  <si>
    <t>ธ. กสิกรไทย จำกัด (มหาชน) สาขา ถนนท่าแพ เชียงใหม่</t>
  </si>
  <si>
    <t>Huyen Cao Loc</t>
  </si>
  <si>
    <t>0040104</t>
  </si>
  <si>
    <t>ธ. กสิกรไทย จำกัด (มหาชน) สาขา ถนนโกสีย์ นครสวรรค์</t>
  </si>
  <si>
    <t>Huyen Chi Lang</t>
  </si>
  <si>
    <t>0040105</t>
  </si>
  <si>
    <t>ธ. กสิกรไทย จำกัด (มหาชน) สาขา แพร่</t>
  </si>
  <si>
    <t>Huyen Dinh Lap</t>
  </si>
  <si>
    <t>0040106</t>
  </si>
  <si>
    <t>ธ. กสิกรไทย จำกัด (มหาชน) สาขา เด่นชัย</t>
  </si>
  <si>
    <t>Huyen Huu Lung</t>
  </si>
  <si>
    <t>0040107</t>
  </si>
  <si>
    <t>ธ. กสิกรไทย จำกัด (มหาชน) สาขา พิษณุโลก</t>
  </si>
  <si>
    <t>Huyen Loc Binh</t>
  </si>
  <si>
    <t>0040108</t>
  </si>
  <si>
    <t>ธ. กสิกรไทย จำกัด (มหาชน) สาขา ถนนจอมพล นครราชสีมา</t>
  </si>
  <si>
    <t>Huyen Trang Dinh</t>
  </si>
  <si>
    <t>0040109</t>
  </si>
  <si>
    <t>ธ. กสิกรไทย จำกัด (มหาชน) สาขา ถนนหน้าเมือง ขอนแก่น</t>
  </si>
  <si>
    <t>Huyen Van Lang</t>
  </si>
  <si>
    <t>0040110</t>
  </si>
  <si>
    <t>ธ. กสิกรไทย จำกัด (มหาชน) สาขา อุดรธานี</t>
  </si>
  <si>
    <t>Huyen Van Quan</t>
  </si>
  <si>
    <t>0040111</t>
  </si>
  <si>
    <t>ธ. กสิกรไทย จำกัด (มหาชน) สาขา สงขลา</t>
  </si>
  <si>
    <t>TP. Lang Son</t>
  </si>
  <si>
    <t>0040112</t>
  </si>
  <si>
    <t>ธ. กสิกรไทย จำกัด (มหาชน) สาขา ฉะเชิงเทรา</t>
  </si>
  <si>
    <t>Huyen Bac Ha</t>
  </si>
  <si>
    <t>0040113</t>
  </si>
  <si>
    <t>ธ. กสิกรไทย จำกัด (มหาชน) สาขา ชุมพร</t>
  </si>
  <si>
    <t>Huyen Bao Thang</t>
  </si>
  <si>
    <t>0040114</t>
  </si>
  <si>
    <t>ธ. กสิกรไทย จำกัด (มหาชน) สาขา น่าน</t>
  </si>
  <si>
    <t>Huyen Bao Yen</t>
  </si>
  <si>
    <t>0040115</t>
  </si>
  <si>
    <t>ธ. กสิกรไทย จำกัด (มหาชน) สาขา ปากน้ำชุมพร</t>
  </si>
  <si>
    <t>Huyen Bat Xat</t>
  </si>
  <si>
    <t>0040116</t>
  </si>
  <si>
    <t>ธ. กสิกรไทย จำกัด (มหาชน) สาขา ตรัง</t>
  </si>
  <si>
    <t>Huyen Muong Khuong</t>
  </si>
  <si>
    <t>0040117</t>
  </si>
  <si>
    <t>ธ. กสิกรไทย จำกัด (มหาชน) สาขา บ้านบึง</t>
  </si>
  <si>
    <t>Huyen Sa Pa</t>
  </si>
  <si>
    <t>0040118</t>
  </si>
  <si>
    <t>ธ. กสิกรไทย จำกัด (มหาชน) สาขา ถนนพรหมเทพ อุบลราชธานี</t>
  </si>
  <si>
    <t>Huyen Si Ma Cai</t>
  </si>
  <si>
    <t>0040119</t>
  </si>
  <si>
    <t>ธ. กสิกรไทย จำกัด (มหาชน) สาขา ตะกั่วป่า</t>
  </si>
  <si>
    <t>Huyen Van Ban</t>
  </si>
  <si>
    <t>0040120</t>
  </si>
  <si>
    <t>ธ. กสิกรไทย จำกัด (มหาชน) สาขา สกลนคร</t>
  </si>
  <si>
    <t>TP. Lao Cai</t>
  </si>
  <si>
    <t>0040121</t>
  </si>
  <si>
    <t>ธ. กสิกรไทย จำกัด (มหาชน) สาขา สันป่าตอง</t>
  </si>
  <si>
    <t>Huyen Ben Luc</t>
  </si>
  <si>
    <t>0040122</t>
  </si>
  <si>
    <t>ธ. กสิกรไทย จำกัด (มหาชน) สาขา พังงา</t>
  </si>
  <si>
    <t>Huyen Can Duoc</t>
  </si>
  <si>
    <t>0040123</t>
  </si>
  <si>
    <t>ธ. กสิกรไทย จำกัด (มหาชน) สาขา ลำนารายณ์</t>
  </si>
  <si>
    <t>Huyen Can Giuoc</t>
  </si>
  <si>
    <t>0040124</t>
  </si>
  <si>
    <t>ธ. กสิกรไทย จำกัด (มหาชน) สาขา ชุมแพ</t>
  </si>
  <si>
    <t>0040125</t>
  </si>
  <si>
    <t>ธ. กสิกรไทย จำกัด (มหาชน) สาขา ร้อยเอ็ด</t>
  </si>
  <si>
    <t>Huyen Duc Hoa</t>
  </si>
  <si>
    <t>0040126</t>
  </si>
  <si>
    <t>ธ. กสิกรไทย จำกัด (มหาชน) สาขา ทุ่งสง</t>
  </si>
  <si>
    <t>Huyen Duc Hue</t>
  </si>
  <si>
    <t>0040127</t>
  </si>
  <si>
    <t>ธ. กสิกรไทย จำกัด (มหาชน) สาขา สุราษฎร์ธานี</t>
  </si>
  <si>
    <t>Huyen Kien Tuong</t>
  </si>
  <si>
    <t>0040128</t>
  </si>
  <si>
    <t>ธ. กสิกรไทย จำกัด (มหาชน) สาขา ชัยนาท</t>
  </si>
  <si>
    <t>Huyen Moc Hoa</t>
  </si>
  <si>
    <t>0040129</t>
  </si>
  <si>
    <t>ธ. กสิกรไทย จำกัด (มหาชน) สาขา ยโสธร</t>
  </si>
  <si>
    <t>Huyen Tan Hung</t>
  </si>
  <si>
    <t>0040130</t>
  </si>
  <si>
    <t>ธ. กสิกรไทย จำกัด (มหาชน) สาขา กาฬสินธุ์</t>
  </si>
  <si>
    <t>Huyen Tan Thanh</t>
  </si>
  <si>
    <t>0040131</t>
  </si>
  <si>
    <t>ธ. กสิกรไทย จำกัด (มหาชน) สาขา บางคล้า</t>
  </si>
  <si>
    <t>Huyen Tan Tru</t>
  </si>
  <si>
    <t>0040132</t>
  </si>
  <si>
    <t>ธ. กสิกรไทย จำกัด (มหาชน) สาขา ท่ายาง</t>
  </si>
  <si>
    <t>Huyen Thanh Hoa</t>
  </si>
  <si>
    <t>0040133</t>
  </si>
  <si>
    <t>ธ. กสิกรไทย จำกัด (มหาชน) สาขา ประจวบคีรีขันธ์</t>
  </si>
  <si>
    <t>Huyen Thu Thua</t>
  </si>
  <si>
    <t>0040134</t>
  </si>
  <si>
    <t>ธ. กสิกรไทย จำกัด (มหาชน) สาขา อรัญประเทศ</t>
  </si>
  <si>
    <t>Huyen Vinh Hung</t>
  </si>
  <si>
    <t>0040135</t>
  </si>
  <si>
    <t>ธ. กสิกรไทย จำกัด (มหาชน) สาขา สิงห์บุรี</t>
  </si>
  <si>
    <t>TP. Tan An</t>
  </si>
  <si>
    <t>0040136</t>
  </si>
  <si>
    <t>ธ. กสิกรไทย จำกัด (มหาชน) สาขา อู่ทอง</t>
  </si>
  <si>
    <t>Huyen Giao Thuy</t>
  </si>
  <si>
    <t>0040137</t>
  </si>
  <si>
    <t>ธ. กสิกรไทย จำกัด (มหาชน) สาขา พนมสารคาม</t>
  </si>
  <si>
    <t>Huyen Hai Hau</t>
  </si>
  <si>
    <t>0040138</t>
  </si>
  <si>
    <t>ธ. กสิกรไทย จำกัด (มหาชน) สาขา อำนาจเจริญ</t>
  </si>
  <si>
    <t>Huyen My Loc</t>
  </si>
  <si>
    <t>0040139</t>
  </si>
  <si>
    <t>ธ. กสิกรไทย จำกัด (มหาชน) สาขา สระบุรี</t>
  </si>
  <si>
    <t>Huyen Nam Truc</t>
  </si>
  <si>
    <t>0040140</t>
  </si>
  <si>
    <t>ธ. กสิกรไทย จำกัด (มหาชน) สาขา ระยอง</t>
  </si>
  <si>
    <t>Huyen Nghia Hung</t>
  </si>
  <si>
    <t>0040141</t>
  </si>
  <si>
    <t>ธ. กสิกรไทย จำกัด (มหาชน) สาขา สุรินทร์</t>
  </si>
  <si>
    <t>Huyen Truc Ninh</t>
  </si>
  <si>
    <t>0040142</t>
  </si>
  <si>
    <t>ธ. กสิกรไทย จำกัด (มหาชน) สาขา ปากเกร็ด</t>
  </si>
  <si>
    <t>Huyen Vu Ban</t>
  </si>
  <si>
    <t>0040143</t>
  </si>
  <si>
    <t>ธ. กสิกรไทย จำกัด (มหาชน) สาขา พนัสนิคม</t>
  </si>
  <si>
    <t>Huyen Xuan Truong</t>
  </si>
  <si>
    <t>0040144</t>
  </si>
  <si>
    <t>ธ. กสิกรไทย จำกัด (มหาชน) สาขา บ้านโป่ง</t>
  </si>
  <si>
    <t>Huyen Y Yen</t>
  </si>
  <si>
    <t>0040145</t>
  </si>
  <si>
    <t>ธ. กสิกรไทย จำกัด (มหาชน) สาขา พัทลุง</t>
  </si>
  <si>
    <t>TP. Nam Dinh</t>
  </si>
  <si>
    <t>0040146</t>
  </si>
  <si>
    <t>ธ. กสิกรไทย จำกัด (มหาชน) สาขา ประตูน้ำพระอินทร์</t>
  </si>
  <si>
    <t>Huyen Anh Son</t>
  </si>
  <si>
    <t>0040147</t>
  </si>
  <si>
    <t>ธ. กสิกรไทย จำกัด (มหาชน) สาขา ถนนสุขุมวิท ชลบุรี 1</t>
  </si>
  <si>
    <t>Huyen Con Cuong</t>
  </si>
  <si>
    <t>0040148</t>
  </si>
  <si>
    <t>ธ. กสิกรไทย จำกัด (มหาชน) สาขา ถนนศรีรองเมือง จันทบุรี</t>
  </si>
  <si>
    <t>Huyen Cua Lo</t>
  </si>
  <si>
    <t>0040149</t>
  </si>
  <si>
    <t>ธ. กสิกรไทย จำกัด (มหาชน) สาขา นางรอง</t>
  </si>
  <si>
    <t>Huyen Dien Chau</t>
  </si>
  <si>
    <t>0040150</t>
  </si>
  <si>
    <t>ธ. กสิกรไทย จำกัด (มหาชน) สาขา หล่มสัก</t>
  </si>
  <si>
    <t>Huyen Do Luong</t>
  </si>
  <si>
    <t>0040151</t>
  </si>
  <si>
    <t>ธ. กสิกรไทย จำกัด (มหาชน) สาขา พังโคน</t>
  </si>
  <si>
    <t>Huyen Hoang Mai</t>
  </si>
  <si>
    <t>0040152</t>
  </si>
  <si>
    <t>ธ. กสิกรไทย จำกัด (มหาชน) สาขา นครปฐม</t>
  </si>
  <si>
    <t>Huyen Hung Nguyen</t>
  </si>
  <si>
    <t>0040153</t>
  </si>
  <si>
    <t>ธ. กสิกรไทย จำกัด (มหาชน) สาขา พิจิตร</t>
  </si>
  <si>
    <t>Huyen Ky Son</t>
  </si>
  <si>
    <t>0040154</t>
  </si>
  <si>
    <t>ธ. กสิกรไทย จำกัด (มหาชน) สาขา เชียงราย</t>
  </si>
  <si>
    <t>Huyen Nam Dan</t>
  </si>
  <si>
    <t>0040155</t>
  </si>
  <si>
    <t>ธ. กสิกรไทย จำกัด (มหาชน) สาขา อุทัยธานี</t>
  </si>
  <si>
    <t>Huyen Nghi Loc</t>
  </si>
  <si>
    <t>0040156</t>
  </si>
  <si>
    <t>ธ. กสิกรไทย จำกัด (มหาชน) สาขา เลย</t>
  </si>
  <si>
    <t>Huyen Nghia Dan</t>
  </si>
  <si>
    <t>0040157</t>
  </si>
  <si>
    <t>ธ. กสิกรไทย จำกัด (มหาชน) สาขา สุโขทัย</t>
  </si>
  <si>
    <t>Huyen Que Phong</t>
  </si>
  <si>
    <t>0040158</t>
  </si>
  <si>
    <t>ธ. กสิกรไทย จำกัด (มหาชน) สาขา ศรีสะเกษ</t>
  </si>
  <si>
    <t>Huyen Quy Chau</t>
  </si>
  <si>
    <t>0040159</t>
  </si>
  <si>
    <t>ธ. กสิกรไทย จำกัด (มหาชน) สาขา ถนนราชวงศ์ เชียงใหม่</t>
  </si>
  <si>
    <t>Huyen Quy Hop</t>
  </si>
  <si>
    <t>0040160</t>
  </si>
  <si>
    <t>ธ. กสิกรไทย จำกัด (มหาชน) สาขา ศรีสำโรง</t>
  </si>
  <si>
    <t>Huyen Quynh Luu</t>
  </si>
  <si>
    <t>0040161</t>
  </si>
  <si>
    <t>ธ. กสิกรไทย จำกัด (มหาชน) สาขา ท่าตะโก</t>
  </si>
  <si>
    <t>Huyen Tan Ky</t>
  </si>
  <si>
    <t>0040162</t>
  </si>
  <si>
    <t>ธ. กสิกรไทย จำกัด (มหาชน) สาขา สัตหีบ</t>
  </si>
  <si>
    <t>Huyen Thai Hoa</t>
  </si>
  <si>
    <t>0040163</t>
  </si>
  <si>
    <t>ธ. กสิกรไทย จำกัด (มหาชน) สาขา อัมพวา</t>
  </si>
  <si>
    <t>Huyen Thanh Chuong</t>
  </si>
  <si>
    <t>0040164</t>
  </si>
  <si>
    <t>ธ. กสิกรไทย จำกัด (มหาชน) สาขา สระแก้ว</t>
  </si>
  <si>
    <t>Huyen Tuong Duong</t>
  </si>
  <si>
    <t>0040165</t>
  </si>
  <si>
    <t>ธ. กสิกรไทย จำกัด (มหาชน) สาขา เชียงคำ</t>
  </si>
  <si>
    <t>Huyen Yen Thanh</t>
  </si>
  <si>
    <t>0040166</t>
  </si>
  <si>
    <t>ธ. กสิกรไทย จำกัด (มหาชน) สาขา วิเศษชัยชาญ</t>
  </si>
  <si>
    <t>TP. Vinh</t>
  </si>
  <si>
    <t>0040167</t>
  </si>
  <si>
    <t>ธ. กสิกรไทย จำกัด (มหาชน) สาขา เมืองพล</t>
  </si>
  <si>
    <t>Huyen Gia Vien</t>
  </si>
  <si>
    <t>0040168</t>
  </si>
  <si>
    <t>ธ. กสิกรไทย จำกัด (มหาชน) สาขา วารินชำราบ</t>
  </si>
  <si>
    <t>Huyen Hoa Lu</t>
  </si>
  <si>
    <t>0040169</t>
  </si>
  <si>
    <t>ธ. กสิกรไทย จำกัด (มหาชน) สาขา ท่าเรือ</t>
  </si>
  <si>
    <t>Huyen Kim Son</t>
  </si>
  <si>
    <t>0040170</t>
  </si>
  <si>
    <t>ธ. กสิกรไทย จำกัด (มหาชน) สาขา ปู่เจ้าสมิงพราย</t>
  </si>
  <si>
    <t>Huyen Nho Quan</t>
  </si>
  <si>
    <t>0040171</t>
  </si>
  <si>
    <t>ธ. กสิกรไทย จำกัด (มหาชน) สาขา หนองคาย</t>
  </si>
  <si>
    <t>Huyen Yen Khanh</t>
  </si>
  <si>
    <t>0040172</t>
  </si>
  <si>
    <t>ธ. กสิกรไทย จำกัด (มหาชน) สาขา ศรีราชา</t>
  </si>
  <si>
    <t>Huyen Yen Mo</t>
  </si>
  <si>
    <t>0040173</t>
  </si>
  <si>
    <t>ธ. กสิกรไทย จำกัด (มหาชน) สาขา นครศรีธรรมราช</t>
  </si>
  <si>
    <t>TP. Ninh Binh</t>
  </si>
  <si>
    <t>0040174</t>
  </si>
  <si>
    <t>ธ. กสิกรไทย จำกัด (มหาชน) สาขา ถนนสุระสงคราม ลพบุรี</t>
  </si>
  <si>
    <t>TP. Tam Diep</t>
  </si>
  <si>
    <t>0040175</t>
  </si>
  <si>
    <t>ธ. กสิกรไทย จำกัด (มหาชน) สาขา เสนา</t>
  </si>
  <si>
    <t>Huyen Bac Ai</t>
  </si>
  <si>
    <t>0040176</t>
  </si>
  <si>
    <t>ธ. กสิกรไทย จำกัด (มหาชน) สาขา แม่สาย</t>
  </si>
  <si>
    <t>Huyen Ninh Hai</t>
  </si>
  <si>
    <t>0040177</t>
  </si>
  <si>
    <t>ธ. กสิกรไทย จำกัด (มหาชน) สาขา หันคา</t>
  </si>
  <si>
    <t>Huyen Ninh Phuoc</t>
  </si>
  <si>
    <t>0040178</t>
  </si>
  <si>
    <t>ธ. กสิกรไทย จำกัด (มหาชน) สาขา คลองหลวง</t>
  </si>
  <si>
    <t>Huyen Ninh Son</t>
  </si>
  <si>
    <t>0040179</t>
  </si>
  <si>
    <t>ธ. กสิกรไทย จำกัด (มหาชน) สาขา กันทรลักษ์</t>
  </si>
  <si>
    <t>Huyen Thuan Bac</t>
  </si>
  <si>
    <t>0040180</t>
  </si>
  <si>
    <t>ธ. กสิกรไทย จำกัด (มหาชน) สาขา หนองม่วง</t>
  </si>
  <si>
    <t>Huyen Thuan Nam</t>
  </si>
  <si>
    <t>0040181</t>
  </si>
  <si>
    <t>ธ. กสิกรไทย จำกัด (มหาชน) สาขา บางบ่อ</t>
  </si>
  <si>
    <t>TP. Phan Rang – Thap Cham</t>
  </si>
  <si>
    <t>0040182</t>
  </si>
  <si>
    <t>ธ. กสิกรไทย จำกัด (มหาชน) สาขา ป่าโมก</t>
  </si>
  <si>
    <t>Huyen Cam Khe</t>
  </si>
  <si>
    <t>0040183</t>
  </si>
  <si>
    <t>ธ. กสิกรไทย จำกัด (มหาชน) สาขา รังสิต</t>
  </si>
  <si>
    <t>Huyen Doan Hung</t>
  </si>
  <si>
    <t>0040184</t>
  </si>
  <si>
    <t>ธ. กสิกรไทย จำกัด (มหาชน) สาขา สมุทรสาคร</t>
  </si>
  <si>
    <t>Huyen Ha Hoa</t>
  </si>
  <si>
    <t>0040185</t>
  </si>
  <si>
    <t>ธ. กสิกรไทย จำกัด (มหาชน) สาขา ปราจีนบุรี</t>
  </si>
  <si>
    <t>Huyen Lam Thao</t>
  </si>
  <si>
    <t>0040186</t>
  </si>
  <si>
    <t>ธ. กสิกรไทย จำกัด (มหาชน) สาขา สรรคบุรี</t>
  </si>
  <si>
    <t>Huyen Phu Ninh</t>
  </si>
  <si>
    <t>0040187</t>
  </si>
  <si>
    <t>ธ. กสิกรไทย จำกัด (มหาชน) สาขา หนองบัว</t>
  </si>
  <si>
    <t>Huyen Phu Tho</t>
  </si>
  <si>
    <t>0040188</t>
  </si>
  <si>
    <t>ธ. กสิกรไทย จำกัด (มหาชน) สาขา ปากช่อง</t>
  </si>
  <si>
    <t>0040189</t>
  </si>
  <si>
    <t>ธ. กสิกรไทย จำกัด (มหาชน) สาขา วังสะพุง</t>
  </si>
  <si>
    <t>Huyen Tan Son</t>
  </si>
  <si>
    <t>0040190</t>
  </si>
  <si>
    <t>ธ. กสิกรไทย จำกัด (มหาชน) สาขา ตลาดย่านยาว</t>
  </si>
  <si>
    <t>Huyen Thanh Ba</t>
  </si>
  <si>
    <t>0040191</t>
  </si>
  <si>
    <t>ธ. กสิกรไทย จำกัด (มหาชน) สาขา บางมูลนาก</t>
  </si>
  <si>
    <t>Huyen Thanh Son</t>
  </si>
  <si>
    <t>0040192</t>
  </si>
  <si>
    <t>ธ. กสิกรไทย จำกัด (มหาชน) สาขา บุรีรัมย์</t>
  </si>
  <si>
    <t>Huyen Thanh Thuy</t>
  </si>
  <si>
    <t>0040193</t>
  </si>
  <si>
    <t>ธ. กสิกรไทย จำกัด (มหาชน) สาขา พระประแดง</t>
  </si>
  <si>
    <t>Huyen Yen Lap</t>
  </si>
  <si>
    <t>0040194</t>
  </si>
  <si>
    <t>ธ. กสิกรไทย จำกัด (มหาชน) สาขา ถนนฉัตรไชย ลำปาง</t>
  </si>
  <si>
    <t>TP. Viet Tri</t>
  </si>
  <si>
    <t>0040195</t>
  </si>
  <si>
    <t>ธ. กสิกรไทย จำกัด (มหาชน) สาขา ราชบุรี</t>
  </si>
  <si>
    <t>Huyen Dong Hoa</t>
  </si>
  <si>
    <t>0040196</t>
  </si>
  <si>
    <t>ธ. กสิกรไทย จำกัด (มหาชน) สาขา อุตรดิตถ์</t>
  </si>
  <si>
    <t>Huyen Dong Xuan</t>
  </si>
  <si>
    <t>0040197</t>
  </si>
  <si>
    <t>ธ. กสิกรไทย จำกัด (มหาชน) สาขา โคกสำโรง</t>
  </si>
  <si>
    <t>Huyen Phu Hoa</t>
  </si>
  <si>
    <t>0040198</t>
  </si>
  <si>
    <t>ธ. กสิกรไทย จำกัด (มหาชน) สาขา เดิมบางนางบวช</t>
  </si>
  <si>
    <t>Huyen Son Hoa</t>
  </si>
  <si>
    <t>0040199</t>
  </si>
  <si>
    <t>ธ. กสิกรไทย จำกัด (มหาชน) สาขา พรานกระต่าย</t>
  </si>
  <si>
    <t>Huyen Song Cau</t>
  </si>
  <si>
    <t>0040200</t>
  </si>
  <si>
    <t>ธ. กสิกรไทย จำกัด (มหาชน) สาขา ถนนมิตรภาพ นครราชสีมา</t>
  </si>
  <si>
    <t>Huyen Song Hinh</t>
  </si>
  <si>
    <t>0040201</t>
  </si>
  <si>
    <t>ธ. กสิกรไทย จำกัด (มหาชน) สาขา สุพรรณบุรี</t>
  </si>
  <si>
    <t>Huyen Tay Hoa</t>
  </si>
  <si>
    <t>0040202</t>
  </si>
  <si>
    <t>ธ. กสิกรไทย จำกัด (มหาชน) สาขา กบินทร์บุรี</t>
  </si>
  <si>
    <t>Huyen Tuy An</t>
  </si>
  <si>
    <t>0040203</t>
  </si>
  <si>
    <t>ธ. กสิกรไทย จำกัด (มหาชน) สาขา กำแพงเพชร</t>
  </si>
  <si>
    <t>TP. Tuy Hoa</t>
  </si>
  <si>
    <t>0040204</t>
  </si>
  <si>
    <t>ธ. กสิกรไทย จำกัด (มหาชน) สาขา อุทุมพรพิสัย</t>
  </si>
  <si>
    <t>Huyen Ba Don</t>
  </si>
  <si>
    <t>0040205</t>
  </si>
  <si>
    <t>ธ. กสิกรไทย จำกัด (มหาชน) สาขา จันดี</t>
  </si>
  <si>
    <t>Huyen Bo Trach</t>
  </si>
  <si>
    <t>0040206</t>
  </si>
  <si>
    <t>ธ. กสิกรไทย จำกัด (มหาชน) สาขา ซับสมอทอด</t>
  </si>
  <si>
    <t>Huyen Le Thuy</t>
  </si>
  <si>
    <t>0040207</t>
  </si>
  <si>
    <t>ธ. กสิกรไทย จำกัด (มหาชน) สาขา เพชรบุรี</t>
  </si>
  <si>
    <t>Huyen Minh Hoa</t>
  </si>
  <si>
    <t>0040208</t>
  </si>
  <si>
    <t>ธ. กสิกรไทย จำกัด (มหาชน) สาขา สมุทรสงคราม</t>
  </si>
  <si>
    <t>Huyen Quang Ninh</t>
  </si>
  <si>
    <t>0040209</t>
  </si>
  <si>
    <t>ธ. กสิกรไทย จำกัด (มหาชน) สาขา พะเยา</t>
  </si>
  <si>
    <t>Huyen Quang Trach</t>
  </si>
  <si>
    <t>0040210</t>
  </si>
  <si>
    <t>ธ. กสิกรไทย จำกัด (มหาชน) สาขา แกลง</t>
  </si>
  <si>
    <t>Huyen Tuyen Hoa</t>
  </si>
  <si>
    <t>0040211</t>
  </si>
  <si>
    <t>ธ. กสิกรไทย จำกัด (มหาชน) สาขา พระพุทธบาท</t>
  </si>
  <si>
    <t>TP. Dong Hoi</t>
  </si>
  <si>
    <t>0040212</t>
  </si>
  <si>
    <t>ธ. กสิกรไทย จำกัด (มหาชน) สาขา แม่สอด</t>
  </si>
  <si>
    <t>Huyen Bac Tra My</t>
  </si>
  <si>
    <t>0040213</t>
  </si>
  <si>
    <t>ธ. กสิกรไทย จำกัด (มหาชน) สาขา ขลุง</t>
  </si>
  <si>
    <t>Huyen Dai Loc</t>
  </si>
  <si>
    <t>0040214</t>
  </si>
  <si>
    <t>ธ. กสิกรไทย จำกัด (มหาชน) สาขา ดงขุย</t>
  </si>
  <si>
    <t>Huyen Dien Ban</t>
  </si>
  <si>
    <t>0040215</t>
  </si>
  <si>
    <t>ธ. กสิกรไทย จำกัด (มหาชน) สาขา ครบุรี</t>
  </si>
  <si>
    <t>Huyen Dong Giang</t>
  </si>
  <si>
    <t>0040216</t>
  </si>
  <si>
    <t>ธ. กสิกรไทย จำกัด (มหาชน) สาขา หนองฉาง</t>
  </si>
  <si>
    <t>Huyen Duy Xuyen</t>
  </si>
  <si>
    <t>0040217</t>
  </si>
  <si>
    <t>ธ. กสิกรไทย จำกัด (มหาชน) สาขา สามร้อยยอด</t>
  </si>
  <si>
    <t>Huyen Hiep Duc</t>
  </si>
  <si>
    <t>0040218</t>
  </si>
  <si>
    <t>ธ. กสิกรไทย จำกัด (มหาชน) สาขา นนทบุรี</t>
  </si>
  <si>
    <t>Huyen Nam Giang</t>
  </si>
  <si>
    <t>0040219</t>
  </si>
  <si>
    <t>ธ. กสิกรไทย จำกัด (มหาชน) สาขา แม่จัน</t>
  </si>
  <si>
    <t>Huyen Nam Tra My</t>
  </si>
  <si>
    <t>0040220</t>
  </si>
  <si>
    <t>ธ. กสิกรไทย จำกัด (มหาชน) สาขา สองพี่น้อง</t>
  </si>
  <si>
    <t>Huyen Nong Son</t>
  </si>
  <si>
    <t>0040221</t>
  </si>
  <si>
    <t>ธ. กสิกรไทย จำกัด (มหาชน) สาขา กาญจนบุรี</t>
  </si>
  <si>
    <t>Huyen Nui Thanh</t>
  </si>
  <si>
    <t>0040222</t>
  </si>
  <si>
    <t>ธ. กสิกรไทย จำกัด (มหาชน) สาขา อ่างทอง</t>
  </si>
  <si>
    <t>0040223</t>
  </si>
  <si>
    <t>ธ. กสิกรไทย จำกัด (มหาชน) สาขา ตะพานหิน</t>
  </si>
  <si>
    <t>Huyen Phuoc Son</t>
  </si>
  <si>
    <t>0040224</t>
  </si>
  <si>
    <t>ธ. กสิกรไทย จำกัด (มหาชน) สาขา สมุทรปราการ</t>
  </si>
  <si>
    <t>Huyen Que Son</t>
  </si>
  <si>
    <t>0040225</t>
  </si>
  <si>
    <t>ธ. กสิกรไทย จำกัด (มหาชน) สาขา ตราด</t>
  </si>
  <si>
    <t>Huyen Tay Giang</t>
  </si>
  <si>
    <t>0040226</t>
  </si>
  <si>
    <t>ธ. กสิกรไทย จำกัด (มหาชน) สาขา ป่าซาง</t>
  </si>
  <si>
    <t>Huyen Thang Binh</t>
  </si>
  <si>
    <t>0040227</t>
  </si>
  <si>
    <t>ธ. กสิกรไทย จำกัด (มหาชน) สาขา จอมทอง</t>
  </si>
  <si>
    <t>Huyen Tien Phuoc</t>
  </si>
  <si>
    <t>0040228</t>
  </si>
  <si>
    <t>ธ. กสิกรไทย จำกัด (มหาชน) สาขา หนองตม</t>
  </si>
  <si>
    <t>TP. Hoi An</t>
  </si>
  <si>
    <t>0040229</t>
  </si>
  <si>
    <t>ธ. กสิกรไทย จำกัด (มหาชน) สาขา ภูเขียว</t>
  </si>
  <si>
    <t>TP. Tam Ky</t>
  </si>
  <si>
    <t>0040230</t>
  </si>
  <si>
    <t>ธ. กสิกรไทย จำกัด (มหาชน) สาขา ลาดยาว</t>
  </si>
  <si>
    <t>Huyen Ba To</t>
  </si>
  <si>
    <t>0040231</t>
  </si>
  <si>
    <t>ธ. กสิกรไทย จำกัด (มหาชน) สาขา เพชรบูรณ์</t>
  </si>
  <si>
    <t>Huyen Binh Son</t>
  </si>
  <si>
    <t>0040232</t>
  </si>
  <si>
    <t>ธ. กสิกรไทย จำกัด (มหาชน) สาขา ระนอง</t>
  </si>
  <si>
    <t>Huyen dao Ly Son</t>
  </si>
  <si>
    <t>0040233</t>
  </si>
  <si>
    <t>ธ. กสิกรไทย จำกัด (มหาชน) สาขา สวรรคโลก</t>
  </si>
  <si>
    <t>Huyen Duc Pho</t>
  </si>
  <si>
    <t>0040234</t>
  </si>
  <si>
    <t>ธ. กสิกรไทย จำกัด (มหาชน) สาขา หลังสวน ชุมพร</t>
  </si>
  <si>
    <t>Huyen Minh Long</t>
  </si>
  <si>
    <t>0040235</t>
  </si>
  <si>
    <t>ธ. กสิกรไทย จำกัด (มหาชน) สาขา มหาสารคาม</t>
  </si>
  <si>
    <t>Huyen Mo Duc</t>
  </si>
  <si>
    <t>0040236</t>
  </si>
  <si>
    <t>ธ. กสิกรไทย จำกัด (มหาชน) สาขา เทสโก้ โลตัส อินทร์บุรี</t>
  </si>
  <si>
    <t>Huyen Nghia Hanh</t>
  </si>
  <si>
    <t>0040237</t>
  </si>
  <si>
    <t>ธ. กสิกรไทย จำกัด (มหาชน) สาขา ทับคล้อ</t>
  </si>
  <si>
    <t>Huyen Son Ha</t>
  </si>
  <si>
    <t>0040238</t>
  </si>
  <si>
    <t>ธ. กสิกรไทย จำกัด (มหาชน) สาขา ฝาง</t>
  </si>
  <si>
    <t>0040239</t>
  </si>
  <si>
    <t>ธ. กสิกรไทย จำกัด (มหาชน) สาขา ปักธงชัย</t>
  </si>
  <si>
    <t>Huyen Son Tinh</t>
  </si>
  <si>
    <t>0040240</t>
  </si>
  <si>
    <t>ธ. กสิกรไทย จำกัด (มหาชน) สาขา ตาก</t>
  </si>
  <si>
    <t>Huyen Tra Bong</t>
  </si>
  <si>
    <t>0040241</t>
  </si>
  <si>
    <t>ธ. กสิกรไทย จำกัด (มหาชน) สาขา ท้ายเหมือง</t>
  </si>
  <si>
    <t>Huyen Tu Nghia</t>
  </si>
  <si>
    <t>0040242</t>
  </si>
  <si>
    <t>ธ. กสิกรไทย จำกัด (มหาชน) สาขา ถนนประชาสโมสร ขอนแก่น</t>
  </si>
  <si>
    <t>TP. Quang Ngai</t>
  </si>
  <si>
    <t>0040243</t>
  </si>
  <si>
    <t>ธ. กสิกรไทย จำกัด (มหาชน) สาขา อยุธยา</t>
  </si>
  <si>
    <t>Huyen Ba Che</t>
  </si>
  <si>
    <t>0040244</t>
  </si>
  <si>
    <t>ธ. กสิกรไทย จำกัด (มหาชน) สาขา นครพนม</t>
  </si>
  <si>
    <t>Huyen Binh Lieu</t>
  </si>
  <si>
    <t>0040245</t>
  </si>
  <si>
    <t>ธ. กสิกรไทย จำกัด (มหาชน) สาขา ถนนเจริญเมือง เชียงใหม่</t>
  </si>
  <si>
    <t>Huyen Dam Ha</t>
  </si>
  <si>
    <t>0040246</t>
  </si>
  <si>
    <t>ธ. กสิกรไทย จำกัด (มหาชน) สาขา ถนนศรีภูวนารถ หาดใหญ่</t>
  </si>
  <si>
    <t>Huyen dao Co To</t>
  </si>
  <si>
    <t>0040247</t>
  </si>
  <si>
    <t>ธ. กสิกรไทย จำกัด (มหาชน) สาขา สุไหงโก-ลก</t>
  </si>
  <si>
    <t>Huyen dao Van Don</t>
  </si>
  <si>
    <t>0040248</t>
  </si>
  <si>
    <t>ธ. กสิกรไทย จำกัด (มหาชน) สาขา ปัตตานี</t>
  </si>
  <si>
    <t>Huyen Dong Trieu</t>
  </si>
  <si>
    <t>0040249</t>
  </si>
  <si>
    <t>ธ. กสิกรไทย จำกัด (มหาชน) สาขา บ้านไผ่</t>
  </si>
  <si>
    <t>Huyen Hai Ha</t>
  </si>
  <si>
    <t>0040250</t>
  </si>
  <si>
    <t>ธ. กสิกรไทย จำกัด (มหาชน) สาขา ปทุมธานี</t>
  </si>
  <si>
    <t>Huyen Quang Yen</t>
  </si>
  <si>
    <t>0040251</t>
  </si>
  <si>
    <t>ธ. กสิกรไทย จำกัด (มหาชน) สาขา พุนพิน</t>
  </si>
  <si>
    <t>Huyen Tien Yen</t>
  </si>
  <si>
    <t>0040252</t>
  </si>
  <si>
    <t>ธ. กสิกรไทย จำกัด (มหาชน) สาขา เทสโก้ โลตัส พระรามที่ 2</t>
  </si>
  <si>
    <t>TP. Cam Pha</t>
  </si>
  <si>
    <t>0040253</t>
  </si>
  <si>
    <t>ธ. กสิกรไทย จำกัด (มหาชน) สาขา เบตง</t>
  </si>
  <si>
    <t>TP. Ha Long</t>
  </si>
  <si>
    <t>0040254</t>
  </si>
  <si>
    <t>ธ. กสิกรไทย จำกัด (มหาชน) สาขา คลองด่าน</t>
  </si>
  <si>
    <t>TP. Mong Cai</t>
  </si>
  <si>
    <t>0040255</t>
  </si>
  <si>
    <t>ธ. กสิกรไทย จำกัด (มหาชน) สาขา กระบี่</t>
  </si>
  <si>
    <t>TP. Uong Bi</t>
  </si>
  <si>
    <t>0040256</t>
  </si>
  <si>
    <t>ธ. กสิกรไทย จำกัด (มหาชน) สาขา ยะลา</t>
  </si>
  <si>
    <t>Huyen Cam Lo</t>
  </si>
  <si>
    <t>0040257</t>
  </si>
  <si>
    <t>ธ. กสิกรไทย จำกัด (มหาชน) สาขา ชัยภูมิ</t>
  </si>
  <si>
    <t>Huyen Dakrong</t>
  </si>
  <si>
    <t>0040258</t>
  </si>
  <si>
    <t>ธ. กสิกรไทย จำกัด (มหาชน) สาขา ถนนศรีดอนไชย เชียงใหม่</t>
  </si>
  <si>
    <t>Huyen dao Con Co</t>
  </si>
  <si>
    <t>0040259</t>
  </si>
  <si>
    <t>ธ. กสิกรไทย จำกัด (มหาชน) สาขา ถนนเทพารักษ์</t>
  </si>
  <si>
    <t>Huyen Gio Linh</t>
  </si>
  <si>
    <t>0040260</t>
  </si>
  <si>
    <t>ธ. กสิกรไทย จำกัด (มหาชน) สาขา ถนนชยางกูร อุบลราชธานี</t>
  </si>
  <si>
    <t>Huyen Hai Lang</t>
  </si>
  <si>
    <t>0040261</t>
  </si>
  <si>
    <t>ธ. กสิกรไทย จำกัด (มหาชน) สาขา พุทธมณฑล สาย 4</t>
  </si>
  <si>
    <t>Huyen Huong Hoa</t>
  </si>
  <si>
    <t>0040262</t>
  </si>
  <si>
    <t>ธ. กสิกรไทย จำกัด (มหาชน) สาขา ถนนวชิรปราการ ชลบุรี</t>
  </si>
  <si>
    <t>Huyen Quang Tri</t>
  </si>
  <si>
    <t>0040263</t>
  </si>
  <si>
    <t>ธ. กสิกรไทย จำกัด (มหาชน) สาขา ถนนเพชรเกษม หาดใหญ่</t>
  </si>
  <si>
    <t>Huyen Trieu Phong</t>
  </si>
  <si>
    <t>0040264</t>
  </si>
  <si>
    <t>ธ. กสิกรไทย จำกัด (มหาชน) สาขา นครนายก</t>
  </si>
  <si>
    <t>Huyen Vinh Linh</t>
  </si>
  <si>
    <t>0040265</t>
  </si>
  <si>
    <t>ธ. กสิกรไทย จำกัด (มหาชน) สาขา นราธิวาส</t>
  </si>
  <si>
    <t>TP. Dong Ha</t>
  </si>
  <si>
    <t>0040266</t>
  </si>
  <si>
    <t>ธ. กสิกรไทย จำกัด (มหาชน) สาขา พิมาย</t>
  </si>
  <si>
    <t>0040267</t>
  </si>
  <si>
    <t>ธ. กสิกรไทย จำกัด (มหาชน) สาขา สตูล</t>
  </si>
  <si>
    <t>Huyen Cu Lao Dung</t>
  </si>
  <si>
    <t>0040268</t>
  </si>
  <si>
    <t>ธ. กสิกรไทย จำกัด (มหาชน) สาขา ถนนติวานนท์ (แคราย)</t>
  </si>
  <si>
    <t>Huyen Ke Sach</t>
  </si>
  <si>
    <t>0040269</t>
  </si>
  <si>
    <t>ธ. กสิกรไทย จำกัด (มหาชน) สาขา บางใหญ่</t>
  </si>
  <si>
    <t>Huyen Long Phu</t>
  </si>
  <si>
    <t>0040270</t>
  </si>
  <si>
    <t>ธ. กสิกรไทย จำกัด (มหาชน) สาขา มุกดาหาร</t>
  </si>
  <si>
    <t>Huyen My Tu</t>
  </si>
  <si>
    <t>0040271</t>
  </si>
  <si>
    <t>ธ. กสิกรไทย จำกัด (มหาชน) สาขา เซ็นทรัลพลาซา เชียงราย</t>
  </si>
  <si>
    <t>Huyen My Xuyen</t>
  </si>
  <si>
    <t>0040272</t>
  </si>
  <si>
    <t>ธ. กสิกรไทย จำกัด (มหาชน) สาขา หัวหิน</t>
  </si>
  <si>
    <t>Huyen Nga Nam</t>
  </si>
  <si>
    <t>0040273</t>
  </si>
  <si>
    <t>ธ. กสิกรไทย จำกัด (มหาชน) สาขา วังน้ำเย็น</t>
  </si>
  <si>
    <t>0040274</t>
  </si>
  <si>
    <t>ธ. กสิกรไทย จำกัด (มหาชน) สาขา ทับสะแก</t>
  </si>
  <si>
    <t>Huyen Tran De</t>
  </si>
  <si>
    <t>0040275</t>
  </si>
  <si>
    <t>ธ. กสิกรไทย จำกัด (มหาชน) สาขา หนองมน ชลบุรี</t>
  </si>
  <si>
    <t>Huyen Vinh Chau</t>
  </si>
  <si>
    <t>0040276</t>
  </si>
  <si>
    <t>ธ. กสิกรไทย จำกัด (มหาชน) สาขา เกาะสมุย</t>
  </si>
  <si>
    <t>TP. Soc Trang</t>
  </si>
  <si>
    <t>0040277</t>
  </si>
  <si>
    <t>ธ. กสิกรไทย จำกัด (มหาชน) สาขา บางกรวย</t>
  </si>
  <si>
    <t>Huyen Bac Yen</t>
  </si>
  <si>
    <t>0040278</t>
  </si>
  <si>
    <t>ธ. กสิกรไทย จำกัด (มหาชน) สาขา ตาคลี</t>
  </si>
  <si>
    <t>Huyen Mai Son</t>
  </si>
  <si>
    <t>0040279</t>
  </si>
  <si>
    <t>ธ. กสิกรไทย จำกัด (มหาชน) สาขา ช้างเผือก เชียงใหม่</t>
  </si>
  <si>
    <t>Huyen Moc Chau</t>
  </si>
  <si>
    <t>0040280</t>
  </si>
  <si>
    <t>ธ. กสิกรไทย จำกัด (มหาชน) สาขา บ้านฉาง</t>
  </si>
  <si>
    <t>Huyen Muong La</t>
  </si>
  <si>
    <t>0040281</t>
  </si>
  <si>
    <t>ธ. กสิกรไทย จำกัด (มหาชน) สาขา ถนนสวรรค์วิถี นครสวรรค์</t>
  </si>
  <si>
    <t>Huyen Phu Yen</t>
  </si>
  <si>
    <t>0040282</t>
  </si>
  <si>
    <t>ธ. กสิกรไทย จำกัด (มหาชน) สาขา บ้านแพ้ว หลักห้า</t>
  </si>
  <si>
    <t>Huyen Quynh Nhai</t>
  </si>
  <si>
    <t>0040283</t>
  </si>
  <si>
    <t>ธ. กสิกรไทย จำกัด (มหาชน) สาขา ถนนตรีรัตน์ จันทบุรี</t>
  </si>
  <si>
    <t>Huyen Song Ma</t>
  </si>
  <si>
    <t>0040284</t>
  </si>
  <si>
    <t>ธ. กสิกรไทย จำกัด (มหาชน) สาขา คลองลาน กำแพงเพชร</t>
  </si>
  <si>
    <t>Huyen Sop Cop</t>
  </si>
  <si>
    <t>0040285</t>
  </si>
  <si>
    <t>ธ. กสิกรไทย จำกัด (มหาชน) สาขา แม่ฮ่องสอน</t>
  </si>
  <si>
    <t>Huyen Thuan Chau</t>
  </si>
  <si>
    <t>0040286</t>
  </si>
  <si>
    <t>ธ. กสิกรไทย จำกัด (มหาชน) สาขา สารภี</t>
  </si>
  <si>
    <t>Huyen Van Ho</t>
  </si>
  <si>
    <t>0040287</t>
  </si>
  <si>
    <t>ธ. กสิกรไทย จำกัด (มหาชน) สาขา บ่อทอง</t>
  </si>
  <si>
    <t>Huyen Yen Chau</t>
  </si>
  <si>
    <t>0040288</t>
  </si>
  <si>
    <t>ธ. กสิกรไทย จำกัด (มหาชน) สาขา ด่านช้าง</t>
  </si>
  <si>
    <t>TP. Son La</t>
  </si>
  <si>
    <t>0040289</t>
  </si>
  <si>
    <t>ธ. กสิกรไทย จำกัด (มหาชน) สาขา สอยดาว</t>
  </si>
  <si>
    <t>Huyen Ben Cau</t>
  </si>
  <si>
    <t>0040290</t>
  </si>
  <si>
    <t>ธ. กสิกรไทย จำกัด (มหาชน) สาขา บ้านดุง</t>
  </si>
  <si>
    <t>0040291</t>
  </si>
  <si>
    <t>ธ. กสิกรไทย จำกัด (มหาชน) สาขา พัทยากลาง</t>
  </si>
  <si>
    <t>Huyen Duong Minh Chau</t>
  </si>
  <si>
    <t>0040292</t>
  </si>
  <si>
    <t>ธ. กสิกรไทย จำกัด (มหาชน) สาขา สุไหงปาดี</t>
  </si>
  <si>
    <t>Huyen Go Dau</t>
  </si>
  <si>
    <t>0040293</t>
  </si>
  <si>
    <t>ธ. กสิกรไทย จำกัด (มหาชน) สาขา ถนนสุขุมวิท ชลบุรี 2</t>
  </si>
  <si>
    <t>Huyen Hoa Thanh</t>
  </si>
  <si>
    <t>0040294</t>
  </si>
  <si>
    <t>ธ. กสิกรไทย จำกัด (มหาชน) สาขา เซ็นทรัลพลาซา พิษณุโลก</t>
  </si>
  <si>
    <t>Huyen Tan Bien</t>
  </si>
  <si>
    <t>0040295</t>
  </si>
  <si>
    <t>ธ. กสิกรไทย จำกัด (มหาชน) สาขา บางสะพาน</t>
  </si>
  <si>
    <t>0040296</t>
  </si>
  <si>
    <t>ธ. กสิกรไทย จำกัด (มหาชน) สาขา หัวทะเล นครราชสีมา</t>
  </si>
  <si>
    <t>Huyen Trang Bang</t>
  </si>
  <si>
    <t>0040297</t>
  </si>
  <si>
    <t>ธ. กสิกรไทย จำกัด (มหาชน) สาขา วงเวียนสระแก้ว ลพบุรี</t>
  </si>
  <si>
    <t>TP. Tay Ninh</t>
  </si>
  <si>
    <t>0040298</t>
  </si>
  <si>
    <t>ธ. กสิกรไทย จำกัด (มหาชน) สาขา ท่าบ่อ</t>
  </si>
  <si>
    <t>Huyen Dong Hung</t>
  </si>
  <si>
    <t>0040299</t>
  </si>
  <si>
    <t>ธ. กสิกรไทย จำกัด (มหาชน) สาขา ผักไห่</t>
  </si>
  <si>
    <t>Huyen Hung Ha</t>
  </si>
  <si>
    <t>0040300</t>
  </si>
  <si>
    <t>ธ. กสิกรไทย จำกัด (มหาชน) สาขา สากเหล็ก</t>
  </si>
  <si>
    <t>Huyen Kien Xuong</t>
  </si>
  <si>
    <t>0040301</t>
  </si>
  <si>
    <t>ธ. กสิกรไทย จำกัด (มหาชน) สาขา ถนนไทรบุรี สงขลา</t>
  </si>
  <si>
    <t>Huyen Quynh Phu</t>
  </si>
  <si>
    <t>0040302</t>
  </si>
  <si>
    <t>ธ. กสิกรไทย จำกัด (มหาชน) สาขา ท่าศาลา</t>
  </si>
  <si>
    <t>Huyen Thai Thuy</t>
  </si>
  <si>
    <t>0040303</t>
  </si>
  <si>
    <t>ธ. กสิกรไทย จำกัด (มหาชน) สาขา ถนนรอบเวียง ลำปาง</t>
  </si>
  <si>
    <t>Huyen Tien Hai</t>
  </si>
  <si>
    <t>0040304</t>
  </si>
  <si>
    <t>ธ. กสิกรไทย จำกัด (มหาชน) สาขา ตลาดชันสูตร บางระจัน</t>
  </si>
  <si>
    <t>Huyen Vu Thu</t>
  </si>
  <si>
    <t>0040305</t>
  </si>
  <si>
    <t>ธ. กสิกรไทย จำกัด (มหาชน) สาขา จุน</t>
  </si>
  <si>
    <t>TP. Thai Binh</t>
  </si>
  <si>
    <t>0040306</t>
  </si>
  <si>
    <t>ธ. กสิกรไทย จำกัด (มหาชน) สาขา รือเสาะ</t>
  </si>
  <si>
    <t>Huyen Dai Tu</t>
  </si>
  <si>
    <t>0040307</t>
  </si>
  <si>
    <t>ธ. กสิกรไทย จำกัด (มหาชน) สาขา แก้งคร้อ</t>
  </si>
  <si>
    <t>Huyen Dinh Hoa</t>
  </si>
  <si>
    <t>0040308</t>
  </si>
  <si>
    <t>ธ. กสิกรไทย จำกัด (มหาชน) สาขา ลับแล</t>
  </si>
  <si>
    <t>Huyen Dong Hy</t>
  </si>
  <si>
    <t>0040309</t>
  </si>
  <si>
    <t>ธ. กสิกรไทย จำกัด (มหาชน) สาขา สนง.ผู้แทนกรุงโตเกียวประเทศญี่ปุ่น</t>
  </si>
  <si>
    <t>Huyen Phu Binh</t>
  </si>
  <si>
    <t>0040310</t>
  </si>
  <si>
    <t>ธ. กสิกรไทย จำกัด (มหาชน) สาขา ตลาดคลองสวน</t>
  </si>
  <si>
    <t>Huyen Phu Luong</t>
  </si>
  <si>
    <t>0040311</t>
  </si>
  <si>
    <t>ธ. กสิกรไทย จำกัด (มหาชน) สาขา สังขะ</t>
  </si>
  <si>
    <t>Huyen Vo Nhai</t>
  </si>
  <si>
    <t>0040312</t>
  </si>
  <si>
    <t>ธ. กสิกรไทย จำกัด (มหาชน) สาขา สนามบินน้ำ</t>
  </si>
  <si>
    <t>TP. Pho Yen</t>
  </si>
  <si>
    <t>0040313</t>
  </si>
  <si>
    <t>ธ. กสิกรไทย จำกัด (มหาชน) สาขา บึงกาฬ</t>
  </si>
  <si>
    <t>TP. Song Cong</t>
  </si>
  <si>
    <t>0040314</t>
  </si>
  <si>
    <t>ธ. กสิกรไทย จำกัด (มหาชน) สาขา ศรีบุญเรือง</t>
  </si>
  <si>
    <t>TP. Thai Nguyen</t>
  </si>
  <si>
    <t>0040315</t>
  </si>
  <si>
    <t>ธ. กสิกรไทย จำกัด (มหาชน) สาขา บ้านแพ้ว หลักสาม</t>
  </si>
  <si>
    <t>Huyen Ba Thuoc</t>
  </si>
  <si>
    <t>0040316</t>
  </si>
  <si>
    <t>ธ. กสิกรไทย จำกัด (มหาชน) สาขา แม่สะเรียง</t>
  </si>
  <si>
    <t>Huyen Bim Son</t>
  </si>
  <si>
    <t>0040317</t>
  </si>
  <si>
    <t>ธ. กสิกรไทย จำกัด (มหาชน) สาขา ถนนตลาดใหม่ สุราษฎร์ธานี</t>
  </si>
  <si>
    <t>Huyen Cam Thuy</t>
  </si>
  <si>
    <t>0040318</t>
  </si>
  <si>
    <t>ธ. กสิกรไทย จำกัด (มหาชน) สาขา บางปะกง</t>
  </si>
  <si>
    <t>Huyen Dong Son</t>
  </si>
  <si>
    <t>0040319</t>
  </si>
  <si>
    <t>ธ. กสิกรไทย จำกัด (มหาชน) สาขา สามชุก สุพรรณบุรี</t>
  </si>
  <si>
    <t>Huyen Ha Trung</t>
  </si>
  <si>
    <t>0040320</t>
  </si>
  <si>
    <t>ธ. กสิกรไทย จำกัด (มหาชน) สาขา ปัว</t>
  </si>
  <si>
    <t>Huyen Hau Loc</t>
  </si>
  <si>
    <t>0040321</t>
  </si>
  <si>
    <t>ธ. กสิกรไทย จำกัด (มหาชน) สาขา ตลาดนาเกลือ</t>
  </si>
  <si>
    <t>Huyen Hoang Hoa</t>
  </si>
  <si>
    <t>0040322</t>
  </si>
  <si>
    <t>ธ. กสิกรไทย จำกัด (มหาชน) สาขา ถนนสุดบรรทัด สระบุรี</t>
  </si>
  <si>
    <t>Huyen Lang Chanh</t>
  </si>
  <si>
    <t>0040323</t>
  </si>
  <si>
    <t>ธ. กสิกรไทย จำกัด (มหาชน) สาขา เชียงของ</t>
  </si>
  <si>
    <t>Huyen Muong Lat</t>
  </si>
  <si>
    <t>0040324</t>
  </si>
  <si>
    <t>ธ. กสิกรไทย จำกัด (มหาชน) สาขา ตลาดเกาะโพธิ์</t>
  </si>
  <si>
    <t>Huyen Nga Son</t>
  </si>
  <si>
    <t>0040325</t>
  </si>
  <si>
    <t>ธ. กสิกรไทย จำกัด (มหาชน) สาขา สำโรง (ศูนย์การค้าปู่เจ้า)</t>
  </si>
  <si>
    <t>Huyen Nghi Son</t>
  </si>
  <si>
    <t>0040326</t>
  </si>
  <si>
    <t>ธ. กสิกรไทย จำกัด (มหาชน) สาขา ตลาดหัวอิฐ</t>
  </si>
  <si>
    <t>Huyen Ngoc Lac</t>
  </si>
  <si>
    <t>0040327</t>
  </si>
  <si>
    <t>ธ. กสิกรไทย จำกัด (มหาชน) สาขา คลองใหญ่</t>
  </si>
  <si>
    <t>Huyen Nhu Thanh</t>
  </si>
  <si>
    <t>0040328</t>
  </si>
  <si>
    <t>ธ. กสิกรไทย จำกัด (มหาชน) สาขา บ้านหมี่</t>
  </si>
  <si>
    <t>Huyen Nhu Xuan</t>
  </si>
  <si>
    <t>0040329</t>
  </si>
  <si>
    <t>ธ. กสิกรไทย จำกัด (มหาชน) สาขา ถนนเทวาภิบาล ร้อยเอ็ด</t>
  </si>
  <si>
    <t>Huyen Nong Cong</t>
  </si>
  <si>
    <t>0040330</t>
  </si>
  <si>
    <t>ธ. กสิกรไทย จำกัด (มหาชน) สาขา พัทยาใต้</t>
  </si>
  <si>
    <t>Huyen Quan Hoa</t>
  </si>
  <si>
    <t>0040331</t>
  </si>
  <si>
    <t>ธ. กสิกรไทย จำกัด (มหาชน) สาขา อ้อมใหญ่</t>
  </si>
  <si>
    <t>Huyen Quan Son</t>
  </si>
  <si>
    <t>0040332</t>
  </si>
  <si>
    <t>ธ. กสิกรไทย จำกัด (มหาชน) สาขา หาดป่าตอง</t>
  </si>
  <si>
    <t>Huyen Quang Xuong</t>
  </si>
  <si>
    <t>0040333</t>
  </si>
  <si>
    <t>ธ. กสิกรไทย จำกัด (มหาชน) สาขา แม่ขะจาน</t>
  </si>
  <si>
    <t>Huyen Thach Thanh</t>
  </si>
  <si>
    <t>0040334</t>
  </si>
  <si>
    <t>ธ. กสิกรไทย จำกัด (มหาชน) สาขา เกาะสีชัง</t>
  </si>
  <si>
    <t>Huyen Thieu Hoa</t>
  </si>
  <si>
    <t>0040335</t>
  </si>
  <si>
    <t>ธ. กสิกรไทย จำกัด (มหาชน) สาขา บางระจัน สิงห์บุรี</t>
  </si>
  <si>
    <t>Huyen Tho Xuan</t>
  </si>
  <si>
    <t>0040336</t>
  </si>
  <si>
    <t>ธ. กสิกรไทย จำกัด (มหาชน) สาขา เชียงคาน</t>
  </si>
  <si>
    <t>Huyen Thuong Xuan</t>
  </si>
  <si>
    <t>0040337</t>
  </si>
  <si>
    <t>ธ. กสิกรไทย จำกัด (มหาชน) สาขา ย่อยตลาดใหม่ กาฬสินธุ์</t>
  </si>
  <si>
    <t>Huyen Trieu Son</t>
  </si>
  <si>
    <t>0040338</t>
  </si>
  <si>
    <t>ธ. กสิกรไทย จำกัด (มหาชน) สาขา สำโรงทาบ</t>
  </si>
  <si>
    <t>Huyen Vinh Loc</t>
  </si>
  <si>
    <t>0040339</t>
  </si>
  <si>
    <t>ธ. กสิกรไทย จำกัด (มหาชน) สาขา ตลาดเก่า กระบี่</t>
  </si>
  <si>
    <t>Huyen Yen Dinh</t>
  </si>
  <si>
    <t>0040340</t>
  </si>
  <si>
    <t>ธ. กสิกรไทย จำกัด (มหาชน) สาขา บางพลี</t>
  </si>
  <si>
    <t>TP. Sam Son</t>
  </si>
  <si>
    <t>0040341</t>
  </si>
  <si>
    <t>ธ. กสิกรไทย จำกัด (มหาชน) สาขา บ่อสร้าง</t>
  </si>
  <si>
    <t>TP. Thanh Hoa</t>
  </si>
  <si>
    <t>0040342</t>
  </si>
  <si>
    <t>ธ. กสิกรไทย จำกัด (มหาชน) สาขา ถนนประจักษ์ อุดรธานี</t>
  </si>
  <si>
    <t>Huyen Binh Chanh</t>
  </si>
  <si>
    <t>0040343</t>
  </si>
  <si>
    <t>ธ. กสิกรไทย จำกัด (มหาชน) สาขา สามพราน</t>
  </si>
  <si>
    <t>Huyen Can Gio</t>
  </si>
  <si>
    <t>0040344</t>
  </si>
  <si>
    <t>ธ. กสิกรไทย จำกัด (มหาชน) สาขา ปากคาด</t>
  </si>
  <si>
    <t>Huyen Cu Chi</t>
  </si>
  <si>
    <t>0040345</t>
  </si>
  <si>
    <t>ธ. กสิกรไทย จำกัด (มหาชน) สาขา เวียงสระ</t>
  </si>
  <si>
    <t>Huyen Hoc Mon</t>
  </si>
  <si>
    <t>0040346</t>
  </si>
  <si>
    <t>ธ. กสิกรไทย จำกัด (มหาชน) สาขา ชะอำ</t>
  </si>
  <si>
    <t>Huyen Nha Be</t>
  </si>
  <si>
    <t>0040347</t>
  </si>
  <si>
    <t>ธ. กสิกรไทย จำกัด (มหาชน) สาขา ลี้</t>
  </si>
  <si>
    <t>Quan 1</t>
  </si>
  <si>
    <t>0040348</t>
  </si>
  <si>
    <t>ธ. กสิกรไทย จำกัด (มหาชน) สาขา ท่าอุเทน</t>
  </si>
  <si>
    <t>Quan 10</t>
  </si>
  <si>
    <t>0040349</t>
  </si>
  <si>
    <t>ธ. กสิกรไทย จำกัด (มหาชน) สาขา ลานสัก</t>
  </si>
  <si>
    <t>Quan 11</t>
  </si>
  <si>
    <t>0040350</t>
  </si>
  <si>
    <t>ธ. กสิกรไทย จำกัด (มหาชน) สาขา วังสามหมอ</t>
  </si>
  <si>
    <t>Quan 12</t>
  </si>
  <si>
    <t>0040351</t>
  </si>
  <si>
    <t>ธ. กสิกรไทย จำกัด (มหาชน) สาขา พญาเม็งราย</t>
  </si>
  <si>
    <t>Quan 3</t>
  </si>
  <si>
    <t>0040352</t>
  </si>
  <si>
    <t>ธ. กสิกรไทย จำกัด (มหาชน) สาขา ถนนศรีนครินทร์ กม.15</t>
  </si>
  <si>
    <t>Quan 4</t>
  </si>
  <si>
    <t>0040353</t>
  </si>
  <si>
    <t>ธ. กสิกรไทย จำกัด (มหาชน) สาขา ตลาดบางบ่อ</t>
  </si>
  <si>
    <t>Quan 5</t>
  </si>
  <si>
    <t>0040354</t>
  </si>
  <si>
    <t>ธ. กสิกรไทย จำกัด (มหาชน) สาขา แหลมฉบัง</t>
  </si>
  <si>
    <t>Quan 6</t>
  </si>
  <si>
    <t>0040355</t>
  </si>
  <si>
    <t>ธ. กสิกรไทย จำกัด (มหาชน) สาขา บ้านแหลม</t>
  </si>
  <si>
    <t>Quan 7</t>
  </si>
  <si>
    <t>0040356</t>
  </si>
  <si>
    <t>ธ. กสิกรไทย จำกัด (มหาชน) สาขา ถนนจันทอุดม ระยอง</t>
  </si>
  <si>
    <t>Quan 8</t>
  </si>
  <si>
    <t>0040357</t>
  </si>
  <si>
    <t>ธ. กสิกรไทย จำกัด (มหาชน) สาขา ย่อยสุขุมวิท111</t>
  </si>
  <si>
    <t>Quan Binh Tan</t>
  </si>
  <si>
    <t>0040358</t>
  </si>
  <si>
    <t>ธ. กสิกรไทย จำกัด (มหาชน) สาขา ไชยปราการ</t>
  </si>
  <si>
    <t>Quan Binh Thanh</t>
  </si>
  <si>
    <t>0040359</t>
  </si>
  <si>
    <t>ธ. กสิกรไทย จำกัด (มหาชน) สาขา บางครุ</t>
  </si>
  <si>
    <t>Quan Go Vap</t>
  </si>
  <si>
    <t>0040360</t>
  </si>
  <si>
    <t>ธ. กสิกรไทย จำกัด (มหาชน) สาขา ตลาดสมุทรปราการ</t>
  </si>
  <si>
    <t>Quan Phu Nhuan</t>
  </si>
  <si>
    <t>0040361</t>
  </si>
  <si>
    <t>ธ. กสิกรไทย จำกัด (มหาชน) สาขา พิบูลมังสาหาร</t>
  </si>
  <si>
    <t>Quan Tan Binh</t>
  </si>
  <si>
    <t>0040362</t>
  </si>
  <si>
    <t>ธ. กสิกรไทย จำกัด (มหาชน) สาขา วัดสิงห์</t>
  </si>
  <si>
    <t>Quan Tan Phu</t>
  </si>
  <si>
    <t>0040363</t>
  </si>
  <si>
    <t>ธ. กสิกรไทย จำกัด (มหาชน) สาขา วาปีปทุม</t>
  </si>
  <si>
    <t>TP. Thu Duc</t>
  </si>
  <si>
    <t>0040364</t>
  </si>
  <si>
    <t>ธ. กสิกรไทย จำกัด (มหาชน) สาขา บางเมฆขาว</t>
  </si>
  <si>
    <t>Huyen A Luoi</t>
  </si>
  <si>
    <t>0040365</t>
  </si>
  <si>
    <t>ธ. กสิกรไทย จำกัด (มหาชน) สาขา ตลาดวโรรส</t>
  </si>
  <si>
    <t>Huyen Huong Thuy</t>
  </si>
  <si>
    <t>0040366</t>
  </si>
  <si>
    <t>ธ. กสิกรไทย จำกัด (มหาชน) สาขา เดชอุดม</t>
  </si>
  <si>
    <t>Huyen Huong Tra</t>
  </si>
  <si>
    <t>0040367</t>
  </si>
  <si>
    <t>ธ. กสิกรไทย จำกัด (มหาชน) สาขา สว่างแดนดิน</t>
  </si>
  <si>
    <t>Huyen Nam Dong</t>
  </si>
  <si>
    <t>0040368</t>
  </si>
  <si>
    <t>ธ. กสิกรไทย จำกัด (มหาชน) สาขา ห้วยพลู</t>
  </si>
  <si>
    <t>0040369</t>
  </si>
  <si>
    <t>ธ. กสิกรไทย จำกัด (มหาชน) สาขา ถนนซุปเปอร์ไฮเวย์ เชียงราย</t>
  </si>
  <si>
    <t>Huyen Phu Loc</t>
  </si>
  <si>
    <t>0040370</t>
  </si>
  <si>
    <t>ธ. กสิกรไทย จำกัด (มหาชน) สาขา ปาลัส</t>
  </si>
  <si>
    <t>Huyen Phu Vang</t>
  </si>
  <si>
    <t>0040371</t>
  </si>
  <si>
    <t>ธ. กสิกรไทย จำกัด (มหาชน) สาขา เสิงสาง</t>
  </si>
  <si>
    <t>Huyen Quang Dien</t>
  </si>
  <si>
    <t>0040372</t>
  </si>
  <si>
    <t>ธ. กสิกรไทย จำกัด (มหาชน) สาขา เค พาร์ค สาขา ตลาดเซฟวัน นครราชสีมา</t>
  </si>
  <si>
    <t>TP. Hue</t>
  </si>
  <si>
    <t>0040373</t>
  </si>
  <si>
    <t>ธ. กสิกรไทย จำกัด (มหาชน) สาขา ตลาดสี่มุมเมือง-รังสิต</t>
  </si>
  <si>
    <t>Huyen Cai Be</t>
  </si>
  <si>
    <t>0040374</t>
  </si>
  <si>
    <t>ธ. กสิกรไทย จำกัด (มหาชน) สาขา สวนแตง</t>
  </si>
  <si>
    <t>Huyen Cai Lay</t>
  </si>
  <si>
    <t>0040375</t>
  </si>
  <si>
    <t>ธ. กสิกรไทย จำกัด (มหาชน) สาขา แม่ริม</t>
  </si>
  <si>
    <t>0040376</t>
  </si>
  <si>
    <t>ธ. กสิกรไทย จำกัด (มหาชน) สาขา น้ำโสม</t>
  </si>
  <si>
    <t>Huyen Cho Gao</t>
  </si>
  <si>
    <t>0040377</t>
  </si>
  <si>
    <t>ธ. กสิกรไทย จำกัด (มหาชน) สาขา แหลมงอบ</t>
  </si>
  <si>
    <t>Huyen Go Cong</t>
  </si>
  <si>
    <t>0040378</t>
  </si>
  <si>
    <t>ธ. กสิกรไทย จำกัด (มหาชน) สาขา เทพา</t>
  </si>
  <si>
    <t>Huyen Go Cong Dong</t>
  </si>
  <si>
    <t>0040379</t>
  </si>
  <si>
    <t>ธ. กสิกรไทย จำกัด (มหาชน) สาขา ปราณบุรี</t>
  </si>
  <si>
    <t>Huyen Go Cong Tay</t>
  </si>
  <si>
    <t>0040380</t>
  </si>
  <si>
    <t>ธ. กสิกรไทย จำกัด (มหาชน) สาขา ป่าแดด</t>
  </si>
  <si>
    <t>Huyen Tan Phu Dong</t>
  </si>
  <si>
    <t>0040381</t>
  </si>
  <si>
    <t>ธ. กสิกรไทย จำกัด (มหาชน) สาขา ย่อยสถาบัน เอไอที.</t>
  </si>
  <si>
    <t>Huyen Tan Phuoc</t>
  </si>
  <si>
    <t>0040382</t>
  </si>
  <si>
    <t>ธ. กสิกรไทย จำกัด (มหาชน) สาขา ตลาดเจ้าพระยา บางใหญ่</t>
  </si>
  <si>
    <t>TP. My Tho</t>
  </si>
  <si>
    <t>0040383</t>
  </si>
  <si>
    <t>ธ. กสิกรไทย จำกัด (มหาชน) สาขา ถนนมูลเมือง เชียงใหม่</t>
  </si>
  <si>
    <t>Huyen Cang Long</t>
  </si>
  <si>
    <t>0040384</t>
  </si>
  <si>
    <t>ธ. กสิกรไทย จำกัด (มหาชน) สาขา ประโคนชัย</t>
  </si>
  <si>
    <t>Huyen Cau Ke</t>
  </si>
  <si>
    <t>0040385</t>
  </si>
  <si>
    <t>ธ. กสิกรไทย จำกัด (มหาชน) สาขา ห้วยไคร้ แม่จัน</t>
  </si>
  <si>
    <t>Huyen Cau Ngang</t>
  </si>
  <si>
    <t>0040386</t>
  </si>
  <si>
    <t>ธ. กสิกรไทย จำกัด (มหาชน) สาขา ปาดังเบซาร์</t>
  </si>
  <si>
    <t>0040387</t>
  </si>
  <si>
    <t>ธ. กสิกรไทย จำกัด (มหาชน) สาขา ศรีสงคราม</t>
  </si>
  <si>
    <t>Huyen Duyen Hai</t>
  </si>
  <si>
    <t>0040388</t>
  </si>
  <si>
    <t>ธ. กสิกรไทย จำกัด (มหาชน) สาขา บิ๊กซี สุขสวัสดิ์</t>
  </si>
  <si>
    <t>Huyen Tieu Can</t>
  </si>
  <si>
    <t>0040389</t>
  </si>
  <si>
    <t>ธ. กสิกรไทย จำกัด (มหาชน) สาขา เซ็นทรัลพลาซา มารีนา พัทยา</t>
  </si>
  <si>
    <t>Huyen Tra Cu</t>
  </si>
  <si>
    <t>0040390</t>
  </si>
  <si>
    <t>ธ. กสิกรไทย จำกัด (มหาชน) สาขา ถนนมาลัยแมน สุพรรณบุรี</t>
  </si>
  <si>
    <t>TP. Tra Vinh</t>
  </si>
  <si>
    <t>0040391</t>
  </si>
  <si>
    <t>ธ. กสิกรไทย จำกัด (มหาชน) สาขา เซ็นทรัล รัตนาธิเบศร์</t>
  </si>
  <si>
    <t>Huyen Chiem Hoa</t>
  </si>
  <si>
    <t>0040392</t>
  </si>
  <si>
    <t>ธ. กสิกรไทย จำกัด (มหาชน) สาขา ศรีเชียงใหม่ หนองคาย</t>
  </si>
  <si>
    <t>Huyen Ham Yen</t>
  </si>
  <si>
    <t>0040393</t>
  </si>
  <si>
    <t>ธ. กสิกรไทย จำกัด (มหาชน) สาขา ห้าแยกโคกมะตูม</t>
  </si>
  <si>
    <t>Huyen Lam Binh</t>
  </si>
  <si>
    <t>0040394</t>
  </si>
  <si>
    <t>ธ. กสิกรไทย จำกัด (มหาชน) สาขา ย่อยตลาดสุโขทัย</t>
  </si>
  <si>
    <t>Huyen Na Hang</t>
  </si>
  <si>
    <t>0040395</t>
  </si>
  <si>
    <t>ธ. กสิกรไทย จำกัด (มหาชน) สาขา องครักษ์</t>
  </si>
  <si>
    <t>Huyen Son Duong</t>
  </si>
  <si>
    <t>0040397</t>
  </si>
  <si>
    <t>ธ. กสิกรไทย จำกัด (มหาชน) สาขา นิคมอุตสาหกรรมอมตะนคร ชลบุรี</t>
  </si>
  <si>
    <t>Huyen Yen Son</t>
  </si>
  <si>
    <t>0040398</t>
  </si>
  <si>
    <t>ธ. กสิกรไทย จำกัด (มหาชน) สาขา ตลาดสมุทรสาคร</t>
  </si>
  <si>
    <t>TP. Tuyen Quang</t>
  </si>
  <si>
    <t>0040399</t>
  </si>
  <si>
    <t>ธ. กสิกรไทย จำกัด (มหาชน) สาขา ศูนย์การค้าติลก ภูเก็ต</t>
  </si>
  <si>
    <t>Huyen Binh Minh</t>
  </si>
  <si>
    <t>0040400</t>
  </si>
  <si>
    <t>ธ. กสิกรไทย จำกัด (มหาชน) สาขา บิ๊กซี หาดใหญ่ 2</t>
  </si>
  <si>
    <t>Huyen Binh Tan</t>
  </si>
  <si>
    <t>0040401</t>
  </si>
  <si>
    <t>ธ. กสิกรไทย จำกัด (มหาชน) สาขา ลำพูน</t>
  </si>
  <si>
    <t>Huyen Long Ho</t>
  </si>
  <si>
    <t>0040402</t>
  </si>
  <si>
    <t>ธ. กสิกรไทย จำกัด (มหาชน) สาขา หาดใหญ่ใน</t>
  </si>
  <si>
    <t>Huyen Mang Thit</t>
  </si>
  <si>
    <t>0040403</t>
  </si>
  <si>
    <t>ธ. กสิกรไทย จำกัด (มหาชน) สาขา ถนนสายเอเชีย นครสวรรค์</t>
  </si>
  <si>
    <t>Huyen Tam Binh</t>
  </si>
  <si>
    <t>0040404</t>
  </si>
  <si>
    <t>ธ. กสิกรไทย จำกัด (มหาชน) สาขา ถนนนครใน สงขลา</t>
  </si>
  <si>
    <t>Huyen Tra On</t>
  </si>
  <si>
    <t>0040405</t>
  </si>
  <si>
    <t>ธ. กสิกรไทย จำกัด (มหาชน) สาขา นวนคร</t>
  </si>
  <si>
    <t>Huyen Vung Liem</t>
  </si>
  <si>
    <t>0040406</t>
  </si>
  <si>
    <t>ธ. กสิกรไทย จำกัด (มหาชน) สาขา สามแยกสันทราย</t>
  </si>
  <si>
    <t>TP. Vinh Long</t>
  </si>
  <si>
    <t>0040407</t>
  </si>
  <si>
    <t>ธ. กสิกรไทย จำกัด (มหาชน) สาขา ถนนช้างคลาน เชียงใหม่</t>
  </si>
  <si>
    <t>Huyen Binh Xuyen</t>
  </si>
  <si>
    <t>0040408</t>
  </si>
  <si>
    <t>ธ. กสิกรไทย จำกัด (มหาชน) สาขา มาบตาพุด</t>
  </si>
  <si>
    <t>Huyen Lap Thach</t>
  </si>
  <si>
    <t>0040409</t>
  </si>
  <si>
    <t>ธ. กสิกรไทย จำกัด (มหาชน) สาขา สุวินทวงศ์ ฉะเชิงเทรา</t>
  </si>
  <si>
    <t>Huyen Song Lo</t>
  </si>
  <si>
    <t>0040410</t>
  </si>
  <si>
    <t>ธ. กสิกรไทย จำกัด (มหาชน) สาขา ท่าแซะ</t>
  </si>
  <si>
    <t>Huyen Tam Dao</t>
  </si>
  <si>
    <t>0040411</t>
  </si>
  <si>
    <t>ธ. กสิกรไทย จำกัด (มหาชน) สาขา บ้านตาขุน</t>
  </si>
  <si>
    <t>0040412</t>
  </si>
  <si>
    <t>ธ. กสิกรไทย จำกัด (มหาชน) สาขา สตึก</t>
  </si>
  <si>
    <t>Huyen Vinh Tuong</t>
  </si>
  <si>
    <t>0040413</t>
  </si>
  <si>
    <t>ธ. กสิกรไทย จำกัด (มหาชน) สาขา ไนท์บาซาร์</t>
  </si>
  <si>
    <t>Huyen Yen Lac</t>
  </si>
  <si>
    <t>0040414</t>
  </si>
  <si>
    <t>ธ. กสิกรไทย จำกัด (มหาชน) สาขา สี่แยกสนามบิน เชียงใหม่</t>
  </si>
  <si>
    <t>TP. Phuc Yen</t>
  </si>
  <si>
    <t>0040415</t>
  </si>
  <si>
    <t>ธ. กสิกรไทย จำกัด (มหาชน) สาขา มีโชคพลาซ่า (ถนนเชียงใหม่-แม่โจ้)</t>
  </si>
  <si>
    <t>TP. Vinh Yen</t>
  </si>
  <si>
    <t>0040416</t>
  </si>
  <si>
    <t>ธ. กสิกรไทย จำกัด (มหาชน) สาขา คลอง 6 ธัญบุรี</t>
  </si>
  <si>
    <t>Huyen Luc Yen</t>
  </si>
  <si>
    <t>0040417</t>
  </si>
  <si>
    <t>ธ. กสิกรไทย จำกัด (มหาชน) สาขา ตลาดบ้านห้วย อุดรธานี</t>
  </si>
  <si>
    <t>Huyen Mu Cang Chai</t>
  </si>
  <si>
    <t>0040418</t>
  </si>
  <si>
    <t>ธ. กสิกรไทย จำกัด (มหาชน) สาขา เซียร์ รังสิต</t>
  </si>
  <si>
    <t>Huyen Nghia Lo</t>
  </si>
  <si>
    <t>0040419</t>
  </si>
  <si>
    <t>ธ. กสิกรไทย จำกัด (มหาชน) สาขา แม่แจ่ม</t>
  </si>
  <si>
    <t>Huyen Tram Tau</t>
  </si>
  <si>
    <t>0040420</t>
  </si>
  <si>
    <t>ธ. กสิกรไทย จำกัด (มหาชน) สาขา สถานีขนส่ง ฉะเชิงเทรา</t>
  </si>
  <si>
    <t>Huyen Tran Yen</t>
  </si>
  <si>
    <t>0040421</t>
  </si>
  <si>
    <t>ธ. กสิกรไทย จำกัด (มหาชน) สาขา ถนนศรีนครินทร์ กม.17</t>
  </si>
  <si>
    <t>Huyen Van Chan</t>
  </si>
  <si>
    <t>0040422</t>
  </si>
  <si>
    <t>ธ. กสิกรไทย จำกัด (มหาชน) สาขา สรงประภา-ดอนเมือง</t>
  </si>
  <si>
    <t>Huyen Van Yen</t>
  </si>
  <si>
    <t>0040423</t>
  </si>
  <si>
    <t>ธ. กสิกรไทย จำกัด (มหาชน) สาขา หนองสองห้องขอนแก่น</t>
  </si>
  <si>
    <t>Huyen Yen Binh</t>
  </si>
  <si>
    <t>0040424</t>
  </si>
  <si>
    <t>ธ. กสิกรไทย จำกัด (มหาชน) สาขา บ้านเพ</t>
  </si>
  <si>
    <t>TP. Yen Bai</t>
  </si>
  <si>
    <t>0040425</t>
  </si>
  <si>
    <t>ธ. กสิกรไทย จำกัด (มหาชน) สาขา วัฒนานคร</t>
  </si>
  <si>
    <t>0040426</t>
  </si>
  <si>
    <t>ธ. กสิกรไทย จำกัด (มหาชน) สาขา ย่อยองค์พระปฐมเจดีย์</t>
  </si>
  <si>
    <t>0040427</t>
  </si>
  <si>
    <t>ธ. กสิกรไทย จำกัด (มหาชน) สาขา ท่าใหม่</t>
  </si>
  <si>
    <t>0040428</t>
  </si>
  <si>
    <t>ธ. กสิกรไทย จำกัด (มหาชน) สาขา ถนนศรีจันทร์ ขอนแก่น</t>
  </si>
  <si>
    <t>0040429</t>
  </si>
  <si>
    <t>ธ. กสิกรไทย จำกัด (มหาชน) สาขา ตลาดห้วยไผ่</t>
  </si>
  <si>
    <t>0040430</t>
  </si>
  <si>
    <t>ธ. กสิกรไทย จำกัด (มหาชน) สาขา ถนนสายอ้อมเมือง ชลบุรี</t>
  </si>
  <si>
    <t>0040431</t>
  </si>
  <si>
    <t>ธ. กสิกรไทย จำกัด (มหาชน) สาขา กุมภวาปี</t>
  </si>
  <si>
    <t>0040432</t>
  </si>
  <si>
    <t>ธ. กสิกรไทย จำกัด (มหาชน) สาขา ย่อยตลาดหัวรอ อยุธยา</t>
  </si>
  <si>
    <t>0040433</t>
  </si>
  <si>
    <t>ธ. กสิกรไทย จำกัด (มหาชน) สาขา เดอะมอลล์ นครราชสีมา</t>
  </si>
  <si>
    <t>0040434</t>
  </si>
  <si>
    <t>ธ. กสิกรไทย จำกัด (มหาชน) สาขา สวนอุตสาหกรรมสหพัฒน ศรีราชา</t>
  </si>
  <si>
    <t>0040435</t>
  </si>
  <si>
    <t>ธ. กสิกรไทย จำกัด (มหาชน) สาขา ย่อยถนนประชานิยม บ้านโป่ง</t>
  </si>
  <si>
    <t>0040436</t>
  </si>
  <si>
    <t>ธ. กสิกรไทย จำกัด (มหาชน) สาขา ตลาดมุกดาหาร</t>
  </si>
  <si>
    <t>0040437</t>
  </si>
  <si>
    <t>ธ. กสิกรไทย จำกัด (มหาชน) สาขา ถ. สุขุมวิท ชลบุรี3(สี่แยกเฉลิมไทย)</t>
  </si>
  <si>
    <t>0040438</t>
  </si>
  <si>
    <t>ธ. กสิกรไทย จำกัด (มหาชน) สาขา ศรีมโหสถ</t>
  </si>
  <si>
    <t>0040439</t>
  </si>
  <si>
    <t>ธ. กสิกรไทย จำกัด (มหาชน) สาขา อ้อมน้อย</t>
  </si>
  <si>
    <t>0040440</t>
  </si>
  <si>
    <t>ธ. กสิกรไทย จำกัด (มหาชน) สาขา ย่อยวงเวียนแม่ศรี ศรีสะเกษ</t>
  </si>
  <si>
    <t>0040441</t>
  </si>
  <si>
    <t>ธ. กสิกรไทย จำกัด (มหาชน) สาขา คลอง 2 ธัญบุรี</t>
  </si>
  <si>
    <t>0040442</t>
  </si>
  <si>
    <t>ธ. กสิกรไทย จำกัด (มหาชน) สาขา ถนนสามัคคี</t>
  </si>
  <si>
    <t>0040443</t>
  </si>
  <si>
    <t>ธ. กสิกรไทย จำกัด (มหาชน) สาขา คลองขลุง</t>
  </si>
  <si>
    <t>0040444</t>
  </si>
  <si>
    <t>ธ. กสิกรไทย จำกัด (มหาชน) สาขา จัตุรัส</t>
  </si>
  <si>
    <t>0040445</t>
  </si>
  <si>
    <t>ธ. กสิกรไทย จำกัด (มหาชน) สาขา วังน้ำเขียว</t>
  </si>
  <si>
    <t>0040446</t>
  </si>
  <si>
    <t>ธ. กสิกรไทย จำกัด (มหาชน) สาขา ตลาดหนามแดง</t>
  </si>
  <si>
    <t>0040447</t>
  </si>
  <si>
    <t>ธ. กสิกรไทย จำกัด (มหาชน) สาขา ถนนศรีสุริยวงศ์ ราชบุรี</t>
  </si>
  <si>
    <t>0040448</t>
  </si>
  <si>
    <t>ธ. กสิกรไทย จำกัด (มหาชน) สาขา สี่แยกแม่ต๋ำ พะเยา</t>
  </si>
  <si>
    <t>0040449</t>
  </si>
  <si>
    <t>ธ. กสิกรไทย จำกัด (มหาชน) สาขา ตลาดอำเภอบางกรวย</t>
  </si>
  <si>
    <t>0040450</t>
  </si>
  <si>
    <t>ธ. กสิกรไทย จำกัด (มหาชน) สาขา ถนนบางนา-ตราด กม.18</t>
  </si>
  <si>
    <t>0040451</t>
  </si>
  <si>
    <t>ธ. กสิกรไทย จำกัด (มหาชน) สาขา กันตัง</t>
  </si>
  <si>
    <t>0040452</t>
  </si>
  <si>
    <t>ธ. กสิกรไทย จำกัด (มหาชน) สาขา ถนนโรจนะ อยุธยา</t>
  </si>
  <si>
    <t>0040453</t>
  </si>
  <si>
    <t>ธ. กสิกรไทย จำกัด (มหาชน) สาขา คีรีมาศ</t>
  </si>
  <si>
    <t>0040454</t>
  </si>
  <si>
    <t>ธ. กสิกรไทย จำกัด (มหาชน) สาขา กระนวน</t>
  </si>
  <si>
    <t>0040455</t>
  </si>
  <si>
    <t>ธ. กสิกรไทย จำกัด (มหาชน) สาขา ห้าแยกพ่อขุนเม็งราย</t>
  </si>
  <si>
    <t>0040456</t>
  </si>
  <si>
    <t>ธ. กสิกรไทย จำกัด (มหาชน) สาขา เชียงกลาง</t>
  </si>
  <si>
    <t>0040457</t>
  </si>
  <si>
    <t>ธ. กสิกรไทย จำกัด (มหาชน) สาขา เซ็นทรัลพลาซา เชียงใหม่ แอร์พอร์ต</t>
  </si>
  <si>
    <t>0040458</t>
  </si>
  <si>
    <t>ธ. กสิกรไทย จำกัด (มหาชน) สาขา ถนนมหิดลเชียงใหม่</t>
  </si>
  <si>
    <t>0040459</t>
  </si>
  <si>
    <t>ธ. กสิกรไทย จำกัด (มหาชน) สาขา หนองปรือ</t>
  </si>
  <si>
    <t>0040460</t>
  </si>
  <si>
    <t>ธ. กสิกรไทย จำกัด (มหาชน) สาขา ถนนสะพานปลา ระนอง</t>
  </si>
  <si>
    <t>0040461</t>
  </si>
  <si>
    <t>ธ. กสิกรไทย จำกัด (มหาชน) สาขา ถนนเพชรเกษม นครชัยศรี</t>
  </si>
  <si>
    <t>0040462</t>
  </si>
  <si>
    <t>ธ. กสิกรไทย จำกัด (มหาชน) สาขา บ้านนา</t>
  </si>
  <si>
    <t>0040463</t>
  </si>
  <si>
    <t>ธ. กสิกรไทย จำกัด (มหาชน) สาขา ชัยบุรี</t>
  </si>
  <si>
    <t>0040464</t>
  </si>
  <si>
    <t>ธ. กสิกรไทย จำกัด (มหาชน) สาขา ถนนเศรษฐกิจ 1 สมุทรสาคร</t>
  </si>
  <si>
    <t>0040465</t>
  </si>
  <si>
    <t>ธ. กสิกรไทย จำกัด (มหาชน) สาขา ติวานนท์ 8</t>
  </si>
  <si>
    <t>0040466</t>
  </si>
  <si>
    <t>ธ. กสิกรไทย จำกัด (มหาชน) สาขา ถนนมิตรภาพ ขอนแก่น</t>
  </si>
  <si>
    <t>0040467</t>
  </si>
  <si>
    <t>ธ. กสิกรไทย จำกัด (มหาชน) สาขา ด่านขุนทด</t>
  </si>
  <si>
    <t>0040468</t>
  </si>
  <si>
    <t>ธ. กสิกรไทย จำกัด (มหาชน) สาขา หนองบัวลำภู</t>
  </si>
  <si>
    <t>0040469</t>
  </si>
  <si>
    <t>ธ. กสิกรไทย จำกัด (มหาชน) สาขา วังน้อย</t>
  </si>
  <si>
    <t>0040470</t>
  </si>
  <si>
    <t>ธ. กสิกรไทย จำกัด (มหาชน) สาขา ถนนแจ้งวัฒนะ</t>
  </si>
  <si>
    <t>0040471</t>
  </si>
  <si>
    <t>ธ. กสิกรไทย จำกัด (มหาชน) สาขา ถนนสุเทพ เชียงใหม่</t>
  </si>
  <si>
    <t>0040472</t>
  </si>
  <si>
    <t>ธ. กสิกรไทย จำกัด (มหาชน) สาขา หนองแค</t>
  </si>
  <si>
    <t>0040473</t>
  </si>
  <si>
    <t>ธ. กสิกรไทย จำกัด (มหาชน) สาขา ย่อยตลาดเทศบาลตราด</t>
  </si>
  <si>
    <t>0040474</t>
  </si>
  <si>
    <t>ธ. กสิกรไทย จำกัด (มหาชน) สาขา ถนนเพชรเกษม นครปฐม</t>
  </si>
  <si>
    <t>0040475</t>
  </si>
  <si>
    <t>ธ. กสิกรไทย จำกัด (มหาชน) สาขา ฟิวเจอร์ พาร์ค รังสิต</t>
  </si>
  <si>
    <t>0040476</t>
  </si>
  <si>
    <t>ธ. กสิกรไทย จำกัด (มหาชน) สาขา สี่แยกแสงเพชร สุราษฎร์ธานี</t>
  </si>
  <si>
    <t>0040477</t>
  </si>
  <si>
    <t>ธ. กสิกรไทย จำกัด (มหาชน) สาขา บางวัว</t>
  </si>
  <si>
    <t>0040478</t>
  </si>
  <si>
    <t>ธ. กสิกรไทย จำกัด (มหาชน) สาขา ลาดหลุมแก้ว</t>
  </si>
  <si>
    <t>0040479</t>
  </si>
  <si>
    <t>ธ. กสิกรไทย จำกัด (มหาชน) สาขา พระสมุทรเจดีย์</t>
  </si>
  <si>
    <t>0040480</t>
  </si>
  <si>
    <t>ธ. กสิกรไทย จำกัด (มหาชน) สาขา ปากพนัง</t>
  </si>
  <si>
    <t>0040481</t>
  </si>
  <si>
    <t>ธ. กสิกรไทย จำกัด (มหาชน) สาขา ถนนสุขุมวิท นาเกลือ</t>
  </si>
  <si>
    <t>0040482</t>
  </si>
  <si>
    <t>ธ. กสิกรไทย จำกัด (มหาชน) สาขา เซ็นทรัลเฟสติวัล ภูเก็ต</t>
  </si>
  <si>
    <t>0040483</t>
  </si>
  <si>
    <t>ธ. กสิกรไทย จำกัด (มหาชน) สาขา เมืองทองธานี</t>
  </si>
  <si>
    <t>0040484</t>
  </si>
  <si>
    <t>ธ. กสิกรไทย จำกัด (มหาชน) สาขา ตลาดไท</t>
  </si>
  <si>
    <t>0040485</t>
  </si>
  <si>
    <t>ธ. กสิกรไทย จำกัด (มหาชน) สาขา หัวหิน มาร์เก็ต วิลเลจ</t>
  </si>
  <si>
    <t>0040486</t>
  </si>
  <si>
    <t>ธ. กสิกรไทย จำกัด (มหาชน) สาขา เชิงทะเล ภูเก็ต</t>
  </si>
  <si>
    <t>0040487</t>
  </si>
  <si>
    <t>ธ. กสิกรไทย จำกัด (มหาชน) สาขา ถนนชายหาดพัทยา</t>
  </si>
  <si>
    <t>0040488</t>
  </si>
  <si>
    <t>ธ. กสิกรไทย จำกัด (มหาชน) สาขา โรบินสัน นครศรีธรรมราช</t>
  </si>
  <si>
    <t>0040489</t>
  </si>
  <si>
    <t>ธ. กสิกรไทย จำกัด (มหาชน) สาขา สามกอง ภูเก็ต</t>
  </si>
  <si>
    <t>0040490</t>
  </si>
  <si>
    <t>ธ. กสิกรไทย จำกัด (มหาชน) สาขา ถนนกิ่งแก้ว สมุทรปราการ</t>
  </si>
  <si>
    <t>0040491</t>
  </si>
  <si>
    <t>ธ. กสิกรไทย จำกัด (มหาชน) สาขา บ้านแอนด์บียอนด์ ขอนแก่น</t>
  </si>
  <si>
    <t>0040492</t>
  </si>
  <si>
    <t>ธ. กสิกรไทย จำกัด (มหาชน) สาขา เนินพลับหวาน ชลบุรี</t>
  </si>
  <si>
    <t>0040493</t>
  </si>
  <si>
    <t>ธ. กสิกรไทย จำกัด (มหาชน) สาขา ดอนหัวฬ่อ (อมตะนคร ชลบุรี)</t>
  </si>
  <si>
    <t>0040494</t>
  </si>
  <si>
    <t>ธ. กสิกรไทย จำกัด (มหาชน) สาขา ห้าแยกฉลอง ภูเก็ต</t>
  </si>
  <si>
    <t>0040495</t>
  </si>
  <si>
    <t>ธ. กสิกรไทย จำกัด (มหาชน) สาขา กระทุ่มแบน สมุทรสาคร</t>
  </si>
  <si>
    <t>0040496</t>
  </si>
  <si>
    <t>ธ. กสิกรไทย จำกัด (มหาชน) สาขา สี่แยกบางกุ้ง สุราษฎร์ธานี</t>
  </si>
  <si>
    <t>0040497</t>
  </si>
  <si>
    <t>ธ. กสิกรไทย จำกัด (มหาชน) สาขา บิ๊กซี ระยอง</t>
  </si>
  <si>
    <t>0040498</t>
  </si>
  <si>
    <t>ธ. กสิกรไทย จำกัด (มหาชน) สาขา โลตัส อยุธยา</t>
  </si>
  <si>
    <t>0040499</t>
  </si>
  <si>
    <t>ธ. กสิกรไทย จำกัด (มหาชน) สาขา ตลาดประตูเชียงใหม่</t>
  </si>
  <si>
    <t>0040500</t>
  </si>
  <si>
    <t>ธ. กสิกรไทย จำกัด (มหาชน) สาขา กาดฝรั่ง เชียงใหม่</t>
  </si>
  <si>
    <t>0040501</t>
  </si>
  <si>
    <t>ธ. กสิกรไทย จำกัด (มหาชน) สาขา นิคมอุตสาหกรรมลำพูน</t>
  </si>
  <si>
    <t>0040502</t>
  </si>
  <si>
    <t>ธ. กสิกรไทย จำกัด (มหาชน) สาขา เฉวง เกาะสมุย</t>
  </si>
  <si>
    <t>0040503</t>
  </si>
  <si>
    <t>ธ. กสิกรไทย จำกัด (มหาชน) สาขา ถนนเลียบชายหาดจอมเทียน</t>
  </si>
  <si>
    <t>0040504</t>
  </si>
  <si>
    <t>ธ. กสิกรไทย จำกัด (มหาชน) สาขา ตลาดโรงเกลือ อรัญประเทศ</t>
  </si>
  <si>
    <t>0040505</t>
  </si>
  <si>
    <t>ธ. กสิกรไทย จำกัด (มหาชน) สาขา สวนอุตสาหกรรมโรจนะ</t>
  </si>
  <si>
    <t>0040506</t>
  </si>
  <si>
    <t>ธ. กสิกรไทย จำกัด (มหาชน) สาขา บิ๊กซี ลพบุรี</t>
  </si>
  <si>
    <t>0040507</t>
  </si>
  <si>
    <t>ธ. กสิกรไทย จำกัด (มหาชน) สาขา แก่งคอย สระบุรี</t>
  </si>
  <si>
    <t>0040508</t>
  </si>
  <si>
    <t>ธ. กสิกรไทย จำกัด (มหาชน) สาขา ถนนเอกชัย-โพธิ์แจ้</t>
  </si>
  <si>
    <t>0040509</t>
  </si>
  <si>
    <t>ธ. กสิกรไทย จำกัด (มหาชน) สาขา พานทอง ชลบุรี</t>
  </si>
  <si>
    <t>0040510</t>
  </si>
  <si>
    <t>ธ. กสิกรไทย จำกัด (มหาชน) สาขา ซอยบัวขาว พัทยา</t>
  </si>
  <si>
    <t>0040511</t>
  </si>
  <si>
    <t>ธ. กสิกรไทย จำกัด (มหาชน) สาขา ถนนนิมมานเหมินท์ เชียงใหม่</t>
  </si>
  <si>
    <t>0040512</t>
  </si>
  <si>
    <t>ธ. กสิกรไทย จำกัด (มหาชน) สาขา เซ็นทรัลพลาซา อุดรธานี</t>
  </si>
  <si>
    <t>0040513</t>
  </si>
  <si>
    <t>ธ. กสิกรไทย จำกัด (มหาชน) สาขา รอยัล การ์เด้น พลาซ่า พัทยา</t>
  </si>
  <si>
    <t>0040514</t>
  </si>
  <si>
    <t>ธ. กสิกรไทย จำกัด (มหาชน) สาขา ถนนสุขุมวิท พัทยา</t>
  </si>
  <si>
    <t>0040515</t>
  </si>
  <si>
    <t>ธ. กสิกรไทย จำกัด (มหาชน) สาขา แม่น้ำ เกาะสมุย</t>
  </si>
  <si>
    <t>0040516</t>
  </si>
  <si>
    <t>ธ. กสิกรไทย จำกัด (มหาชน) สาขา ตลาดปฐมมงคล นครปฐม</t>
  </si>
  <si>
    <t>0040517</t>
  </si>
  <si>
    <t>ธ. กสิกรไทย จำกัด (มหาชน) สาขา ช่องเขา-มอ. หาดใหญ่</t>
  </si>
  <si>
    <t>0040518</t>
  </si>
  <si>
    <t>ธ. กสิกรไทย จำกัด (มหาชน) สาขา บิ๊กซี ราชบุรี</t>
  </si>
  <si>
    <t>0040519</t>
  </si>
  <si>
    <t>ธ. กสิกรไทย จำกัด (มหาชน) สาขา ถนนเทพารักษ์ กม.16</t>
  </si>
  <si>
    <t>0040520</t>
  </si>
  <si>
    <t>ธ. กสิกรไทย จำกัด (มหาชน) สาขา นิคมอุตสาหกรรม 304</t>
  </si>
  <si>
    <t>0040521</t>
  </si>
  <si>
    <t>ธ. กสิกรไทย จำกัด (มหาชน) สาขา บ่อวิน ชลบุรี</t>
  </si>
  <si>
    <t>0040522</t>
  </si>
  <si>
    <t>ธ. กสิกรไทย จำกัด (มหาชน) สาขา จอหอ นครราชสีมา</t>
  </si>
  <si>
    <t>0040523</t>
  </si>
  <si>
    <t>ธ. กสิกรไทย จำกัด (มหาชน) สาขา บิ๊กซี ลำลูกกา</t>
  </si>
  <si>
    <t>0040524</t>
  </si>
  <si>
    <t>ธ. กสิกรไทย จำกัด (มหาชน) สาขา ตลาดองค์พระปฐมเจดีย์</t>
  </si>
  <si>
    <t>0040525</t>
  </si>
  <si>
    <t>ธ. กสิกรไทย จำกัด (มหาชน) สาขา เฉวง 2 เกาะสมุย</t>
  </si>
  <si>
    <t>0040526</t>
  </si>
  <si>
    <t>ธ. กสิกรไทย จำกัด (มหาชน) สาขา โรบินสัน ศรีราชา</t>
  </si>
  <si>
    <t>0040527</t>
  </si>
  <si>
    <t>ธ. กสิกรไทย จำกัด (มหาชน) สาขา บางบัวทอง</t>
  </si>
  <si>
    <t>0040528</t>
  </si>
  <si>
    <t>ธ. กสิกรไทย จำกัด (มหาชน) สาขา โรบินสัน จันทบุรี</t>
  </si>
  <si>
    <t>0040529</t>
  </si>
  <si>
    <t>ธ. กสิกรไทย จำกัด (มหาชน) สาขา อ่าวนาง กระบี่</t>
  </si>
  <si>
    <t>0040530</t>
  </si>
  <si>
    <t>ธ. กสิกรไทย จำกัด (มหาชน) สาขา แพชชั่น ช้อปปิ้ง ระยอง</t>
  </si>
  <si>
    <t>0040531</t>
  </si>
  <si>
    <t>ธ. กสิกรไทย จำกัด (มหาชน) สาขา ฮาร์เบอร์ มอลล์ แหลมฉบัง</t>
  </si>
  <si>
    <t>0040532</t>
  </si>
  <si>
    <t>ธ. กสิกรไทย จำกัด (มหาชน) สาขา จังซีลอน ภูเก็ต</t>
  </si>
  <si>
    <t>0040533</t>
  </si>
  <si>
    <t>ธ. กสิกรไทย จำกัด (มหาชน) สาขา โลตัส พัทยาใต้</t>
  </si>
  <si>
    <t>0040534</t>
  </si>
  <si>
    <t>ธ. กสิกรไทย จำกัด (มหาชน) สาขา ดำเนินสะดวก</t>
  </si>
  <si>
    <t>0040535</t>
  </si>
  <si>
    <t>ธ. กสิกรไทย จำกัด (มหาชน) สาขา เฉวง 3 เกาะสมุย (ลีฟวิ่ง พลาซ่า)</t>
  </si>
  <si>
    <t>0040536</t>
  </si>
  <si>
    <t>ธ. กสิกรไทย จำกัด (มหาชน) สาขา เทสโก้ โลตัส ปทุมธานี</t>
  </si>
  <si>
    <t>0040537</t>
  </si>
  <si>
    <t>ธ. กสิกรไทย จำกัด (มหาชน) สาขา อาคารปลอดอากร สุวรรณภูมิ</t>
  </si>
  <si>
    <t>0040538</t>
  </si>
  <si>
    <t>ธ. กสิกรไทย จำกัด (มหาชน) สาขา ถลาง ภูเก็ต</t>
  </si>
  <si>
    <t>0040541</t>
  </si>
  <si>
    <t>ธ. กสิกรไทย จำกัด (มหาชน) สาขา โรบินสัน ตรัง</t>
  </si>
  <si>
    <t>0040542</t>
  </si>
  <si>
    <t xml:space="preserve">ธ. กสิกรไทย จำกัด (มหาชน) </t>
  </si>
  <si>
    <t>0040543</t>
  </si>
  <si>
    <t>ธ. กสิกรไทย จำกัด (มหาชน) สาขา ถนนรัถการ หาดใหญ่</t>
  </si>
  <si>
    <t>0040544</t>
  </si>
  <si>
    <t>ธ. กสิกรไทย จำกัด (มหาชน) สาขา นิคมอุตสาหกรรมอีสเทิร์นซีบอร์ดระยอง</t>
  </si>
  <si>
    <t>0040545</t>
  </si>
  <si>
    <t>ธ. กสิกรไทย จำกัด (มหาชน) สาขา บิ๊กซี ชลบุรี 2 (แยกอ่างศิลา)</t>
  </si>
  <si>
    <t>0040546</t>
  </si>
  <si>
    <t>ธ. กสิกรไทย จำกัด (มหาชน) สาขา ดิ อเวนิว พัทยา</t>
  </si>
  <si>
    <t>0040547</t>
  </si>
  <si>
    <t>ธ. กสิกรไทย จำกัด (มหาชน) สาขา นิคมอุตสาหกรรมอมตะซิตี้ ระยอง</t>
  </si>
  <si>
    <t>0040548</t>
  </si>
  <si>
    <t>ธ. กสิกรไทย จำกัด (มหาชน) สาขา บิ๊กซี หางดง</t>
  </si>
  <si>
    <t>0040549</t>
  </si>
  <si>
    <t>ธ. กสิกรไทย จำกัด (มหาชน) สาขา มหาวิทยาลัยขอนแก่น</t>
  </si>
  <si>
    <t>0040550</t>
  </si>
  <si>
    <t>ธ. กสิกรไทย จำกัด (มหาชน) สาขา หาดกะตะ ภูเก็ต</t>
  </si>
  <si>
    <t>0040551</t>
  </si>
  <si>
    <t>ธ. กสิกรไทย จำกัด (มหาชน) สาขา เกาะช้าง</t>
  </si>
  <si>
    <t>0040552</t>
  </si>
  <si>
    <t>ธ. กสิกรไทย จำกัด (มหาชน) สาขา เกาะพะงัน</t>
  </si>
  <si>
    <t>0040553</t>
  </si>
  <si>
    <t>ธ. กสิกรไทย จำกัด (มหาชน) สาขา ถนนกาญจนวณิชย์ หาดใหญ่</t>
  </si>
  <si>
    <t>0040554</t>
  </si>
  <si>
    <t>ธ. กสิกรไทย จำกัด (มหาชน) สาขา มหาวิทยาลัยนเรศวร</t>
  </si>
  <si>
    <t>0040555</t>
  </si>
  <si>
    <t>ธ. กสิกรไทย จำกัด (มหาชน) สาขา ถนนเอกชัย สมุทรสาคร</t>
  </si>
  <si>
    <t>0040556</t>
  </si>
  <si>
    <t>ธ. กสิกรไทย จำกัด (มหาชน) สาขา โลตัส สุราษฎร์ธานี</t>
  </si>
  <si>
    <t>0040557</t>
  </si>
  <si>
    <t>ธ. กสิกรไทย จำกัด (มหาชน) สาขา มหาวิทยาลัยเชียงใหม่</t>
  </si>
  <si>
    <t>0040558</t>
  </si>
  <si>
    <t>ธ. กสิกรไทย จำกัด (มหาชน) สาขา บิ๊กซี อยุธยา</t>
  </si>
  <si>
    <t>0040559</t>
  </si>
  <si>
    <t>ธ. กสิกรไทย จำกัด (มหาชน) สาขา ท่าน้ำนนทบุรี</t>
  </si>
  <si>
    <t>0040560</t>
  </si>
  <si>
    <t>ธ. กสิกรไทย จำกัด (มหาชน) สาขา ตลาดนิคมอุตสาหกรรมบางปู</t>
  </si>
  <si>
    <t>0040561</t>
  </si>
  <si>
    <t>ธ. กสิกรไทย จำกัด (มหาชน) สาขา ถนนพระยาสัจจา ชลบุรี</t>
  </si>
  <si>
    <t>0040562</t>
  </si>
  <si>
    <t>ธ. กสิกรไทย จำกัด (มหาชน) สาขา เทสโก้ โลตัส นวนคร</t>
  </si>
  <si>
    <t>0040563</t>
  </si>
  <si>
    <t>ธ. กสิกรไทย จำกัด (มหาชน) สาขา บิ๊กซี รังสิตคลอง 6</t>
  </si>
  <si>
    <t>0040564</t>
  </si>
  <si>
    <t>ธ. กสิกรไทย จำกัด (มหาชน) สาขา เยส บางพลี</t>
  </si>
  <si>
    <t>0040565</t>
  </si>
  <si>
    <t>ธ. กสิกรไทย จำกัด (มหาชน) สาขา ถนนพระรามที่ 2 สมุทรสาคร</t>
  </si>
  <si>
    <t>0040566</t>
  </si>
  <si>
    <t>ธ. กสิกรไทย จำกัด (มหาชน) สาขา เขาหลัก พังงา</t>
  </si>
  <si>
    <t>0040567</t>
  </si>
  <si>
    <t>ธ. กสิกรไทย จำกัด (มหาชน) สาขา ถนนพัทยา-นาเกลือ</t>
  </si>
  <si>
    <t>0040568</t>
  </si>
  <si>
    <t>ธ. กสิกรไทย จำกัด (มหาชน) สาขา โลตัส รังสิต</t>
  </si>
  <si>
    <t>0040569</t>
  </si>
  <si>
    <t>ธ. กสิกรไทย จำกัด (มหาชน) สาขา โลตัส รังสิตคลอง 7</t>
  </si>
  <si>
    <t>0040570</t>
  </si>
  <si>
    <t>ธ. กสิกรไทย จำกัด (มหาชน) สาขา บิ๊กซี ฉะเชิงเทรา 2 (ถนนศรีโสธร)</t>
  </si>
  <si>
    <t>0040571</t>
  </si>
  <si>
    <t>ธ. กสิกรไทย จำกัด (มหาชน) สาขา สุขุมวิท 107</t>
  </si>
  <si>
    <t>0040572</t>
  </si>
  <si>
    <t>ธ. กสิกรไทย จำกัด (มหาชน) สาขา บิ๊กซี บางใหญ่</t>
  </si>
  <si>
    <t>0040573</t>
  </si>
  <si>
    <t>ธ. กสิกรไทย จำกัด (มหาชน) สาขา โลตัส วัดลาดปลาดุก</t>
  </si>
  <si>
    <t>0040574</t>
  </si>
  <si>
    <t>ธ. กสิกรไทย จำกัด (มหาชน) สาขา โลตัส เจ้าฟ้า ภูเก็ต</t>
  </si>
  <si>
    <t>0040575</t>
  </si>
  <si>
    <t>ธ. กสิกรไทย จำกัด (มหาชน) สาขา เซ็นทรัล แจ้งวัฒนะ</t>
  </si>
  <si>
    <t>0040576</t>
  </si>
  <si>
    <t>ธ. กสิกรไทย จำกัด (มหาชน) สาขา เทสโก้ โลตัส พัทยาเหนือ</t>
  </si>
  <si>
    <t>0040577</t>
  </si>
  <si>
    <t>ธ. กสิกรไทย จำกัด (มหาชน) สาขา ขุขันธ์</t>
  </si>
  <si>
    <t>0040578</t>
  </si>
  <si>
    <t>ธ. กสิกรไทย จำกัด (มหาชน) สาขา ศาลายา</t>
  </si>
  <si>
    <t>0040579</t>
  </si>
  <si>
    <t>ธ. กสิกรไทย จำกัด (มหาชน) สาขา ตลาดฉัตร์ไชย หัวหิน</t>
  </si>
  <si>
    <t>0040580</t>
  </si>
  <si>
    <t>ธ. กสิกรไทย จำกัด (มหาชน) สาขา ท่าเรือ อยุธยา</t>
  </si>
  <si>
    <t>0040581</t>
  </si>
  <si>
    <t>ธ. กสิกรไทย จำกัด (มหาชน) สาขา บิ๊กซี นครสวรรค์ (วี-สแควร์)</t>
  </si>
  <si>
    <t>0040582</t>
  </si>
  <si>
    <t>ธ. กสิกรไทย จำกัด (มหาชน) สาขา โลตัส รัตนาธิเบศร์</t>
  </si>
  <si>
    <t>0040583</t>
  </si>
  <si>
    <t>ธ. กสิกรไทย จำกัด (มหาชน) สาขา บิ๊กซี แจ้งวัฒนะ 2 (แยกปากเกร็ด)</t>
  </si>
  <si>
    <t>0040584</t>
  </si>
  <si>
    <t>ธ. กสิกรไทย จำกัด (มหาชน) สาขา เซ็นทรัลเฟสติวัล พัทยา บีช</t>
  </si>
  <si>
    <t>0040585</t>
  </si>
  <si>
    <t>ธ. กสิกรไทย จำกัด (มหาชน) สาขา โลตัส ศรีนครินทร์</t>
  </si>
  <si>
    <t>0040586</t>
  </si>
  <si>
    <t>ธ. กสิกรไทย จำกัด (มหาชน) สาขา บิ๊กซี อ้อมใหญ่</t>
  </si>
  <si>
    <t>0040587</t>
  </si>
  <si>
    <t>ธ. กสิกรไทย จำกัด (มหาชน) สาขา โลตัส คำเที่ยง เชียงใหม่</t>
  </si>
  <si>
    <t>0040588</t>
  </si>
  <si>
    <t>ธ. กสิกรไทย จำกัด (มหาชน) สาขา โลตัส ราไวย์ ภูเก็ต</t>
  </si>
  <si>
    <t>0040589</t>
  </si>
  <si>
    <t>ธ. กสิกรไทย จำกัด (มหาชน) สาขา โลตัส กระบี่</t>
  </si>
  <si>
    <t>0040590</t>
  </si>
  <si>
    <t>ธ. กสิกรไทย จำกัด (มหาชน) สาขา โลตัส ภูเก็ต</t>
  </si>
  <si>
    <t>0040591</t>
  </si>
  <si>
    <t>ธ. กสิกรไทย จำกัด (มหาชน) สาขา พันท้ายนรสิงห์ สมุทรสาคร</t>
  </si>
  <si>
    <t>0040592</t>
  </si>
  <si>
    <t>ธ. กสิกรไทย จำกัด (มหาชน) สาขา ถนนบางขันธ์-คลองหลวง</t>
  </si>
  <si>
    <t>0040593</t>
  </si>
  <si>
    <t>ธ. กสิกรไทย จำกัด (มหาชน) สาขา สำนักแจ้งวัฒนะ เมืองทองธานี</t>
  </si>
  <si>
    <t>0040594</t>
  </si>
  <si>
    <t>ธ. กสิกรไทย จำกัด (มหาชน) สาขา ตลาดบ้านเพ ระยอง</t>
  </si>
  <si>
    <t>0040595</t>
  </si>
  <si>
    <t>ธ. กสิกรไทย จำกัด (มหาชน) สาขา โลตัส นครศรีธรรมราช</t>
  </si>
  <si>
    <t>0040596</t>
  </si>
  <si>
    <t>ธ. กสิกรไทย จำกัด (มหาชน) สาขา ถนนประชานุเคราะห์ หาดป่าตอง</t>
  </si>
  <si>
    <t>0040597</t>
  </si>
  <si>
    <t>ธ. กสิกรไทย จำกัด (มหาชน) สาขา ตลาดนิคมอุตสาหกรรมบางปะอิน</t>
  </si>
  <si>
    <t>0040598</t>
  </si>
  <si>
    <t>ธ. กสิกรไทย จำกัด (มหาชน) สาขา บิ๊กซี สมุทรปราการ</t>
  </si>
  <si>
    <t>0040599</t>
  </si>
  <si>
    <t>ธ. กสิกรไทย จำกัด (มหาชน) สาขา พรอมเมนาดา เชียงใหม่</t>
  </si>
  <si>
    <t>0040600</t>
  </si>
  <si>
    <t>ธ. กสิกรไทย จำกัด (มหาชน) สาขา ถนนสุขุมวิท 55 (ซอยทองหล่อ 20)</t>
  </si>
  <si>
    <t>0040601</t>
  </si>
  <si>
    <t>ธ. กสิกรไทย จำกัด (มหาชน) สาขา ลาดพร้าว 71</t>
  </si>
  <si>
    <t>0040602</t>
  </si>
  <si>
    <t>ธ. กสิกรไทย จำกัด (มหาชน) สาขา สีลม ซอย 22</t>
  </si>
  <si>
    <t>0040603</t>
  </si>
  <si>
    <t>ธ. กสิกรไทย จำกัด (มหาชน) สาขา ซอยคู้บอน</t>
  </si>
  <si>
    <t>0040604</t>
  </si>
  <si>
    <t>ธ. กสิกรไทย จำกัด (มหาชน) สาขา เซ็นทรัล บางนา</t>
  </si>
  <si>
    <t>0040605</t>
  </si>
  <si>
    <t>ธ. กสิกรไทย จำกัด (มหาชน) สาขา ถนนมังกร</t>
  </si>
  <si>
    <t>0040606</t>
  </si>
  <si>
    <t>ธ. กสิกรไทย จำกัด (มหาชน) สาขา ท่าน้ำราชวงศ์</t>
  </si>
  <si>
    <t>0040607</t>
  </si>
  <si>
    <t>ธ. กสิกรไทย จำกัด (มหาชน) สาขา สุขุมวิท 15</t>
  </si>
  <si>
    <t>0040608</t>
  </si>
  <si>
    <t>ธ. กสิกรไทย จำกัด (มหาชน) สาขา ถนนนราธิวาสราชนครินทร์</t>
  </si>
  <si>
    <t>0040609</t>
  </si>
  <si>
    <t>ธ. กสิกรไทย จำกัด (มหาชน) สาขา ศรีวรา ทาวน์อินทาวน์</t>
  </si>
  <si>
    <t>0040610</t>
  </si>
  <si>
    <t>ธ. กสิกรไทย จำกัด (มหาชน) สาขา ฟิวเจอร์ พาร์ค รังสิต 2</t>
  </si>
  <si>
    <t>0040611</t>
  </si>
  <si>
    <t>ธ. กสิกรไทย จำกัด (มหาชน) สาขา สุขุมวิท 21 (อาคารเสริมมิตร)</t>
  </si>
  <si>
    <t>0040612</t>
  </si>
  <si>
    <t>ธ. กสิกรไทย จำกัด (มหาชน) สาขา การบินไทย</t>
  </si>
  <si>
    <t>0040613</t>
  </si>
  <si>
    <t>ธ. กสิกรไทย จำกัด (มหาชน) สาขา ประดิษฐ์มนูธรรม</t>
  </si>
  <si>
    <t>0040614</t>
  </si>
  <si>
    <t>ธ. กสิกรไทย จำกัด (มหาชน) สาขา ตลาดวงศกร สายไหม</t>
  </si>
  <si>
    <t>0040615</t>
  </si>
  <si>
    <t>ธ. กสิกรไทย จำกัด (มหาชน) สาขา สวนมะลิ</t>
  </si>
  <si>
    <t>0040616</t>
  </si>
  <si>
    <t>ธ. กสิกรไทย จำกัด (มหาชน) สาขา สาทร สแควร์</t>
  </si>
  <si>
    <t>0040617</t>
  </si>
  <si>
    <t>ธ. กสิกรไทย จำกัด (มหาชน) สาขา ออลซีซั่นส์ เพลส</t>
  </si>
  <si>
    <t>0040618</t>
  </si>
  <si>
    <t>ธ. กสิกรไทย จำกัด (มหาชน) สาขา คลองถม</t>
  </si>
  <si>
    <t>0040619</t>
  </si>
  <si>
    <t>ธ. กสิกรไทย จำกัด (มหาชน) สาขา บิ๊กซีพระรามที่สอง2(การเคหะธนบุรี3)</t>
  </si>
  <si>
    <t>0040620</t>
  </si>
  <si>
    <t>ธ. กสิกรไทย จำกัด (มหาชน) สาขา ซีพี ทาวเวอร์</t>
  </si>
  <si>
    <t>0040621</t>
  </si>
  <si>
    <t>ธ. กสิกรไทย จำกัด (มหาชน) สาขา โลตัส นิชดาธานี</t>
  </si>
  <si>
    <t>0040622</t>
  </si>
  <si>
    <t>ธ. กสิกรไทย จำกัด (มหาชน) สาขา พันธุ์ทิพย์ พลาซ่า</t>
  </si>
  <si>
    <t>0040623</t>
  </si>
  <si>
    <t>ธ. กสิกรไทย จำกัด (มหาชน) สาขา โรงพยาบาลจุฬาลงกรณ์</t>
  </si>
  <si>
    <t>0040624</t>
  </si>
  <si>
    <t>ธ. กสิกรไทย จำกัด (มหาชน) สาขา เจริญกรุง</t>
  </si>
  <si>
    <t>0040625</t>
  </si>
  <si>
    <t>ธ. กสิกรไทย จำกัด (มหาชน) สาขา แพลทินั่ม แฟชั่นมอลล์</t>
  </si>
  <si>
    <t>0040626</t>
  </si>
  <si>
    <t>ธ. กสิกรไทย จำกัด (มหาชน) สาขา ถนนข้าวสาร</t>
  </si>
  <si>
    <t>0040627</t>
  </si>
  <si>
    <t>ธ. กสิกรไทย จำกัด (มหาชน) สาขา ดิ อเวนิว รัชโยธิน</t>
  </si>
  <si>
    <t>0040628</t>
  </si>
  <si>
    <t>ธ. กสิกรไทย จำกัด (มหาชน) สาขา พาราไดซ์ พาร์ค</t>
  </si>
  <si>
    <t>0040629</t>
  </si>
  <si>
    <t>ธ. กสิกรไทย จำกัด (มหาชน) สาขา ฟอร์จูนทาวน์</t>
  </si>
  <si>
    <t>0040630</t>
  </si>
  <si>
    <t>ธ. กสิกรไทย จำกัด (มหาชน) สาขา จามจุรี สแควร์</t>
  </si>
  <si>
    <t>0040631</t>
  </si>
  <si>
    <t>ธ. กสิกรไทย จำกัด (มหาชน) สาขา สถาบันเทคโนโลยีพระจอมเกล้าฯลาดกระบั</t>
  </si>
  <si>
    <t>0040632</t>
  </si>
  <si>
    <t>ธ. กสิกรไทย จำกัด (มหาชน) สาขา บิ๊กซี ดอนเมือง</t>
  </si>
  <si>
    <t>0040633</t>
  </si>
  <si>
    <t>ธ. กสิกรไทย จำกัด (มหาชน) สาขา ย่อยลาดพร้าว 92</t>
  </si>
  <si>
    <t>0040634</t>
  </si>
  <si>
    <t>ธ. กสิกรไทย จำกัด (มหาชน) สาขา อาคารจิวเวลรี่เทรดเซ็นเตอร์</t>
  </si>
  <si>
    <t>0040635</t>
  </si>
  <si>
    <t>ธ. กสิกรไทย จำกัด (มหาชน) สาขา ซีคอนสแควร์ 2</t>
  </si>
  <si>
    <t>0040636</t>
  </si>
  <si>
    <t>ธ. กสิกรไทย จำกัด (มหาชน) สาขา บิ๊กซี บางปะกอก</t>
  </si>
  <si>
    <t>0040637</t>
  </si>
  <si>
    <t>ธ. กสิกรไทย จำกัด (มหาชน) สาขา สุขุมวิท 6 (อาคารทูแปซิฟิคเพลส)</t>
  </si>
  <si>
    <t>0040638</t>
  </si>
  <si>
    <t>ธ. กสิกรไทย จำกัด (มหาชน) สาขา ศิริราช</t>
  </si>
  <si>
    <t>0040639</t>
  </si>
  <si>
    <t>ธ. กสิกรไทย จำกัด (มหาชน) สาขา สุขุมวิท 18 (เอ็กเชน ทาวเวอร์)</t>
  </si>
  <si>
    <t>0040640</t>
  </si>
  <si>
    <t>ธ. กสิกรไทย จำกัด (มหาชน) สาขา โลตัส วังหิน</t>
  </si>
  <si>
    <t>0040641</t>
  </si>
  <si>
    <t>ธ. กสิกรไทย จำกัด (มหาชน) สาขา ศูนย์ราชการเฉลิมพระเกียรติ(อาคาร B)</t>
  </si>
  <si>
    <t>0040642</t>
  </si>
  <si>
    <t>ธ. กสิกรไทย จำกัด (มหาชน) สาขา สุขุมวิท 23 (อาคารอินเตอร์ เชนจ)</t>
  </si>
  <si>
    <t>0040643</t>
  </si>
  <si>
    <t>ธ. กสิกรไทย จำกัด (มหาชน) สาขา ศูนย์ราชการเฉลิมพระเกียรติ (อาคาร A</t>
  </si>
  <si>
    <t>0040644</t>
  </si>
  <si>
    <t>ธ. กสิกรไทย จำกัด (มหาชน) สาขา โลตัส ทาวน์อินทาวน์</t>
  </si>
  <si>
    <t>0040645</t>
  </si>
  <si>
    <t>ธ. กสิกรไทย จำกัด (มหาชน) สาขา มหาวิทยาลัยธรรมศาสตร์ท่าพระจันทร์</t>
  </si>
  <si>
    <t>0040646</t>
  </si>
  <si>
    <t>ธ. กสิกรไทย จำกัด (มหาชน) สาขา เอ็มไพร์ทาวเวอร์</t>
  </si>
  <si>
    <t>0040647</t>
  </si>
  <si>
    <t>ธ. กสิกรไทย จำกัด (มหาชน) สาขา เออร์เบิน สแควร์ (ประชาชื่น 12)</t>
  </si>
  <si>
    <t>0040648</t>
  </si>
  <si>
    <t>ธ. กสิกรไทย จำกัด (มหาชน) สาขา โลตัส สุขุมวิท 101/1</t>
  </si>
  <si>
    <t>0040649</t>
  </si>
  <si>
    <t>ธ. กสิกรไทย จำกัด (มหาชน) สาขา โลตัส เพชรเกษม 81</t>
  </si>
  <si>
    <t>0040650</t>
  </si>
  <si>
    <t>ธ. กสิกรไทย จำกัด (มหาชน) สาขา เคพาร์ค สาขาถ.สายไหม56(ปตท.ซุปเปอร์</t>
  </si>
  <si>
    <t>0040651</t>
  </si>
  <si>
    <t>ธ. กสิกรไทย จำกัด (มหาชน) สาขา โลตัส รามอินทรา 109</t>
  </si>
  <si>
    <t>0040652</t>
  </si>
  <si>
    <t>ธ. กสิกรไทย จำกัด (มหาชน) สาขา บิ๊กซี หาดใหญ่ 2 (ถนนเพชรเกษม)</t>
  </si>
  <si>
    <t>0040653</t>
  </si>
  <si>
    <t>ธ. กสิกรไทย จำกัด (มหาชน) สาขา บางพระ ชลบุรี</t>
  </si>
  <si>
    <t>0040654</t>
  </si>
  <si>
    <t>ธ. กสิกรไทย จำกัด (มหาชน) สาขา โลตัส ลำลูกกา (คลอง 6)</t>
  </si>
  <si>
    <t>0040655</t>
  </si>
  <si>
    <t>ธ. กสิกรไทย จำกัด (มหาชน) สาขา ถนนราชพฤกษ์ (ปตท.ประดับดาว)</t>
  </si>
  <si>
    <t>0040656</t>
  </si>
  <si>
    <t>ธ. กสิกรไทย จำกัด (มหาชน) สาขา ตลาดโรงโป๊ะ ชลบุรี</t>
  </si>
  <si>
    <t>0040657</t>
  </si>
  <si>
    <t>ธ. กสิกรไทย จำกัด (มหาชน) สาขา บิ๊กซี ร่มเกล้า</t>
  </si>
  <si>
    <t>0040658</t>
  </si>
  <si>
    <t>ธ. กสิกรไทย จำกัด (มหาชน) สาขา สีคิ้ว นครราชสีมา</t>
  </si>
  <si>
    <t>0040659</t>
  </si>
  <si>
    <t>ธ. กสิกรไทย จำกัด (มหาชน) สาขา โลตัส ปากช่อง</t>
  </si>
  <si>
    <t>0040660</t>
  </si>
  <si>
    <t>ธ. กสิกรไทย จำกัด (มหาชน) สาขา บิ๊กซี บางบอน</t>
  </si>
  <si>
    <t>0040661</t>
  </si>
  <si>
    <t>ธ. กสิกรไทย จำกัด (มหาชน) สาขา บิ๊กซี ลำพูน</t>
  </si>
  <si>
    <t>0040662</t>
  </si>
  <si>
    <t>ธ. กสิกรไทย จำกัด (มหาชน) สาขา บิ๊กซี ประชาอุทิศ</t>
  </si>
  <si>
    <t>0040663</t>
  </si>
  <si>
    <t>ธ. กสิกรไทย จำกัด (มหาชน) สาขา เซ็นทรัลเฟสติวัล เชียงใหม่</t>
  </si>
  <si>
    <t>0040664</t>
  </si>
  <si>
    <t>ธ. กสิกรไทย จำกัด (มหาชน) สาขา เซ็นทรัล บางนา 2</t>
  </si>
  <si>
    <t>0040665</t>
  </si>
  <si>
    <t>ธ. กสิกรไทย จำกัด (มหาชน) สาขา เดอะไนน์ เซ็นเตอร์ พระราม 9</t>
  </si>
  <si>
    <t>0040666</t>
  </si>
  <si>
    <t>ธ. กสิกรไทย จำกัด (มหาชน) สาขา ถนนเทพกระษัตรี ภูเก็ต</t>
  </si>
  <si>
    <t>0040667</t>
  </si>
  <si>
    <t>ธ. กสิกรไทย จำกัด (มหาชน) สาขา สุขุมวิท 1 (บำรุงราษฎร์)</t>
  </si>
  <si>
    <t>0040668</t>
  </si>
  <si>
    <t>ธ. กสิกรไทย จำกัด (มหาชน) สาขา คลองแงะ</t>
  </si>
  <si>
    <t>0040669</t>
  </si>
  <si>
    <t>ธ. กสิกรไทย จำกัด (มหาชน) สาขา พาน เชียงราย</t>
  </si>
  <si>
    <t>0040670</t>
  </si>
  <si>
    <t>ธ. กสิกรไทย จำกัด (มหาชน) สาขา ซอยเจริญราษฎร์ 7</t>
  </si>
  <si>
    <t>0040671</t>
  </si>
  <si>
    <t>ธ. กสิกรไทย จำกัด (มหาชน) สาขา ซอยวิภาวดีรังสิต 2 (หอการค้า)</t>
  </si>
  <si>
    <t>0040672</t>
  </si>
  <si>
    <t>ธ. กสิกรไทย จำกัด (มหาชน) สาขา แม่สาย 2</t>
  </si>
  <si>
    <t>0040673</t>
  </si>
  <si>
    <t>ธ. กสิกรไทย จำกัด (มหาชน) สาขา เซ็นทรัลพลาซา ชลบุรี</t>
  </si>
  <si>
    <t>0040674</t>
  </si>
  <si>
    <t>ธ. กสิกรไทย จำกัด (มหาชน) สาขา โลตัส ขอนแก่น</t>
  </si>
  <si>
    <t>0040675</t>
  </si>
  <si>
    <t>ธ. กสิกรไทย จำกัด (มหาชน) สาขา เอ็นมาร์ค พลาซ่า บางกะปิ</t>
  </si>
  <si>
    <t>0040676</t>
  </si>
  <si>
    <t>ธ. กสิกรไทย จำกัด (มหาชน) สาขา โคลีเซี่ยม สุราษฎร์ธานี</t>
  </si>
  <si>
    <t>0040677</t>
  </si>
  <si>
    <t>ธ. กสิกรไทย จำกัด (มหาชน) สาขา ตลาดมีนบุรี</t>
  </si>
  <si>
    <t>0040678</t>
  </si>
  <si>
    <t>ธ. กสิกรไทย จำกัด (มหาชน) สาขา นวนคร 2</t>
  </si>
  <si>
    <t>0040679</t>
  </si>
  <si>
    <t>ธ. กสิกรไทย จำกัด (มหาชน) สาขา นวมินทร์ ซิตี้ อเวนิว</t>
  </si>
  <si>
    <t>0040680</t>
  </si>
  <si>
    <t>ธ. กสิกรไทย จำกัด (มหาชน) สาขา อัศวรรณ ช้อปปิ้ง คอมเพล็กซ์</t>
  </si>
  <si>
    <t>0040681</t>
  </si>
  <si>
    <t>ธ. กสิกรไทย จำกัด (มหาชน) สาขา สาทร (เซนต์หลุยส์ 3)</t>
  </si>
  <si>
    <t>0040682</t>
  </si>
  <si>
    <t>ธ. กสิกรไทย จำกัด (มหาชน) สาขา ปาย</t>
  </si>
  <si>
    <t>0040683</t>
  </si>
  <si>
    <t>ธ. กสิกรไทย จำกัด (มหาชน) สาขา บ้านแอนด์บียอนด์ ราชพฤกษ์</t>
  </si>
  <si>
    <t>0040684</t>
  </si>
  <si>
    <t>ธ. กสิกรไทย จำกัด (มหาชน) สาขา ตลาดเอซี ลำลูกกา (คลอง 4)</t>
  </si>
  <si>
    <t>0040685</t>
  </si>
  <si>
    <t>ธ. กสิกรไทย จำกัด (มหาชน) สาขา สุนีย์ทาวเวอร์ อุบลราชธานี</t>
  </si>
  <si>
    <t>0040686</t>
  </si>
  <si>
    <t>ธ. กสิกรไทย จำกัด (มหาชน) สาขา มาร์เก็ต วิลเลจ สุวรรณภูมิ</t>
  </si>
  <si>
    <t>0040687</t>
  </si>
  <si>
    <t>ธ. กสิกรไทย จำกัด (มหาชน) สาขา ท็อปส์ มาร์เก็ตเพลส สีลม</t>
  </si>
  <si>
    <t>0040688</t>
  </si>
  <si>
    <t>ธ. กสิกรไทย จำกัด (มหาชน) สาขา ตลาดเทศบาลตราด</t>
  </si>
  <si>
    <t>0040689</t>
  </si>
  <si>
    <t>ธ. กสิกรไทย จำกัด (มหาชน) สาขา รามคำแหง 2</t>
  </si>
  <si>
    <t>0040690</t>
  </si>
  <si>
    <t>ธ. กสิกรไทย จำกัด (มหาชน) สาขา โลตัส สุทธิสาร</t>
  </si>
  <si>
    <t>0040691</t>
  </si>
  <si>
    <t>ธ. กสิกรไทย จำกัด (มหาชน) สาขา บิ๊กซี รัชดาภิเษก</t>
  </si>
  <si>
    <t>0040692</t>
  </si>
  <si>
    <t>ธ. กสิกรไทย จำกัด (มหาชน) สาขา เทสโก้ โลตัส อุตรดิตถ์</t>
  </si>
  <si>
    <t>0040693</t>
  </si>
  <si>
    <t>ธ. กสิกรไทย จำกัด (มหาชน) สาขา โลตัส ลำลูกกา (คลอง 2)</t>
  </si>
  <si>
    <t>0040694</t>
  </si>
  <si>
    <t>ธ. กสิกรไทย จำกัด (มหาชน) สาขา มหาวิทยาลัยเกษตรศาสตร์ บางเขน</t>
  </si>
  <si>
    <t>0040695</t>
  </si>
  <si>
    <t>ธ. กสิกรไทย จำกัด (มหาชน) สาขา แม็คโคร จรัญสนิทวงศ์</t>
  </si>
  <si>
    <t>0040696</t>
  </si>
  <si>
    <t>ธ. กสิกรไทย จำกัด (มหาชน) สาขา อาคารซันทาวเวอร์ส</t>
  </si>
  <si>
    <t>0040697</t>
  </si>
  <si>
    <t>ธ. กสิกรไทย จำกัด (มหาชน) สาขา พันธุ์ทิพย์ งามวงศ์วาน</t>
  </si>
  <si>
    <t>0040698</t>
  </si>
  <si>
    <t>ธ. กสิกรไทย จำกัด (มหาชน) สาขา บิ๊กซี พระรามที่ 2 (ท่าข้าม)</t>
  </si>
  <si>
    <t>0040699</t>
  </si>
  <si>
    <t>ธ. กสิกรไทย จำกัด (มหาชน) สาขา แหลมทอง บางแสน</t>
  </si>
  <si>
    <t>0040700</t>
  </si>
  <si>
    <t>ธ. กสิกรไทย จำกัด (มหาชน) สาขา เทสโก้ โลตัส อมตะนคร ชลบุรี</t>
  </si>
  <si>
    <t>0040701</t>
  </si>
  <si>
    <t>ธ. กสิกรไทย จำกัด (มหาชน) สาขา ย่อยการบินไทย</t>
  </si>
  <si>
    <t>0040702</t>
  </si>
  <si>
    <t>ธ. กสิกรไทย จำกัด (มหาชน) สาขา เอ็ม บี เค เซ็นเตอร์</t>
  </si>
  <si>
    <t>0040703</t>
  </si>
  <si>
    <t>ธ. กสิกรไทย จำกัด (มหาชน) สาขา ดินแดง</t>
  </si>
  <si>
    <t>0040704</t>
  </si>
  <si>
    <t>ธ. กสิกรไทย จำกัด (มหาชน) สาขา วัดไทร</t>
  </si>
  <si>
    <t>0040705</t>
  </si>
  <si>
    <t>ธ. กสิกรไทย จำกัด (มหาชน) สาขา ถนนประชาอุทิศ</t>
  </si>
  <si>
    <t>0040706</t>
  </si>
  <si>
    <t>ธ. กสิกรไทย จำกัด (มหาชน) สาขา ปิ่นเกล้า</t>
  </si>
  <si>
    <t>0040707</t>
  </si>
  <si>
    <t>ธ. กสิกรไทย จำกัด (มหาชน) สาขา ถนนรัชดาภิเษก (ตากสิน-ท่าพระ)</t>
  </si>
  <si>
    <t>0040708</t>
  </si>
  <si>
    <t>ธ. กสิกรไทย จำกัด (มหาชน) สาขา ตลาดพัฒนาการ</t>
  </si>
  <si>
    <t>0040709</t>
  </si>
  <si>
    <t>ธ. กสิกรไทย จำกัด (มหาชน) สาขา ปาร์คเวนเชอร์</t>
  </si>
  <si>
    <t>0040710</t>
  </si>
  <si>
    <t>ธ. กสิกรไทย จำกัด (มหาชน) สาขา โลตัส พระรามที่ 4</t>
  </si>
  <si>
    <t>0040711</t>
  </si>
  <si>
    <t>ธ. กสิกรไทย จำกัด (มหาชน) สาขา ถนนพระรามที่ 2</t>
  </si>
  <si>
    <t>0040712</t>
  </si>
  <si>
    <t>ธ. กสิกรไทย จำกัด (มหาชน) สาขา กล้วยน้ำไท</t>
  </si>
  <si>
    <t>0040713</t>
  </si>
  <si>
    <t>ธ. กสิกรไทย จำกัด (มหาชน) สาขา ถนนพระรามที่ 9</t>
  </si>
  <si>
    <t>0040714</t>
  </si>
  <si>
    <t>ธ. กสิกรไทย จำกัด (มหาชน) สาขา ถนนศรีอยุธยา</t>
  </si>
  <si>
    <t>0040715</t>
  </si>
  <si>
    <t>ธ. กสิกรไทย จำกัด (มหาชน) สาขา ถนนจันทน์</t>
  </si>
  <si>
    <t>0040716</t>
  </si>
  <si>
    <t>ธ. กสิกรไทย จำกัด (มหาชน) สาขา สุขาภิบาล 1 (บางบอน)</t>
  </si>
  <si>
    <t>0040717</t>
  </si>
  <si>
    <t>ธ. กสิกรไทย จำกัด (มหาชน) สาขา ถนนสิรินธร</t>
  </si>
  <si>
    <t>0040718</t>
  </si>
  <si>
    <t>ธ. กสิกรไทย จำกัด (มหาชน) สาขา ถนนรัชดาภิเษก (สุขุมวิท-พระรามที่ 4</t>
  </si>
  <si>
    <t>0040719</t>
  </si>
  <si>
    <t>ธ. กสิกรไทย จำกัด (มหาชน) สาขา ซอยอุดมสุข</t>
  </si>
  <si>
    <t>0040720</t>
  </si>
  <si>
    <t>ธ. กสิกรไทย จำกัด (มหาชน) สาขา แฟชั่นไอส์แลนด์ รามอินทรา</t>
  </si>
  <si>
    <t>0040721</t>
  </si>
  <si>
    <t>ธ. กสิกรไทย จำกัด (มหาชน) สาขา โชคชัย 4</t>
  </si>
  <si>
    <t>0040722</t>
  </si>
  <si>
    <t>ธ. กสิกรไทย จำกัด (มหาชน) สาขา ราชวัตร</t>
  </si>
  <si>
    <t>0040723</t>
  </si>
  <si>
    <t>ธ. กสิกรไทย จำกัด (มหาชน) สาขา เพชรเกษม 51</t>
  </si>
  <si>
    <t>0040724</t>
  </si>
  <si>
    <t>ธ. กสิกรไทย จำกัด (มหาชน) สาขา ริเวอร์ไซด์ พลาซ่า เจริญนคร</t>
  </si>
  <si>
    <t>0040725</t>
  </si>
  <si>
    <t>ธ. กสิกรไทย จำกัด (มหาชน) สาขา สุวินทวงศ์ หนองจอก</t>
  </si>
  <si>
    <t>0040726</t>
  </si>
  <si>
    <t>ธ. กสิกรไทย จำกัด (มหาชน) สาขา เดอะมอลล์ งามวงศ์วาน</t>
  </si>
  <si>
    <t>0040727</t>
  </si>
  <si>
    <t>ธ. กสิกรไทย จำกัด (มหาชน) สาขา ถนนพัฒนาการ 20</t>
  </si>
  <si>
    <t>0040728</t>
  </si>
  <si>
    <t>ธ. กสิกรไทย จำกัด (มหาชน) สาขา วงแหวนรอบนอก (เอกชัย-บางบอน)</t>
  </si>
  <si>
    <t>0040729</t>
  </si>
  <si>
    <t>ธ. กสิกรไทย จำกัด (มหาชน) สาขา ซอยแฉล้มนิมิตร (ประดู่ 1)</t>
  </si>
  <si>
    <t>0040730</t>
  </si>
  <si>
    <t>ธ. กสิกรไทย จำกัด (มหาชน) สาขา เซ็นทรัล ลาดพร้าว</t>
  </si>
  <si>
    <t>0040731</t>
  </si>
  <si>
    <t>ธ. กสิกรไทย จำกัด (มหาชน) สาขา เมกาบางนา 2</t>
  </si>
  <si>
    <t>0040732</t>
  </si>
  <si>
    <t>ธ. กสิกรไทย จำกัด (มหาชน) สาขา เดอะมอลล์ บางกะปิ</t>
  </si>
  <si>
    <t>0040733</t>
  </si>
  <si>
    <t>ธ. กสิกรไทย จำกัด (มหาชน) สาขา เทียมร่วมมิตร</t>
  </si>
  <si>
    <t>0040734</t>
  </si>
  <si>
    <t>ธ. กสิกรไทย จำกัด (มหาชน) สาขา ถนนสุขุมวิท 55 (ซอยทองหล่อ 9)</t>
  </si>
  <si>
    <t>0040735</t>
  </si>
  <si>
    <t>ธ. กสิกรไทย จำกัด (มหาชน) สาขา ถนนรามคำแหง 151</t>
  </si>
  <si>
    <t>0040736</t>
  </si>
  <si>
    <t>ธ. กสิกรไทย จำกัด (มหาชน) สาขา ถนนรามคำแหง</t>
  </si>
  <si>
    <t>0040737</t>
  </si>
  <si>
    <t>ธ. กสิกรไทย จำกัด (มหาชน) สาขา ประชานิเวศน์ 1</t>
  </si>
  <si>
    <t>0040738</t>
  </si>
  <si>
    <t>ธ. กสิกรไทย จำกัด (มหาชน) สาขา สยามพารากอน</t>
  </si>
  <si>
    <t>0040739</t>
  </si>
  <si>
    <t>ธ. กสิกรไทย จำกัด (มหาชน) สาขา ถนนศรีนครินทร์ กม.9</t>
  </si>
  <si>
    <t>0040740</t>
  </si>
  <si>
    <t>ธ. กสิกรไทย จำกัด (มหาชน) สาขา ถนนวุฒากาศ</t>
  </si>
  <si>
    <t>0040741</t>
  </si>
  <si>
    <t>ธ. กสิกรไทย จำกัด (มหาชน) สาขา บ้านก้ามปู แอท อโศก</t>
  </si>
  <si>
    <t>0040742</t>
  </si>
  <si>
    <t>ธ. กสิกรไทย จำกัด (มหาชน) สาขา บิ๊กซีราษฎร์บูรณะ</t>
  </si>
  <si>
    <t>0040743</t>
  </si>
  <si>
    <t>ธ. กสิกรไทย จำกัด (มหาชน) สาขา เซ็นทรัล พระรามที่ 2</t>
  </si>
  <si>
    <t>0040744</t>
  </si>
  <si>
    <t>ธ. กสิกรไทย จำกัด (มหาชน) สาขา อนุสาวรีย์ชัยสมรภูมิ</t>
  </si>
  <si>
    <t>0040745</t>
  </si>
  <si>
    <t>ธ. กสิกรไทย จำกัด (มหาชน) สาขา สำนักราษฎร์บูรณะ</t>
  </si>
  <si>
    <t>0040746</t>
  </si>
  <si>
    <t>ธ. กสิกรไทย จำกัด (มหาชน) สาขา อ่อนนุช 39</t>
  </si>
  <si>
    <t>0040747</t>
  </si>
  <si>
    <t>ธ. กสิกรไทย จำกัด (มหาชน) สาขา สี่แยกถนนจันทน์-เลียบคลองช่องนนทรี</t>
  </si>
  <si>
    <t>0040748</t>
  </si>
  <si>
    <t>ธ. กสิกรไทย จำกัด (มหาชน) สาขา เซ็นทรัล พระรามที่ 3</t>
  </si>
  <si>
    <t>0040749</t>
  </si>
  <si>
    <t>ธ. กสิกรไทย จำกัด (มหาชน) สาขา ถนนพาณิชยการธนบุรี</t>
  </si>
  <si>
    <t>0040750</t>
  </si>
  <si>
    <t>ธ. กสิกรไทย จำกัด (มหาชน) สาขา เตาปูน</t>
  </si>
  <si>
    <t>0040751</t>
  </si>
  <si>
    <t>ธ. กสิกรไทย จำกัด (มหาชน) สาขา เดอะมอลล์ บางแค</t>
  </si>
  <si>
    <t>0040752</t>
  </si>
  <si>
    <t>ธ. กสิกรไทย จำกัด (มหาชน) สาขา ลาดพร้าว 10</t>
  </si>
  <si>
    <t>0040753</t>
  </si>
  <si>
    <t>ธ. กสิกรไทย จำกัด (มหาชน) สาขา บางขุนนนท์</t>
  </si>
  <si>
    <t>0040754</t>
  </si>
  <si>
    <t>ธ. กสิกรไทย จำกัด (มหาชน) สาขา ถนนเจริญรัถ</t>
  </si>
  <si>
    <t>0040755</t>
  </si>
  <si>
    <t>ธ. กสิกรไทย จำกัด (มหาชน) สาขา ถนนเจริญนคร 36</t>
  </si>
  <si>
    <t>0040756</t>
  </si>
  <si>
    <t>ธ. กสิกรไทย จำกัด (มหาชน) สาขา ทุ่งครุ</t>
  </si>
  <si>
    <t>0040757</t>
  </si>
  <si>
    <t>ธ. กสิกรไทย จำกัด (มหาชน) สาขา สี่แยกวังหิน</t>
  </si>
  <si>
    <t>0040758</t>
  </si>
  <si>
    <t>ธ. กสิกรไทย จำกัด (มหาชน) สาขา เซ็นทรัล ปิ่นเกล้า</t>
  </si>
  <si>
    <t>0040759</t>
  </si>
  <si>
    <t>ธ. กสิกรไทย จำกัด (มหาชน) สาขา ถนนหลานหลวง</t>
  </si>
  <si>
    <t>0040760</t>
  </si>
  <si>
    <t>ธ. กสิกรไทย จำกัด (มหาชน) สาขา ประเวศ</t>
  </si>
  <si>
    <t>0040761</t>
  </si>
  <si>
    <t>ธ. กสิกรไทย จำกัด (มหาชน) สาขา ช่องนนทรี</t>
  </si>
  <si>
    <t>0040762</t>
  </si>
  <si>
    <t>ธ. กสิกรไทย จำกัด (มหาชน) สาขา ไอที สแควร์</t>
  </si>
  <si>
    <t>0040763</t>
  </si>
  <si>
    <t>ธ. กสิกรไทย จำกัด (มหาชน) สาขา ยูเนี่ยน มอลล์ ลาดพร้าว</t>
  </si>
  <si>
    <t>0040764</t>
  </si>
  <si>
    <t>ธ. กสิกรไทย จำกัด (มหาชน) สาขา ถนนเพชรบุรีตัดใหม่ (อิตัลไทย ทาวเวอ</t>
  </si>
  <si>
    <t>0040765</t>
  </si>
  <si>
    <t>ธ. กสิกรไทย จำกัด (มหาชน) สาขา เดอะมอลล์ ท่าพระ</t>
  </si>
  <si>
    <t>0040766</t>
  </si>
  <si>
    <t>ธ. กสิกรไทย จำกัด (มหาชน) สาขา ถนนรัชดาภิเษก 15</t>
  </si>
  <si>
    <t>0040767</t>
  </si>
  <si>
    <t>ธ. กสิกรไทย จำกัด (มหาชน) สาขา เซฟ-อี พุทธมณฑล สาย 2 (ปิ่นเกล้า)</t>
  </si>
  <si>
    <t>0040768</t>
  </si>
  <si>
    <t>ธ. กสิกรไทย จำกัด (มหาชน) สาขา เทสโก้ โลตัส พระรามที่ 1</t>
  </si>
  <si>
    <t>0040769</t>
  </si>
  <si>
    <t>ธ. กสิกรไทย จำกัด (มหาชน) สาขา จตุจักรพลาซ่า</t>
  </si>
  <si>
    <t>0040770</t>
  </si>
  <si>
    <t>ธ. กสิกรไทย จำกัด (มหาชน) สาขา บิ๊กซี พระรามที่ 4</t>
  </si>
  <si>
    <t>0040771</t>
  </si>
  <si>
    <t>ธ. กสิกรไทย จำกัด (มหาชน) สาขา ถนนเพชรบุรี 17</t>
  </si>
  <si>
    <t>0040772</t>
  </si>
  <si>
    <t>ธ. กสิกรไทย จำกัด (มหาชน) สาขา เซ็นทรัลเวิลด์</t>
  </si>
  <si>
    <t>0040773</t>
  </si>
  <si>
    <t>ธ. กสิกรไทย จำกัด (มหาชน) สาขา โลตัส สุขาภิบาล 1</t>
  </si>
  <si>
    <t>0040774</t>
  </si>
  <si>
    <t>ธ. กสิกรไทย จำกัด (มหาชน) สาขา สี่แยกทศกัณฑ์</t>
  </si>
  <si>
    <t>0040775</t>
  </si>
  <si>
    <t>ธ. กสิกรไทย จำกัด (มหาชน) สาขา โลตัส บางกะปิ</t>
  </si>
  <si>
    <t>0040776</t>
  </si>
  <si>
    <t>ธ. กสิกรไทย จำกัด (มหาชน) สาขา ถนนกาญจนภิเษก บางใหญ่</t>
  </si>
  <si>
    <t>0040777</t>
  </si>
  <si>
    <t>ธ. กสิกรไทย จำกัด (มหาชน) สาขา เอสพละนาด รัชดาภิเษก</t>
  </si>
  <si>
    <t>0040778</t>
  </si>
  <si>
    <t>ธ. กสิกรไทย จำกัด (มหาชน) สาขา สี่แยกเกษตร</t>
  </si>
  <si>
    <t>0040779</t>
  </si>
  <si>
    <t>ธ. กสิกรไทย จำกัด (มหาชน) สาขา วงศ์สว่าง ทาวน์ เซ็นเตอร์</t>
  </si>
  <si>
    <t>0040780</t>
  </si>
  <si>
    <t>ธ. กสิกรไทย จำกัด (มหาชน) สาขา ย่อยสถานีขนส่งสายใต้พุทธมณฑลสาย1</t>
  </si>
  <si>
    <t>0040781</t>
  </si>
  <si>
    <t>ธ. กสิกรไทย จำกัด (มหาชน) สาขา ตลาด อ.ต.ก. (จตุจักร)</t>
  </si>
  <si>
    <t>0040782</t>
  </si>
  <si>
    <t>ธ. กสิกรไทย จำกัด (มหาชน) สาขา ตลาดนัดสวนจตุจักร</t>
  </si>
  <si>
    <t>0040783</t>
  </si>
  <si>
    <t>ธ. กสิกรไทย จำกัด (มหาชน) สาขา โรบินสัน สุพรรณบุรี</t>
  </si>
  <si>
    <t>0040784</t>
  </si>
  <si>
    <t>ธ. กสิกรไทย จำกัด (มหาชน) สาขา สีลม ซอย 1 (อาคารซิลลิค เฮ้าส์)</t>
  </si>
  <si>
    <t>0040785</t>
  </si>
  <si>
    <t>ธ. กสิกรไทย จำกัด (มหาชน) สาขา เพชรเกษม อเวนิว บางแค</t>
  </si>
  <si>
    <t>0040786</t>
  </si>
  <si>
    <t>ธ. กสิกรไทย จำกัด (มหาชน) สาขา เซ็นทรัล ลาดพร้าว 2</t>
  </si>
  <si>
    <t>0040787</t>
  </si>
  <si>
    <t>ธ. กสิกรไทย จำกัด (มหาชน) สาขา เซ็นทรัลเอ็มบาสซี</t>
  </si>
  <si>
    <t>0040788</t>
  </si>
  <si>
    <t>ธ. กสิกรไทย จำกัด (มหาชน) สาขา มันนี่พาร์ค มาบุญครองเซ็นเตอร์</t>
  </si>
  <si>
    <t>0040791</t>
  </si>
  <si>
    <t>ธ. กสิกรไทย จำกัด (มหาชน) สาขา ถนนปทุมธานี-บางเลน (ระแหง)</t>
  </si>
  <si>
    <t>0040792</t>
  </si>
  <si>
    <t>ธ. กสิกรไทย จำกัด (มหาชน) สาขา แม่โจ้</t>
  </si>
  <si>
    <t>0040793</t>
  </si>
  <si>
    <t>ธ. กสิกรไทย จำกัด (มหาชน) สาขา เทสโก้ โลตัส หนองเรือ</t>
  </si>
  <si>
    <t>0040794</t>
  </si>
  <si>
    <t>ธ. กสิกรไทย จำกัด (มหาชน) สาขา เทสโก้ โลตัส สะเดา</t>
  </si>
  <si>
    <t>0040795</t>
  </si>
  <si>
    <t>ธ. กสิกรไทย จำกัด (มหาชน) สาขา เทสโก้ โลตัส สามพราน</t>
  </si>
  <si>
    <t>0040796</t>
  </si>
  <si>
    <t>ธ. กสิกรไทย จำกัด (มหาชน) สาขา ซอยวัชรพล</t>
  </si>
  <si>
    <t>0040797</t>
  </si>
  <si>
    <t>ธ. กสิกรไทย จำกัด (มหาชน) สาขา เซ็นทรัล รามอินทรา</t>
  </si>
  <si>
    <t>0040798</t>
  </si>
  <si>
    <t>ธ. กสิกรไทย จำกัด (มหาชน) สาขา โบ๊เบ๊ ทาวเวอร์</t>
  </si>
  <si>
    <t>0040799</t>
  </si>
  <si>
    <t>0040800</t>
  </si>
  <si>
    <t>ธ. กสิกรไทย จำกัด (มหาชน) สาขา เทสโก้ โลตัส ละไม เกาะสมุย</t>
  </si>
  <si>
    <t>0040801</t>
  </si>
  <si>
    <t>ธ. กสิกรไทย จำกัด (มหาชน) สาขา แฮมบูร์ก</t>
  </si>
  <si>
    <t>0040802</t>
  </si>
  <si>
    <t>ธ. กสิกรไทย จำกัด (มหาชน) สาขา ลอนดอน</t>
  </si>
  <si>
    <t>0040803</t>
  </si>
  <si>
    <t>ธ. กสิกรไทย จำกัด (มหาชน) สาขา นิวยอร์ค</t>
  </si>
  <si>
    <t>0040804</t>
  </si>
  <si>
    <t>ธ. กสิกรไทย จำกัด (มหาชน) สาขา ลอสแอนเจลิส</t>
  </si>
  <si>
    <t>0040805</t>
  </si>
  <si>
    <t>ธ. กสิกรไทย จำกัด (มหาชน) สาขา ฮ่องกง(RLB)</t>
  </si>
  <si>
    <t>0040806</t>
  </si>
  <si>
    <t>ธ. กสิกรไทย จำกัด (มหาชน) สาขา พนมเปญ</t>
  </si>
  <si>
    <t>0040807</t>
  </si>
  <si>
    <t>ธ. กสิกรไทย จำกัด (มหาชน) สาขา นครหลวงเวียงจันทน์</t>
  </si>
  <si>
    <t>0040808</t>
  </si>
  <si>
    <t>ธ. กสิกรไทย จำกัด (มหาชน) สาขา สิงคโปร์</t>
  </si>
  <si>
    <t>0040809</t>
  </si>
  <si>
    <t>ธ. กสิกรไทย จำกัด (มหาชน) สาขา หมู่เกาะเคย์แมน</t>
  </si>
  <si>
    <t>0040810</t>
  </si>
  <si>
    <t>ธ. กสิกรไทย จำกัด (มหาชน) สาขา เซินเจิ้น</t>
  </si>
  <si>
    <t>0040811</t>
  </si>
  <si>
    <t>0040824</t>
  </si>
  <si>
    <t>ธ. กสิกรไทย จำกัด (มหาชน) สาขา อิเล็กทรอนิกส์ (ภายในโรงแรมฉัตรชัย)</t>
  </si>
  <si>
    <t>0040825</t>
  </si>
  <si>
    <t>ธ. กสิกรไทย จำกัด (มหาชน) สาขา ถนนร่มเกล้า 32</t>
  </si>
  <si>
    <t>0040826</t>
  </si>
  <si>
    <t>ธ. กสิกรไทย จำกัด (มหาชน) สาขา อิเล็กทรอนิกส์(ดิ อเวนิว แจ้งวัฒนะ)</t>
  </si>
  <si>
    <t>0040827</t>
  </si>
  <si>
    <t>ธ. กสิกรไทย จำกัด (มหาชน) สาขา บัวใหญ่</t>
  </si>
  <si>
    <t>0040831</t>
  </si>
  <si>
    <t>0040834</t>
  </si>
  <si>
    <t>ธ. กสิกรไทย จำกัด (มหาชน) สาขา สุวรรณภูมิ ร้อยเอ็ด</t>
  </si>
  <si>
    <t>0040835</t>
  </si>
  <si>
    <t>ธ. กสิกรไทย จำกัด (มหาชน) สาขา โชคชัย นครราชสีมา</t>
  </si>
  <si>
    <t>0040836</t>
  </si>
  <si>
    <t>ธ. กสิกรไทย จำกัด (มหาชน) เค พาร์ค สาขา ปตท.ถนนพุทธมณฑล สาย 4</t>
  </si>
  <si>
    <t>0040837</t>
  </si>
  <si>
    <t>ธ. กสิกรไทย จำกัด (มหาชน) สาขา บ้านผือ</t>
  </si>
  <si>
    <t>0040838</t>
  </si>
  <si>
    <t>ธ. กสิกรไทย จำกัด (มหาชน) สาขา เซ็นทรัลพลาซา สุราษฎร์ธานี</t>
  </si>
  <si>
    <t>0040839</t>
  </si>
  <si>
    <t>ธ. กสิกรไทย จำกัด (มหาชน) สาขา กำแพงแสน</t>
  </si>
  <si>
    <t>0040840</t>
  </si>
  <si>
    <t>ธ. กสิกรไทย จำกัด (มหาชน) สาขา อิเล็กทรอนิกส์ซอยสุขุมวิท 11</t>
  </si>
  <si>
    <t>0040841</t>
  </si>
  <si>
    <t>ธ. กสิกรไทย จำกัด (มหาชน) สาขา บางเดื่อ ปทุมธานี</t>
  </si>
  <si>
    <t>0040842</t>
  </si>
  <si>
    <t>ธ. กสิกรไทย จำกัด (มหาชน) สาขา โรงพยาบาลกรุงเทพ</t>
  </si>
  <si>
    <t>0040843</t>
  </si>
  <si>
    <t>ธ. กสิกรไทย จำกัด (มหาชน) สาขา ถนนพุทธมณฑล สาย 5 (ตลาดเสรี)</t>
  </si>
  <si>
    <t>0040844</t>
  </si>
  <si>
    <t>ธ. กสิกรไทย จำกัด (มหาชน) สาขา บิ๊กซี ราชดำริ</t>
  </si>
  <si>
    <t>0040845</t>
  </si>
  <si>
    <t>ธ. กสิกรไทย จำกัด (มหาชน) สาขา เมกาบางนา</t>
  </si>
  <si>
    <t>0040846</t>
  </si>
  <si>
    <t>ธ. กสิกรไทย จำกัด (มหาชน) สาขา นาทวี</t>
  </si>
  <si>
    <t>0040847</t>
  </si>
  <si>
    <t>ธ. กสิกรไทย จำกัด (มหาชน) สาขา เซ็นทรัลพระราม 9</t>
  </si>
  <si>
    <t>0040848</t>
  </si>
  <si>
    <t>ธ. กสิกรไทย จำกัด (มหาชน) สาขา น้ำพอง ขอนแก่น</t>
  </si>
  <si>
    <t>0040849</t>
  </si>
  <si>
    <t>ธ. กสิกรไทย จำกัด (มหาชน) สาขา แม็กซ์แวลู หลักสี่</t>
  </si>
  <si>
    <t>0040850</t>
  </si>
  <si>
    <t>ธ. กสิกรไทย จำกัด (มหาชน) สาขา นิคมอุตสาหกรรมลาดกระบัง</t>
  </si>
  <si>
    <t>0040855</t>
  </si>
  <si>
    <t>ธ. กสิกรไทย จำกัด (มหาชน) สาขา เทสโก้ โลตัส นครปฐม</t>
  </si>
  <si>
    <t>0040856</t>
  </si>
  <si>
    <t>ธ. กสิกรไทย จำกัด (มหาชน) สาขา เทสโก้ โลตัส มีนบุรี</t>
  </si>
  <si>
    <t>0040857</t>
  </si>
  <si>
    <t>ธ. กสิกรไทย จำกัด (มหาชน) สาขา พอร์โต้ ชิโน่ มหาชัย</t>
  </si>
  <si>
    <t>0040858</t>
  </si>
  <si>
    <t>ธ. กสิกรไทย จำกัด (มหาชน) สาขา เทสโก้ โลตัส ลาดพร้าว</t>
  </si>
  <si>
    <t>0040859</t>
  </si>
  <si>
    <t>ธ. กสิกรไทย จำกัด (มหาชน) สาขา เทสโก้ โลตัส นครชัยศรี</t>
  </si>
  <si>
    <t>0040860</t>
  </si>
  <si>
    <t>ธ. กสิกรไทย จำกัด (มหาชน) สาขา เทสโก้ โลตัส พระรามที่ 3</t>
  </si>
  <si>
    <t>0040861</t>
  </si>
  <si>
    <t>ธ. กสิกรไทย จำกัด (มหาชน) สาขา เทสโก้ โลตัส นาดี อุดรธานี</t>
  </si>
  <si>
    <t>0040862</t>
  </si>
  <si>
    <t>ธ. กสิกรไทย จำกัด (มหาชน) สาขา บิ๊กซี เชียงใหม่ 2 (แยกศาลเด็ก)</t>
  </si>
  <si>
    <t>0040863</t>
  </si>
  <si>
    <t>ธ. กสิกรไทย จำกัด (มหาชน) สาขา อิมพีเรียลเวิลด์ สำโรง</t>
  </si>
  <si>
    <t>0040864</t>
  </si>
  <si>
    <t>ธ. กสิกรไทย จำกัด (มหาชน) สาขา บิ๊กซี รามอินทรา</t>
  </si>
  <si>
    <t>0040865</t>
  </si>
  <si>
    <t>ธ. กสิกรไทย จำกัด (มหาชน) สาขา เซ็นทรัลพลาซา เวสต์เกต</t>
  </si>
  <si>
    <t>0040866</t>
  </si>
  <si>
    <t>ธ. กสิกรไทย จำกัด (มหาชน) สาขา เพชรไพบูลย์พลาซ่า เพชรบุรี</t>
  </si>
  <si>
    <t>0040867</t>
  </si>
  <si>
    <t>ธ. กสิกรไทย จำกัด (มหาชน) สาขา เซ็นทรัลพลาซา ลำปาง</t>
  </si>
  <si>
    <t>0040868</t>
  </si>
  <si>
    <t>ธ. กสิกรไทย จำกัด (มหาชน) สาขา บิ๊กซี เพชรเกษม 2 (พุทธมณฑล สาย 3)</t>
  </si>
  <si>
    <t>0040869</t>
  </si>
  <si>
    <t>ธ. กสิกรไทย จำกัด (มหาชน) สาขา เทสโก้ โลตัส บ้านโป่ง</t>
  </si>
  <si>
    <t>0040870</t>
  </si>
  <si>
    <t>ธ. กสิกรไทย จำกัด (มหาชน) สาขา บิ๊กซี พัทยา 3 (พัทยากลาง)</t>
  </si>
  <si>
    <t>0040871</t>
  </si>
  <si>
    <t>ธ. กสิกรไทย จำกัด (มหาชน) สาขา เซ็นทรัลพลาซา ขอนแก่น</t>
  </si>
  <si>
    <t>0040872</t>
  </si>
  <si>
    <t>0040878</t>
  </si>
  <si>
    <t>ธ. กสิกรไทย จำกัด (มหาชน) สาขา ถนนสุขุมวิท 55 (ซอยทองหล่อ 1)</t>
  </si>
  <si>
    <t>0040879</t>
  </si>
  <si>
    <t>ธ. กสิกรไทย จำกัด (มหาชน) สาขาศูนย์ฯสมเด็จพระเทพรัตน์ร.พ.รามาธิบดี</t>
  </si>
  <si>
    <t>0040880</t>
  </si>
  <si>
    <t>ธ. กสิกรไทย จำกัด (มหาชน) สาขา อาคารสำนักงานใหญ่ บมจ. การบินไทย</t>
  </si>
  <si>
    <t>0040881</t>
  </si>
  <si>
    <t>ธ. กสิกรไทย จำกัด (มหาชน) สาขา ลาดพร้าว 101</t>
  </si>
  <si>
    <t>0040882</t>
  </si>
  <si>
    <t>ธ. กสิกรไทย จำกัด (มหาชน) สาขา โลตัส เอ็กเพรส สาขา วิดาภา พาร์ค</t>
  </si>
  <si>
    <t>0040883</t>
  </si>
  <si>
    <t>ธ. กสิกรไทย จำกัด (มหาชน) สาขา ท่าอากาศยานดอนเมือง</t>
  </si>
  <si>
    <t>0040884</t>
  </si>
  <si>
    <t>ธ. กสิกรไทย จำกัด (มหาชน) Electronics (โลตัส เอ็กซ์เพรส คลองจั่น)</t>
  </si>
  <si>
    <t>0040885</t>
  </si>
  <si>
    <t>ธ. กสิกรไทย จำกัด (มหาชน) สาขา โลตัส เอ็กซ์เพรส พรสวรรค์ พลาซ่า</t>
  </si>
  <si>
    <t>0040886</t>
  </si>
  <si>
    <t>ธ. กสิกรไทย จำกัด (มหาชน) สาขา นิคมอุตสาหกรรมอมตะนคร ชลบุรี 2</t>
  </si>
  <si>
    <t>0040887</t>
  </si>
  <si>
    <t>ธ. กสิกรไทย จำกัด (มหาชน) สาขา โพธาราม ราชบุรี</t>
  </si>
  <si>
    <t>0040889</t>
  </si>
  <si>
    <t>ธ. กสิกรไทย จำกัด (มหาชน) สาขา ถนนคอนแวนต์ (ลิเบอร์ตี้สแควร์)</t>
  </si>
  <si>
    <t>0040890</t>
  </si>
  <si>
    <t>ธ. กสิกรไทย จำกัด (มหาชน) สาขา ถนนบางขุนเทียน-ชายทะเล</t>
  </si>
  <si>
    <t>0040891</t>
  </si>
  <si>
    <t>ธ. กสิกรไทย จำกัด (มหาชน) สาขา ตลาดพูนทรัพย์</t>
  </si>
  <si>
    <t>0040892</t>
  </si>
  <si>
    <t>ธ. กสิกรไทย จำกัด (มหาชน) สาขา บิ๊กซี รังสิตคลอง 3</t>
  </si>
  <si>
    <t>0040893</t>
  </si>
  <si>
    <t>ธ. กสิกรไทย จำกัด (มหาชน) สาขา เทสโก้ โลตัส ปิ่นเกล้า</t>
  </si>
  <si>
    <t>0040894</t>
  </si>
  <si>
    <t>ธ. กสิกรไทย จำกัด (มหาชน) สาขา บ้านหม้อ</t>
  </si>
  <si>
    <t>0040895</t>
  </si>
  <si>
    <t>ธ. กสิกรไทย จำกัด (มหาชน) สาขา บิ๊กซี อ่อนนุช</t>
  </si>
  <si>
    <t>0040896</t>
  </si>
  <si>
    <t>ธ. กสิกรไทย จำกัด (มหาชน) สาขา สหไทยพลาซ่า ทุ่งสง</t>
  </si>
  <si>
    <t>0040897</t>
  </si>
  <si>
    <t>ธ. กสิกรไทย จำกัด (มหาชน) สาขา หาดกะรน ภูเก็ต</t>
  </si>
  <si>
    <t>0040902</t>
  </si>
  <si>
    <t>ธ. กสิกรไทย จำกัด (มหาชน) สาขา เกตเวย์ แอท บางซื่อ</t>
  </si>
  <si>
    <t>0040903</t>
  </si>
  <si>
    <t>ธ. กสิกรไทย จำกัด (มหาชน) สาขา ตลาดเมืองทองเจริญศรี อุดรธานี</t>
  </si>
  <si>
    <t>0040904</t>
  </si>
  <si>
    <t>ธ. กสิกรไทย จำกัด (มหาชน) สาขา สำนักงานผู้แทนกรุงปักกิ่ง</t>
  </si>
  <si>
    <t>0040905</t>
  </si>
  <si>
    <t>ธ. กสิกรไทย จำกัด (มหาชน) สาขา สำนักงานผู้แทนเมืองคุนหมิง</t>
  </si>
  <si>
    <t>0040906</t>
  </si>
  <si>
    <t>ธ. กสิกรไทย จำกัด (มหาชน) สาขา สำนักงานผู้แทนนครเซี่ยงไฮ้</t>
  </si>
  <si>
    <t>0040907</t>
  </si>
  <si>
    <t>ธ. กสิกรไทย จำกัด (มหาชน) สาขา หาดกมลา ภูเก็ต</t>
  </si>
  <si>
    <t>0040908</t>
  </si>
  <si>
    <t>ธ. กสิกรไทย จำกัด (มหาชน) สำนักงานผู้แทนนิวยอร์ค</t>
  </si>
  <si>
    <t>0040909</t>
  </si>
  <si>
    <t>ธ. กสิกรไทย จำกัด (มหาชน) สาขา สำนักงานผู้แทนลอนดอน</t>
  </si>
  <si>
    <t>0040910</t>
  </si>
  <si>
    <t>ธ. กสิกรไทย จำกัด (มหาชน) สาขา บิ๊กซี ศรีสะเกษ</t>
  </si>
  <si>
    <t>0040911</t>
  </si>
  <si>
    <t>ธ. กสิกรไทย จำกัด (มหาชน) สาขา สำนักงานผู้แทนกรุงย่างกุ้ง</t>
  </si>
  <si>
    <t>0040913</t>
  </si>
  <si>
    <t>ธ. กสิกรไทย จำกัด (มหาชน) สาขา เสริมไทยคอมเพล็กซ์ มหาสารคาม</t>
  </si>
  <si>
    <t>0040914</t>
  </si>
  <si>
    <t>ธ. กสิกรไทย จำกัด (มหาชน) สาขา เทสโก้ โลตัส แม่สอด</t>
  </si>
  <si>
    <t>0040917</t>
  </si>
  <si>
    <t>0040918</t>
  </si>
  <si>
    <t>0040924</t>
  </si>
  <si>
    <t>ธ. กสิกรไทย จำกัด (มหาชน) สาขาพระแสง</t>
  </si>
  <si>
    <t>0040927</t>
  </si>
  <si>
    <t>ธ. กสิกรไทย จำกัด (มหาชน) สาขา ถนนนาใน หาดป่าตอง</t>
  </si>
  <si>
    <t>0040928</t>
  </si>
  <si>
    <t>ธ. กสิกรไทย จำกัด (มหาชน) สาขา สามแยกบิ๊กซี สุรินทร์</t>
  </si>
  <si>
    <t>0040931</t>
  </si>
  <si>
    <t>ธ. กสิกรไทย จำกัด (มหาชน) สาขา โรบินสัน กาญจนบุรี</t>
  </si>
  <si>
    <t>0040932</t>
  </si>
  <si>
    <t>ธ. กสิกรไทย จำกัด (มหาชน) สาขา ถนนสวนผัก</t>
  </si>
  <si>
    <t>0040933</t>
  </si>
  <si>
    <t>ธ. กสิกรไทย จำกัด (มหาชน) สาขา เทสโก้ โลตัส อรัญประเทศ</t>
  </si>
  <si>
    <t>0040934</t>
  </si>
  <si>
    <t>ธ. กสิกรไทย จำกัด (มหาชน) สาขา สุขุมวิท 11</t>
  </si>
  <si>
    <t>0040936</t>
  </si>
  <si>
    <t>ธ. กสิกรไทย จำกัด (มหาชน) สาขา โรบินสัน สมุทรปราการ</t>
  </si>
  <si>
    <t>0040937</t>
  </si>
  <si>
    <t>ธ. กสิกรไทย จำกัด (มหาชน) สาขา ท่าอากาศยานสุวรรณภูมิ</t>
  </si>
  <si>
    <t>0040940</t>
  </si>
  <si>
    <t>0040941</t>
  </si>
  <si>
    <t>ธ. กสิกรไทย จำกัด (มหาชน) สาขา เทอมินอล 21 โคราช</t>
  </si>
  <si>
    <t>0040943</t>
  </si>
  <si>
    <t>ธ. กสิกรไทย จำกัด (มหาชน) สาขา เอนเนอร์ยี่ คอมเพล็กซ์ (ปตท.)</t>
  </si>
  <si>
    <t>0040944</t>
  </si>
  <si>
    <t>ธ. กสิกรไทย จำกัด (มหาชน) สาขา ถนนนครสวรรค์ มหาสารคาม</t>
  </si>
  <si>
    <t>0040946</t>
  </si>
  <si>
    <t>ธ. กสิกรไทย จำกัด (มหาชน) สาขา เซ็นทรัลพลาซา อุบลราชธานี</t>
  </si>
  <si>
    <t>0040947</t>
  </si>
  <si>
    <t>ธ. กสิกรไทย จำกัด (มหาชน) สาขา เฉิงตู</t>
  </si>
  <si>
    <t>0040948</t>
  </si>
  <si>
    <t>ธ. กสิกรไทย จำกัด (มหาชน) สาขา ถนนลำปาง-แม่ทะ (หน้าราชภัฎลำปาง)</t>
  </si>
  <si>
    <t>0040949</t>
  </si>
  <si>
    <t>ธ. กสิกรไทย จำกัด (มหาชน) สาขา บางเลน นครปฐม</t>
  </si>
  <si>
    <t>0040950</t>
  </si>
  <si>
    <t>ธ. กสิกรไทย จำกัด (มหาชน) สาขา เอ็มควอเทียร์</t>
  </si>
  <si>
    <t>0040951</t>
  </si>
  <si>
    <t>ธ. กสิกรไทย จำกัด (มหาชน) สาขา เซ็นทรัลพลาซา ระยอง</t>
  </si>
  <si>
    <t>0040952</t>
  </si>
  <si>
    <t>ธ. กสิกรไทย จำกัด (มหาชน) สาขา สะพานนนทบุรี</t>
  </si>
  <si>
    <t>0040953</t>
  </si>
  <si>
    <t>ธ. กสิกรไทย จำกัด (มหาชน) สาขา บิ๊กซี น่าน</t>
  </si>
  <si>
    <t>0040954</t>
  </si>
  <si>
    <t>ธ. กสิกรไทย จำกัด (มหาชน) สาขา เทสโก้ โลตัส ประชาชื่น</t>
  </si>
  <si>
    <t>0040955</t>
  </si>
  <si>
    <t>ธ. กสิกรไทย จำกัด (มหาชน) สาขา เซ็นทรัลเฟสติวัล อีสต์วิลล์</t>
  </si>
  <si>
    <t>0040956</t>
  </si>
  <si>
    <t>ธ. กสิกรไทย จำกัด (มหาชน) สาขา ท่าม่วง กาญจนบุรี</t>
  </si>
  <si>
    <t>0040959</t>
  </si>
  <si>
    <t>ธ. กสิกรไทย จำกัด (มหาชน) สาขา ถนนบรมไตรโลกนารถ พิษณุโลก</t>
  </si>
  <si>
    <t>0040960</t>
  </si>
  <si>
    <t>ธ. กสิกรไทย จำกัด (มหาชน) สาขา ถนนลพบุรีราเมศวร์ หาดใหญ่</t>
  </si>
  <si>
    <t>0040962</t>
  </si>
  <si>
    <t>ธ. กสิกรไทย จำกัด (มหาชน) สาขา สำนักงานผู้แทนนครโฮจิมินห์</t>
  </si>
  <si>
    <t>0040963</t>
  </si>
  <si>
    <t>ธ. กสิกรไทย จำกัด (มหาชน) สาขา สำนักงานผู้แทนกรุงฮานอย</t>
  </si>
  <si>
    <t>0040964</t>
  </si>
  <si>
    <t>ธ. กสิกรไทย จำกัด (มหาชน) สาขา สำนักงานผู้แทนกรุงพนมเปญ</t>
  </si>
  <si>
    <t>0040965</t>
  </si>
  <si>
    <t>ธ. กสิกรไทย จำกัด (มหาชน) สาขา อินทราสแควร์ ประตูน้ำ</t>
  </si>
  <si>
    <t>0040966</t>
  </si>
  <si>
    <t>ธ. กสิกรไทย จำกัด (มหาชน) สาขา เทสโก้ โลตัส บ่อวิน</t>
  </si>
  <si>
    <t>0040967</t>
  </si>
  <si>
    <t>ธ. กสิกรไทย จำกัด (มหาชน) สาขาเทสโก้ โลตัส เพชรบูรณ์</t>
  </si>
  <si>
    <t>0040968</t>
  </si>
  <si>
    <t>ธ. กสิกรไทย จำกัด (มหาชน) สาขา บิ๊กซี ลาดพร้าว 2 (ซอย 9)</t>
  </si>
  <si>
    <t>0040969</t>
  </si>
  <si>
    <t>ธ. กสิกรไทย จำกัด (มหาชน) สาขา เทสโก้ โลตัส บางแค</t>
  </si>
  <si>
    <t>0040970</t>
  </si>
  <si>
    <t>ธ. กสิกรไทย จำกัด (มหาชน) สาขา หัวหมาก ทาวน์ เซ็นเตอร์</t>
  </si>
  <si>
    <t>0040971</t>
  </si>
  <si>
    <t>ธ. กสิกรไทย จำกัด (มหาชน) สาขา สุขุมวิท 71</t>
  </si>
  <si>
    <t>0040972</t>
  </si>
  <si>
    <t>ธ. กสิกรไทย จำกัด (มหาชน) สาขา บิ๊กซี มหาชัย</t>
  </si>
  <si>
    <t>0040973</t>
  </si>
  <si>
    <t>ธ. กสิกรไทย จำกัด (มหาชน) สาขา สำนักงานผู้แทนกรุงจาการ์ตา</t>
  </si>
  <si>
    <t>0040978</t>
  </si>
  <si>
    <t>ธ. กสิกรไทย จำกัด (มหาชน) สาขา ถนนเอกชัย-บางบอน</t>
  </si>
  <si>
    <t>0040980</t>
  </si>
  <si>
    <t>ธ. กสิกรไทย จำกัด (มหาชน) สาขา โรบินสัน ศรีสมาน</t>
  </si>
  <si>
    <t>0040981</t>
  </si>
  <si>
    <t>0040982</t>
  </si>
  <si>
    <t>0040983</t>
  </si>
  <si>
    <t>ธ. กสิกรไทย จำกัด (มหาชน) สาขา ถนนกสิกรทุ่งสร้าง ขอนแก่น</t>
  </si>
  <si>
    <t>0040984</t>
  </si>
  <si>
    <t>ธ. กสิกรไทย จำกัด (มหาชน) สาขา ถนนนวลจันทร์</t>
  </si>
  <si>
    <t>0040985</t>
  </si>
  <si>
    <t>ธ. กสิกรไทย จำกัด (มหาชน) สาขา ศาลยุติธรรม</t>
  </si>
  <si>
    <t>0040986</t>
  </si>
  <si>
    <t>ธ. กสิกรไทย จำกัด (มหาชน) สาขา เทสโก้ โลตัล โรจนะ</t>
  </si>
  <si>
    <t>0040987</t>
  </si>
  <si>
    <t>ธ. กสิกรไทย จำกัด (มหาชน) สาขา โรงพยาบาลศิริราช</t>
  </si>
  <si>
    <t>0040988</t>
  </si>
  <si>
    <t>ธ. กสิกรไทย จำกัด (มหาชน) สาขา เอสพลานาด รัตนาธิเบศร์</t>
  </si>
  <si>
    <t>0040989</t>
  </si>
  <si>
    <t>ธ. กสิกรไทย จำกัด (มหาชน) สาขา ถนนอัสสัมชัญ ศรีราชา</t>
  </si>
  <si>
    <t>0040991</t>
  </si>
  <si>
    <t>ธ. กสิกรไทย จำกัด (มหาชน) สาขา เทสโก้ โลตัส ศาลายา</t>
  </si>
  <si>
    <t>0040992</t>
  </si>
  <si>
    <t>ธ. กสิกรไทย จำกัด (มหาชน) สาขา โรบินสัน หาดใหญ่</t>
  </si>
  <si>
    <t>0040993</t>
  </si>
  <si>
    <t>ธ. กสิกรไทย จำกัด (มหาชน) สาขา เทสโก้ โลตัส สุขาภิบาล 3</t>
  </si>
  <si>
    <t>0040994</t>
  </si>
  <si>
    <t>ธ. กสิกรไทย จำกัด (มหาชน) สาขา สัมมากร เพลส รามคำแหง 110</t>
  </si>
  <si>
    <t>0040995</t>
  </si>
  <si>
    <t>ธ. กสิกรไทย จำกัด (มหาชน) สาขา เทสโก้ โลตัส กระทุ่มแบน</t>
  </si>
  <si>
    <t>0040996</t>
  </si>
  <si>
    <t>ธ. กสิกรไทย จำกัด (มหาชน) สาขา คริสตัล ดีไซน์ เซ็นเตอร์</t>
  </si>
  <si>
    <t>0040999</t>
  </si>
  <si>
    <t>0041000</t>
  </si>
  <si>
    <t>ธ. กสิกรไทย จำกัด (มหาชน) สาขา หอการค้าไทย</t>
  </si>
  <si>
    <t>0041001</t>
  </si>
  <si>
    <t>ธ. กสิกรไทย จำกัด (มหาชน) สาขา หมู่บ้านดีเค บางบอน</t>
  </si>
  <si>
    <t>0041002</t>
  </si>
  <si>
    <t>ธ. กสิกรไทย จำกัด (มหาชน) สาขา แอมเวย์</t>
  </si>
  <si>
    <t>0041003</t>
  </si>
  <si>
    <t>ธ. กสิกรไทย จำกัด (มหาชน) สาขา แม่แตง</t>
  </si>
  <si>
    <t>0041004</t>
  </si>
  <si>
    <t>ธ. กสิกรไทย จำกัด (มหาชน) สาขา ถนนรามอินทรา 33</t>
  </si>
  <si>
    <t>0041005</t>
  </si>
  <si>
    <t>ธ. กสิกรไทย จำกัด (มหาชน) สาขา บิ๊กซี นครสวรรค์ 2</t>
  </si>
  <si>
    <t>0041006</t>
  </si>
  <si>
    <t>ธ. กสิกรไทย จำกัด (มหาชน) สาขา สูงเม่น</t>
  </si>
  <si>
    <t>0041007</t>
  </si>
  <si>
    <t>ธ. กสิกรไทย จำกัด (มหาชน) สาขา เทสโก้ โลตัส พิษณุโลก</t>
  </si>
  <si>
    <t>0041008</t>
  </si>
  <si>
    <t>ธ. กสิกรไทย จำกัด (มหาชน) สาขา เซ็นทรัลพลาซา นครราชสีมา</t>
  </si>
  <si>
    <t>0041009</t>
  </si>
  <si>
    <t>ธ. กสิกรไทย จำกัด (มหาชน) สาขา ถนนมุขมนตรี อุดรธานี</t>
  </si>
  <si>
    <t>0041010</t>
  </si>
  <si>
    <t>ธ. กสิกรไทย จำกัด (มหาชน) สาขา ระโนด</t>
  </si>
  <si>
    <t>0041011</t>
  </si>
  <si>
    <t>ธ. กสิกรไทย จำกัด (มหาชน) สาขา โรบินสัน ฉะเชิงเทรา</t>
  </si>
  <si>
    <t>0041012</t>
  </si>
  <si>
    <t>ธ. กสิกรไทย จำกัด (มหาชน) สาขา เทสโก้ โลตัส ชุมพร</t>
  </si>
  <si>
    <t>0041013</t>
  </si>
  <si>
    <t>ธ. กสิกรไทย จำกัด (มหาชน) สาขา เวียงสา</t>
  </si>
  <si>
    <t>0041014</t>
  </si>
  <si>
    <t>ธ. กสิกรไทย จำกัด (มหาชน) สาขา วังไผ่</t>
  </si>
  <si>
    <t>0041015</t>
  </si>
  <si>
    <t>ธ. กสิกรไทย จำกัด (มหาชน) สาขา ห้วยยอด</t>
  </si>
  <si>
    <t>0041016</t>
  </si>
  <si>
    <t>ธ. กสิกรไทย จำกัด (มหาชน) สาขา บิ๊กซี บ้านบึง</t>
  </si>
  <si>
    <t>0041017</t>
  </si>
  <si>
    <t>ธ. กสิกรไทย จำกัด (มหาชน) สาขา ตระการพืชผล</t>
  </si>
  <si>
    <t>0041018</t>
  </si>
  <si>
    <t>ธ. กสิกรไทย จำกัด (มหาชน) สาขา อากาศอำนวย</t>
  </si>
  <si>
    <t>0041019</t>
  </si>
  <si>
    <t>ธ. กสิกรไทย จำกัด (มหาชน) สาขา บิ๊กซี ร้อยเอ็ด</t>
  </si>
  <si>
    <t>0041020</t>
  </si>
  <si>
    <t>ธ. กสิกรไทย จำกัด (มหาชน) สาขา ร่อนพิบูลย์</t>
  </si>
  <si>
    <t>0041021</t>
  </si>
  <si>
    <t>ธ. กสิกรไทย จำกัด (มหาชน) สาขา เทสโก้ โลตัส ชัยนาท</t>
  </si>
  <si>
    <t>0041022</t>
  </si>
  <si>
    <t>ธ. กสิกรไทย จำกัด (มหาชน) สาขา มหาชนะชัย</t>
  </si>
  <si>
    <t>0041023</t>
  </si>
  <si>
    <t>ธ. กสิกรไทย จำกัด (มหาชน) สาขา ยางตลาด</t>
  </si>
  <si>
    <t>0041024</t>
  </si>
  <si>
    <t>ธ. กสิกรไทย จำกัด (มหาชน) สาขา สนามชัยเขต</t>
  </si>
  <si>
    <t>0041025</t>
  </si>
  <si>
    <t>ธ. กสิกรไทย จำกัด (มหาชน) สาขา เทสโก้ โลตัส ท่ายาง</t>
  </si>
  <si>
    <t>0041026</t>
  </si>
  <si>
    <t>ธ. กสิกรไทย จำกัด (มหาชน) สาขา เทสโก้ โลตัส สิงห์บุรี</t>
  </si>
  <si>
    <t>0041027</t>
  </si>
  <si>
    <t>ธ. กสิกรไทย จำกัด (มหาชน) สาขา เทสโก้ โลตัส พนมสารคาม</t>
  </si>
  <si>
    <t>0041028</t>
  </si>
  <si>
    <t>ธ. กสิกรไทย จำกัด (มหาชน) สาขา ปทุมราชวงศา</t>
  </si>
  <si>
    <t>0041029</t>
  </si>
  <si>
    <t>ธ. กสิกรไทย จำกัด (มหาชน) สาขา เทสโก้ โลตัส บ้านหมอ (ท่าลาน)</t>
  </si>
  <si>
    <t>0041030</t>
  </si>
  <si>
    <t>ธ. กสิกรไทย จำกัด (มหาชน) สาขา ปราสาท</t>
  </si>
  <si>
    <t>0041031</t>
  </si>
  <si>
    <t>ธ. กสิกรไทย จำกัด (มหาชน) สาขา ถนนราเมศวร์ พัทลุง</t>
  </si>
  <si>
    <t>0041032</t>
  </si>
  <si>
    <t>ธ. กสิกรไทย จำกัด (มหาชน) สาขา ท่าช้าง จันทบุรี</t>
  </si>
  <si>
    <t>0041033</t>
  </si>
  <si>
    <t>ธ. กสิกรไทย จำกัด (มหาชน) สาขา หนองกี่</t>
  </si>
  <si>
    <t>0041034</t>
  </si>
  <si>
    <t>ธ. กสิกรไทย จำกัด (มหาชน) สาขา เทสโก้ โลตัส หล่มสัก</t>
  </si>
  <si>
    <t>0041035</t>
  </si>
  <si>
    <t>ธ. กสิกรไทย จำกัด (มหาชน) สาขา วานรนิวาส</t>
  </si>
  <si>
    <t>0041036</t>
  </si>
  <si>
    <t>ธ. กสิกรไทย จำกัด (มหาชน) สาขา แฮปปี้ พลาซ่า พิจิตร</t>
  </si>
  <si>
    <t>0041037</t>
  </si>
  <si>
    <t>ธ. กสิกรไทย จำกัด (มหาชน) สาขา บ้านดู่</t>
  </si>
  <si>
    <t>0041038</t>
  </si>
  <si>
    <t>ธ. กสิกรไทย จำกัด (มหาชน) สาขา ด่านซ้าย</t>
  </si>
  <si>
    <t>0041039</t>
  </si>
  <si>
    <t>0041040</t>
  </si>
  <si>
    <t>ธ. กสิกรไทย จำกัด (มหาชน) สาขา ไพศาลี</t>
  </si>
  <si>
    <t>0041041</t>
  </si>
  <si>
    <t>ธ. กสิกรไทย จำกัด (มหาชน) สาขา หนองสองห้อง</t>
  </si>
  <si>
    <t>0041042</t>
  </si>
  <si>
    <t>ธ. กสิกรไทย จำกัด (มหาชน) สาขา เทสโก้ โลตัส วารินชำราบ</t>
  </si>
  <si>
    <t>0041043</t>
  </si>
  <si>
    <t>ธ. กสิกรไทย จำกัด (มหาชน) สาขา โพนพิสัย</t>
  </si>
  <si>
    <t>0041044</t>
  </si>
  <si>
    <t>ธ. กสิกรไทย จำกัด (มหาชน) สาขา เซ็นทรัลพลาซา นครศรีธรรมราช</t>
  </si>
  <si>
    <t>0041045</t>
  </si>
  <si>
    <t>ธ. กสิกรไทย จำกัด (มหาชน) สาขา พัฒนานิคม</t>
  </si>
  <si>
    <t>0041046</t>
  </si>
  <si>
    <t>ธ. กสิกรไทย จำกัด (มหาชน) สาขา ลาดบัวหลวง</t>
  </si>
  <si>
    <t>0041047</t>
  </si>
  <si>
    <t>ธ. กสิกรไทย จำกัด (มหาชน) สาขา เทสโก้ โลตัส คลองหลวง</t>
  </si>
  <si>
    <t>0041048</t>
  </si>
  <si>
    <t>ธ. กสิกรไทย จำกัด (มหาชน) สาขา ขุนหาญ</t>
  </si>
  <si>
    <t>0041049</t>
  </si>
  <si>
    <t>ธ. กสิกรไทย จำกัด (มหาชน) สาขา บิ๊กซี รังสิต (ฟิวเจอร์ พาร์ค)</t>
  </si>
  <si>
    <t>0041050</t>
  </si>
  <si>
    <t>ธ. กสิกรไทย จำกัด (มหาชน) สาขา เทสโก้โลตัสมหาชัย2(ถนนพระรามที่2)</t>
  </si>
  <si>
    <t>0041051</t>
  </si>
  <si>
    <t>ธ. กสิกรไทย จำกัด (มหาชน) สาขา โรบินสัน ปราจีนบุรี</t>
  </si>
  <si>
    <t>0041052</t>
  </si>
  <si>
    <t>ธ. กสิกรไทย จำกัด (มหาชน) สาขา ชุมแสง</t>
  </si>
  <si>
    <t>0041053</t>
  </si>
  <si>
    <t>ธ. กสิกรไทย จำกัด (มหาชน) สาขา หนองหิน</t>
  </si>
  <si>
    <t>0041054</t>
  </si>
  <si>
    <t>ธ. กสิกรไทย จำกัด (มหาชน) สาขา ลำปลายมาศ</t>
  </si>
  <si>
    <t>0041055</t>
  </si>
  <si>
    <t>ธ. กสิกรไทย จำกัด (มหาชน) สาขา ตลาดน้ำโท้ง ลำปาง</t>
  </si>
  <si>
    <t>0041056</t>
  </si>
  <si>
    <t>ธ. กสิกรไทย จำกัด (มหาชน) สาขา เทสโก้ โลตัส ราชบุรี</t>
  </si>
  <si>
    <t>0041057</t>
  </si>
  <si>
    <t>ธ. กสิกรไทย จำกัด (มหาชน) สาขา พิชัย</t>
  </si>
  <si>
    <t>0041058</t>
  </si>
  <si>
    <t>ธ. กสิกรไทย จำกัด (มหาชน) สาขา ศรีประจันต์</t>
  </si>
  <si>
    <t>0041059</t>
  </si>
  <si>
    <t>ธ. กสิกรไทย จำกัด (มหาชน) สาขา ถนนเดชอุดม นครราชสีมา</t>
  </si>
  <si>
    <t>0041060</t>
  </si>
  <si>
    <t>ธ. กสิกรไทย จำกัด (มหาชน) สาขา บิ๊กซี สุพรรณบุรี</t>
  </si>
  <si>
    <t>0041061</t>
  </si>
  <si>
    <t>ธ. กสิกรไทย จำกัด (มหาชน) สาขา ตลาดอุดมสุข กบินทร์บุรี</t>
  </si>
  <si>
    <t>0041062</t>
  </si>
  <si>
    <t>0041063</t>
  </si>
  <si>
    <t>ธ. กสิกรไทย จำกัด (มหาชน) สาขา ราษีไศล</t>
  </si>
  <si>
    <t>0041064</t>
  </si>
  <si>
    <t>ธ. กสิกรไทย จำกัด (มหาชน) สาขา ทุ่งใหญ่</t>
  </si>
  <si>
    <t>0041065</t>
  </si>
  <si>
    <t>ธ. กสิกรไทย จำกัด (มหาชน) สาขา วิเชียรบุรี</t>
  </si>
  <si>
    <t>0041066</t>
  </si>
  <si>
    <t>ธ. กสิกรไทย จำกัด (มหาชน) สาขา โรบินสัน เพชรบุรี</t>
  </si>
  <si>
    <t>0041067</t>
  </si>
  <si>
    <t>ธ. กสิกรไทย จำกัด (มหาชน) สาขา บิ๊กซี สมุทรสงคราม</t>
  </si>
  <si>
    <t>0041068</t>
  </si>
  <si>
    <t>ธ. กสิกรไทย จำกัด (มหาชน) สาขา เทสโก้ โลตัส แกลง</t>
  </si>
  <si>
    <t>0041069</t>
  </si>
  <si>
    <t>ธ. กสิกรไทย จำกัด (มหาชน) สาขา วังม่วง</t>
  </si>
  <si>
    <t>0041070</t>
  </si>
  <si>
    <t>ธ. กสิกรไทย จำกัด (มหาชน) สาขา พบพระ (บ้านซอโอ)</t>
  </si>
  <si>
    <t>0041071</t>
  </si>
  <si>
    <t>ธ. กสิกรไทย จำกัด (มหาชน) สาขา หนองไผ่</t>
  </si>
  <si>
    <t>0041072</t>
  </si>
  <si>
    <t>ธ. กสิกรไทย จำกัด (มหาชน) สาขา เชียงแสน</t>
  </si>
  <si>
    <t>0041073</t>
  </si>
  <si>
    <t>ธ. กสิกรไทย จำกัด (มหาชน) สาขา บิ๊กซี กาญจนบุรี</t>
  </si>
  <si>
    <t>0041074</t>
  </si>
  <si>
    <t>ธ. กสิกรไทย จำกัด (มหาชน) สาขา แสนตุ้ง</t>
  </si>
  <si>
    <t>0041075</t>
  </si>
  <si>
    <t>ธ. กสิกรไทย จำกัด (มหาชน) สาขา ฮอด</t>
  </si>
  <si>
    <t>0041076</t>
  </si>
  <si>
    <t>ธ. กสิกรไทย จำกัด (มหาชน) สาขา ถนนเอกาทศรฐ พิษณุโลก</t>
  </si>
  <si>
    <t>0041077</t>
  </si>
  <si>
    <t>ธ. กสิกรไทย จำกัด (มหาชน) สาขา หนองบัวแดง</t>
  </si>
  <si>
    <t>0041078</t>
  </si>
  <si>
    <t>ธ. กสิกรไทย จำกัด (มหาชน) สาขา ศรีสัชนาลัย</t>
  </si>
  <si>
    <t>0041079</t>
  </si>
  <si>
    <t>ธ. กสิกรไทย จำกัด (มหาชน) สาขา บรบือ</t>
  </si>
  <si>
    <t>0041080</t>
  </si>
  <si>
    <t>0041081</t>
  </si>
  <si>
    <t>ธ. กสิกรไทย จำกัด (มหาชน) สาขา บ้านตาก</t>
  </si>
  <si>
    <t>0041082</t>
  </si>
  <si>
    <t>ธ. กสิกรไทย จำกัด (มหาชน) สาขา เทสโก้ โลตัส โคกกลอย</t>
  </si>
  <si>
    <t>0041083</t>
  </si>
  <si>
    <t>ธ. กสิกรไทย จำกัด (มหาชน) สาขา เทสโก้ โลตัส ขอนแก่น 2</t>
  </si>
  <si>
    <t>0041084</t>
  </si>
  <si>
    <t>ธ. กสิกรไทย จำกัด (มหาชน) สาขา ตลาดหัวรอ อยุธยา</t>
  </si>
  <si>
    <t>0041085</t>
  </si>
  <si>
    <t>ธ. กสิกรไทย จำกัด (มหาชน) สาขา ธาตุพนม</t>
  </si>
  <si>
    <t>0041086</t>
  </si>
  <si>
    <t>ธ. กสิกรไทย จำกัด (มหาชน) สาขา มัญจาคีรี</t>
  </si>
  <si>
    <t>0041087</t>
  </si>
  <si>
    <t>ธ. กสิกรไทย จำกัด (มหาชน) สาขา ไชยา</t>
  </si>
  <si>
    <t>0041088</t>
  </si>
  <si>
    <t>ธ. กสิกรไทย จำกัด (มหาชน) สาขา ถนนสนามบิน (โลตัส ชัยภูมิ)</t>
  </si>
  <si>
    <t>0041089</t>
  </si>
  <si>
    <t>ธ. กสิกรไทย จำกัด (มหาชน) สาขา ตลาดบิ๊กซี อุบลราชธานี</t>
  </si>
  <si>
    <t>0041090</t>
  </si>
  <si>
    <t>ธ. กสิกรไทย จำกัด (มหาชน) สาขา เทสโก้ โลตัส นครนายก</t>
  </si>
  <si>
    <t>0041091</t>
  </si>
  <si>
    <t>ธ. กสิกรไทย จำกัด (มหาชน) สาขา ชุมพวง</t>
  </si>
  <si>
    <t>0041092</t>
  </si>
  <si>
    <t>ธ. กสิกรไทย จำกัด (มหาชน) สาขา บิ๊กซี สตูล</t>
  </si>
  <si>
    <t>0041093</t>
  </si>
  <si>
    <t>ธ. กสิกรไทย จำกัด (มหาชน) สาขา โรบินสัน มุกดาหาร</t>
  </si>
  <si>
    <t>0041094</t>
  </si>
  <si>
    <t>ธ. กสิกรไทย จำกัด (มหาชน) สาขา บิ๊กซี เชียงราย</t>
  </si>
  <si>
    <t>0041095</t>
  </si>
  <si>
    <t>ธ. กสิกรไทย จำกัด (มหาชน) สาขา เชียงดาว</t>
  </si>
  <si>
    <t>0041096</t>
  </si>
  <si>
    <t>ธ. กสิกรไทย จำกัด (มหาชน) สาขา เดอะวอล์ค นครสวรรค์</t>
  </si>
  <si>
    <t>0041097</t>
  </si>
  <si>
    <t>ธ. กสิกรไทย จำกัด (มหาชน) สาขา นายายอาม</t>
  </si>
  <si>
    <t>0041098</t>
  </si>
  <si>
    <t>0041099</t>
  </si>
  <si>
    <t>ธ. กสิกรไทย จำกัด (มหาชน) สาขา ตลาดเจริญเจริญ เชียงใหม่</t>
  </si>
  <si>
    <t>0041100</t>
  </si>
  <si>
    <t>ธ. กสิกรไทย จำกัด (มหาชน) สาขา เพ็ญ</t>
  </si>
  <si>
    <t>0041101</t>
  </si>
  <si>
    <t>ธ. กสิกรไทย จำกัด (มหาชน) สาขา เทสโก้ โลตัส ชลบุรี</t>
  </si>
  <si>
    <t>0041102</t>
  </si>
  <si>
    <t>ธ. กสิกรไทย จำกัด (มหาชน) สาขา บิ๊กซี พิษณุโลก</t>
  </si>
  <si>
    <t>0041103</t>
  </si>
  <si>
    <t>ธ. กสิกรไทย จำกัด (มหาชน) สาขา เทสโก้ โลตัส สงขลา</t>
  </si>
  <si>
    <t>0041104</t>
  </si>
  <si>
    <t>ธ. กสิกรไทย จำกัด (มหาชน) สาขา บิ๊กซี สิชล</t>
  </si>
  <si>
    <t>0041105</t>
  </si>
  <si>
    <t>ธ. กสิกรไทย จำกัด (มหาชน) สาขา เกาะคา</t>
  </si>
  <si>
    <t>0041106</t>
  </si>
  <si>
    <t>ธ. กสิกรไทย จำกัด (มหาชน) สาขา คณะสาธารณสุขศาสตร์ มหาวิทยาลัยมหิดล</t>
  </si>
  <si>
    <t>0041107</t>
  </si>
  <si>
    <t>ธ. กสิกรไทย จำกัด (มหาชน) สาขา เซกา บึงกาฬ</t>
  </si>
  <si>
    <t>0041108</t>
  </si>
  <si>
    <t>ธ. กสิกรไทย จำกัด (มหาชน) สาขา กาญจนดิษฐ์</t>
  </si>
  <si>
    <t>0041109</t>
  </si>
  <si>
    <t>ธ. กสิกรไทย จำกัด (มหาชน) สาขา พรหมคีรี</t>
  </si>
  <si>
    <t>0041110</t>
  </si>
  <si>
    <t>ธ. กสิกรไทย จำกัด (มหาชน) สาขา เสลภูมิ</t>
  </si>
  <si>
    <t>0041111</t>
  </si>
  <si>
    <t>ธ. กสิกรไทย จำกัด (มหาชน) สาขา ท่าตูม</t>
  </si>
  <si>
    <t>0041112</t>
  </si>
  <si>
    <t>ธ. กสิกรไทย จำกัด (มหาชน) สาขา เหนือคลอง กระบี่</t>
  </si>
  <si>
    <t>0041113</t>
  </si>
  <si>
    <t>ธ. กสิกรไทย จำกัด (มหาชน) สาขา สันกำแพง</t>
  </si>
  <si>
    <t>0041114</t>
  </si>
  <si>
    <t>ธ. กสิกรไทย จำกัด (มหาชน) สาขา ยูดี ทาวน์ อุดรธานี</t>
  </si>
  <si>
    <t>0041115</t>
  </si>
  <si>
    <t>ธ. กสิกรไทย จำกัด (มหาชน) สาขา บ้านนาสาร</t>
  </si>
  <si>
    <t>0041116</t>
  </si>
  <si>
    <t>ธ. กสิกรไทย จำกัด (มหาชน) สาขา บิ๊กซี นครพนม</t>
  </si>
  <si>
    <t>0041117</t>
  </si>
  <si>
    <t>ธ. กสิกรไทย จำกัด (มหาชน) สาขา บิ๊กซี ศรีนครินทร์</t>
  </si>
  <si>
    <t>0041118</t>
  </si>
  <si>
    <t>ธ. กสิกรไทย จำกัด (มหาชน) สาขา ไอเพลส แหลมฉบัง</t>
  </si>
  <si>
    <t>0041119</t>
  </si>
  <si>
    <t>ธ. กสิกรไทย จำกัด (มหาชน) สาขา เถิน ลำปาง</t>
  </si>
  <si>
    <t>0041120</t>
  </si>
  <si>
    <t>ธ. กสิกรไทย จำกัด (มหาชน) สาขา ด่านช่องเม็ก</t>
  </si>
  <si>
    <t>0041121</t>
  </si>
  <si>
    <t>ธ. กสิกรไทย จำกัด (มหาชน) สาขา พยัคฆภูมิพิสัย</t>
  </si>
  <si>
    <t>0041122</t>
  </si>
  <si>
    <t>ธ. กสิกรไทย จำกัด (มหาชน) สาขา เทสโก้ โลตัส บางปู</t>
  </si>
  <si>
    <t>0041123</t>
  </si>
  <si>
    <t>ธ. กสิกรไทย จำกัด (มหาชน) สาขา น้ำยืน</t>
  </si>
  <si>
    <t>0041124</t>
  </si>
  <si>
    <t>ธ. กสิกรไทย จำกัด (มหาชน) สาขา เวียงป่าเป้า</t>
  </si>
  <si>
    <t>0041125</t>
  </si>
  <si>
    <t>ธ. กสิกรไทย จำกัด (มหาชน) สาขา บ้านกรวด</t>
  </si>
  <si>
    <t>0041126</t>
  </si>
  <si>
    <t>ธ. กสิกรไทย จำกัด (มหาชน) สาขา ดอนเจดีย์</t>
  </si>
  <si>
    <t>0041127</t>
  </si>
  <si>
    <t>ธ. กสิกรไทย จำกัด (มหาชน) สาขา นครไทย พิษณุโลก</t>
  </si>
  <si>
    <t>0041128</t>
  </si>
  <si>
    <t>ธ. กสิกรไทย จำกัด (มหาชน) สาขา ถนนเจริญราษฎร์ ลำพูน</t>
  </si>
  <si>
    <t>0041129</t>
  </si>
  <si>
    <t>ธ. กสิกรไทย จำกัด (มหาชน) สาขา รัตภูมิ</t>
  </si>
  <si>
    <t>0041130</t>
  </si>
  <si>
    <t>ธ. กสิกรไทย จำกัด (มหาชน) สาขา บรรพตพิสัย</t>
  </si>
  <si>
    <t>0041131</t>
  </si>
  <si>
    <t>ธ. กสิกรไทย จำกัด (มหาชน) สาขา นิคมพัฒนา</t>
  </si>
  <si>
    <t>0041132</t>
  </si>
  <si>
    <t>ธ. กสิกรไทย จำกัด (มหาชน) สาขา มาบอำมฤต ชุมพร</t>
  </si>
  <si>
    <t>0041133</t>
  </si>
  <si>
    <t>ธ. กสิกรไทย จำกัด (มหาชน) สาขา กระสัง</t>
  </si>
  <si>
    <t>0041134</t>
  </si>
  <si>
    <t>ธ. กสิกรไทย จำกัด (มหาชน) สาขา คลองหาด</t>
  </si>
  <si>
    <t>0041135</t>
  </si>
  <si>
    <t>0041136</t>
  </si>
  <si>
    <t>ธ. กสิกรไทย จำกัด (มหาชน) สาขา บิ๊กซี ปราจีนบุรี</t>
  </si>
  <si>
    <t>0041137</t>
  </si>
  <si>
    <t>ธ. กสิกรไทย จำกัด (มหาชน) สาขา เทสโก้ โลตัส รังสิตคลอง 3</t>
  </si>
  <si>
    <t>0041138</t>
  </si>
  <si>
    <t>ธ. กสิกรไทย จำกัด (มหาชน) สาขา สลกบาตร</t>
  </si>
  <si>
    <t>0041139</t>
  </si>
  <si>
    <t>ธ. กสิกรไทย จำกัด (มหาชน) สาขา เทพสถิต</t>
  </si>
  <si>
    <t>0041140</t>
  </si>
  <si>
    <t>ธ. กสิกรไทย จำกัด (มหาชน) สาขา ถนนเทพารักษ์ กม.9 (ซอยมังกร)</t>
  </si>
  <si>
    <t>0041141</t>
  </si>
  <si>
    <t>ธ. กสิกรไทย จำกัด (มหาชน) สาขา ปากท่อ ราชบุรี</t>
  </si>
  <si>
    <t>0041142</t>
  </si>
  <si>
    <t>ธ. กสิกรไทย จำกัด (มหาชน) สาขา ปะเหลียน (ทุ่งยาว)</t>
  </si>
  <si>
    <t>0041143</t>
  </si>
  <si>
    <t>ธ. กสิกรไทย จำกัด (มหาชน) สาขา นครหลวง อยุธยา</t>
  </si>
  <si>
    <t>0041144</t>
  </si>
  <si>
    <t>ธ. กสิกรไทย จำกัด (มหาชน) สาขา เซ็นทรัลพลาซา เชียงใหม่ แอร์พอร์ต 2</t>
  </si>
  <si>
    <t>0041145</t>
  </si>
  <si>
    <t>ธ. กสิกรไทย จำกัด (มหาชน) สาขา บางสวรรค์</t>
  </si>
  <si>
    <t>0041146</t>
  </si>
  <si>
    <t>ธ. กสิกรไทย จำกัด (มหาชน) สาขา นากลาง</t>
  </si>
  <si>
    <t>0041147</t>
  </si>
  <si>
    <t>ธ. กสิกรไทย จำกัด (มหาชน) สาขาหินกอง สระบุรี</t>
  </si>
  <si>
    <t>0041148</t>
  </si>
  <si>
    <t>ธ. กสิกรไทย จำกัด (มหาชน) สาขา แยก กม.18 พุนพิน</t>
  </si>
  <si>
    <t>0041149</t>
  </si>
  <si>
    <t>ธ. กสิกรไทย จำกัด (มหาชน) สาขา สหไทยพลาซ่า นครศรีธรรมราช</t>
  </si>
  <si>
    <t>0041150</t>
  </si>
  <si>
    <t>ธ. กสิกรไทย จำกัด (มหาชน) สาขา บิ๊กซี ขอนแก่น</t>
  </si>
  <si>
    <t>0041151</t>
  </si>
  <si>
    <t>ธ. กสิกรไทย จำกัด (มหาชน) สาขา ตลาดบ้านเก่า พานทอง</t>
  </si>
  <si>
    <t>0041152</t>
  </si>
  <si>
    <t>ธ. กสิกรไทย จำกัด (มหาชน) สาขา เทสโก้ โลตัส ฉลอง ภูเก็ต</t>
  </si>
  <si>
    <t>0041153</t>
  </si>
  <si>
    <t>ธ. กสิกรไทย จำกัด (มหาชน) สาขา บิ๊กซี หางดง 2</t>
  </si>
  <si>
    <t>0041154</t>
  </si>
  <si>
    <t>ธ. กสิกรไทย จำกัด (มหาชน) สาขา มวกเหล็ก</t>
  </si>
  <si>
    <t>0041155</t>
  </si>
  <si>
    <t>ธ. กสิกรไทย จำกัด (มหาชน) สาขา ถนนปุณณกัณฑ์ หาดใหญ่</t>
  </si>
  <si>
    <t>0041156</t>
  </si>
  <si>
    <t>ธ. กสิกรไทย จำกัด (มหาชน) สาขา จอมบึง</t>
  </si>
  <si>
    <t>0041157</t>
  </si>
  <si>
    <t>ธ. กสิกรไทย จำกัด (มหาชน) สาขา บิ๊กซี ศรีมหาโพธิ</t>
  </si>
  <si>
    <t>0041158</t>
  </si>
  <si>
    <t>ธ. กสิกรไทย จำกัด (มหาชน) สาขา โนนสูง</t>
  </si>
  <si>
    <t>0041159</t>
  </si>
  <si>
    <t>ธ. กสิกรไทย จำกัด (มหาชน) สาขา ถนนลำลูกกา (คลอง 3)</t>
  </si>
  <si>
    <t>0041160</t>
  </si>
  <si>
    <t>ธ. กสิกรไทย จำกัด (มหาชน) สาขา เชียงคาน เลย</t>
  </si>
  <si>
    <t>0041161</t>
  </si>
  <si>
    <t>ธ. กสิกรไทย จำกัด (มหาชน) สาขา เทสโก้ โลตัส ถลาง</t>
  </si>
  <si>
    <t>0041162</t>
  </si>
  <si>
    <t>ธ. กสิกรไทย จำกัด (มหาชน) สาขา บิ๊กซี ตรัง</t>
  </si>
  <si>
    <t>0041163</t>
  </si>
  <si>
    <t>ธ. กสิกรไทย จำกัด (มหาชน) สาขา เดอะคริสตัล พีทีที ชัยพฤกษ์</t>
  </si>
  <si>
    <t>0041164</t>
  </si>
  <si>
    <t>ธ. กสิกรไทย จำกัด (มหาชน) สาขา เทสโก้ โลตัส พิษณุโลก 2</t>
  </si>
  <si>
    <t>0041165</t>
  </si>
  <si>
    <t>ธ. กสิกรไทย จำกัด (มหาชน) สาขา ถนนแพรกษา</t>
  </si>
  <si>
    <t>0041166</t>
  </si>
  <si>
    <t>ธ. กสิกรไทย จำกัด (มหาชน) สาขา คลอง 10 ธัญบุรี</t>
  </si>
  <si>
    <t>0041167</t>
  </si>
  <si>
    <t>ธ. กสิกรไทย จำกัด (มหาชน) สาขา บิ๊กซี รัตนาธิเบศร์ 1 (บางใหญ่)</t>
  </si>
  <si>
    <t>0041168</t>
  </si>
  <si>
    <t>ธ. กสิกรไทย จำกัด (มหาชน) สาขา ถนนเฉลิมพระเกียรติ พัทยา</t>
  </si>
  <si>
    <t>0041169</t>
  </si>
  <si>
    <t>ธ. กสิกรไทย จำกัด (มหาชน) สาขา เดอะบรีโอ้ พุทธมณฑล สาย 4</t>
  </si>
  <si>
    <t>0041170</t>
  </si>
  <si>
    <t>ธ. กสิกรไทย จำกัด (มหาชน) สาขา นิคมอุตสาหกรรมไฮเทค</t>
  </si>
  <si>
    <t>0041171</t>
  </si>
  <si>
    <t>ธ. กสิกรไทย จำกัด (มหาชน) สาขา สถานีรถไฟนครสวรรค์</t>
  </si>
  <si>
    <t>0041172</t>
  </si>
  <si>
    <t>ธ. กสิกรไทย จำกัด (มหาชน) สาขา กะทู้ ภูเก็ต</t>
  </si>
  <si>
    <t>0041173</t>
  </si>
  <si>
    <t>ธ. กสิกรไทย จำกัด (มหาชน) สาขา หัวไทร</t>
  </si>
  <si>
    <t>0041174</t>
  </si>
  <si>
    <t>ธ. กสิกรไทย จำกัด (มหาชน) สาขา บิ๊กซี เชียงใหม่ (ดอนจั่น)</t>
  </si>
  <si>
    <t>0041175</t>
  </si>
  <si>
    <t>ธ. กสิกรไทย จำกัด (มหาชน) สาขา บิ๊กซี สุขาภิบาล 5</t>
  </si>
  <si>
    <t>0041176</t>
  </si>
  <si>
    <t>ธ. กสิกรไทย จำกัด (มหาชน) สาขา ตลาดเอซี สายไหม</t>
  </si>
  <si>
    <t>0041177</t>
  </si>
  <si>
    <t>ธ. กสิกรไทย จำกัด (มหาชน) สาขา ถนนลำลูกกา (คลอง 8)</t>
  </si>
  <si>
    <t>0041178</t>
  </si>
  <si>
    <t>ธ. กสิกรไทย จำกัด (มหาชน) สาขา ท่าอิฐ นนทบุรี</t>
  </si>
  <si>
    <t>0041179</t>
  </si>
  <si>
    <t>ธ. กสิกรไทย จำกัด (มหาชน) สาขา ถนนเคหะร่มเกล้า</t>
  </si>
  <si>
    <t>0041180</t>
  </si>
  <si>
    <t>ธ. กสิกรไทย จำกัด (มหาชน) สาขา สี่แยกท่าเรือ ภูเก็ต</t>
  </si>
  <si>
    <t>0041181</t>
  </si>
  <si>
    <t>ธ. กสิกรไทย จำกัด (มหาชน) สาขา ท่าชนะ</t>
  </si>
  <si>
    <t>0041182</t>
  </si>
  <si>
    <t>ธ. กสิกรไทย จำกัด (มหาชน) สาขา เดอะวอล์ค เกษตร-นวมินทร์</t>
  </si>
  <si>
    <t>0041183</t>
  </si>
  <si>
    <t>ธ. กสิกรไทย จำกัด (มหาชน) สาขา บิ๊กซี หนองคาย</t>
  </si>
  <si>
    <t>0041184</t>
  </si>
  <si>
    <t>ธ. กสิกรไทย จำกัด (มหาชน) สาขา เดอะคริสตัล ราชพฤกษ์</t>
  </si>
  <si>
    <t>0041185</t>
  </si>
  <si>
    <t>ธ. กสิกรไทย จำกัด (มหาชน) สาขา เขื่องใน</t>
  </si>
  <si>
    <t>0041186</t>
  </si>
  <si>
    <t>ธ. กสิกรไทย จำกัด (มหาชน) สาขา ทีที การ์เด้น อุตรดิตถ์</t>
  </si>
  <si>
    <t>0041187</t>
  </si>
  <si>
    <t>ธ. กสิกรไทย จำกัด (มหาชน) สาขา ตลาดนานาเจริญ ลำลูกกา</t>
  </si>
  <si>
    <t>0041188</t>
  </si>
  <si>
    <t>ธ. กสิกรไทย จำกัด (มหาชน) สาขา เมเจอร์ ซีนีเพล็กซ์ ปิ่นเกล้า</t>
  </si>
  <si>
    <t>0041189</t>
  </si>
  <si>
    <t>ธ. กสิกรไทย จำกัด (มหาชน) สาขา ถนนบางกระดี่</t>
  </si>
  <si>
    <t>0041190</t>
  </si>
  <si>
    <t>ธ. กสิกรไทย จำกัด (มหาชน) สาขา ถนนเชื่อมสัมพันธ์ หนองจอก</t>
  </si>
  <si>
    <t>0041191</t>
  </si>
  <si>
    <t>ธ. กสิกรไทย จำกัด (มหาชน) สาขา เดอะพาซิโอ รามคำแหง</t>
  </si>
  <si>
    <t>0041192</t>
  </si>
  <si>
    <t>ธ. กสิกรไทย จำกัด (มหาชน) สาขา เดอะพาซิโอ ลาดกระบัง</t>
  </si>
  <si>
    <t>0041193</t>
  </si>
  <si>
    <t>ธ. กสิกรไทย จำกัด (มหาชน) สาขา เดอะพาซิโอ กาญจนาภิเษก</t>
  </si>
  <si>
    <t>0041194</t>
  </si>
  <si>
    <t>ธ. กสิกรไทย จำกัด (มหาชน) สาขา เทสโก้ โลตัส บางใหญ่</t>
  </si>
  <si>
    <t>0041195</t>
  </si>
  <si>
    <t>ธ. กสิกรไทย จำกัด (มหาชน) สาขา เทสโก้ โลตัส สุพรรณบุรี</t>
  </si>
  <si>
    <t>0041196</t>
  </si>
  <si>
    <t>ธ. กสิกรไทย จำกัด (มหาชน) สาขา สีลมคอมเพล็กซ์</t>
  </si>
  <si>
    <t>0041197</t>
  </si>
  <si>
    <t>ธ. กสิกรไทย จำกัด (มหาชน) สาขา วิคตอเรีย การ์เด้นส์ เพชรเกษม</t>
  </si>
  <si>
    <t>0041198</t>
  </si>
  <si>
    <t>ธ. กสิกรไทย จำกัด (มหาชน) สาขา เซ็นทรัล ชิดลม</t>
  </si>
  <si>
    <t>0041199</t>
  </si>
  <si>
    <t>ธ. กสิกรไทย จำกัด (มหาชน) สาขา เขมราฐ อุบลราชธานี</t>
  </si>
  <si>
    <t>0041200</t>
  </si>
  <si>
    <t>ธ. กสิกรไทย จำกัด (มหาชน) สาขา ด่านนอก</t>
  </si>
  <si>
    <t>0041201</t>
  </si>
  <si>
    <t>ธ. กสิกรไทย จำกัด (มหาชน) สาขา เพลินนารี่ วัชรพล</t>
  </si>
  <si>
    <t>0041202</t>
  </si>
  <si>
    <t>ธ. กสิกรไทย จำกัด (มหาชน) สาขา บิ๊กซี เคหะร่มเกล้า</t>
  </si>
  <si>
    <t>0041203</t>
  </si>
  <si>
    <t>ธ. กสิกรไทย จำกัด (มหาชน) สาขา โพนทอง</t>
  </si>
  <si>
    <t>0041204</t>
  </si>
  <si>
    <t>ธ. กสิกรไทย จำกัด (มหาชน) สาขา ถนนหทัยราษฎร์</t>
  </si>
  <si>
    <t>0041205</t>
  </si>
  <si>
    <t>ธ. กสิกรไทย จำกัด (มหาชน) สาขา เซ็นทรัลพลาซา มหาชัย</t>
  </si>
  <si>
    <t>0041206</t>
  </si>
  <si>
    <t>ธ. กสิกรไทย จำกัด (มหาชน) สาขา บิ๊กซี ลำปาง</t>
  </si>
  <si>
    <t>0041207</t>
  </si>
  <si>
    <t>ธ. กสิกรไทย จำกัด (มหาชน) สาขา ถนนพุทธมณฑล สาย 3</t>
  </si>
  <si>
    <t>0041208</t>
  </si>
  <si>
    <t>ธ. กสิกรไทย จำกัด (มหาชน) สาขา นิคมอุตสาหกรรมอมตะนคร ชลบุรี 3</t>
  </si>
  <si>
    <t>0041209</t>
  </si>
  <si>
    <t>ธ. กสิกรไทย จำกัด (มหาชน) สาขา ท็อปส์ ซูเปอร์สโตร์ หนองหาน</t>
  </si>
  <si>
    <t>0041210</t>
  </si>
  <si>
    <t>ธ. กสิกรไทย จำกัด (มหาชน) สาขา กันทรารมย์</t>
  </si>
  <si>
    <t>0041211</t>
  </si>
  <si>
    <t>ธ. กสิกรไทย จำกัด (มหาชน) สาขา เชียงยืน</t>
  </si>
  <si>
    <t>0041212</t>
  </si>
  <si>
    <t>ธ. กสิกรไทย จำกัด (มหาชน) สาขา แม่ระมาด</t>
  </si>
  <si>
    <t>0041213</t>
  </si>
  <si>
    <t>ธ. กสิกรไทย จำกัด (มหาชน) สาขา รัตนบุรี</t>
  </si>
  <si>
    <t>0041214</t>
  </si>
  <si>
    <t>ธ. กสิกรไทย จำกัด (มหาชน) สาขา บ่อพลอย</t>
  </si>
  <si>
    <t>0041215</t>
  </si>
  <si>
    <t>ธ. กสิกรไทย จำกัด (มหาชน) สาขา เทสโก้ โลตัส โคราช</t>
  </si>
  <si>
    <t>0041216</t>
  </si>
  <si>
    <t>ธ. กสิกรไทย จำกัด (มหาชน) สาขา ม่วงสามสิบ</t>
  </si>
  <si>
    <t>0041217</t>
  </si>
  <si>
    <t>ธ. กสิกรไทย จำกัด (มหาชน) สาขา ตลาดเขต พนมทวน</t>
  </si>
  <si>
    <t>0041218</t>
  </si>
  <si>
    <t>ธ. กสิกรไทย จำกัด (มหาชน) สาขา บางระกำ</t>
  </si>
  <si>
    <t>0041219</t>
  </si>
  <si>
    <t>ธ. กสิกรไทย จำกัด (มหาชน) สาขา ถนนเลย-เชียงคาน (หน้าราชภัฏเลย)</t>
  </si>
  <si>
    <t>0041220</t>
  </si>
  <si>
    <t>ธ. กสิกรไทย จำกัด (มหาชน) สาขา บิ๊กซี สวนหลวง</t>
  </si>
  <si>
    <t>0041221</t>
  </si>
  <si>
    <t>0041222</t>
  </si>
  <si>
    <t>ธ. กสิกรไทย จำกัด (มหาชน) สาขา กุดชุม</t>
  </si>
  <si>
    <t>0041223</t>
  </si>
  <si>
    <t>ธ. กสิกรไทย จำกัด (มหาชน) สาขา สุรินทร์พลาซ่า</t>
  </si>
  <si>
    <t>0041224</t>
  </si>
  <si>
    <t>ธ. กสิกรไทย จำกัด (มหาชน) สาขา ตลาดทองกู้เกียรติกูล บุรีรัมย์</t>
  </si>
  <si>
    <t>0041225</t>
  </si>
  <si>
    <t>ธ. กสิกรไทย จำกัด (มหาชน) สาขา ศรีสกล มอลล์ สกลนคร</t>
  </si>
  <si>
    <t>0041226</t>
  </si>
  <si>
    <t>ธ. กสิกรไทย จำกัด (มหาชน) สาขา หนองกุงศรี</t>
  </si>
  <si>
    <t>0041227</t>
  </si>
  <si>
    <t>ธ. กสิกรไทย จำกัด (มหาชน) สาขา บิ๊กซี มหาสารคาม</t>
  </si>
  <si>
    <t>0041228</t>
  </si>
  <si>
    <t>ธ. กสิกรไทย จำกัด (มหาชน) สาขา ป่าพะยอม</t>
  </si>
  <si>
    <t>0041229</t>
  </si>
  <si>
    <t>ธ. กสิกรไทย จำกัด (มหาชน) สาขา บิ๊กซี สุโขทัย</t>
  </si>
  <si>
    <t>0041230</t>
  </si>
  <si>
    <t>ธ. กสิกรไทย จำกัด (มหาชน) สาขา ตลาดศรีเมือง ราชบุรี</t>
  </si>
  <si>
    <t>0041231</t>
  </si>
  <si>
    <t>ธ. กสิกรไทย จำกัด (มหาชน) สาขา สมเด็จ</t>
  </si>
  <si>
    <t>0041232</t>
  </si>
  <si>
    <t>ธ. กสิกรไทย จำกัด (มหาชน) สาขา เทสโก้ โลตัส จันทบุรี</t>
  </si>
  <si>
    <t>0041233</t>
  </si>
  <si>
    <t>ธ. กสิกรไทย จำกัด (มหาชน) ศูนย์ฯเดอะวิสดอม รพ.มหาราชนครเชียงใหม่</t>
  </si>
  <si>
    <t>0041234</t>
  </si>
  <si>
    <t>ธ. กสิกรไทย จำกัด (มหาชน) ศูนย์บริการเดอะวิสดอม พาราไดซ์ พาร์ค 2</t>
  </si>
  <si>
    <t>0041235</t>
  </si>
  <si>
    <t>ธ. กสิกรไทย จำกัด (มหาชน) สาขา ศูนย์บริการเดอะวิสดอม สยามพารากอน</t>
  </si>
  <si>
    <t>0041236</t>
  </si>
  <si>
    <t>ธ. กสิกรไทย จำกัด (มหาชน) สาขา ศีขรภูมิ</t>
  </si>
  <si>
    <t>0041237</t>
  </si>
  <si>
    <t>ธ. กสิกรไทย จำกัด (มหาชน) สาขา ดิโอโซน ระยอง</t>
  </si>
  <si>
    <t>0041238</t>
  </si>
  <si>
    <t>ธ. กสิกรไทย จำกัด (มหาชน) สาขา นิคมอุตสาหกรรมเหมราช</t>
  </si>
  <si>
    <t>0041239</t>
  </si>
  <si>
    <t>ธ. กสิกรไทย จำกัด (มหาชน) สาขา พร้าว เชียงใหม่</t>
  </si>
  <si>
    <t>0041240</t>
  </si>
  <si>
    <t>ธ. กสิกรไทย จำกัด (มหาชน) สาขา ท่าอากาศยานดอนเมือง 2</t>
  </si>
  <si>
    <t>0041241</t>
  </si>
  <si>
    <t>ธ. กสิกรไทย จำกัด (มหาชน) สาขา สำนักงานผู้แทน ณ นครลอสแองเจลิส</t>
  </si>
  <si>
    <t>0041242</t>
  </si>
  <si>
    <t>0041244</t>
  </si>
  <si>
    <t>ธ. กสิกรไทย จำกัด (มหาชน) สาขา บลูพอร์ต หัวหิน รีสอร์ท มอลล์</t>
  </si>
  <si>
    <t>0041245</t>
  </si>
  <si>
    <t>ธ. กสิกรไทย จำกัด (มหาชน) สาขา โรบินสัน ลพบุรี</t>
  </si>
  <si>
    <t>0041246</t>
  </si>
  <si>
    <t>ธ. กสิกรไทย จำกัด (มหาชน) สาขา จี ทาวเวอร์ แกรนด์ พระราม 9</t>
  </si>
  <si>
    <t>0041248</t>
  </si>
  <si>
    <t>ธ. กสิกรไทย จำกัด (มหาชน) สาขา โรงพยาบาลรามาธิบดีจักรีนฤบดินทร์</t>
  </si>
  <si>
    <t>0041249</t>
  </si>
  <si>
    <t>ธ. กสิกรไทย จำกัด (มหาชน) สาขา บีดีเอ็มเอส เวลเนส คลินิก</t>
  </si>
  <si>
    <t>0041250</t>
  </si>
  <si>
    <t>ธ. กสิกรไทย จำกัด (มหาชน) สาขา ท๊อปพลาซ่า พะเยา</t>
  </si>
  <si>
    <t>0041251</t>
  </si>
  <si>
    <t>ธ. กสิกรไทย จำกัด (มหาชน) สาขา บิ๊กซี นครปฐม</t>
  </si>
  <si>
    <t>0041252</t>
  </si>
  <si>
    <t>ธ. กสิกรไทย จำกัด (มหาชน) สาขา เทสโก้ โลตัส ยโสธร</t>
  </si>
  <si>
    <t>0041253</t>
  </si>
  <si>
    <t>ธ. กสิกรไทย จำกัด (มหาชน) สาขา นาเกลือ ซอย 12 พัทยา</t>
  </si>
  <si>
    <t>0041254</t>
  </si>
  <si>
    <t>ธ. กสิกรไทย จำกัด (มหาชน) สาขา โรบินสัน ไลฟ์สไตล์ ชลบุรี</t>
  </si>
  <si>
    <t>0041256</t>
  </si>
  <si>
    <t>ธ. กสิกรไทย จำกัด (มหาชน) สาขา บิ๊กซี ชัยภูมิ</t>
  </si>
  <si>
    <t>0041257</t>
  </si>
  <si>
    <t>ธ. กสิกรไทย จำกัด (มหาชน) สาขา บิ๊กซี บางพลี</t>
  </si>
  <si>
    <t>0041258</t>
  </si>
  <si>
    <t>ธ. กสิกรไทย จำกัด (มหาชน) เค พาร์ค สาขา ถ.หทัยราษฎร์ 33</t>
  </si>
  <si>
    <t>0041259</t>
  </si>
  <si>
    <t>ธ. กสิกรไทย จำกัด (มหาชน) สาขา เซ็นทรัลภูเก็ต ฟลอเรสต้า</t>
  </si>
  <si>
    <t>0041260</t>
  </si>
  <si>
    <t>ธ. กสิกรไทย จำกัด (มหาชน) สาขา เทสโก้ โลตัส พนัสนิคม</t>
  </si>
  <si>
    <t>0041263</t>
  </si>
  <si>
    <t>ธ. กสิกรไทย จำกัด (มหาชน) สาขา ท็อปส์ พลาซ่า สิงห์บุรี</t>
  </si>
  <si>
    <t>0041267</t>
  </si>
  <si>
    <t>ธ. กสิกรไทย จำกัด (มหาชน) สาขา วัน-โอ-วัน เดอะเทิร์ดเพลส</t>
  </si>
  <si>
    <t>0041268</t>
  </si>
  <si>
    <t>ธ. กสิกรไทย จำกัด (มหาชน) เคพาร์คสาขา นาจอมเทียนปตท.แยกหาดจอมเทียน</t>
  </si>
  <si>
    <t>0041270</t>
  </si>
  <si>
    <t>ธ. กสิกรไทย จำกัด (มหาชน) สาขา เดอะชิลด์ พัทยา</t>
  </si>
  <si>
    <t>0041272</t>
  </si>
  <si>
    <t>ธ. กสิกรไทย จำกัด (มหาชน) ศูนย์สินเชื่อเงินชื่นใจ สาขา ตลาดมีนบุรี</t>
  </si>
  <si>
    <t>0041273</t>
  </si>
  <si>
    <t>ธ. กสิกรไทย จำกัด (มหาชน) ศูนย์สินเชื่อสาขา เอ็นมาร์คพลาซ่าบางกะปิ</t>
  </si>
  <si>
    <t>0041274</t>
  </si>
  <si>
    <t>ธ. กสิกรไทย จำกัด (มหาชน) สาขา สามย่านมิตรทาวน์</t>
  </si>
  <si>
    <t>0041275</t>
  </si>
  <si>
    <t>ธ. กสิกรไทย จำกัด (มหาชน) สาขา บิ๊กซี เลย</t>
  </si>
  <si>
    <t>0041280</t>
  </si>
  <si>
    <t>ธ. กสิกรไทย จำกัด (มหาชน) สาขา โรบินสัน ลาดกระบัง</t>
  </si>
  <si>
    <t>0041282</t>
  </si>
  <si>
    <t>ธ. กสิกรไทย จำกัด (มหาชน) สาขา เม-ญ่า เชียงใหม่</t>
  </si>
  <si>
    <t>0041292</t>
  </si>
  <si>
    <t>ธ. กสิกรไทย จำกัด (มหาชน) สาขา ถนนเฉลิมพระเกียรติ ร.9 (ซอย 4)</t>
  </si>
  <si>
    <t>0041300</t>
  </si>
  <si>
    <t>ธ. กสิกรไทย จำกัด (มหาชน) สาขา เทิง เชียงราย</t>
  </si>
  <si>
    <t>0041308</t>
  </si>
  <si>
    <t>ธ. กสิกรไทย จำกัด (มหาชน) สาขา กาดน้ำทอง แพร่</t>
  </si>
  <si>
    <t>0041316</t>
  </si>
  <si>
    <t>ธ. กสิกรไทย จำกัด (มหาชน) สาขา เลิงนกทา ยโสธร</t>
  </si>
  <si>
    <t>0041333</t>
  </si>
  <si>
    <t>ธ. กสิกรไทย จำกัด (มหาชน) สาขา โรบินสัน สุรินทร์</t>
  </si>
  <si>
    <t>0041336</t>
  </si>
  <si>
    <t>ธ. กสิกรไทย จำกัด (มหาชน) สาขา ทวีกิจซุปเปอร์เซ็นเตอร์ บุรีรัมย์</t>
  </si>
  <si>
    <t>0041337</t>
  </si>
  <si>
    <t>ธ. กสิกรไทย จำกัด (มหาชน) สาขา โรบินสัน สกลนคร</t>
  </si>
  <si>
    <t>0041350</t>
  </si>
  <si>
    <t>ธ. กสิกรไทย จำกัด (มหาชน) สาขา บิ๊กซี กาฬสินธุ์</t>
  </si>
  <si>
    <t>0041351</t>
  </si>
  <si>
    <t>ธ. กสิกรไทย จำกัด (มหาชน) สาขา เกษตรวิสัย ร้อยเอ็ด</t>
  </si>
  <si>
    <t>0041358</t>
  </si>
  <si>
    <t>ธ. กสิกรไทย จำกัด (มหาชน) สาขา โรบินสัน สระบุรี</t>
  </si>
  <si>
    <t>0041374</t>
  </si>
  <si>
    <t>ธ. กสิกรไทย จำกัด (มหาชน) สาขา โรบินสัน ร้อยเอ็ด</t>
  </si>
  <si>
    <t>0041375</t>
  </si>
  <si>
    <t>ธ. กสิกรไทย จำกัด (มหาชน) สาขา คลองมะเดื่อ สมุทรสาคร</t>
  </si>
  <si>
    <t>0041378</t>
  </si>
  <si>
    <t>ธ. กสิกรไทย จำกัด (มหาชน) สาขา บิ๊กซี ตาก</t>
  </si>
  <si>
    <t>0041394</t>
  </si>
  <si>
    <t>ธ. กสิกรไทย จำกัด (มหาชน) สาขา สามโคก ปทุมธานี</t>
  </si>
  <si>
    <t>0041396</t>
  </si>
  <si>
    <t>ธ. กสิกรไทย จำกัด (มหาชน) สาขา โกสุมพิสัย มหาสารคาม</t>
  </si>
  <si>
    <t>0041423</t>
  </si>
  <si>
    <t>ธ. กสิกรไทย จำกัด (มหาชน) สาขา แม่ขรี พัทลุง</t>
  </si>
  <si>
    <t>0041424</t>
  </si>
  <si>
    <t>ธ. กสิกรไทย จำกัด (มหาชน) สาขา กงไกรลาศ</t>
  </si>
  <si>
    <t>0041426</t>
  </si>
  <si>
    <t>ธ. กสิกรไทย จำกัด (มหาชน) สาขา ถนนบางกรวย-ไทรน้อย (บัวทองสแควร์)</t>
  </si>
  <si>
    <t>0041432</t>
  </si>
  <si>
    <t>ธ. กสิกรไทย จำกัด (มหาชน) สาขา โรบินสัน ราชบุรี</t>
  </si>
  <si>
    <t>0041435</t>
  </si>
  <si>
    <t>ธ. กสิกรไทย จำกัด (มหาชน) สาขา ถนนกัลปพฤกษ์</t>
  </si>
  <si>
    <t>0041440</t>
  </si>
  <si>
    <t>ธ. กสิกรไทย จำกัด (มหาชน) สาขา น้ำปาด อุตรดิตถ์</t>
  </si>
  <si>
    <t>0041453</t>
  </si>
  <si>
    <t>ธ. กสิกรไทย จำกัด (มหาชน) สาขา เซ็นทรัลเฟสติวัล หาดใหญ่</t>
  </si>
  <si>
    <t>0041456</t>
  </si>
  <si>
    <t>ธ. กสิกรไทย จำกัด (มหาชน) สาขา แจ้ห่ม</t>
  </si>
  <si>
    <t>0041458</t>
  </si>
  <si>
    <t>ธ. กสิกรไทย จำกัด (มหาชน) สาขา ย่านตาขาว</t>
  </si>
  <si>
    <t>0041462</t>
  </si>
  <si>
    <t>ธ. กสิกรไทย จำกัด (มหาชน) สาขา เซ็นทรัลพลาซา ศาลายา</t>
  </si>
  <si>
    <t>0041473</t>
  </si>
  <si>
    <t>ธ. กสิกรไทย จำกัด (มหาชน) สาขา กุฉินารายณ์ กาฬสินธุ์</t>
  </si>
  <si>
    <t>0041480</t>
  </si>
  <si>
    <t>ธ. กสิกรไทย จำกัด (มหาชน) สาขา เซ็นทรัลเฟสติวัล สมุย</t>
  </si>
  <si>
    <t>0045063</t>
  </si>
  <si>
    <t>ธ. ไทยพาณิชย์ จำกัด (มหาชน) สาขา บิ๊กซี บางปะกอก</t>
  </si>
  <si>
    <t>004O810</t>
  </si>
  <si>
    <t>ธ. กสิกรไทย จำกัด (มหาชน) สาขา ย่อยหลงกั่ง</t>
  </si>
  <si>
    <t>0060000</t>
  </si>
  <si>
    <t>ธ. กรุงไทย จำกัด (มหาชน) สาขา นานาเหนือ</t>
  </si>
  <si>
    <t>0060001</t>
  </si>
  <si>
    <t>ธ. กรุงไทย จำกัด (มหาชน) สาขา เยาวราช</t>
  </si>
  <si>
    <t>0060002</t>
  </si>
  <si>
    <t>ธ. กรุงไทย จำกัด (มหาชน) สาขา สามยอด</t>
  </si>
  <si>
    <t>0060003</t>
  </si>
  <si>
    <t>ธ. กรุงไทย จำกัด (มหาชน) สาขา สำเพ็ง</t>
  </si>
  <si>
    <t>0060004</t>
  </si>
  <si>
    <t>ธ. กรุงไทย จำกัด (มหาชน) สาขา สี่แยกราชวงศ์</t>
  </si>
  <si>
    <t>0060005</t>
  </si>
  <si>
    <t>ธ. กรุงไทย จำกัด (มหาชน) สาขา ท่าน้ำราชวงศ์</t>
  </si>
  <si>
    <t>0060006</t>
  </si>
  <si>
    <t>ธ. กรุงไทย จำกัด (มหาชน) สาขา ถนนวิสุทธิกษัตริย์</t>
  </si>
  <si>
    <t>0060007</t>
  </si>
  <si>
    <t>ธ. กรุงไทย จำกัด (มหาชน) สาขา อนุสาวรีย์ชัยสมรภูมิ</t>
  </si>
  <si>
    <t>0060008</t>
  </si>
  <si>
    <t>ธ. กรุงไทย จำกัด (มหาชน) สาขา ปทุมวัน</t>
  </si>
  <si>
    <t>0060009</t>
  </si>
  <si>
    <t>ธ. กรุงไทย จำกัด (มหาชน) สาขา ไทยเบฟ ควอเตอร์</t>
  </si>
  <si>
    <t>0060010</t>
  </si>
  <si>
    <t>ธ. กรุงไทย จำกัด (มหาชน) สาขา ยานนาวา</t>
  </si>
  <si>
    <t>0060011</t>
  </si>
  <si>
    <t>ธ. กรุงไทย จำกัด (มหาชน) สาขา ลาดพร้าว 33</t>
  </si>
  <si>
    <t>0060012</t>
  </si>
  <si>
    <t>ธ. กรุงไทย จำกัด (มหาชน) สาขา ศรีย่าน</t>
  </si>
  <si>
    <t>0060013</t>
  </si>
  <si>
    <t>ธ. กรุงไทย จำกัด (มหาชน) สาขา ถนนศรีอยุธยา</t>
  </si>
  <si>
    <t>0060014</t>
  </si>
  <si>
    <t>ธ. กรุงไทย จำกัด (มหาชน) สาขา ถนนตากสิน</t>
  </si>
  <si>
    <t>0060015</t>
  </si>
  <si>
    <t>ธ. กรุงไทย จำกัด (มหาชน) สาขา สิงห์ คอมเพล็กซ์</t>
  </si>
  <si>
    <t>0060016</t>
  </si>
  <si>
    <t>ธ. กรุงไทย จำกัด (มหาชน) สาขา สี่แยกบ้านแขก</t>
  </si>
  <si>
    <t>0060017</t>
  </si>
  <si>
    <t>ธ. กรุงไทย จำกัด (มหาชน) สาขา สุขุมวิท 64</t>
  </si>
  <si>
    <t>0060018</t>
  </si>
  <si>
    <t>ธ. กรุงไทย จำกัด (มหาชน) สาขา ราชดำเนิน</t>
  </si>
  <si>
    <t>0060019</t>
  </si>
  <si>
    <t>ธ. กรุงไทย จำกัด (มหาชน) สาขา วิภาวดี-รังสิต5</t>
  </si>
  <si>
    <t>0060020</t>
  </si>
  <si>
    <t>ธ. กรุงไทย จำกัด (มหาชน) สาขา เตาปูน</t>
  </si>
  <si>
    <t>0060021</t>
  </si>
  <si>
    <t>ธ. กรุงไทย จำกัด (มหาชน) สาขา สะพานขาว</t>
  </si>
  <si>
    <t>0060022</t>
  </si>
  <si>
    <t>ธ. กรุงไทย จำกัด (มหาชน) สาขา สีลม</t>
  </si>
  <si>
    <t>0060023</t>
  </si>
  <si>
    <t>ธ. กรุงไทย จำกัด (มหาชน) สาขา สุรวงศ์</t>
  </si>
  <si>
    <t>0060024</t>
  </si>
  <si>
    <t>ธ. กรุงไทย จำกัด (มหาชน) สาขา บางชัน</t>
  </si>
  <si>
    <t>0060025</t>
  </si>
  <si>
    <t>ธ. กรุงไทย จำกัด (มหาชน) สาขา เพชรเกษม 29 (ภาษีเจริญ)</t>
  </si>
  <si>
    <t>0060026</t>
  </si>
  <si>
    <t>ธ. กรุงไทย จำกัด (มหาชน) สาขา ท่าเตียน</t>
  </si>
  <si>
    <t>0060027</t>
  </si>
  <si>
    <t>ธ. กรุงไทย จำกัด (มหาชน) สาขา ถนนข้าวสาร</t>
  </si>
  <si>
    <t>0060028</t>
  </si>
  <si>
    <t>ธ. กรุงไทย จำกัด (มหาชน) สาขา นิคมอุตสาหกรรมลาดกระบัง</t>
  </si>
  <si>
    <t>0060029</t>
  </si>
  <si>
    <t>ธ. กรุงไทย จำกัด (มหาชน) สาขา ถนนสุขสวัสดิ์</t>
  </si>
  <si>
    <t>0060030</t>
  </si>
  <si>
    <t>ธ. กรุงไทย จำกัด (มหาชน) สาขา ราชเทวี</t>
  </si>
  <si>
    <t>0060031</t>
  </si>
  <si>
    <t>ธ. กรุงไทย จำกัด (มหาชน) สาขา เซ็นทรัลปิ่นเกล้า</t>
  </si>
  <si>
    <t>0060032</t>
  </si>
  <si>
    <t>ธ. กรุงไทย จำกัด (มหาชน) สาขา กรุงเกษม</t>
  </si>
  <si>
    <t>0060033</t>
  </si>
  <si>
    <t>ธ. กรุงไทย จำกัด (มหาชน) สาขา ตลาดห้วยขวาง</t>
  </si>
  <si>
    <t>0060034</t>
  </si>
  <si>
    <t>ธ. กรุงไทย จำกัด (มหาชน) สาขา ประดิพัทธ์ 13</t>
  </si>
  <si>
    <t>0060035</t>
  </si>
  <si>
    <t>ธ. กรุงไทย จำกัด (มหาชน) สาขา องค์การตลาดเพื่อเกษตรกร (จตุจักร)</t>
  </si>
  <si>
    <t>0060036</t>
  </si>
  <si>
    <t>ธ. กรุงไทย จำกัด (มหาชน) สาขา ถนนจันทน์</t>
  </si>
  <si>
    <t>0060037</t>
  </si>
  <si>
    <t>ธ. กรุงไทย จำกัด (มหาชน) สาขา สี่แยกสะพานกรุงธน</t>
  </si>
  <si>
    <t>0060038</t>
  </si>
  <si>
    <t>ธ. กรุงไทย จำกัด (มหาชน) สาขา ท่าพระ</t>
  </si>
  <si>
    <t>0060039</t>
  </si>
  <si>
    <t>ธ. กรุงไทย จำกัด (มหาชน) สาขา พหลโยธิน 39</t>
  </si>
  <si>
    <t>0060040</t>
  </si>
  <si>
    <t>ธ. กรุงไทย จำกัด (มหาชน) สาขา เพชรเกษม 84 (บางแค)</t>
  </si>
  <si>
    <t>0060041</t>
  </si>
  <si>
    <t>ธ. กรุงไทย จำกัด (มหาชน) สาขา ถนนเพชรบุรีตัดใหม่</t>
  </si>
  <si>
    <t>0060043</t>
  </si>
  <si>
    <t>ธ. กรุงไทย จำกัด (มหาชน) สาขา ราชวงศ์</t>
  </si>
  <si>
    <t>0060044</t>
  </si>
  <si>
    <t>ธ. กรุงไทย จำกัด (มหาชน) สาขา ท่าดินแดง</t>
  </si>
  <si>
    <t>0060045</t>
  </si>
  <si>
    <t>ธ. กรุงไทย จำกัด (มหาชน) สาขา สี่แยกพระยาศรี</t>
  </si>
  <si>
    <t>0060046</t>
  </si>
  <si>
    <t>ธ. กรุงไทย จำกัด (มหาชน) สาขา จรัญสนิทวงศ์13</t>
  </si>
  <si>
    <t>0060047</t>
  </si>
  <si>
    <t>ธ. กรุงไทย จำกัด (มหาชน) สาขา สุขุมวิท 93</t>
  </si>
  <si>
    <t>0060048</t>
  </si>
  <si>
    <t>ธ. กรุงไทย จำกัด (มหาชน) สาขา สุขุมวิท 47</t>
  </si>
  <si>
    <t>0060049</t>
  </si>
  <si>
    <t>ธ. กรุงไทย จำกัด (มหาชน) สาขา สะพานกษัตริย์ศึก</t>
  </si>
  <si>
    <t>0060050</t>
  </si>
  <si>
    <t>ธ. กรุงไทย จำกัด (มหาชน) สาขา ประดิพัทธ์ 16</t>
  </si>
  <si>
    <t>0060051</t>
  </si>
  <si>
    <t>ธ. กรุงไทย จำกัด (มหาชน) สาขา วรจักร</t>
  </si>
  <si>
    <t>0060052</t>
  </si>
  <si>
    <t>ธ. กรุงไทย จำกัด (มหาชน) สาขา สยามสแควร์</t>
  </si>
  <si>
    <t>0060053</t>
  </si>
  <si>
    <t>ธ. กรุงไทย จำกัด (มหาชน) สาขา เอกมัย</t>
  </si>
  <si>
    <t>0060054</t>
  </si>
  <si>
    <t>ธ. กรุงไทย จำกัด (มหาชน) สาขา บางขุนเทียน</t>
  </si>
  <si>
    <t>0060055</t>
  </si>
  <si>
    <t>ธ. กรุงไทย จำกัด (มหาชน) สาขา ถนนเจริญนคร</t>
  </si>
  <si>
    <t>0060056</t>
  </si>
  <si>
    <t>ธ. กรุงไทย จำกัด (มหาชน) สาขา ถนนอโศก-ดินแดง</t>
  </si>
  <si>
    <t>0060057</t>
  </si>
  <si>
    <t>ธ. กรุงไทย จำกัด (มหาชน) สาขา ถนนนวมินทร์</t>
  </si>
  <si>
    <t>0060058</t>
  </si>
  <si>
    <t>ธ. กรุงไทย จำกัด (มหาชน) สาขา บางขุนนนท์</t>
  </si>
  <si>
    <t>0060059</t>
  </si>
  <si>
    <t>ธ. กรุงไทย จำกัด (มหาชน) สาขา กระทรวงศึกษาธิการ</t>
  </si>
  <si>
    <t>0060060</t>
  </si>
  <si>
    <t>ธ. กรุงไทย จำกัด (มหาชน) สาขา รามอินทรา กม.2</t>
  </si>
  <si>
    <t>0060061</t>
  </si>
  <si>
    <t>ธ. กรุงไทย จำกัด (มหาชน) สาขา ศรีนครินทร์</t>
  </si>
  <si>
    <t>0060062</t>
  </si>
  <si>
    <t>ธ. กรุงไทย จำกัด (มหาชน) สาขา อ่อนนุช</t>
  </si>
  <si>
    <t>0060063</t>
  </si>
  <si>
    <t>ธ. กรุงไทย จำกัด (มหาชน) สาขา ธนบุรี-ปากท่อ</t>
  </si>
  <si>
    <t>0060064</t>
  </si>
  <si>
    <t>ธ. กรุงไทย จำกัด (มหาชน) สาขา พัฒนาการ 17</t>
  </si>
  <si>
    <t>0060065</t>
  </si>
  <si>
    <t>ธ. กรุงไทย จำกัด (มหาชน) สาขา สะพานใหม่</t>
  </si>
  <si>
    <t>0060066</t>
  </si>
  <si>
    <t>ธ. กรุงไทย จำกัด (มหาชน) สาขา  ทีโอที (แจ้งวัฒนะ)</t>
  </si>
  <si>
    <t>0060067</t>
  </si>
  <si>
    <t>ธ. กรุงไทย จำกัด (มหาชน) สาขา ทำเนียบรัฐบาล</t>
  </si>
  <si>
    <t>0060068</t>
  </si>
  <si>
    <t>ธ. กรุงไทย จำกัด (มหาชน) สาขา กระทรวงการคลัง</t>
  </si>
  <si>
    <t>0060069</t>
  </si>
  <si>
    <t>ธ. กรุงไทย จำกัด (มหาชน) สาขา  อาคารเอ็กซิม</t>
  </si>
  <si>
    <t>0060070</t>
  </si>
  <si>
    <t>ธ. กรุงไทย จำกัด (มหาชน) สาขา เทเวศน์</t>
  </si>
  <si>
    <t>0060071</t>
  </si>
  <si>
    <t>ธ. กรุงไทย จำกัด (มหาชน) สาขา การปิโตรเลียมแห่งประเทศไทย</t>
  </si>
  <si>
    <t>0060072</t>
  </si>
  <si>
    <t>ธ. กรุงไทย จำกัด (มหาชน) สาขา  องค์การเภสัชกรรม</t>
  </si>
  <si>
    <t>0060073</t>
  </si>
  <si>
    <t>ธ. กรุงไทย จำกัด (มหาชน) สาขา  การไฟฟ้าส่วนภูมิภาค</t>
  </si>
  <si>
    <t>0060074</t>
  </si>
  <si>
    <t>ธ. กรุงไทย จำกัด (มหาชน) สาขา รามอินทรากม.10</t>
  </si>
  <si>
    <t>0060075</t>
  </si>
  <si>
    <t>ธ. กรุงไทย จำกัด (มหาชน) สาขา บางบอน</t>
  </si>
  <si>
    <t>0060076</t>
  </si>
  <si>
    <t>ธ. กรุงไทย จำกัด (มหาชน) สาขา พระราม 9 ซอย 13</t>
  </si>
  <si>
    <t>0060077</t>
  </si>
  <si>
    <t>ธ. กรุงไทย จำกัด (มหาชน) สาขา สุขุมวิท 71</t>
  </si>
  <si>
    <t>0060078</t>
  </si>
  <si>
    <t>ธ. กรุงไทย จำกัด (มหาชน) สาขา ย่อยศูนย์การประชุมแห่งชาติสิริกิติ์</t>
  </si>
  <si>
    <t>0060079</t>
  </si>
  <si>
    <t>ธ. กรุงไทย จำกัด (มหาชน) สาขา การบินไทย</t>
  </si>
  <si>
    <t>0060080</t>
  </si>
  <si>
    <t>ธ. กรุงไทย จำกัด (มหาชน) สาขา การประปานครหลวง</t>
  </si>
  <si>
    <t>0060081</t>
  </si>
  <si>
    <t>ธ. กรุงไทย จำกัด (มหาชน) สาขา  เอ็กเชน ทาวเวอร์ (สี่แยกอโศก)</t>
  </si>
  <si>
    <t>0060082</t>
  </si>
  <si>
    <t>ธ. กรุงไทย จำกัด (มหาชน) สาขา หัวตะเข้ (ลาดกระบัง)</t>
  </si>
  <si>
    <t>0060083</t>
  </si>
  <si>
    <t>ธ. กรุงไทย จำกัด (มหาชน) สาขา สาธุประดิษฐ์</t>
  </si>
  <si>
    <t>0060084</t>
  </si>
  <si>
    <t>ธ. กรุงไทย จำกัด (มหาชน) สาขา โชคชัย 4 ซอย 22</t>
  </si>
  <si>
    <t>0060085</t>
  </si>
  <si>
    <t>ธ. กรุงไทย จำกัด (มหาชน) สาขา อาคารเสริมมิตร</t>
  </si>
  <si>
    <t>0060086</t>
  </si>
  <si>
    <t>ธ. กรุงไทย จำกัด (มหาชน) สาขา เซ็นทรัลบางนา</t>
  </si>
  <si>
    <t>0060088</t>
  </si>
  <si>
    <t>ธ. กรุงไทย จำกัด (มหาชน) สาขา ศาลาว่าการ กทม.</t>
  </si>
  <si>
    <t>0060089</t>
  </si>
  <si>
    <t>ธ. กรุงไทย จำกัด (มหาชน) สาขา รัฐสภา</t>
  </si>
  <si>
    <t>0060090</t>
  </si>
  <si>
    <t>ธ. กรุงไทย จำกัด (มหาชน) สาขา บางยี่ขัน</t>
  </si>
  <si>
    <t>0060091</t>
  </si>
  <si>
    <t>ธ. กรุงไทย จำกัด (มหาชน) สาขา รัชดาภิเษก-ห้วยขวาง</t>
  </si>
  <si>
    <t>0060092</t>
  </si>
  <si>
    <t>ธ. กรุงไทย จำกัด (มหาชน) สาขา ย่อยการไฟฟ้านครหลวงเพลินจิต</t>
  </si>
  <si>
    <t>0060093</t>
  </si>
  <si>
    <t>ธ. กรุงไทย จำกัด (มหาชน) สาขา  กสท โทรคมนาคม</t>
  </si>
  <si>
    <t>0060094</t>
  </si>
  <si>
    <t>ธ. กรุงไทย จำกัด (มหาชน) สาขา ประชาอุทิศ</t>
  </si>
  <si>
    <t>0060095</t>
  </si>
  <si>
    <t>ธ. กรุงไทย จำกัด (มหาชน) สาขา การเคหะแห่งชาติ</t>
  </si>
  <si>
    <t>0060096</t>
  </si>
  <si>
    <t>ธ. กรุงไทย จำกัด (มหาชน) สาขา แจ้งวัฒนะ</t>
  </si>
  <si>
    <t>0060097</t>
  </si>
  <si>
    <t>ธ. กรุงไทย จำกัด (มหาชน) สาขา ประชานิเวศน์</t>
  </si>
  <si>
    <t>0060098</t>
  </si>
  <si>
    <t>ธ. กรุงไทย จำกัด (มหาชน) สาขา สุทธิสารวินิจฉัย</t>
  </si>
  <si>
    <t>0060099</t>
  </si>
  <si>
    <t>ธ. กรุงไทย จำกัด (มหาชน) สาขา นิวยอร์ค</t>
  </si>
  <si>
    <t>0060100</t>
  </si>
  <si>
    <t>ธ. กรุงไทย จำกัด (มหาชน) สาขา ลอสแอนเจลิส</t>
  </si>
  <si>
    <t>0060101</t>
  </si>
  <si>
    <t>ธ. กรุงไทย จำกัด (มหาชน) สาขา อยุธยา</t>
  </si>
  <si>
    <t>0060102</t>
  </si>
  <si>
    <t>ธ. กรุงไทย จำกัด (มหาชน) สาขา ผักไห่</t>
  </si>
  <si>
    <t>0060103</t>
  </si>
  <si>
    <t>ธ. กรุงไทย จำกัด (มหาชน) สาขา ท่าเรือ</t>
  </si>
  <si>
    <t>0060104</t>
  </si>
  <si>
    <t>ธ. กรุงไทย จำกัด (มหาชน) สาขา เสนา</t>
  </si>
  <si>
    <t>0060105</t>
  </si>
  <si>
    <t>ธ. กรุงไทย จำกัด (มหาชน) สาขา ภาชี</t>
  </si>
  <si>
    <t>0060106</t>
  </si>
  <si>
    <t>ธ. กรุงไทย จำกัด (มหาชน) สาขา ชัยนาท</t>
  </si>
  <si>
    <t>0060107</t>
  </si>
  <si>
    <t>ธ. กรุงไทย จำกัด (มหาชน) สาขา หันคา</t>
  </si>
  <si>
    <t>0060108</t>
  </si>
  <si>
    <t>ธ. กรุงไทย จำกัด (มหาชน) สาขา นนทบุรี</t>
  </si>
  <si>
    <t>0060109</t>
  </si>
  <si>
    <t>ธ. กรุงไทย จำกัด (มหาชน) สาขา บางกรวย</t>
  </si>
  <si>
    <t>0060110</t>
  </si>
  <si>
    <t>ธ. กรุงไทย จำกัด (มหาชน) สาขา ปทุมธานี</t>
  </si>
  <si>
    <t>0060111</t>
  </si>
  <si>
    <t>ธ. กรุงไทย จำกัด (มหาชน) สาขา ลพบุรี</t>
  </si>
  <si>
    <t>0060112</t>
  </si>
  <si>
    <t>ธ. กรุงไทย จำกัด (มหาชน) สาขา บ้านหมี่</t>
  </si>
  <si>
    <t>0060113</t>
  </si>
  <si>
    <t>ธ. กรุงไทย จำกัด (มหาชน) สาขา ลำนารายณ์</t>
  </si>
  <si>
    <t>0060114</t>
  </si>
  <si>
    <t>ธ. กรุงไทย จำกัด (มหาชน) สาขา โคกสำโรง</t>
  </si>
  <si>
    <t>0060115</t>
  </si>
  <si>
    <t>ธ. กรุงไทย จำกัด (มหาชน) สาขา สระบุรี</t>
  </si>
  <si>
    <t>0060116</t>
  </si>
  <si>
    <t>ธ. กรุงไทย จำกัด (มหาชน) สาขา สิงห์บุรี</t>
  </si>
  <si>
    <t>0060117</t>
  </si>
  <si>
    <t>ธ. กรุงไทย จำกัด (มหาชน) สาขา อินทร์บุรี</t>
  </si>
  <si>
    <t>0060118</t>
  </si>
  <si>
    <t>ธ. กรุงไทย จำกัด (มหาชน) สาขา อ่างทอง</t>
  </si>
  <si>
    <t>0060119</t>
  </si>
  <si>
    <t>ธ. กรุงไทย จำกัด (มหาชน) สาขา ป่าโมก</t>
  </si>
  <si>
    <t>0060120</t>
  </si>
  <si>
    <t>ธ. กรุงไทย จำกัด (มหาชน) สาขา รังสิต</t>
  </si>
  <si>
    <t>0060121</t>
  </si>
  <si>
    <t>ธ. กรุงไทย จำกัด (มหาชน) สาขา บางบัวทอง</t>
  </si>
  <si>
    <t>0060122</t>
  </si>
  <si>
    <t>ธ. กรุงไทย จำกัด (มหาชน) สาขา โพธิ์ทอง</t>
  </si>
  <si>
    <t>0060123</t>
  </si>
  <si>
    <t>ธ. กรุงไทย จำกัด (มหาชน) สาขา ปากเกร็ด</t>
  </si>
  <si>
    <t>0060124</t>
  </si>
  <si>
    <t>ธ. กรุงไทย จำกัด (มหาชน) สาขา สรรคบุรี</t>
  </si>
  <si>
    <t>0060125</t>
  </si>
  <si>
    <t>ธ. กรุงไทย จำกัด (มหาชน) สาขา หนองแค</t>
  </si>
  <si>
    <t>0060126</t>
  </si>
  <si>
    <t>ธ. กรุงไทย จำกัด (มหาชน) สาขา ประตูน้ำพระอินทร์</t>
  </si>
  <si>
    <t>0060127</t>
  </si>
  <si>
    <t>ธ. กรุงไทย จำกัด (มหาชน) สาขา ตลาดสี่มุมเมือง</t>
  </si>
  <si>
    <t>0060128</t>
  </si>
  <si>
    <t>ธ. กรุงไทย จำกัด (มหาชน) สาขา โรจนะ</t>
  </si>
  <si>
    <t>0060129</t>
  </si>
  <si>
    <t>ธ. กรุงไทย จำกัด (มหาชน) สาขา วงเวียนสระแก้ว</t>
  </si>
  <si>
    <t>0060130</t>
  </si>
  <si>
    <t>ธ. กรุงไทย จำกัด (มหาชน) สาขา ติวานนท์ 3</t>
  </si>
  <si>
    <t>0060131</t>
  </si>
  <si>
    <t>ธ. กรุงไทย จำกัด (มหาชน) สาขา เสาไห้</t>
  </si>
  <si>
    <t>0060132</t>
  </si>
  <si>
    <t>ธ. กรุงไทย จำกัด (มหาชน) สาขา หนองแซง</t>
  </si>
  <si>
    <t>0060133</t>
  </si>
  <si>
    <t>ธ. กรุงไทย จำกัด (มหาชน) สาขา หน้าพระลาน</t>
  </si>
  <si>
    <t>0060134</t>
  </si>
  <si>
    <t>ธ. กรุงไทย จำกัด (มหาชน) สาขา อำเภอสามโคก</t>
  </si>
  <si>
    <t>0060135</t>
  </si>
  <si>
    <t>ธ. กรุงไทย จำกัด (มหาชน) สาขา เขาพระงาม</t>
  </si>
  <si>
    <t>0060136</t>
  </si>
  <si>
    <t>ธ. กรุงไทย จำกัด (มหาชน) สาขา ท่าลาน</t>
  </si>
  <si>
    <t>0060137</t>
  </si>
  <si>
    <t>ธ. กรุงไทย จำกัด (มหาชน) สาขา รัตนาธิเบศร์</t>
  </si>
  <si>
    <t>0060138</t>
  </si>
  <si>
    <t>ธ. กรุงไทย จำกัด (มหาชน) สาขา วิเศษชัยชาญ</t>
  </si>
  <si>
    <t>0060139</t>
  </si>
  <si>
    <t>ธ. กรุงไทย จำกัด (มหาชน) สาขา ลาดหลุมแก้ว (แยกนพวงศ์)</t>
  </si>
  <si>
    <t>0060140</t>
  </si>
  <si>
    <t>ธ. กรุงไทย จำกัด (มหาชน) สาขา หินกอง</t>
  </si>
  <si>
    <t>0060141</t>
  </si>
  <si>
    <t>ธ. กรุงไทย จำกัด (มหาชน) สาขา งามวงศ์วาน</t>
  </si>
  <si>
    <t>0060142</t>
  </si>
  <si>
    <t>ธ. กรุงไทย จำกัด (มหาชน) สาขา กระทรวงสาธารณสุข-ติวานนท์</t>
  </si>
  <si>
    <t>0060143</t>
  </si>
  <si>
    <t>ธ. กรุงไทย จำกัด (มหาชน) สาขา  การไฟฟ้าฝ่ายผลิตบางกรวย</t>
  </si>
  <si>
    <t>0060144</t>
  </si>
  <si>
    <t>ธ. กรุงไทย จำกัด (มหาชน) สาขา พิทักษ์สันติ (ตลาดปทุมธานี)</t>
  </si>
  <si>
    <t>0060145</t>
  </si>
  <si>
    <t>ธ. กรุงไทย จำกัด (มหาชน) สาขา ท่าน้ำนนทบุรี</t>
  </si>
  <si>
    <t>0060146</t>
  </si>
  <si>
    <t>ธ. กรุงไทย จำกัด (มหาชน) สาขา ท่าวุ้ง</t>
  </si>
  <si>
    <t>0060147</t>
  </si>
  <si>
    <t>ธ. กรุงไทย จำกัด (มหาชน) สาขา เมืองทองธานี</t>
  </si>
  <si>
    <t>0060148</t>
  </si>
  <si>
    <t>ธ. กรุงไทย จำกัด (มหาชน) สาขา รังสิต-นครนายก คลอง 4</t>
  </si>
  <si>
    <t>0060149</t>
  </si>
  <si>
    <t>ธ. กรุงไทย จำกัด (มหาชน) สาขา พัฒนานิคม</t>
  </si>
  <si>
    <t>0060150</t>
  </si>
  <si>
    <t>ธ. กรุงไทย จำกัด (มหาชน) สาขา บางปะอิน</t>
  </si>
  <si>
    <t>0060152</t>
  </si>
  <si>
    <t>ธ. กรุงไทย จำกัด (มหาชน) สาขา ตลาดไท</t>
  </si>
  <si>
    <t>0060153</t>
  </si>
  <si>
    <t>ธ. กรุงไทย จำกัด (มหาชน) สาขา สวนมะลิ</t>
  </si>
  <si>
    <t>0060154</t>
  </si>
  <si>
    <t>ธ. กรุงไทย จำกัด (มหาชน) สาขา ตลาดน้อย</t>
  </si>
  <si>
    <t>0060155</t>
  </si>
  <si>
    <t>ธ. กรุงไทย จำกัด (มหาชน) สาขา ตลาดพลู</t>
  </si>
  <si>
    <t>0060156</t>
  </si>
  <si>
    <t>ธ. กรุงไทย จำกัด (มหาชน) สาขา มหานาค</t>
  </si>
  <si>
    <t>0060157</t>
  </si>
  <si>
    <t>ธ. กรุงไทย จำกัด (มหาชน) สาขา สี่แยกอรุณอัมรินทร์</t>
  </si>
  <si>
    <t>0060158</t>
  </si>
  <si>
    <t>ธ. กรุงไทย จำกัด (มหาชน) สาขา ถนนมหาไชย</t>
  </si>
  <si>
    <t>0060159</t>
  </si>
  <si>
    <t>ธ. กรุงไทย จำกัด (มหาชน) สาขา ถนนเฟื่องนคร</t>
  </si>
  <si>
    <t>0060160</t>
  </si>
  <si>
    <t>ธ. กรุงไทย จำกัด (มหาชน) สาขา ปากคลองตลาด</t>
  </si>
  <si>
    <t>0060161</t>
  </si>
  <si>
    <t>ธ. กรุงไทย จำกัด (มหาชน) สาขา พระโขนง</t>
  </si>
  <si>
    <t>0060162</t>
  </si>
  <si>
    <t>ธ. กรุงไทย จำกัด (มหาชน) สาขา สามย่าน</t>
  </si>
  <si>
    <t>0060163</t>
  </si>
  <si>
    <t>ธ. กรุงไทย จำกัด (มหาชน) สาขา ประตูน้ำ</t>
  </si>
  <si>
    <t>0060167</t>
  </si>
  <si>
    <t>ธ. กรุงไทย จำกัด (มหาชน) สาขา บางลำพู</t>
  </si>
  <si>
    <t>0060169</t>
  </si>
  <si>
    <t>ธ. กรุงไทย จำกัด (มหาชน) สาขา บางแค (เพชรเกษม 65/1)</t>
  </si>
  <si>
    <t>0060170</t>
  </si>
  <si>
    <t>ธ. กรุงไทย จำกัด (มหาชน) สาขา เอ็มไพร์ทาวเวอร์ (ถนนสาทร)</t>
  </si>
  <si>
    <t>0060172</t>
  </si>
  <si>
    <t>ธ. กรุงไทย จำกัด (มหาชน) สาขา ซอยอารีย์</t>
  </si>
  <si>
    <t>0060173</t>
  </si>
  <si>
    <t>ธ. กรุงไทย จำกัด (มหาชน) สาขา บิ๊กซี การเคหะพระราม 2</t>
  </si>
  <si>
    <t>0060174</t>
  </si>
  <si>
    <t>ธ. กรุงไทย จำกัด (มหาชน) สาขา รามอินทรา ก.ม.4</t>
  </si>
  <si>
    <t>0060175</t>
  </si>
  <si>
    <t>ธ. กรุงไทย จำกัด (มหาชน) สาขา บางพลัด</t>
  </si>
  <si>
    <t>0060176</t>
  </si>
  <si>
    <t>ธ. กรุงไทย จำกัด (มหาชน) สาขา ถนนประชาราษฎร์</t>
  </si>
  <si>
    <t>0060177</t>
  </si>
  <si>
    <t>ธ. กรุงไทย จำกัด (มหาชน) สาขา ศรีนครินทร์ กม. 9</t>
  </si>
  <si>
    <t>0060178</t>
  </si>
  <si>
    <t>ธ. กรุงไทย จำกัด (มหาชน) สาขา ดินแดง</t>
  </si>
  <si>
    <t>0060180</t>
  </si>
  <si>
    <t>ธ. กรุงไทย จำกัด (มหาชน) สาขา ถนนสรรพาวุธ</t>
  </si>
  <si>
    <t>0060181</t>
  </si>
  <si>
    <t>ธ. กรุงไทย จำกัด (มหาชน) สาขา กรมศุลกากร</t>
  </si>
  <si>
    <t>0060182</t>
  </si>
  <si>
    <t>ธ. กรุงไทย จำกัด (มหาชน) สาขา  สวนพลู</t>
  </si>
  <si>
    <t>0060183</t>
  </si>
  <si>
    <t>ธ. กรุงไทย จำกัด (มหาชน) สาขา ซีคอน บางแค</t>
  </si>
  <si>
    <t>0060184</t>
  </si>
  <si>
    <t>ธ. กรุงไทย จำกัด (มหาชน) สาขา กรมสรรพากร</t>
  </si>
  <si>
    <t>0060185</t>
  </si>
  <si>
    <t>ธ. กรุงไทย จำกัด (มหาชน) สาขา เทสโก้โลตัส บางกะปิ</t>
  </si>
  <si>
    <t>0060186</t>
  </si>
  <si>
    <t>ธ. กรุงไทย จำกัด (มหาชน) สาขา เซ็นต์หลุยส์ซอย3</t>
  </si>
  <si>
    <t>0060187</t>
  </si>
  <si>
    <t>ธ. กรุงไทย จำกัด (มหาชน) สาขา ทองหล่อ</t>
  </si>
  <si>
    <t>0060188</t>
  </si>
  <si>
    <t>ธ. กรุงไทย จำกัด (มหาชน) สาขา พัฒนาการ 65</t>
  </si>
  <si>
    <t>0060189</t>
  </si>
  <si>
    <t>ธ. กรุงไทย จำกัด (มหาชน) สาขา ลาดพร้าว 102</t>
  </si>
  <si>
    <t>0060190</t>
  </si>
  <si>
    <t>ธ. กรุงไทย จำกัด (มหาชน) สาขา บางบ่อ</t>
  </si>
  <si>
    <t>0060191</t>
  </si>
  <si>
    <t>ธ. กรุงไทย จำกัด (มหาชน) สาขา เพชรเกษม 77/2 (หนองแขม)</t>
  </si>
  <si>
    <t>0060192</t>
  </si>
  <si>
    <t>ธ. กรุงไทย จำกัด (มหาชน) สาขา ถนนพระราม 4</t>
  </si>
  <si>
    <t>0060193</t>
  </si>
  <si>
    <t>ธ. กรุงไทย จำกัด (มหาชน) สาขา วงศ์สว่าง</t>
  </si>
  <si>
    <t>0060194</t>
  </si>
  <si>
    <t xml:space="preserve">ธ. กรุงไทย จำกัด (มหาชน) </t>
  </si>
  <si>
    <t>0060195</t>
  </si>
  <si>
    <t>ธ. กรุงไทย จำกัด (มหาชน) สาขา รามคำแหง 129</t>
  </si>
  <si>
    <t>0060196</t>
  </si>
  <si>
    <t>ธ. กรุงไทย จำกัด (มหาชน) สาขา พรานนก</t>
  </si>
  <si>
    <t>0060197</t>
  </si>
  <si>
    <t>ธ. กรุงไทย จำกัด (มหาชน) สาขา เสรีไทย 47</t>
  </si>
  <si>
    <t>0060198</t>
  </si>
  <si>
    <t>ธ. กรุงไทย จำกัด (มหาชน) สาขา สรงประภา</t>
  </si>
  <si>
    <t>0060199</t>
  </si>
  <si>
    <t>ธ. กรุงไทย จำกัด (มหาชน) สาขา ลาดปลาเค้า 41</t>
  </si>
  <si>
    <t>0060201</t>
  </si>
  <si>
    <t>ธ. กรุงไทย จำกัด (มหาชน) สาขา ฉะเชิงเทรา</t>
  </si>
  <si>
    <t>0060202</t>
  </si>
  <si>
    <t>ธ. กรุงไทย จำกัด (มหาชน) สาขา บางปะกง</t>
  </si>
  <si>
    <t>0060203</t>
  </si>
  <si>
    <t>ธ. กรุงไทย จำกัด (มหาชน) สาขา พนมสารคาม</t>
  </si>
  <si>
    <t>0060204</t>
  </si>
  <si>
    <t>ธ. กรุงไทย จำกัด (มหาชน) สาขา จันทบุรี</t>
  </si>
  <si>
    <t>0060205</t>
  </si>
  <si>
    <t>ธ. กรุงไทย จำกัด (มหาชน) สาขา ขลุง</t>
  </si>
  <si>
    <t>0060206</t>
  </si>
  <si>
    <t>ธ. กรุงไทย จำกัด (มหาชน) สาขา ตราด</t>
  </si>
  <si>
    <t>0060207</t>
  </si>
  <si>
    <t>ธ. กรุงไทย จำกัด (มหาชน) สาขา ชลบุรี</t>
  </si>
  <si>
    <t>0060208</t>
  </si>
  <si>
    <t>ธ. กรุงไทย จำกัด (มหาชน) สาขา ศรีราชา</t>
  </si>
  <si>
    <t>0060209</t>
  </si>
  <si>
    <t>ธ. กรุงไทย จำกัด (มหาชน) สาขา พนัสนิคม</t>
  </si>
  <si>
    <t>0060210</t>
  </si>
  <si>
    <t>ธ. กรุงไทย จำกัด (มหาชน) สาขา บ้านบึง</t>
  </si>
  <si>
    <t>0060211</t>
  </si>
  <si>
    <t>ธ. กรุงไทย จำกัด (มหาชน) สาขา นครนายก</t>
  </si>
  <si>
    <t>0060212</t>
  </si>
  <si>
    <t>ธ. กรุงไทย จำกัด (มหาชน) สาขา บ้านนา</t>
  </si>
  <si>
    <t>0060213</t>
  </si>
  <si>
    <t>ธ. กรุงไทย จำกัด (มหาชน) สาขา ปราจีนบุรี</t>
  </si>
  <si>
    <t>0060214</t>
  </si>
  <si>
    <t>ธ. กรุงไทย จำกัด (มหาชน) สาขา อรัญประเทศ</t>
  </si>
  <si>
    <t>0060215</t>
  </si>
  <si>
    <t>ธ. กรุงไทย จำกัด (มหาชน) สาขา สมุทรปราการ</t>
  </si>
  <si>
    <t>0060216</t>
  </si>
  <si>
    <t>ธ. กรุงไทย จำกัด (มหาชน) สาขา พระประแดง</t>
  </si>
  <si>
    <t>0060217</t>
  </si>
  <si>
    <t>ธ. กรุงไทย จำกัด (มหาชน) สาขา บางปู</t>
  </si>
  <si>
    <t>0060218</t>
  </si>
  <si>
    <t>ธ. กรุงไทย จำกัด (มหาชน) สาขา ระยอง</t>
  </si>
  <si>
    <t>0060219</t>
  </si>
  <si>
    <t>ธ. กรุงไทย จำกัด (มหาชน) สาขา ปากน้ำ</t>
  </si>
  <si>
    <t>0060220</t>
  </si>
  <si>
    <t>ธ. กรุงไทย จำกัด (มหาชน) สาขา วัฒนานคร</t>
  </si>
  <si>
    <t>0060221</t>
  </si>
  <si>
    <t>ธ. กรุงไทย จำกัด (มหาชน) สาขา พัทยาใต้</t>
  </si>
  <si>
    <t>0060222</t>
  </si>
  <si>
    <t>ธ. กรุงไทย จำกัด (มหาชน) สาขา บางคล้า</t>
  </si>
  <si>
    <t>0060223</t>
  </si>
  <si>
    <t>ธ. กรุงไทย จำกัด (มหาชน) สาขา บ้านเพ</t>
  </si>
  <si>
    <t>0060224</t>
  </si>
  <si>
    <t>ธ. กรุงไทย จำกัด (มหาชน) สาขา แกลง</t>
  </si>
  <si>
    <t>0060225</t>
  </si>
  <si>
    <t>ธ. กรุงไทย จำกัด (มหาชน) สาขา ถนนปู่เจ้าสมิงพราย</t>
  </si>
  <si>
    <t>0060226</t>
  </si>
  <si>
    <t>ธ. กรุงไทย จำกัด (มหาชน) สาขา เทพารักษ์</t>
  </si>
  <si>
    <t>0060227</t>
  </si>
  <si>
    <t>ธ. กรุงไทย จำกัด (มหาชน) สาขา พัทยากลาง</t>
  </si>
  <si>
    <t>0060228</t>
  </si>
  <si>
    <t>ธ. กรุงไทย จำกัด (มหาชน) สาขา บางปลาสร้อย</t>
  </si>
  <si>
    <t>0060229</t>
  </si>
  <si>
    <t>ธ. กรุงไทย จำกัด (มหาชน) สาขา ถนนมหาจักรพรรดิ์</t>
  </si>
  <si>
    <t>0060230</t>
  </si>
  <si>
    <t>ธ. กรุงไทย จำกัด (มหาชน) สาขา สัตหีบ</t>
  </si>
  <si>
    <t>0060231</t>
  </si>
  <si>
    <t>ธ. กรุงไทย จำกัด (มหาชน) สาขา บางน้ำเปรี้ยว</t>
  </si>
  <si>
    <t>0060232</t>
  </si>
  <si>
    <t>ธ. กรุงไทย จำกัด (มหาชน) สาขา พลูตาหลวง</t>
  </si>
  <si>
    <t>0060233</t>
  </si>
  <si>
    <t>ธ. กรุงไทย จำกัด (มหาชน) สาขา กบินทร์บุรี</t>
  </si>
  <si>
    <t>0060234</t>
  </si>
  <si>
    <t>ธ. กรุงไทย จำกัด (มหาชน) สาขา มาบตาพุด</t>
  </si>
  <si>
    <t>0060235</t>
  </si>
  <si>
    <t>ธ. กรุงไทย จำกัด (มหาชน) สาขา ท่าประดู่</t>
  </si>
  <si>
    <t>0060236</t>
  </si>
  <si>
    <t>ธ. กรุงไทย จำกัด (มหาชน) สาขา สระแก้ว</t>
  </si>
  <si>
    <t>0060237</t>
  </si>
  <si>
    <t>ธ. กรุงไทย จำกัด (มหาชน) สาขา นายายอาม</t>
  </si>
  <si>
    <t>0060238</t>
  </si>
  <si>
    <t>ธ. กรุงไทย จำกัด (มหาชน) สาขา สนามชัยเขต</t>
  </si>
  <si>
    <t>0060239</t>
  </si>
  <si>
    <t>ธ. กรุงไทย จำกัด (มหาชน) สาขา โป่งน้ำร้อน</t>
  </si>
  <si>
    <t>0060240</t>
  </si>
  <si>
    <t>ธ. กรุงไทย จำกัด (มหาชน) สาขา ตาพระยา</t>
  </si>
  <si>
    <t>0060241</t>
  </si>
  <si>
    <t>ธ. กรุงไทย จำกัด (มหาชน) สาขา คลองใหญ่</t>
  </si>
  <si>
    <t>0060242</t>
  </si>
  <si>
    <t>ธ. กรุงไทย จำกัด (มหาชน) สาขา ถนนตรีรัตน์</t>
  </si>
  <si>
    <t>0060243</t>
  </si>
  <si>
    <t>ธ. กรุงไทย จำกัด (มหาชน) สาขา หนองมน</t>
  </si>
  <si>
    <t>0060244</t>
  </si>
  <si>
    <t>ธ. กรุงไทย จำกัด (มหาชน) สาขา โรงไฟฟ้าพลังงานความร้อนบางปะกง</t>
  </si>
  <si>
    <t>0060245</t>
  </si>
  <si>
    <t>ธ. กรุงไทย จำกัด (มหาชน) สาขา แสนตุ้ง</t>
  </si>
  <si>
    <t>0060246</t>
  </si>
  <si>
    <t>ธ. กรุงไทย จำกัด (มหาชน) สาขา บางครุ</t>
  </si>
  <si>
    <t>0060247</t>
  </si>
  <si>
    <t>ธ. กรุงไทย จำกัด (มหาชน) สาขา อ่าวอุดม</t>
  </si>
  <si>
    <t>0060248</t>
  </si>
  <si>
    <t>ธ. กรุงไทย จำกัด (มหาชน) สาขา วังจันทร์</t>
  </si>
  <si>
    <t>0060249</t>
  </si>
  <si>
    <t>ธ. กรุงไทย จำกัด (มหาชน) สาขา บ้านฉาง</t>
  </si>
  <si>
    <t>0060250</t>
  </si>
  <si>
    <t>ธ. กรุงไทย จำกัด (มหาชน) สาขา สำโรง</t>
  </si>
  <si>
    <t>0060251</t>
  </si>
  <si>
    <t>ธ. กรุงไทย จำกัด (มหาชน) สาขา หนองใหญ่</t>
  </si>
  <si>
    <t>0060252</t>
  </si>
  <si>
    <t>ธ. กรุงไทย จำกัด (มหาชน) สาขา สอยดาว</t>
  </si>
  <si>
    <t>0060253</t>
  </si>
  <si>
    <t>ธ. กรุงไทย จำกัด (มหาชน) สาขา ศรีนครินทร์กม.14</t>
  </si>
  <si>
    <t>0060254</t>
  </si>
  <si>
    <t>ธ. กรุงไทย จำกัด (มหาชน) สาขา บางพลี</t>
  </si>
  <si>
    <t>0060256</t>
  </si>
  <si>
    <t>ธ. กรุงไทย จำกัด (มหาชน) สาขา ลาดพร้าว 130/1</t>
  </si>
  <si>
    <t>0060257</t>
  </si>
  <si>
    <t>ธ. กรุงไทย จำกัด (มหาชน) สาขา ถนนเจริญนครเอ</t>
  </si>
  <si>
    <t>0060258</t>
  </si>
  <si>
    <t>ธ. กรุงไทย จำกัด (มหาชน) สาขา สุขุมวิท 77</t>
  </si>
  <si>
    <t>0060259</t>
  </si>
  <si>
    <t>ธ. กรุงไทย จำกัด (มหาชน) สาขา อุดมสุข</t>
  </si>
  <si>
    <t>0060260</t>
  </si>
  <si>
    <t>ธ. กรุงไทย จำกัด (มหาชน) สาขา ถนนนางลิ้นจี่</t>
  </si>
  <si>
    <t>0060261</t>
  </si>
  <si>
    <t>ธ. กรุงไทย จำกัด (มหาชน) สาขา มีนบุรี</t>
  </si>
  <si>
    <t>0060262</t>
  </si>
  <si>
    <t>ธ. กรุงไทย จำกัด (มหาชน) สาขา นนทบุรีเอ</t>
  </si>
  <si>
    <t>0060263</t>
  </si>
  <si>
    <t>ธ. กรุงไทย จำกัด (มหาชน) สาขา งามวงศ์วานเอ</t>
  </si>
  <si>
    <t>0060264</t>
  </si>
  <si>
    <t>ธ. กรุงไทย จำกัด (มหาชน) สาขา ปากเพรียว</t>
  </si>
  <si>
    <t>0060265</t>
  </si>
  <si>
    <t>ธ. กรุงไทย จำกัด (มหาชน) สาขา ตลาดหัวรอ</t>
  </si>
  <si>
    <t>0060266</t>
  </si>
  <si>
    <t>ธ. กรุงไทย จำกัด (มหาชน) สาขา ปทุมธานีเอ</t>
  </si>
  <si>
    <t>0060268</t>
  </si>
  <si>
    <t>ธ. กรุงไทย จำกัด (มหาชน) สาขา ถนนศรีสมุทร</t>
  </si>
  <si>
    <t>0060269</t>
  </si>
  <si>
    <t>ธ. กรุงไทย จำกัด (มหาชน) สาขา ถนนพานิช</t>
  </si>
  <si>
    <t>0060270</t>
  </si>
  <si>
    <t>ธ. กรุงไทย จำกัด (มหาชน) สาขา ถนนเจตน์จำนง</t>
  </si>
  <si>
    <t>0060271</t>
  </si>
  <si>
    <t>ธ. กรุงไทย จำกัด (มหาชน) สาขา ถนนศรีรองเมือง</t>
  </si>
  <si>
    <t>0060272</t>
  </si>
  <si>
    <t>ธ. กรุงไทย จำกัด (มหาชน) สาขา พลิ้ว</t>
  </si>
  <si>
    <t>0060273</t>
  </si>
  <si>
    <t>ธ. กรุงไทย จำกัด (มหาชน) สาขา ตลาดศรีราชา</t>
  </si>
  <si>
    <t>0060274</t>
  </si>
  <si>
    <t>ธ. กรุงไทย จำกัด (มหาชน) สาขา เนินพระ</t>
  </si>
  <si>
    <t>0060277</t>
  </si>
  <si>
    <t>ธ. กรุงไทย จำกัด (มหาชน) สาขา ท่าเรือแหลมฉบัง</t>
  </si>
  <si>
    <t>0060280</t>
  </si>
  <si>
    <t>ธ. กรุงไทย จำกัด (มหาชน) สาขา ถนนจอมพล</t>
  </si>
  <si>
    <t>0060284</t>
  </si>
  <si>
    <t>ธ. กรุงไทย จำกัด (มหาชน) สาขา ถนนธานี</t>
  </si>
  <si>
    <t>0060285</t>
  </si>
  <si>
    <t>ธ. กรุงไทย จำกัด (มหาชน) สาขา ภูเขียว</t>
  </si>
  <si>
    <t>0060287</t>
  </si>
  <si>
    <t>ธ. กรุงไทย จำกัด (มหาชน) สาขา สี่แยกกิโลศูนย์</t>
  </si>
  <si>
    <t>0060288</t>
  </si>
  <si>
    <t>ธ. กรุงไทย จำกัด (มหาชน) สาขา คูเมือง</t>
  </si>
  <si>
    <t>0060289</t>
  </si>
  <si>
    <t>ธ. กรุงไทย จำกัด (มหาชน) สาขา ย่อยบ้านแท่น</t>
  </si>
  <si>
    <t>0060291</t>
  </si>
  <si>
    <t>ธ. กรุงไทย จำกัด (มหาชน) สาขา ถนนเจริญรัฐ</t>
  </si>
  <si>
    <t>0060292</t>
  </si>
  <si>
    <t>ธ. กรุงไทย จำกัด (มหาชน) สาขา ถนนอุดรดุษฎี</t>
  </si>
  <si>
    <t>0060293</t>
  </si>
  <si>
    <t>ธ. กรุงไทย จำกัด (มหาชน) สาขา ตลาดหายโศรก</t>
  </si>
  <si>
    <t>0060294</t>
  </si>
  <si>
    <t>ธ. กรุงไทย จำกัด (มหาชน) สาขา ย่อยตลาดชุมแพ</t>
  </si>
  <si>
    <t>0060295</t>
  </si>
  <si>
    <t>ธ. กรุงไทย จำกัด (มหาชน) สาขา ท่าเสด็จ</t>
  </si>
  <si>
    <t>0060296</t>
  </si>
  <si>
    <t>ธ. กรุงไทย จำกัด (มหาชน) สาขา ศรีนครพิงค์</t>
  </si>
  <si>
    <t>0060297</t>
  </si>
  <si>
    <t>ธ. กรุงไทย จำกัด (มหาชน) สาขา ถนนศรีอุตรา</t>
  </si>
  <si>
    <t>0060298</t>
  </si>
  <si>
    <t>ธ. กรุงไทย จำกัด (มหาชน) สาขา ลำปางดารุ้ลอิคลาส</t>
  </si>
  <si>
    <t>0060301</t>
  </si>
  <si>
    <t>ธ. กรุงไทย จำกัด (มหาชน) สาขา นครราชสีมา</t>
  </si>
  <si>
    <t>0060302</t>
  </si>
  <si>
    <t>ธ. กรุงไทย จำกัด (มหาชน) สาขา บัวใหญ่</t>
  </si>
  <si>
    <t>0060303</t>
  </si>
  <si>
    <t>ธ. กรุงไทย จำกัด (มหาชน) สาขา ปากช่อง</t>
  </si>
  <si>
    <t>0060304</t>
  </si>
  <si>
    <t>ธ. กรุงไทย จำกัด (มหาชน) สาขา ปักธงชัย</t>
  </si>
  <si>
    <t>0060305</t>
  </si>
  <si>
    <t>ธ. กรุงไทย จำกัด (มหาชน) สาขา ด่านขุนทด</t>
  </si>
  <si>
    <t>0060306</t>
  </si>
  <si>
    <t>ธ. กรุงไทย จำกัด (มหาชน) สาขา ถนนมิตรภาพ</t>
  </si>
  <si>
    <t>0060307</t>
  </si>
  <si>
    <t>ธ. กรุงไทย จำกัด (มหาชน) สาขา ชัยภูมิ</t>
  </si>
  <si>
    <t>0060308</t>
  </si>
  <si>
    <t>ธ. กรุงไทย จำกัด (มหาชน) สาขา บุรีรัมย์</t>
  </si>
  <si>
    <t>0060309</t>
  </si>
  <si>
    <t>ธ. กรุงไทย จำกัด (มหาชน) สาขา ลำปลายมาศ</t>
  </si>
  <si>
    <t>0060310</t>
  </si>
  <si>
    <t>ธ. กรุงไทย จำกัด (มหาชน) สาขา สุรินทร์</t>
  </si>
  <si>
    <t>0060311</t>
  </si>
  <si>
    <t>ธ. กรุงไทย จำกัด (มหาชน) สาขา ศรีสะเกษ</t>
  </si>
  <si>
    <t>0060312</t>
  </si>
  <si>
    <t>ธ. กรุงไทย จำกัด (มหาชน) สาขา กันทรลักษ์</t>
  </si>
  <si>
    <t>0060313</t>
  </si>
  <si>
    <t>ธ. กรุงไทย จำกัด (มหาชน) สาขา อุบลราชธานี</t>
  </si>
  <si>
    <t>0060314</t>
  </si>
  <si>
    <t>ธ. กรุงไทย จำกัด (มหาชน) สาขา วารินชำราบ</t>
  </si>
  <si>
    <t>0060315</t>
  </si>
  <si>
    <t>ธ. กรุงไทย จำกัด (มหาชน) สาขา ยโสธร</t>
  </si>
  <si>
    <t>0060316</t>
  </si>
  <si>
    <t>ธ. กรุงไทย จำกัด (มหาชน) สาขา ประโคนชัย</t>
  </si>
  <si>
    <t>0060317</t>
  </si>
  <si>
    <t>ธ. กรุงไทย จำกัด (มหาชน) สาขา เดชอุดม</t>
  </si>
  <si>
    <t>0060318</t>
  </si>
  <si>
    <t>ธ. กรุงไทย จำกัด (มหาชน) สาขา บำเหน็จณรงค์</t>
  </si>
  <si>
    <t>0060319</t>
  </si>
  <si>
    <t>ธ. กรุงไทย จำกัด (มหาชน) สาขา อำนาจเจริญ</t>
  </si>
  <si>
    <t>0060320</t>
  </si>
  <si>
    <t>ธ. กรุงไทย จำกัด (มหาชน) สาขา จอมพระ</t>
  </si>
  <si>
    <t>0060321</t>
  </si>
  <si>
    <t>ธ. กรุงไทย จำกัด (มหาชน) สาขา ถนนชยางกูร</t>
  </si>
  <si>
    <t>0060322</t>
  </si>
  <si>
    <t>ธ. กรุงไทย จำกัด (มหาชน) สาขา ถนนสรรพสิทธิ์</t>
  </si>
  <si>
    <t>0060323</t>
  </si>
  <si>
    <t>ธ. กรุงไทย จำกัด (มหาชน) สาขา ถนนโพธิ์กลาง</t>
  </si>
  <si>
    <t>0060324</t>
  </si>
  <si>
    <t>ธ. กรุงไทย จำกัด (มหาชน) สาขา กระสัง</t>
  </si>
  <si>
    <t>0060325</t>
  </si>
  <si>
    <t>ธ. กรุงไทย จำกัด (มหาชน) สาขา เลิงนกทา</t>
  </si>
  <si>
    <t>0060326</t>
  </si>
  <si>
    <t>ธ. กรุงไทย จำกัด (มหาชน) สาขา ขุนหาญ</t>
  </si>
  <si>
    <t>0060327</t>
  </si>
  <si>
    <t>ธ. กรุงไทย จำกัด (มหาชน) สาขา สีคิ้ว</t>
  </si>
  <si>
    <t>0060328</t>
  </si>
  <si>
    <t>ธ. กรุงไทย จำกัด (มหาชน) สาขา กลางดง</t>
  </si>
  <si>
    <t>0060329</t>
  </si>
  <si>
    <t>ธ. กรุงไทย จำกัด (มหาชน) สาขา ปราสาท</t>
  </si>
  <si>
    <t>0060330</t>
  </si>
  <si>
    <t>ธ. กรุงไทย จำกัด (มหาชน) สาขา สตึก</t>
  </si>
  <si>
    <t>0060331</t>
  </si>
  <si>
    <t>ธ. กรุงไทย จำกัด (มหาชน) สาขา ศีขรภูมิ</t>
  </si>
  <si>
    <t>0060332</t>
  </si>
  <si>
    <t>ธ. กรุงไทย จำกัด (มหาชน) สาขา อุทุมพรพิสัย</t>
  </si>
  <si>
    <t>0060333</t>
  </si>
  <si>
    <t>ธ. กรุงไทย จำกัด (มหาชน) สาขา บุณฑริก</t>
  </si>
  <si>
    <t>0060334</t>
  </si>
  <si>
    <t>ธ. กรุงไทย จำกัด (มหาชน) สาขา พุทไธสง</t>
  </si>
  <si>
    <t>0060335</t>
  </si>
  <si>
    <t>ธ. กรุงไทย จำกัด (มหาชน) สาขา หนองบัวระเหว</t>
  </si>
  <si>
    <t>0060336</t>
  </si>
  <si>
    <t>ธ. กรุงไทย จำกัด (มหาชน) สาขา กุดชุม</t>
  </si>
  <si>
    <t>0060337</t>
  </si>
  <si>
    <t>ธ. กรุงไทย จำกัด (มหาชน) สาขา ถนนช้างเผือก นครราชสีมา</t>
  </si>
  <si>
    <t>0060338</t>
  </si>
  <si>
    <t>ธ. กรุงไทย จำกัด (มหาชน) สาขา โขงเจียม</t>
  </si>
  <si>
    <t>0060339</t>
  </si>
  <si>
    <t>ธ. กรุงไทย จำกัด (มหาชน) สาขา วังน้ำเขียว</t>
  </si>
  <si>
    <t>0060340</t>
  </si>
  <si>
    <t>ธ. กรุงไทย จำกัด (มหาชน) สาขา ประทาย</t>
  </si>
  <si>
    <t>0060341</t>
  </si>
  <si>
    <t>ธ. กรุงไทย จำกัด (มหาชน) สาขา จอหอ</t>
  </si>
  <si>
    <t>0060342</t>
  </si>
  <si>
    <t>ธ. กรุงไทย จำกัด (มหาชน) สาขา ถนนหฤทัย</t>
  </si>
  <si>
    <t>0060343</t>
  </si>
  <si>
    <t>ธ. กรุงไทย จำกัด (มหาชน) สาขา ถนนเทพา</t>
  </si>
  <si>
    <t>0060344</t>
  </si>
  <si>
    <t>ธ. กรุงไทย จำกัด (มหาชน) สาขา โชคชัย</t>
  </si>
  <si>
    <t>0060345</t>
  </si>
  <si>
    <t>ธ. กรุงไทย จำกัด (มหาชน) สาขา ถนนอุปราช</t>
  </si>
  <si>
    <t>0060346</t>
  </si>
  <si>
    <t>ธ. กรุงไทย จำกัด (มหาชน) สาขา ถนนโกสีย์</t>
  </si>
  <si>
    <t>0060347</t>
  </si>
  <si>
    <t>ธ. กรุงไทย จำกัด (มหาชน) สาขา ชากังราว</t>
  </si>
  <si>
    <t>0060349</t>
  </si>
  <si>
    <t>ธ. กรุงไทย จำกัด (มหาชน) สาขา ราษฎร์เกษมอุทิศ</t>
  </si>
  <si>
    <t>0060351</t>
  </si>
  <si>
    <t>ธ. กรุงไทย จำกัด (มหาชน) สาขา พิษณุโลกดารุ้ลยากีน</t>
  </si>
  <si>
    <t>0060353</t>
  </si>
  <si>
    <t>ธ. กรุงไทย จำกัด (มหาชน) สาขา พระปฐมเจดีย์</t>
  </si>
  <si>
    <t>0060354</t>
  </si>
  <si>
    <t>ธ. กรุงไทย จำกัด (มหาชน) สาขา ถนนแสงชูโต</t>
  </si>
  <si>
    <t>0060356</t>
  </si>
  <si>
    <t>ธ. กรุงไทย จำกัด (มหาชน) สาขา ถนนไกรเพชร</t>
  </si>
  <si>
    <t>0060357</t>
  </si>
  <si>
    <t>ธ. กรุงไทย จำกัด (มหาชน) สาขา ตลาดมหาชัย</t>
  </si>
  <si>
    <t>0060358</t>
  </si>
  <si>
    <t>ธ. กรุงไทย จำกัด (มหาชน) สาขา เพชรบุรีดารุ้ลอามีน</t>
  </si>
  <si>
    <t>0060359</t>
  </si>
  <si>
    <t>ธ. กรุงไทย จำกัด (มหาชน) สาขา ศูนย์ราชการสุพรรณบุรี</t>
  </si>
  <si>
    <t>0060360</t>
  </si>
  <si>
    <t>ธ. กรุงไทย จำกัด (มหาชน) สาขา ชุมพรดารุ้ลอาดิน</t>
  </si>
  <si>
    <t>0060361</t>
  </si>
  <si>
    <t>ธ. กรุงไทย จำกัด (มหาชน) สาขา ถนนเรืองราษฎร์</t>
  </si>
  <si>
    <t>0060362</t>
  </si>
  <si>
    <t>ธ. กรุงไทย จำกัด (มหาชน) สาขา ถนนตลาดใหม่</t>
  </si>
  <si>
    <t>0060363</t>
  </si>
  <si>
    <t>ธ. กรุงไทย จำกัด (มหาชน) สาขา ท่าวัง</t>
  </si>
  <si>
    <t>0060366</t>
  </si>
  <si>
    <t>ธ. กรุงไทย จำกัด (มหาชน) สาขา นราธิวาสดารุสสลาม</t>
  </si>
  <si>
    <t>0060367</t>
  </si>
  <si>
    <t>ธ. กรุงไทย จำกัด (มหาชน) สาขา ถนนวงศ์วิถี</t>
  </si>
  <si>
    <t>0060368</t>
  </si>
  <si>
    <t>ธ. กรุงไทย จำกัด (มหาชน) สาขา หาดใหญ่ใน</t>
  </si>
  <si>
    <t>0060369</t>
  </si>
  <si>
    <t>ธ. กรุงไทย จำกัด (มหาชน) สาขา สะเดา</t>
  </si>
  <si>
    <t>0060370</t>
  </si>
  <si>
    <t>ธ. กรุงไทย จำกัด (มหาชน) สาขา ถนนสุขยางค์</t>
  </si>
  <si>
    <t>0060372</t>
  </si>
  <si>
    <t>ธ. กรุงไทย จำกัด (มหาชน) สาขา ตลาดเมืองตรัง</t>
  </si>
  <si>
    <t>0060373</t>
  </si>
  <si>
    <t>ธ. กรุงไทย จำกัด (มหาชน) สาขา นางรอง</t>
  </si>
  <si>
    <t>0060374</t>
  </si>
  <si>
    <t>ธ. กรุงไทย จำกัด (มหาชน) สาขา สามแยกปักธงชัย</t>
  </si>
  <si>
    <t>0060375</t>
  </si>
  <si>
    <t>ธ. กรุงไทย จำกัด (มหาชน) สาขา แม่โจ้</t>
  </si>
  <si>
    <t>0060376</t>
  </si>
  <si>
    <t>ธ. กรุงไทย จำกัด (มหาชน) สาขา สามแยกอ่างศิลา</t>
  </si>
  <si>
    <t>0060377</t>
  </si>
  <si>
    <t>ธ. กรุงไทย จำกัด (มหาชน) สาขา ถนนเทพกระษัตรี</t>
  </si>
  <si>
    <t>0060378</t>
  </si>
  <si>
    <t>ธ. กรุงไทย จำกัด (มหาชน) สาขา  ท่าอากาศยานกรุงเทพ</t>
  </si>
  <si>
    <t>0060379</t>
  </si>
  <si>
    <t>ธ. กรุงไทย จำกัด (มหาชน) สาขา สหกรณ์สุราษฎร์ธานี</t>
  </si>
  <si>
    <t>0060380</t>
  </si>
  <si>
    <t>ธ. กรุงไทย จำกัด (มหาชน) สาขา ถนนวิชาเยนทร์</t>
  </si>
  <si>
    <t>0060381</t>
  </si>
  <si>
    <t>ธ. กรุงไทย จำกัด (มหาชน) สาขา ถนนนครนอก</t>
  </si>
  <si>
    <t>0060382</t>
  </si>
  <si>
    <t>ธ. กรุงไทย จำกัด (มหาชน) สาขา ถนนหลักเมือง</t>
  </si>
  <si>
    <t>0060383</t>
  </si>
  <si>
    <t>ธ. กรุงไทย จำกัด (มหาชน) สาขา กระทรวงแรงงาน</t>
  </si>
  <si>
    <t>0060384</t>
  </si>
  <si>
    <t>ธ. กรุงไทย จำกัด (มหาชน) สาขา การท่าเรือแห่งประเทศไทย</t>
  </si>
  <si>
    <t>0060385</t>
  </si>
  <si>
    <t>ธ. กรุงไทย จำกัด (มหาชน) สาขา กระทรวงพาณิชย์</t>
  </si>
  <si>
    <t>0060386</t>
  </si>
  <si>
    <t>ธ. กรุงไทย จำกัด (มหาชน) สาขา มหาวิทยาลัยบูรพา</t>
  </si>
  <si>
    <t>0060387</t>
  </si>
  <si>
    <t>ธ. กรุงไทย จำกัด (มหาชน) สาขา การท่องเที่ยวแห่งประเทศไทย</t>
  </si>
  <si>
    <t>0060388</t>
  </si>
  <si>
    <t>ธ. กรุงไทย จำกัด (มหาชน) สาขา ถลาง (ถล.)</t>
  </si>
  <si>
    <t>0060389</t>
  </si>
  <si>
    <t>ธ. กรุงไทย จำกัด (มหาชน) สาขา ศาลากลางจังหวัดนครศรีธรรมราช</t>
  </si>
  <si>
    <t>0060390</t>
  </si>
  <si>
    <t>ธ. กรุงไทย จำกัด (มหาชน) สาขา  บิ๊กซี นครปฐม</t>
  </si>
  <si>
    <t>0060391</t>
  </si>
  <si>
    <t>ธ. กรุงไทย จำกัด (มหาชน) สาขา ศูนย์การค้าอยุธยาพาร์ค</t>
  </si>
  <si>
    <t>0060392</t>
  </si>
  <si>
    <t>ธ. กรุงไทย จำกัด (มหาชน) สาขา กาฬสินธุ์พลาซ่า</t>
  </si>
  <si>
    <t>0060393</t>
  </si>
  <si>
    <t>ธ. กรุงไทย จำกัด (มหาชน) สาขา ย่อยมหาวิทยาลัยอุบลราชธานี</t>
  </si>
  <si>
    <t>0060394</t>
  </si>
  <si>
    <t>ธ. กรุงไทย จำกัด (มหาชน) สาขา ตลาดฉัตรไชย (หัวหิน)</t>
  </si>
  <si>
    <t>0060395</t>
  </si>
  <si>
    <t>ธ. กรุงไทย จำกัด (มหาชน) สาขา บางโพ</t>
  </si>
  <si>
    <t>0060396</t>
  </si>
  <si>
    <t>ธ. กรุงไทย จำกัด (มหาชน) สาขา พระราม 3 - ซอย 7</t>
  </si>
  <si>
    <t>0060397</t>
  </si>
  <si>
    <t>ธ. กรุงไทย จำกัด (มหาชน) สาขา ตลาดหนามแดง</t>
  </si>
  <si>
    <t>0060398</t>
  </si>
  <si>
    <t>ธ. กรุงไทย จำกัด (มหาชน) สาขา  เดอะมอลล์ นครราชสีมา</t>
  </si>
  <si>
    <t>0060399</t>
  </si>
  <si>
    <t>ธ. กรุงไทย จำกัด (มหาชน) สาขา เทสโก้โลตัส บางใหญ่</t>
  </si>
  <si>
    <t>0060400</t>
  </si>
  <si>
    <t>ธ. กรุงไทย จำกัด (มหาชน) สาขา ย่อยเอสเค ช๊อปปิ้งพาร์ค</t>
  </si>
  <si>
    <t>0060401</t>
  </si>
  <si>
    <t>ธ. กรุงไทย จำกัด (มหาชน) สาขา อุดรธานี</t>
  </si>
  <si>
    <t>0060402</t>
  </si>
  <si>
    <t>ธ. กรุงไทย จำกัด (มหาชน) สาขา หนองบัวลำภู</t>
  </si>
  <si>
    <t>0060403</t>
  </si>
  <si>
    <t>ธ. กรุงไทย จำกัด (มหาชน) สาขา เลย</t>
  </si>
  <si>
    <t>0060404</t>
  </si>
  <si>
    <t>ธ. กรุงไทย จำกัด (มหาชน) สาขา กาฬสินธุ์</t>
  </si>
  <si>
    <t>0060405</t>
  </si>
  <si>
    <t>ธ. กรุงไทย จำกัด (มหาชน) สาขา ขอนแก่น</t>
  </si>
  <si>
    <t>0060406</t>
  </si>
  <si>
    <t>ธ. กรุงไทย จำกัด (มหาชน) สาขา บ้านไผ่</t>
  </si>
  <si>
    <t>0060407</t>
  </si>
  <si>
    <t>ธ. กรุงไทย จำกัด (มหาชน) สาขา ชุมแพ</t>
  </si>
  <si>
    <t>0060408</t>
  </si>
  <si>
    <t>ธ. กรุงไทย จำกัด (มหาชน) สาขา นครพนม</t>
  </si>
  <si>
    <t>0060409</t>
  </si>
  <si>
    <t>ธ. กรุงไทย จำกัด (มหาชน) สาขา มหาสารคาม</t>
  </si>
  <si>
    <t>0060410</t>
  </si>
  <si>
    <t>ธ. กรุงไทย จำกัด (มหาชน) สาขา โกสุมพิสัย</t>
  </si>
  <si>
    <t>0060411</t>
  </si>
  <si>
    <t>ธ. กรุงไทย จำกัด (มหาชน) สาขา ร้อยเอ็ด</t>
  </si>
  <si>
    <t>0060412</t>
  </si>
  <si>
    <t>ธ. กรุงไทย จำกัด (มหาชน) สาขา สกลนคร</t>
  </si>
  <si>
    <t>0060413</t>
  </si>
  <si>
    <t>ธ. กรุงไทย จำกัด (มหาชน) สาขา หนองคาย</t>
  </si>
  <si>
    <t>0060414</t>
  </si>
  <si>
    <t>ธ. กรุงไทย จำกัด (มหาชน) สาขา สุวรรณภูมิ</t>
  </si>
  <si>
    <t>0060415</t>
  </si>
  <si>
    <t>ธ. กรุงไทย จำกัด (มหาชน) สาขา กระนวน</t>
  </si>
  <si>
    <t>0060416</t>
  </si>
  <si>
    <t>ธ. กรุงไทย จำกัด (มหาชน) สาขา กุฉินารายณ์</t>
  </si>
  <si>
    <t>0060417</t>
  </si>
  <si>
    <t>ธ. กรุงไทย จำกัด (มหาชน) สาขา บรบือ</t>
  </si>
  <si>
    <t>0060418</t>
  </si>
  <si>
    <t>ธ. กรุงไทย จำกัด (มหาชน) สาขา กุมภวาปี</t>
  </si>
  <si>
    <t>0060419</t>
  </si>
  <si>
    <t>ธ. กรุงไทย จำกัด (มหาชน) สาขา พังโคน</t>
  </si>
  <si>
    <t>0060420</t>
  </si>
  <si>
    <t>ธ. กรุงไทย จำกัด (มหาชน) สาขา มุกดาหาร</t>
  </si>
  <si>
    <t>0060421</t>
  </si>
  <si>
    <t>ธ. กรุงไทย จำกัด (มหาชน) สาขา นาแก</t>
  </si>
  <si>
    <t>0060422</t>
  </si>
  <si>
    <t>ธ. กรุงไทย จำกัด (มหาชน) สาขา เมืองพล</t>
  </si>
  <si>
    <t>0060423</t>
  </si>
  <si>
    <t>ธ. กรุงไทย จำกัด (มหาชน) สาขา พยัคฆภูมิพิสัย</t>
  </si>
  <si>
    <t>0060424</t>
  </si>
  <si>
    <t>ธ. กรุงไทย จำกัด (มหาชน) สาขา ถนนมะลิวัลย์</t>
  </si>
  <si>
    <t>0060425</t>
  </si>
  <si>
    <t>ธ. กรุงไทย จำกัด (มหาชน) สาขา ประตูเมือง</t>
  </si>
  <si>
    <t>0060426</t>
  </si>
  <si>
    <t>ธ. กรุงไทย จำกัด (มหาชน) สาขา ตลาดหนองบัว</t>
  </si>
  <si>
    <t>0060427</t>
  </si>
  <si>
    <t>ธ. กรุงไทย จำกัด (มหาชน) สาขา นิคมคำสร้อย</t>
  </si>
  <si>
    <t>0060428</t>
  </si>
  <si>
    <t>ธ. กรุงไทย จำกัด (มหาชน) สาขา หนองเรือ</t>
  </si>
  <si>
    <t>0060429</t>
  </si>
  <si>
    <t>ธ. กรุงไทย จำกัด (มหาชน) สาขา เสลภูมิ</t>
  </si>
  <si>
    <t>0060430</t>
  </si>
  <si>
    <t>ธ. กรุงไทย จำกัด (มหาชน) สาขา เซกา</t>
  </si>
  <si>
    <t>0060431</t>
  </si>
  <si>
    <t>ธ. กรุงไทย จำกัด (มหาชน) สาขา บ้านผือ</t>
  </si>
  <si>
    <t>0060432</t>
  </si>
  <si>
    <t>ธ. กรุงไทย จำกัด (มหาชน) สาขา ศรีเชียงใหม่</t>
  </si>
  <si>
    <t>0060433</t>
  </si>
  <si>
    <t>ธ. กรุงไทย จำกัด (มหาชน) สาขา ด่านซ้าย</t>
  </si>
  <si>
    <t>0060434</t>
  </si>
  <si>
    <t>ธ. กรุงไทย จำกัด (มหาชน) สาขา อุบลรัตน์</t>
  </si>
  <si>
    <t>0060435</t>
  </si>
  <si>
    <t>ธ. กรุงไทย จำกัด (มหาชน) สาขา เรณูนคร</t>
  </si>
  <si>
    <t>0060436</t>
  </si>
  <si>
    <t>ธ. กรุงไทย จำกัด (มหาชน) สาขา คำชะอี</t>
  </si>
  <si>
    <t>0060437</t>
  </si>
  <si>
    <t>ธ. กรุงไทย จำกัด (มหาชน) สาขา ศรีจันทร์</t>
  </si>
  <si>
    <t>0060438</t>
  </si>
  <si>
    <t>ธ. กรุงไทย จำกัด (มหาชน) สาขา มอดินแดง ขอนแก่น</t>
  </si>
  <si>
    <t>0060439</t>
  </si>
  <si>
    <t>ธ. กรุงไทย จำกัด (มหาชน) สาขา หนองพอก</t>
  </si>
  <si>
    <t>0060440</t>
  </si>
  <si>
    <t>ธ. กรุงไทย จำกัด (มหาชน) สาขา สว่างแดนดิน</t>
  </si>
  <si>
    <t>0060441</t>
  </si>
  <si>
    <t>ธ. กรุงไทย จำกัด (มหาชน) สาขา ท่าบ่อ</t>
  </si>
  <si>
    <t>0060442</t>
  </si>
  <si>
    <t>ธ. กรุงไทย จำกัด (มหาชน) สาขา เจริญเมือง</t>
  </si>
  <si>
    <t>0060443</t>
  </si>
  <si>
    <t>ธ. กรุงไทย จำกัด (มหาชน) สาขา เซ็นทรัลพลาซา อุดรธานี</t>
  </si>
  <si>
    <t>0060444</t>
  </si>
  <si>
    <t>ธ. กรุงไทย จำกัด (มหาชน) สาขา อากาศอำนวย</t>
  </si>
  <si>
    <t>0060445</t>
  </si>
  <si>
    <t>ธ. กรุงไทย จำกัด (มหาชน) สาขา ถนนกลางเมือง</t>
  </si>
  <si>
    <t>0060446</t>
  </si>
  <si>
    <t>ธ. กรุงไทย จำกัด (มหาชน) สาขา หนองกุงศรี</t>
  </si>
  <si>
    <t>0060447</t>
  </si>
  <si>
    <t>ธ. กรุงไทย จำกัด (มหาชน) สาขา บึงกาฬ</t>
  </si>
  <si>
    <t>0060448</t>
  </si>
  <si>
    <t>ธ. กรุงไทย จำกัด (มหาชน) สาขา บึงพลาญชัย</t>
  </si>
  <si>
    <t>0060449</t>
  </si>
  <si>
    <t>ธ. กรุงไทย จำกัด (มหาชน) สาขา ย่อยขอนแก่นดารุ้ลฮูดา</t>
  </si>
  <si>
    <t>0060450</t>
  </si>
  <si>
    <t>ธ. กรุงไทย จำกัด (มหาชน) สาขา ถนนหมากแข้ง</t>
  </si>
  <si>
    <t>0060451</t>
  </si>
  <si>
    <t>ธ. กรุงไทย จำกัด (มหาชน) สาขา บึงสามพัน</t>
  </si>
  <si>
    <t>0060452</t>
  </si>
  <si>
    <t>ธ. กรุงไทย จำกัด (มหาชน) สาขา  ยิงเจริญ ปาร์ค</t>
  </si>
  <si>
    <t>0060453</t>
  </si>
  <si>
    <t>ธ. กรุงไทย จำกัด (มหาชน) สาขา เชียงของ</t>
  </si>
  <si>
    <t>0060454</t>
  </si>
  <si>
    <t>ธ. กรุงไทย จำกัด (มหาชน) สาขา สวนอุตสาหกรรมสหพัฒน์</t>
  </si>
  <si>
    <t>0060455</t>
  </si>
  <si>
    <t>ธ. กรุงไทย จำกัด (มหาชน) สาขา  ศูนย์การค้ากาดสวนแก้ว</t>
  </si>
  <si>
    <t>0060456</t>
  </si>
  <si>
    <t>ธ. กรุงไทย จำกัด (มหาชน) สาขา มหาวิทยาลัยเชียงใหม่</t>
  </si>
  <si>
    <t>0060457</t>
  </si>
  <si>
    <t>ธ. กรุงไทย จำกัด (มหาชน) สาขา จังโหลน</t>
  </si>
  <si>
    <t>0060458</t>
  </si>
  <si>
    <t>ธ. กรุงไทย จำกัด (มหาชน) สาขา ถนนเคหะร่มเกล้า</t>
  </si>
  <si>
    <t>0060459</t>
  </si>
  <si>
    <t>ธ. กรุงไทย จำกัด (มหาชน) สาขา ศาลายา</t>
  </si>
  <si>
    <t>0060460</t>
  </si>
  <si>
    <t>ธ. กรุงไทย จำกัด (มหาชน) สาขา หนองจอก</t>
  </si>
  <si>
    <t>0060461</t>
  </si>
  <si>
    <t>ธ. กรุงไทย จำกัด (มหาชน) สาขา นิคมอุตสาหกรรมอมตะนคร</t>
  </si>
  <si>
    <t>0060462</t>
  </si>
  <si>
    <t>ธ. กรุงไทย จำกัด (มหาชน) สาขา พาลาเดียม เวิลด์ ช้อปปิ้ง (ประตูน้ำ</t>
  </si>
  <si>
    <t>0060463</t>
  </si>
  <si>
    <t>ธ. กรุงไทย จำกัด (มหาชน) สาขา พุทธมณฑลสาย5</t>
  </si>
  <si>
    <t>0060464</t>
  </si>
  <si>
    <t>ธ. กรุงไทย จำกัด (มหาชน) สาขา  ถนนพระยาสัจจา</t>
  </si>
  <si>
    <t>0060465</t>
  </si>
  <si>
    <t>ธ. กรุงไทย จำกัด (มหาชน) สาขา ถนนประชาอุทิศ (ทุ่งครุ)</t>
  </si>
  <si>
    <t>0060466</t>
  </si>
  <si>
    <t>ธ. กรุงไทย จำกัด (มหาชน) สาขา  หลักสี่</t>
  </si>
  <si>
    <t>0060467</t>
  </si>
  <si>
    <t>ธ. กรุงไทย จำกัด (มหาชน) สาขา ฟิวเจอร์พาร์ครังสิต</t>
  </si>
  <si>
    <t>0060468</t>
  </si>
  <si>
    <t>ธ. กรุงไทย จำกัด (มหาชน) สาขา เขตอุตสาหกรรม304(คลองรั้ง)</t>
  </si>
  <si>
    <t>0060469</t>
  </si>
  <si>
    <t>ธ. กรุงไทย จำกัด (มหาชน) สาขา ย่อยถนนแพรกษา</t>
  </si>
  <si>
    <t>0060470</t>
  </si>
  <si>
    <t>ธ. กรุงไทย จำกัด (มหาชน) สาขา เทสโก้โลตัสบางพลี</t>
  </si>
  <si>
    <t>0060471</t>
  </si>
  <si>
    <t>ธ. กรุงไทย จำกัด (มหาชน) สาขา เมืองใหม่บางพลี</t>
  </si>
  <si>
    <t>0060472</t>
  </si>
  <si>
    <t>ธ. กรุงไทย จำกัด (มหาชน) สาขา  ศูนย์การค้าระยอง</t>
  </si>
  <si>
    <t>0060473</t>
  </si>
  <si>
    <t>ธ. กรุงไทย จำกัด (มหาชน) สาขา  ราชวัตร</t>
  </si>
  <si>
    <t>0060474</t>
  </si>
  <si>
    <t>ธ. กรุงไทย จำกัด (มหาชน) สาขา เฉวง</t>
  </si>
  <si>
    <t>0060475</t>
  </si>
  <si>
    <t>ธ. กรุงไทย จำกัด (มหาชน) สาขา มหาวิทยาลัยธรรมศาสตร์ ศูนย์รังสิต</t>
  </si>
  <si>
    <t>0060476</t>
  </si>
  <si>
    <t>ธ. กรุงไทย จำกัด (มหาชน) สาขา ห้าแยกมหาวิทยาลัยมหาสารคาม</t>
  </si>
  <si>
    <t>0060477</t>
  </si>
  <si>
    <t>ธ. กรุงไทย จำกัด (มหาชน) สาขา บิ๊กซี ลาดพร้าว 2</t>
  </si>
  <si>
    <t>0060478</t>
  </si>
  <si>
    <t>ธ. กรุงไทย จำกัด (มหาชน) สาขา ไอที สแควร์ หลักสี่</t>
  </si>
  <si>
    <t>0060479</t>
  </si>
  <si>
    <t>ธ. กรุงไทย จำกัด (มหาชน) สาขา ถนนกาญจนาภิเษก (บางแวก)</t>
  </si>
  <si>
    <t>0060480</t>
  </si>
  <si>
    <t>ธ. กรุงไทย จำกัด (มหาชน) สาขา รังสิต-นครนายก คลอง 6</t>
  </si>
  <si>
    <t>0060481</t>
  </si>
  <si>
    <t>ธ. กรุงไทย จำกัด (มหาชน) สาขา  เซ็นจูรี่</t>
  </si>
  <si>
    <t>0060482</t>
  </si>
  <si>
    <t>ธ. กรุงไทย จำกัด (มหาชน) สาขา นิคมอุตสาหกรรม นวนคร</t>
  </si>
  <si>
    <t>0060483</t>
  </si>
  <si>
    <t>ธ. กรุงไทย จำกัด (มหาชน) สาขา  เมเจอร์ ฮอลลีวูด รามคำแหง</t>
  </si>
  <si>
    <t>0060484</t>
  </si>
  <si>
    <t>ธ. กรุงไทย จำกัด (มหาชน) สาขา  เทสโก้โลตัสจันทบุรี</t>
  </si>
  <si>
    <t>0060485</t>
  </si>
  <si>
    <t>ธ. กรุงไทย จำกัด (มหาชน) สาขา  โคลีเซี่ยม ซีนีเพล็กซ์ ยะลา</t>
  </si>
  <si>
    <t>0060486</t>
  </si>
  <si>
    <t>ธ. กรุงไทย จำกัด (มหาชน) สาขา เวียงสระ</t>
  </si>
  <si>
    <t>0060487</t>
  </si>
  <si>
    <t>ธ. กรุงไทย จำกัด (มหาชน) สาขา โรบินสัน โอเชี่ยน นครศรีธรรมราช</t>
  </si>
  <si>
    <t>0060488</t>
  </si>
  <si>
    <t>ธ. กรุงไทย จำกัด (มหาชน) สาขา แฟชั่นไอส์แลนด์</t>
  </si>
  <si>
    <t>0060489</t>
  </si>
  <si>
    <t>ธ. กรุงไทย จำกัด (มหาชน) สาขา หัวหิน มาร์เก็ต วิลเลจ</t>
  </si>
  <si>
    <t>0060490</t>
  </si>
  <si>
    <t>ธ. กรุงไทย จำกัด (มหาชน) สาขา นิคมอุตสาหกรรมสยามอีสเทิร์น</t>
  </si>
  <si>
    <t>0060491</t>
  </si>
  <si>
    <t>ธ. กรุงไทย จำกัด (มหาชน) สาขา อัมพวัน</t>
  </si>
  <si>
    <t>0060492</t>
  </si>
  <si>
    <t>ธ. กรุงไทย จำกัด (มหาชน) สาขา คิวเฮ้าส์ ลุมพินี</t>
  </si>
  <si>
    <t>0060493</t>
  </si>
  <si>
    <t>ธ. กรุงไทย จำกัด (มหาชน) สาขา  เดอะมอลล์ งามวงศ์วาน</t>
  </si>
  <si>
    <t>0060494</t>
  </si>
  <si>
    <t>ธ. กรุงไทย จำกัด (มหาชน) สาขา  เซ็นทรัล เฟสติวัล ภูเก็ต</t>
  </si>
  <si>
    <t>0060495</t>
  </si>
  <si>
    <t>ธ. กรุงไทย จำกัด (มหาชน) สาขา บิ๊กซี สมุทรปราการ</t>
  </si>
  <si>
    <t>0060496</t>
  </si>
  <si>
    <t>ธ. กรุงไทย จำกัด (มหาชน) สาขา อัศวรรณ คอมเพล็กซ์ หนองคาย</t>
  </si>
  <si>
    <t>0060497</t>
  </si>
  <si>
    <t>ธ. กรุงไทย จำกัด (มหาชน) สาขา เซ็นทรัล แอร์พอร์ต เชียงใหม่</t>
  </si>
  <si>
    <t>0060498</t>
  </si>
  <si>
    <t>ธ. กรุงไทย จำกัด (มหาชน) สาขา  บิ๊กซี แพร่</t>
  </si>
  <si>
    <t>0060499</t>
  </si>
  <si>
    <t>ธ. กรุงไทย จำกัด (มหาชน) สาขา ถนนวัชรพล</t>
  </si>
  <si>
    <t>0060500</t>
  </si>
  <si>
    <t>ธ. กรุงไทย จำกัด (มหาชน) สาขา แม่เมาะ</t>
  </si>
  <si>
    <t>0060501</t>
  </si>
  <si>
    <t>ธ. กรุงไทย จำกัด (มหาชน) สาขา ท่าแพ</t>
  </si>
  <si>
    <t>0060502</t>
  </si>
  <si>
    <t>ธ. กรุงไทย จำกัด (มหาชน) สาขา สันป่าข่อย</t>
  </si>
  <si>
    <t>0060503</t>
  </si>
  <si>
    <t>ธ. กรุงไทย จำกัด (มหาชน) สาขา ลำปาง</t>
  </si>
  <si>
    <t>0060504</t>
  </si>
  <si>
    <t>ธ. กรุงไทย จำกัด (มหาชน) สาขา เชียงราย</t>
  </si>
  <si>
    <t>0060505</t>
  </si>
  <si>
    <t>ธ. กรุงไทย จำกัด (มหาชน) สาขา แม่สาย</t>
  </si>
  <si>
    <t>0060506</t>
  </si>
  <si>
    <t>ธ. กรุงไทย จำกัด (มหาชน) สาขา แพร่</t>
  </si>
  <si>
    <t>0060507</t>
  </si>
  <si>
    <t>ธ. กรุงไทย จำกัด (มหาชน) สาขา น่าน</t>
  </si>
  <si>
    <t>0060508</t>
  </si>
  <si>
    <t>ธ. กรุงไทย จำกัด (มหาชน) สาขา แม่ฮ่องสอน</t>
  </si>
  <si>
    <t>0060509</t>
  </si>
  <si>
    <t>ธ. กรุงไทย จำกัด (มหาชน) สาขา แม่สะเรียง</t>
  </si>
  <si>
    <t>0060510</t>
  </si>
  <si>
    <t>ธ. กรุงไทย จำกัด (มหาชน) สาขา อุตรดิตถ์</t>
  </si>
  <si>
    <t>0060511</t>
  </si>
  <si>
    <t>ธ. กรุงไทย จำกัด (มหาชน) สาขา ลำพูน</t>
  </si>
  <si>
    <t>0060512</t>
  </si>
  <si>
    <t>ธ. กรุงไทย จำกัด (มหาชน) สาขา พะเยา</t>
  </si>
  <si>
    <t>0060513</t>
  </si>
  <si>
    <t>ธ. กรุงไทย จำกัด (มหาชน) สาขา ลอง</t>
  </si>
  <si>
    <t>0060514</t>
  </si>
  <si>
    <t>ธ. กรุงไทย จำกัด (มหาชน) สาขา บ้านโฮ่ง</t>
  </si>
  <si>
    <t>0060515</t>
  </si>
  <si>
    <t>ธ. กรุงไทย จำกัด (มหาชน) สาขา แม่ริม</t>
  </si>
  <si>
    <t>0060516</t>
  </si>
  <si>
    <t>ธ. กรุงไทย จำกัด (มหาชน) สาขา เชียงดาว</t>
  </si>
  <si>
    <t>0060517</t>
  </si>
  <si>
    <t>ธ. กรุงไทย จำกัด (มหาชน) สาขา พิชัย</t>
  </si>
  <si>
    <t>0060518</t>
  </si>
  <si>
    <t>ธ. กรุงไทย จำกัด (มหาชน) สาขา เถิน</t>
  </si>
  <si>
    <t>0060519</t>
  </si>
  <si>
    <t>ธ. กรุงไทย จำกัด (มหาชน) สาขา สันกำแพง</t>
  </si>
  <si>
    <t>0060520</t>
  </si>
  <si>
    <t>ธ. กรุงไทย จำกัด (มหาชน) สาขา เชียงใหม่</t>
  </si>
  <si>
    <t>0060521</t>
  </si>
  <si>
    <t>ธ. กรุงไทย จำกัด (มหาชน) สาขา ถนนสุเทพ</t>
  </si>
  <si>
    <t>0060522</t>
  </si>
  <si>
    <t>ธ. กรุงไทย จำกัด (มหาชน) สาขา พาน</t>
  </si>
  <si>
    <t>0060523</t>
  </si>
  <si>
    <t>ธ. กรุงไทย จำกัด (มหาชน) สาขา ปง</t>
  </si>
  <si>
    <t>0060524</t>
  </si>
  <si>
    <t>ธ. กรุงไทย จำกัด (มหาชน) สาขา สันป่าตอง</t>
  </si>
  <si>
    <t>0060525</t>
  </si>
  <si>
    <t>ธ. กรุงไทย จำกัด (มหาชน) สาขา ปาย</t>
  </si>
  <si>
    <t>0060526</t>
  </si>
  <si>
    <t>ธ. กรุงไทย จำกัด (มหาชน) สาขา จอมทอง</t>
  </si>
  <si>
    <t>0060527</t>
  </si>
  <si>
    <t>ธ. กรุงไทย จำกัด (มหาชน) สาขา ตรอน</t>
  </si>
  <si>
    <t>0060528</t>
  </si>
  <si>
    <t>ธ. กรุงไทย จำกัด (มหาชน) สาขา แม่ทะ</t>
  </si>
  <si>
    <t>0060529</t>
  </si>
  <si>
    <t>ธ. กรุงไทย จำกัด (มหาชน) สาขา ขุนยวม</t>
  </si>
  <si>
    <t>0060530</t>
  </si>
  <si>
    <t>ธ. กรุงไทย จำกัด (มหาชน) สาขา วังเหนือ</t>
  </si>
  <si>
    <t>0060531</t>
  </si>
  <si>
    <t>ธ. กรุงไทย จำกัด (มหาชน) สาขา แม่ทา</t>
  </si>
  <si>
    <t>0060532</t>
  </si>
  <si>
    <t>ธ. กรุงไทย จำกัด (มหาชน) สาขา ฝาง</t>
  </si>
  <si>
    <t>0060533</t>
  </si>
  <si>
    <t>ธ. กรุงไทย จำกัด (มหาชน) สาขา ถนนช้างคลาน</t>
  </si>
  <si>
    <t>0060534</t>
  </si>
  <si>
    <t>ธ. กรุงไทย จำกัด (มหาชน) สาขา เชียงคำ</t>
  </si>
  <si>
    <t>0060535</t>
  </si>
  <si>
    <t>ธ. กรุงไทย จำกัด (มหาชน) สาขา แม่จัน</t>
  </si>
  <si>
    <t>0060536</t>
  </si>
  <si>
    <t>ธ. กรุงไทย จำกัด (มหาชน) สาขา ประตูชัย</t>
  </si>
  <si>
    <t>0060537</t>
  </si>
  <si>
    <t>ธ. กรุงไทย จำกัด (มหาชน) สาขา น้ำปาด</t>
  </si>
  <si>
    <t>0060538</t>
  </si>
  <si>
    <t>ธ. กรุงไทย จำกัด (มหาชน) สาขา หางดง</t>
  </si>
  <si>
    <t>0060539</t>
  </si>
  <si>
    <t>ธ. กรุงไทย จำกัด (มหาชน) สาขา ห้าแยกพ่อขุนเม็งราย</t>
  </si>
  <si>
    <t>0060540</t>
  </si>
  <si>
    <t>ธ. กรุงไทย จำกัด (มหาชน) สาขา พระสิงห์</t>
  </si>
  <si>
    <t>0060541</t>
  </si>
  <si>
    <t>ธ. กรุงไทย จำกัด (มหาชน) สาขา ดอกคำใต้</t>
  </si>
  <si>
    <t>0060542</t>
  </si>
  <si>
    <t>ธ. กรุงไทย จำกัด (มหาชน) สาขา นิคมอุตสาหกรรมลำพูน</t>
  </si>
  <si>
    <t>0060543</t>
  </si>
  <si>
    <t>ธ. กรุงไทย จำกัด (มหาชน) สาขา เชียงใหม่ดารุ้ลฮุสนา</t>
  </si>
  <si>
    <t>0060544</t>
  </si>
  <si>
    <t>ธ. กรุงไทย จำกัด (มหาชน) สาขา ตลาดวโรรส</t>
  </si>
  <si>
    <t>0060545</t>
  </si>
  <si>
    <t>ธ. กรุงไทย จำกัด (มหาชน) สาขา ไชยปราการ</t>
  </si>
  <si>
    <t>0060546</t>
  </si>
  <si>
    <t>ธ. กรุงไทย จำกัด (มหาชน) สาขา เชียงแสน</t>
  </si>
  <si>
    <t>0060547</t>
  </si>
  <si>
    <t>ธ. กรุงไทย จำกัด (มหาชน) สาขา ข่วงสิงห์</t>
  </si>
  <si>
    <t>0060548</t>
  </si>
  <si>
    <t>ธ. กรุงไทย จำกัด (มหาชน) สาขา สี่แยกหนองหอย</t>
  </si>
  <si>
    <t>0060549</t>
  </si>
  <si>
    <t>ธ. กรุงไทย จำกัด (มหาชน) สาขา ถนนห้วยแก้ว</t>
  </si>
  <si>
    <t>0060551</t>
  </si>
  <si>
    <t>ธ. กรุงไทย จำกัด (มหาชน) สาขา เชียงรายดารุ้ลมุบีน</t>
  </si>
  <si>
    <t>0060552</t>
  </si>
  <si>
    <t>ธ. กรุงไทย จำกัด (มหาชน) สาขา เขลางค์นคร</t>
  </si>
  <si>
    <t>0060553</t>
  </si>
  <si>
    <t>ธ. กรุงไทย จำกัด (มหาชน) สาขา บ่อสร้าง</t>
  </si>
  <si>
    <t>0060554</t>
  </si>
  <si>
    <t>ธ. กรุงไทย จำกัด (มหาชน) สาขา สี่แยกสนามบินเชียงใหม่</t>
  </si>
  <si>
    <t>0060565</t>
  </si>
  <si>
    <t>0060567</t>
  </si>
  <si>
    <t>ธ. กรุงไทย จำกัด (มหาชน) สาขา ตลาดวงศกร</t>
  </si>
  <si>
    <t>0060568</t>
  </si>
  <si>
    <t>ธ. กรุงไทย จำกัด (มหาชน) สาขา  อาคารซอฟต์แวร์ปาร์ค</t>
  </si>
  <si>
    <t>0060569</t>
  </si>
  <si>
    <t>ธ. กรุงไทย จำกัด (มหาชน) สาขา รามคำแหง 65 (อาคารเอฟบีที)</t>
  </si>
  <si>
    <t>0060570</t>
  </si>
  <si>
    <t>ธ. กรุงไทย จำกัด (มหาชน) สาขา  เอ็น มาร์ค พลาซ่า</t>
  </si>
  <si>
    <t>0060571</t>
  </si>
  <si>
    <t>ธ. กรุงไทย จำกัด (มหาชน) สาขา  ไฮมอลล์ สามเสน</t>
  </si>
  <si>
    <t>0060572</t>
  </si>
  <si>
    <t>ธ. กรุงไทย จำกัด (มหาชน) สาขา  เกาะช้าง</t>
  </si>
  <si>
    <t>0060573</t>
  </si>
  <si>
    <t>ธ. กรุงไทย จำกัด (มหาชน) สาขา  วี-สแควร์ (บิ๊กซี) นครสวรรค์</t>
  </si>
  <si>
    <t>0060574</t>
  </si>
  <si>
    <t>ธ. กรุงไทย จำกัด (มหาชน) สาขา ย่อยศูนย์ปฏิบัติการบมจ.การบินไทย</t>
  </si>
  <si>
    <t>0060575</t>
  </si>
  <si>
    <t>ธ. กรุงไทย จำกัด (มหาชน) สาขา ย่อยถนนนวมินทร์ 161 (สหฟาร์ม)</t>
  </si>
  <si>
    <t>0060576</t>
  </si>
  <si>
    <t>ธ. กรุงไทย จำกัด (มหาชน) สาขา ศูนย์การขนส่งฯท่าอากาศยานสุวรรณภูมิ</t>
  </si>
  <si>
    <t>0060577</t>
  </si>
  <si>
    <t>ธ. กรุงไทย จำกัด (มหาชน) สาขา  สำนักงานท่าอากาศยานสุวรรณภูมิ</t>
  </si>
  <si>
    <t>0060578</t>
  </si>
  <si>
    <t>ธ. กรุงไทย จำกัด (มหาชน) สาขา อาคารปลอดอากรท่าอากาศยานสุวรรณภูมิ</t>
  </si>
  <si>
    <t>0060579</t>
  </si>
  <si>
    <t>ธ. กรุงไทย จำกัด (มหาชน) สาขา  สำนักงาน ก.พ.</t>
  </si>
  <si>
    <t>0060581</t>
  </si>
  <si>
    <t>ธ. กรุงไทย จำกัด (มหาชน) สาขา ปัตตานีดารุสสลาม(อักษรย่อปนด.)</t>
  </si>
  <si>
    <t>0060583</t>
  </si>
  <si>
    <t>ธ. กรุงไทย จำกัด (มหาชน) สาขา สงขลาดารุ้สซาลีม</t>
  </si>
  <si>
    <t>0060584</t>
  </si>
  <si>
    <t>ธ. กรุงไทย จำกัด (มหาชน) สาขา ยะลาดารุ้ลอามาน</t>
  </si>
  <si>
    <t>0060585</t>
  </si>
  <si>
    <t>ธ. กรุงไทย จำกัด (มหาชน) สาขา ย่อยจะนะดารุ้ลเราะห์มะฮ์</t>
  </si>
  <si>
    <t>0060586</t>
  </si>
  <si>
    <t>ธ. กรุงไทย จำกัด (มหาชน) สาขา ย่อยสตูลบูเก็ตบุหงา(สบก)</t>
  </si>
  <si>
    <t>0060587</t>
  </si>
  <si>
    <t>ธ. กรุงไทย จำกัด (มหาชน) สาขา มีนบุรีมาดานี</t>
  </si>
  <si>
    <t>0060588</t>
  </si>
  <si>
    <t>ธ. กรุงไทย จำกัด (มหาชน) สาขา สำนักพัฒนาการดารุ้ลอามานะห์</t>
  </si>
  <si>
    <t>0060589</t>
  </si>
  <si>
    <t>ธ. กรุงไทย จำกัด (มหาชน) สาขา ย่อยพัทยาดารุ้ลอามาน</t>
  </si>
  <si>
    <t>0060590</t>
  </si>
  <si>
    <t>ธ. กรุงไทย จำกัด (มหาชน) สาขา ย่อยปทุมธานีดารุ้ลซะอาดะห์</t>
  </si>
  <si>
    <t>0060591</t>
  </si>
  <si>
    <t>ธ. กรุงไทย จำกัด (มหาชน) สาขา พัทยา(ถนนสุขุมวิท)</t>
  </si>
  <si>
    <t>0060592</t>
  </si>
  <si>
    <t>ธ. กรุงไทย จำกัด (มหาชน) สาขา  บางละมุง (ตลาดนาเกลือ)</t>
  </si>
  <si>
    <t>0060593</t>
  </si>
  <si>
    <t>ธ. กรุงไทย จำกัด (มหาชน) สาขา บ่อวิน (ถนนสาย 331)</t>
  </si>
  <si>
    <t>0060594</t>
  </si>
  <si>
    <t>ธ. กรุงไทย จำกัด (มหาชน) สาขา ถนนร่มเกล้า (หมู่บ้านปรีชา)</t>
  </si>
  <si>
    <t>0060595</t>
  </si>
  <si>
    <t>ธ. กรุงไทย จำกัด (มหาชน) สาขา บิ๊กซี เชียงราย</t>
  </si>
  <si>
    <t>0060596</t>
  </si>
  <si>
    <t>ธ. กรุงไทย จำกัด (มหาชน) สาขา  เพชรเกษม 81</t>
  </si>
  <si>
    <t>0060597</t>
  </si>
  <si>
    <t>ธ. กรุงไทย จำกัด (มหาชน) สาขา พาราไดซ์ พาร์ค</t>
  </si>
  <si>
    <t>0060598</t>
  </si>
  <si>
    <t>ธ. กรุงไทย จำกัด (มหาชน) สาขา เดอะมอลล์ บางแค</t>
  </si>
  <si>
    <t>0060599</t>
  </si>
  <si>
    <t>ธ. กรุงไทย จำกัด (มหาชน) สาขา  หาดริ้น</t>
  </si>
  <si>
    <t>0060600</t>
  </si>
  <si>
    <t>ธ. กรุงไทย จำกัด (มหาชน) สาขา เทสโก้โลตัส อุตรดิตถ์</t>
  </si>
  <si>
    <t>0060601</t>
  </si>
  <si>
    <t>ธ. กรุงไทย จำกัด (มหาชน) สาขา พิษณุโลก</t>
  </si>
  <si>
    <t>0060602</t>
  </si>
  <si>
    <t>ธ. กรุงไทย จำกัด (มหาชน) สาขา วังทอง</t>
  </si>
  <si>
    <t>0060603</t>
  </si>
  <si>
    <t>ธ. กรุงไทย จำกัด (มหาชน) สาขา ตาก</t>
  </si>
  <si>
    <t>0060604</t>
  </si>
  <si>
    <t>ธ. กรุงไทย จำกัด (มหาชน) สาขา แม่สอด</t>
  </si>
  <si>
    <t>0060605</t>
  </si>
  <si>
    <t>ธ. กรุงไทย จำกัด (มหาชน) สาขา นครสวรรค์</t>
  </si>
  <si>
    <t>0060606</t>
  </si>
  <si>
    <t>ธ. กรุงไทย จำกัด (มหาชน) สาขา ลาดยาว</t>
  </si>
  <si>
    <t>0060607</t>
  </si>
  <si>
    <t>ธ. กรุงไทย จำกัด (มหาชน) สาขา ตาคลี</t>
  </si>
  <si>
    <t>0060608</t>
  </si>
  <si>
    <t>ธ. กรุงไทย จำกัด (มหาชน) สาขา ชุมแสง</t>
  </si>
  <si>
    <t>0060609</t>
  </si>
  <si>
    <t>ธ. กรุงไทย จำกัด (มหาชน) สาขา พยุหะคีรี</t>
  </si>
  <si>
    <t>0060610</t>
  </si>
  <si>
    <t>ธ. กรุงไทย จำกัด (มหาชน) สาขา พิจิตร</t>
  </si>
  <si>
    <t>0060611</t>
  </si>
  <si>
    <t>ธ. กรุงไทย จำกัด (มหาชน) สาขา ตะพานหิน</t>
  </si>
  <si>
    <t>0060612</t>
  </si>
  <si>
    <t>ธ. กรุงไทย จำกัด (มหาชน) สาขา ทับคล้อ</t>
  </si>
  <si>
    <t>0060613</t>
  </si>
  <si>
    <t>ธ. กรุงไทย จำกัด (มหาชน) สาขา บางมูลนาก</t>
  </si>
  <si>
    <t>0060614</t>
  </si>
  <si>
    <t>ธ. กรุงไทย จำกัด (มหาชน) สาขา เพชรบูรณ์</t>
  </si>
  <si>
    <t>0060615</t>
  </si>
  <si>
    <t>ธ. กรุงไทย จำกัด (มหาชน) สาขา หล่มสัก</t>
  </si>
  <si>
    <t>0060616</t>
  </si>
  <si>
    <t>ธ. กรุงไทย จำกัด (มหาชน) สาขา สุโขทัย</t>
  </si>
  <si>
    <t>0060617</t>
  </si>
  <si>
    <t>ธ. กรุงไทย จำกัด (มหาชน) สาขา สวรรคโลก</t>
  </si>
  <si>
    <t>0060618</t>
  </si>
  <si>
    <t>ธ. กรุงไทย จำกัด (มหาชน) สาขา ศรีสำโรง</t>
  </si>
  <si>
    <t>0060619</t>
  </si>
  <si>
    <t>ธ. กรุงไทย จำกัด (มหาชน) สาขา อุทัยธานี</t>
  </si>
  <si>
    <t>0060620</t>
  </si>
  <si>
    <t>ธ. กรุงไทย จำกัด (มหาชน) สาขา กำแพงเพชร</t>
  </si>
  <si>
    <t>0060621</t>
  </si>
  <si>
    <t>ธ. กรุงไทย จำกัด (มหาชน) สาขา คลองขลุง</t>
  </si>
  <si>
    <t>0060622</t>
  </si>
  <si>
    <t>ธ. กรุงไทย จำกัด (มหาชน) สาขา ศรีนคร</t>
  </si>
  <si>
    <t>0060623</t>
  </si>
  <si>
    <t>ธ. กรุงไทย จำกัด (มหาชน) สาขา ชนแดน</t>
  </si>
  <si>
    <t>0060624</t>
  </si>
  <si>
    <t>ธ. กรุงไทย จำกัด (มหาชน) สาขา บางระกำ</t>
  </si>
  <si>
    <t>0060625</t>
  </si>
  <si>
    <t>ธ. กรุงไทย จำกัด (มหาชน) สาขา โพทะเล</t>
  </si>
  <si>
    <t>0060626</t>
  </si>
  <si>
    <t>ธ. กรุงไทย จำกัด (มหาชน) สาขา ตากฟ้า</t>
  </si>
  <si>
    <t>0060627</t>
  </si>
  <si>
    <t>ธ. กรุงไทย จำกัด (มหาชน) สาขา สลกบาตร</t>
  </si>
  <si>
    <t>0060628</t>
  </si>
  <si>
    <t>ธ. กรุงไทย จำกัด (มหาชน) สาขา ปากน้ำโพ</t>
  </si>
  <si>
    <t>0060629</t>
  </si>
  <si>
    <t>ธ. กรุงไทย จำกัด (มหาชน) สาขา วิเชียรบุรี</t>
  </si>
  <si>
    <t>0060630</t>
  </si>
  <si>
    <t>ธ. กรุงไทย จำกัด (มหาชน) สาขา นครไทย</t>
  </si>
  <si>
    <t>0060631</t>
  </si>
  <si>
    <t>ธ. กรุงไทย จำกัด (มหาชน) สาขา บรรพตพิสัย</t>
  </si>
  <si>
    <t>0060632</t>
  </si>
  <si>
    <t>ธ. กรุงไทย จำกัด (มหาชน) สาขา ห้าแยกโคกมะตูม</t>
  </si>
  <si>
    <t>0060633</t>
  </si>
  <si>
    <t>ธ. กรุงไทย จำกัด (มหาชน) สาขา ถนนสวรรค์วิถี</t>
  </si>
  <si>
    <t>0060634</t>
  </si>
  <si>
    <t>ธ. กรุงไทย จำกัด (มหาชน) สาขา ลานกระบือ</t>
  </si>
  <si>
    <t>0060635</t>
  </si>
  <si>
    <t>ธ. กรุงไทย จำกัด (มหาชน) สาขา กงไกรลาศ</t>
  </si>
  <si>
    <t>0060636</t>
  </si>
  <si>
    <t>ธ. กรุงไทย จำกัด (มหาชน) สาขา สากเหล็ก</t>
  </si>
  <si>
    <t>0060637</t>
  </si>
  <si>
    <t>ธ. กรุงไทย จำกัด (มหาชน) สาขา พรหมพิราม</t>
  </si>
  <si>
    <t>0060638</t>
  </si>
  <si>
    <t>ธ. กรุงไทย จำกัด (มหาชน) สาขา ขาณุวรลักษบุรี</t>
  </si>
  <si>
    <t>0060639</t>
  </si>
  <si>
    <t>ธ. กรุงไทย จำกัด (มหาชน) สาขา สว่างอารมณ์</t>
  </si>
  <si>
    <t>0060640</t>
  </si>
  <si>
    <t>ธ. กรุงไทย จำกัด (มหาชน) สาขา ย่อยถนนเจริญสุข</t>
  </si>
  <si>
    <t>0060641</t>
  </si>
  <si>
    <t>ธ. กรุงไทย จำกัด (มหาชน) สาขา หนองไผ่</t>
  </si>
  <si>
    <t>0060642</t>
  </si>
  <si>
    <t>ธ. กรุงไทย จำกัด (มหาชน) สาขา ถนนมาตุลี</t>
  </si>
  <si>
    <t>0060643</t>
  </si>
  <si>
    <t>ธ. กรุงไทย จำกัด (มหาชน) สาขา ถนนเพชรเจริญ</t>
  </si>
  <si>
    <t>0060644</t>
  </si>
  <si>
    <t>ธ. กรุงไทย จำกัด (มหาชน) สาขา ถนนสิงหวัฒน์</t>
  </si>
  <si>
    <t>0060670</t>
  </si>
  <si>
    <t>0060671</t>
  </si>
  <si>
    <t>0060675</t>
  </si>
  <si>
    <t>0060678</t>
  </si>
  <si>
    <t>0060682</t>
  </si>
  <si>
    <t>ธ. กรุงไทย จำกัด (มหาชน) สาขา  โกรกกราก</t>
  </si>
  <si>
    <t>0060683</t>
  </si>
  <si>
    <t>ธ. กรุงไทย จำกัด (มหาชน) สาขา  ตลาดรวมใจ (เมืองทองธานี)</t>
  </si>
  <si>
    <t>0060684</t>
  </si>
  <si>
    <t>ธ. กรุงไทย จำกัด (มหาชน) สาขา  โรบินสัน จันทบุรี</t>
  </si>
  <si>
    <t>0060685</t>
  </si>
  <si>
    <t>ธ. กรุงไทย จำกัด (มหาชน) สาขา  จังซีลอน ป่าตอง ภูเก็ต</t>
  </si>
  <si>
    <t>0060686</t>
  </si>
  <si>
    <t>ธ. กรุงไทย จำกัด (มหาชน) สาขา บิ๊กซี เอ็กซ์ตร้า หาดใหญ่</t>
  </si>
  <si>
    <t>0060687</t>
  </si>
  <si>
    <t>ธ. กรุงไทย จำกัด (มหาชน) สาขา บางรัก</t>
  </si>
  <si>
    <t>0060688</t>
  </si>
  <si>
    <t>ธ. กรุงไทย จำกัด (มหาชน) สาขา  ศาลาว่าการกรุงเทพมหานคร 2</t>
  </si>
  <si>
    <t>0060689</t>
  </si>
  <si>
    <t>ธ. กรุงไทย จำกัด (มหาชน) สาขา  ห้างเฉลิมไทย</t>
  </si>
  <si>
    <t>0060690</t>
  </si>
  <si>
    <t>ธ. กรุงไทย จำกัด (มหาชน) สาขา เซ็นทรัล ลาดพร้าว</t>
  </si>
  <si>
    <t>0060691</t>
  </si>
  <si>
    <t>ธ. กรุงไทย จำกัด (มหาชน) สาขา ห้างสรรพสินค้าเซ็นทรัล เวิลด์</t>
  </si>
  <si>
    <t>0060692</t>
  </si>
  <si>
    <t>ธ. กรุงไทย จำกัด (มหาชน) สาขา รังสิต-นครนายก คลอง 11</t>
  </si>
  <si>
    <t>0060693</t>
  </si>
  <si>
    <t>ธ. กรุงไทย จำกัด (มหาชน) สาขา  เทคโนโลยีพระจอมเกล้าฯลาดกระบัง</t>
  </si>
  <si>
    <t>0060694</t>
  </si>
  <si>
    <t>ธ. กรุงไทย จำกัด (มหาชน) สาขา  ศาลากลางจังหวัดนครราชสีมา</t>
  </si>
  <si>
    <t>0060695</t>
  </si>
  <si>
    <t>ธ. กรุงไทย จำกัด (มหาชน) สาขา ห้างนราไฮเปอร์มาร์ท</t>
  </si>
  <si>
    <t>0060696</t>
  </si>
  <si>
    <t>ธ. กรุงไทย จำกัด (มหาชน) สาขา ถนนเศรษฐกิจ 1</t>
  </si>
  <si>
    <t>0060697</t>
  </si>
  <si>
    <t>ธ. กรุงไทย จำกัด (มหาชน) สาขา  เซ็นเตอร์พ้อยท์ (บางใหญ่)</t>
  </si>
  <si>
    <t>0060698</t>
  </si>
  <si>
    <t>ธ. กรุงไทย จำกัด (มหาชน) สาขา มาบุญครอง เซ็นเตอร์</t>
  </si>
  <si>
    <t>0060699</t>
  </si>
  <si>
    <t>ธ. กรุงไทย จำกัด (มหาชน) สาขา ถนนรามคำแหง 2 (บางนา-ตราด)</t>
  </si>
  <si>
    <t>0060700</t>
  </si>
  <si>
    <t>0060701</t>
  </si>
  <si>
    <t>ธ. กรุงไทย จำกัด (มหาชน) สาขา นครปฐม</t>
  </si>
  <si>
    <t>0060702</t>
  </si>
  <si>
    <t>ธ. กรุงไทย จำกัด (มหาชน) สาขา บางเลน</t>
  </si>
  <si>
    <t>0060703</t>
  </si>
  <si>
    <t>ธ. กรุงไทย จำกัด (มหาชน) สาขา เพชรบุรี</t>
  </si>
  <si>
    <t>0060704</t>
  </si>
  <si>
    <t>ธ. กรุงไทย จำกัด (มหาชน) สาขา ท่ายาง</t>
  </si>
  <si>
    <t>0060705</t>
  </si>
  <si>
    <t>ธ. กรุงไทย จำกัด (มหาชน) สาขา ราชบุรี</t>
  </si>
  <si>
    <t>0060706</t>
  </si>
  <si>
    <t>ธ. กรุงไทย จำกัด (มหาชน) สาขา บ้านโป่ง</t>
  </si>
  <si>
    <t>0060707</t>
  </si>
  <si>
    <t>ธ. กรุงไทย จำกัด (มหาชน) สาขา ดำเนินสะดวก</t>
  </si>
  <si>
    <t>0060708</t>
  </si>
  <si>
    <t>ธ. กรุงไทย จำกัด (มหาชน) สาขา โพธาราม</t>
  </si>
  <si>
    <t>0060709</t>
  </si>
  <si>
    <t>ธ. กรุงไทย จำกัด (มหาชน) สาขา สมุทรสงคราม</t>
  </si>
  <si>
    <t>0060710</t>
  </si>
  <si>
    <t>ธ. กรุงไทย จำกัด (มหาชน) สาขา สุพรรณบุรี</t>
  </si>
  <si>
    <t>0060711</t>
  </si>
  <si>
    <t>ธ. กรุงไทย จำกัด (มหาชน) สาขา สามชุก</t>
  </si>
  <si>
    <t>0060712</t>
  </si>
  <si>
    <t>ธ. กรุงไทย จำกัด (มหาชน) สาขา สมุทรสาคร</t>
  </si>
  <si>
    <t>0060713</t>
  </si>
  <si>
    <t>ธ. กรุงไทย จำกัด (มหาชน) สาขา กาญจนบุรี</t>
  </si>
  <si>
    <t>0060714</t>
  </si>
  <si>
    <t>ธ. กรุงไทย จำกัด (มหาชน) สาขา ท่ามะกา</t>
  </si>
  <si>
    <t>0060715</t>
  </si>
  <si>
    <t>ธ. กรุงไทย จำกัด (มหาชน) สาขา ประจวบคีรีขันธ์</t>
  </si>
  <si>
    <t>0060716</t>
  </si>
  <si>
    <t>ธ. กรุงไทย จำกัด (มหาชน) สาขา ปราณบุรี</t>
  </si>
  <si>
    <t>0060717</t>
  </si>
  <si>
    <t>ธ. กรุงไทย จำกัด (มหาชน) สาขา ชะอำ</t>
  </si>
  <si>
    <t>0060718</t>
  </si>
  <si>
    <t>ธ. กรุงไทย จำกัด (มหาชน) สาขา ทองผาภูมิ</t>
  </si>
  <si>
    <t>0060719</t>
  </si>
  <si>
    <t>ธ. กรุงไทย จำกัด (มหาชน) สาขา สี่แยกสนามจันทร์</t>
  </si>
  <si>
    <t>0060720</t>
  </si>
  <si>
    <t>ธ. กรุงไทย จำกัด (มหาชน) สาขา  เทสโก้โลตัสสุราษฎร์ธานี</t>
  </si>
  <si>
    <t>0060721</t>
  </si>
  <si>
    <t>ธ. กรุงไทย จำกัด (มหาชน) สาขา ปากท่อ</t>
  </si>
  <si>
    <t>0060722</t>
  </si>
  <si>
    <t>ธ. กรุงไทย จำกัด (มหาชน) สาขา หัวหิน</t>
  </si>
  <si>
    <t>0060723</t>
  </si>
  <si>
    <t>ธ. กรุงไทย จำกัด (มหาชน) สาขา กุยบุรี</t>
  </si>
  <si>
    <t>0060724</t>
  </si>
  <si>
    <t>ธ. กรุงไทย จำกัด (มหาชน) สาขา ท่าม่วง</t>
  </si>
  <si>
    <t>0060725</t>
  </si>
  <si>
    <t>ธ. กรุงไทย จำกัด (มหาชน) สาขา อู่ทอง</t>
  </si>
  <si>
    <t>0060726</t>
  </si>
  <si>
    <t>ธ. กรุงไทย จำกัด (มหาชน) สาขา กำแพงแสน</t>
  </si>
  <si>
    <t>0060727</t>
  </si>
  <si>
    <t>ธ. กรุงไทย จำกัด (มหาชน) สาขา กระทุ่มแบน</t>
  </si>
  <si>
    <t>0060728</t>
  </si>
  <si>
    <t>ธ. กรุงไทย จำกัด (มหาชน) สาขา ด่านช้าง</t>
  </si>
  <si>
    <t>0060729</t>
  </si>
  <si>
    <t>ธ. กรุงไทย จำกัด (มหาชน) สาขา สวนผึ้ง</t>
  </si>
  <si>
    <t>0060730</t>
  </si>
  <si>
    <t>ธ. กรุงไทย จำกัด (มหาชน) สาขา สองพี่น้อง</t>
  </si>
  <si>
    <t>0060731</t>
  </si>
  <si>
    <t>ธ. กรุงไทย จำกัด (มหาชน) สาขา พระนครคีรี</t>
  </si>
  <si>
    <t>0060732</t>
  </si>
  <si>
    <t>ธ. กรุงไทย จำกัด (มหาชน) สาขา เพชรเกษม 91(อ้อมน้อย)</t>
  </si>
  <si>
    <t>0060733</t>
  </si>
  <si>
    <t>ธ. กรุงไทย จำกัด (มหาชน) สาขา นครชัยศรี</t>
  </si>
  <si>
    <t>0060734</t>
  </si>
  <si>
    <t>ธ. กรุงไทย จำกัด (มหาชน) สาขา สามพราน</t>
  </si>
  <si>
    <t>0060735</t>
  </si>
  <si>
    <t>ธ. กรุงไทย จำกัด (มหาชน) สาขา ไทรโยค</t>
  </si>
  <si>
    <t>0060736</t>
  </si>
  <si>
    <t>ธ. กรุงไทย จำกัด (มหาชน) สาขา ศรีสุริยวงศ์</t>
  </si>
  <si>
    <t>0060737</t>
  </si>
  <si>
    <t>ธ. กรุงไทย จำกัด (มหาชน) สาขา  ศาลากลางจังหวัดราชบุรี</t>
  </si>
  <si>
    <t>0060738</t>
  </si>
  <si>
    <t>ธ. กรุงไทย จำกัด (มหาชน) สาขา ย่อยถนนคฑาธร</t>
  </si>
  <si>
    <t>0060739</t>
  </si>
  <si>
    <t>ธ. กรุงไทย จำกัด (มหาชน) สาขา ดอนเจดีย์</t>
  </si>
  <si>
    <t>0060740</t>
  </si>
  <si>
    <t>ธ. กรุงไทย จำกัด (มหาชน) สาขา พระประโทน</t>
  </si>
  <si>
    <t>0060741</t>
  </si>
  <si>
    <t>ธ. กรุงไทย จำกัด (มหาชน) สาขา อ้อมใหญ่</t>
  </si>
  <si>
    <t>0060742</t>
  </si>
  <si>
    <t>ธ. กรุงไทย จำกัด (มหาชน) สาขา บางสะพาน</t>
  </si>
  <si>
    <t>0060743</t>
  </si>
  <si>
    <t>ธ. กรุงไทย จำกัด (มหาชน) สาขา บ่อพลอย</t>
  </si>
  <si>
    <t>0060744</t>
  </si>
  <si>
    <t>ธ. กรุงไทย จำกัด (มหาชน) สาขา จอมบึง</t>
  </si>
  <si>
    <t>0060745</t>
  </si>
  <si>
    <t>ธ. กรุงไทย จำกัด (มหาชน) สาขา บ้านแพ้ว</t>
  </si>
  <si>
    <t>0060747</t>
  </si>
  <si>
    <t>ธ. กรุงไทย จำกัด (มหาชน) สาขา ถนนพระพันวษา</t>
  </si>
  <si>
    <t>0060748</t>
  </si>
  <si>
    <t>ธ. กรุงไทย จำกัด (มหาชน) สาขา แม่กลอง</t>
  </si>
  <si>
    <t>0060750</t>
  </si>
  <si>
    <t>ธ. กรุงไทย จำกัด (มหาชน) สาขา ย่อยแสงชูโต</t>
  </si>
  <si>
    <t>0060751</t>
  </si>
  <si>
    <t>ธ. กรุงไทย จำกัด (มหาชน) สาขา  นาจอมเทียน (บ้านอำเภอ)</t>
  </si>
  <si>
    <t>0060752</t>
  </si>
  <si>
    <t>ธ. กรุงไทย จำกัด (มหาชน) สาขา บิ๊กซี ลพบุรี 1</t>
  </si>
  <si>
    <t>0060753</t>
  </si>
  <si>
    <t>ธ. กรุงไทย จำกัด (มหาชน) สาขา  เทสโก้โลตัสนครปฐม</t>
  </si>
  <si>
    <t>0060754</t>
  </si>
  <si>
    <t>ธ. กรุงไทย จำกัด (มหาชน) สาขา  เซียร์รังสิต</t>
  </si>
  <si>
    <t>0060755</t>
  </si>
  <si>
    <t>ธ. กรุงไทย จำกัด (มหาชน) สาขา  แม่น้ำ</t>
  </si>
  <si>
    <t>0060756</t>
  </si>
  <si>
    <t>ธ. กรุงไทย จำกัด (มหาชน) สาขา ละไม</t>
  </si>
  <si>
    <t>0060757</t>
  </si>
  <si>
    <t>ธ. กรุงไทย จำกัด (มหาชน) สาขา  อ่าวนาง</t>
  </si>
  <si>
    <t>0060758</t>
  </si>
  <si>
    <t>ธ. กรุงไทย จำกัด (มหาชน) สาขา ตลาดกลางบางใหญ่</t>
  </si>
  <si>
    <t>0060759</t>
  </si>
  <si>
    <t>ธ. กรุงไทย จำกัด (มหาชน) สาขา บิ๊กซี ระยอง</t>
  </si>
  <si>
    <t>0060760</t>
  </si>
  <si>
    <t>ธ. กรุงไทย จำกัด (มหาชน) สาขา ลาดพร้าว 71</t>
  </si>
  <si>
    <t>0060761</t>
  </si>
  <si>
    <t>ธ. กรุงไทย จำกัด (มหาชน) สาขา บิ๊กซี ราชบุรี</t>
  </si>
  <si>
    <t>0060762</t>
  </si>
  <si>
    <t>ธ. กรุงไทย จำกัด (มหาชน) สาขา  เดอะมอลล์ บางกะปิ</t>
  </si>
  <si>
    <t>0060763</t>
  </si>
  <si>
    <t>ธ. กรุงไทย จำกัด (มหาชน) สาขา  บิ๊กซี ปัตตานี</t>
  </si>
  <si>
    <t>0060764</t>
  </si>
  <si>
    <t>ธ. กรุงไทย จำกัด (มหาชน) สาขา  แปซิฟิค พาร์ค ศรีราชา</t>
  </si>
  <si>
    <t>0060765</t>
  </si>
  <si>
    <t>ธ. กรุงไทย จำกัด (มหาชน) สาขา  เทสโก้โลตัส นวนคร</t>
  </si>
  <si>
    <t>0060766</t>
  </si>
  <si>
    <t>ธ. กรุงไทย จำกัด (มหาชน) สาขา  วงศ์สว่าง ทาวน์ เซ็นเตอร์</t>
  </si>
  <si>
    <t>0060767</t>
  </si>
  <si>
    <t>ธ. กรุงไทย จำกัด (มหาชน) สาขา ท็อปแลนด์ พิษณุโลก</t>
  </si>
  <si>
    <t>0060768</t>
  </si>
  <si>
    <t>ธ. กรุงไทย จำกัด (มหาชน) สาขา  เซ็นทรัลพระราม 3</t>
  </si>
  <si>
    <t>0060769</t>
  </si>
  <si>
    <t>ธ. กรุงไทย จำกัด (มหาชน) สาขา ศูนย์การค้าใบหยก</t>
  </si>
  <si>
    <t>0060770</t>
  </si>
  <si>
    <t>ธ. กรุงไทย จำกัด (มหาชน) สาขา  เทสโก้โลตัส ระยอง</t>
  </si>
  <si>
    <t>0060771</t>
  </si>
  <si>
    <t>ธ. กรุงไทย จำกัด (มหาชน) สาขา  นิ่มซิตี้เดลี่ (เชียงใหม่)</t>
  </si>
  <si>
    <t>0060772</t>
  </si>
  <si>
    <t>ธ. กรุงไทย จำกัด (มหาชน) สาขา  โรงพยาบาลชลบุรี</t>
  </si>
  <si>
    <t>0060773</t>
  </si>
  <si>
    <t>ธ. กรุงไทย จำกัด (มหาชน) สาขา  ตลาดบิ๊กซี อุบลราชธานี</t>
  </si>
  <si>
    <t>0060774</t>
  </si>
  <si>
    <t>ธ. กรุงไทย จำกัด (มหาชน) สาขา เสริมไทยคอมเพล็กซ์</t>
  </si>
  <si>
    <t>0060775</t>
  </si>
  <si>
    <t>ธ. กรุงไทย จำกัด (มหาชน) สาขา บิ๊กซี ฉะเชิงเทรา 2</t>
  </si>
  <si>
    <t>0060776</t>
  </si>
  <si>
    <t>ธ. กรุงไทย จำกัด (มหาชน) สาขา ไนท์บาซาร์ เชียงใหม่</t>
  </si>
  <si>
    <t>0060778</t>
  </si>
  <si>
    <t>ธ. กรุงไทย จำกัด (มหาชน) สาขา  แฟรี่แลนด์สรรพสินค้า (นครสวรรค์)</t>
  </si>
  <si>
    <t>0060779</t>
  </si>
  <si>
    <t>ธ. กรุงไทย จำกัด (มหาชน) สาขา เทสโก้โลตัส นครศรีธรรมราช</t>
  </si>
  <si>
    <t>0060780</t>
  </si>
  <si>
    <t>ธ. กรุงไทย จำกัด (มหาชน) สาขา สถานีขนส่งผู้โดยสารกรุงเทพฯ (ถนนบรม</t>
  </si>
  <si>
    <t>0060781</t>
  </si>
  <si>
    <t>ธ. กรุงไทย จำกัด (มหาชน) สาขา เทสโก้โลตัส ท่าบ่อ</t>
  </si>
  <si>
    <t>0060782</t>
  </si>
  <si>
    <t>ธ. กรุงไทย จำกัด (มหาชน) สาขา  เทสโก้ โลตัส นครชัยศรี</t>
  </si>
  <si>
    <t>0060783</t>
  </si>
  <si>
    <t>ธ. กรุงไทย จำกัด (มหาชน) สาขา  บิ๊กซี ชลบุรี</t>
  </si>
  <si>
    <t>0060784</t>
  </si>
  <si>
    <t>ธ. กรุงไทย จำกัด (มหาชน) สาขา เทสโก้โลตัส ลำปาง</t>
  </si>
  <si>
    <t>0060785</t>
  </si>
  <si>
    <t>ธ. กรุงไทย จำกัด (มหาชน) สาขา  ริมปิง</t>
  </si>
  <si>
    <t>0060786</t>
  </si>
  <si>
    <t>ธ. กรุงไทย จำกัด (มหาชน) สาขา บิ๊กซี เชียงใหม่</t>
  </si>
  <si>
    <t>0060787</t>
  </si>
  <si>
    <t>ธ. กรุงไทย จำกัด (มหาชน) สาขา บิ๊กซี หางดง</t>
  </si>
  <si>
    <t>0060788</t>
  </si>
  <si>
    <t>ธ. กรุงไทย จำกัด (มหาชน) สาขา  บิ๊กซี ขอนแก่น</t>
  </si>
  <si>
    <t>0060789</t>
  </si>
  <si>
    <t>ธ. กรุงไทย จำกัด (มหาชน) สาขา เทสโก้โลตัส ขอนแก่น</t>
  </si>
  <si>
    <t>0060790</t>
  </si>
  <si>
    <t>ธ. กรุงไทย จำกัด (มหาชน) สาขา เทสโก้โลตัส กระบี่</t>
  </si>
  <si>
    <t>0060791</t>
  </si>
  <si>
    <t>ธ. กรุงไทย จำกัด (มหาชน) สาขา บิ๊กซี บุรีรัมย์</t>
  </si>
  <si>
    <t>0060792</t>
  </si>
  <si>
    <t>ธ. กรุงไทย จำกัด (มหาชน) สาขา เทสโก้โลตัส ร้อยเอ็ด</t>
  </si>
  <si>
    <t>0060793</t>
  </si>
  <si>
    <t>ธ. กรุงไทย จำกัด (มหาชน) สาขา  ปตท.รามอินทรา กม.3</t>
  </si>
  <si>
    <t>0060794</t>
  </si>
  <si>
    <t>ธ. กรุงไทย จำกัด (มหาชน) สาขา สถานีขนส่งผู้โดยสารกรุงเทพฯ-จตุจักร</t>
  </si>
  <si>
    <t>0060795</t>
  </si>
  <si>
    <t>ธ. กรุงไทย จำกัด (มหาชน) สาขา เซ็นทรัลพลาซ่ารัตนาธิเบศร์</t>
  </si>
  <si>
    <t>0060796</t>
  </si>
  <si>
    <t>ธ. กรุงไทย จำกัด (มหาชน) สาขา เทสโก้โลตัส บางปู</t>
  </si>
  <si>
    <t>0060797</t>
  </si>
  <si>
    <t>ธ. กรุงไทย จำกัด (มหาชน) สาขา สุรินทร์พลาซ่า</t>
  </si>
  <si>
    <t>0060798</t>
  </si>
  <si>
    <t>ธ. กรุงไทย จำกัด (มหาชน) สาขา เทสโก้โลตัส ป่าซาง</t>
  </si>
  <si>
    <t>0060799</t>
  </si>
  <si>
    <t>ธ. กรุงไทย จำกัด (มหาชน) สาขา  ฟอร์จูน ทาวน์</t>
  </si>
  <si>
    <t>0060800</t>
  </si>
  <si>
    <t>ธ. กรุงไทย จำกัด (มหาชน) สาขา  หัวหมาก ทาวน์ เซ็นเตอร์</t>
  </si>
  <si>
    <t>0060801</t>
  </si>
  <si>
    <t>ธ. กรุงไทย จำกัด (มหาชน) สาขา นครศรีธรรมราช</t>
  </si>
  <si>
    <t>0060802</t>
  </si>
  <si>
    <t>ธ. กรุงไทย จำกัด (มหาชน) สาขา ปากพนัง</t>
  </si>
  <si>
    <t>0060803</t>
  </si>
  <si>
    <t>ธ. กรุงไทย จำกัด (มหาชน) สาขา ชุมพร</t>
  </si>
  <si>
    <t>0060804</t>
  </si>
  <si>
    <t>ธ. กรุงไทย จำกัด (มหาชน) สาขา หลังสวน</t>
  </si>
  <si>
    <t>0060805</t>
  </si>
  <si>
    <t>ธ. กรุงไทย จำกัด (มหาชน) สาขา ภูเก็ต</t>
  </si>
  <si>
    <t>0060806</t>
  </si>
  <si>
    <t>ธ. กรุงไทย จำกัด (มหาชน) สาขา ระนอง</t>
  </si>
  <si>
    <t>0060807</t>
  </si>
  <si>
    <t>ธ. กรุงไทย จำกัด (มหาชน) สาขา สุราษฎร์ธานี</t>
  </si>
  <si>
    <t>0060808</t>
  </si>
  <si>
    <t>ธ. กรุงไทย จำกัด (มหาชน) สาขา พุนพิน</t>
  </si>
  <si>
    <t>0060809</t>
  </si>
  <si>
    <t>ธ. กรุงไทย จำกัด (มหาชน) สาขา พังงา</t>
  </si>
  <si>
    <t>0060810</t>
  </si>
  <si>
    <t>ธ. กรุงไทย จำกัด (มหาชน) สาขา ตะกั่วป่า</t>
  </si>
  <si>
    <t>0060811</t>
  </si>
  <si>
    <t>ธ. กรุงไทย จำกัด (มหาชน) สาขา โคกกลอย</t>
  </si>
  <si>
    <t>0060812</t>
  </si>
  <si>
    <t>ธ. กรุงไทย จำกัด (มหาชน) สาขา กระบี่</t>
  </si>
  <si>
    <t>0060813</t>
  </si>
  <si>
    <t>ธ. กรุงไทย จำกัด (มหาชน) สาขา ขนอม</t>
  </si>
  <si>
    <t>0060814</t>
  </si>
  <si>
    <t>ธ. กรุงไทย จำกัด (มหาชน) สาขา ฉวาง</t>
  </si>
  <si>
    <t>0060815</t>
  </si>
  <si>
    <t>ธ. กรุงไทย จำกัด (มหาชน) สาขา ทุ่งสง</t>
  </si>
  <si>
    <t>0060816</t>
  </si>
  <si>
    <t>ธ. กรุงไทย จำกัด (มหาชน) สาขา ตลาดหัวอิฐ</t>
  </si>
  <si>
    <t>0060817</t>
  </si>
  <si>
    <t>ธ. กรุงไทย จำกัด (มหาชน) สาขา เหนือคลอง</t>
  </si>
  <si>
    <t>0060818</t>
  </si>
  <si>
    <t>ธ. กรุงไทย จำกัด (มหาชน) สาขา อ่าวลึก</t>
  </si>
  <si>
    <t>0060819</t>
  </si>
  <si>
    <t>ธ. กรุงไทย จำกัด (มหาชน) สาขา ถนนรัษฎา</t>
  </si>
  <si>
    <t>0060820</t>
  </si>
  <si>
    <t>ธ. กรุงไทย จำกัด (มหาชน) สาขา ตลาดเกษตร</t>
  </si>
  <si>
    <t>0060821</t>
  </si>
  <si>
    <t>ธ. กรุงไทย จำกัด (มหาชน) สาขา โพธิ์แจ้</t>
  </si>
  <si>
    <t>0060822</t>
  </si>
  <si>
    <t>ธ. กรุงไทย จำกัด (มหาชน) สาขา ชะอวด</t>
  </si>
  <si>
    <t>0060823</t>
  </si>
  <si>
    <t>ธ. กรุงไทย จำกัด (มหาชน) สาขา สวี</t>
  </si>
  <si>
    <t>0060824</t>
  </si>
  <si>
    <t>ธ. กรุงไทย จำกัด (มหาชน) สาขา คลองท่อม</t>
  </si>
  <si>
    <t>0060825</t>
  </si>
  <si>
    <t>ธ. กรุงไทย จำกัด (มหาชน) สาขา คุระบุรี</t>
  </si>
  <si>
    <t>0060826</t>
  </si>
  <si>
    <t>ธ. กรุงไทย จำกัด (มหาชน) สาขา เชียรใหญ่</t>
  </si>
  <si>
    <t>0060827</t>
  </si>
  <si>
    <t>ธ. กรุงไทย จำกัด (มหาชน) สาขา ถนนศรีวิชัย</t>
  </si>
  <si>
    <t>0060828</t>
  </si>
  <si>
    <t>ธ. กรุงไทย จำกัด (มหาชน) สาขา ท่าศาลา</t>
  </si>
  <si>
    <t>0060829</t>
  </si>
  <si>
    <t>ธ. กรุงไทย จำกัด (มหาชน) สาขา เกาะสมุย</t>
  </si>
  <si>
    <t>0060830</t>
  </si>
  <si>
    <t>ธ. กรุงไทย จำกัด (มหาชน) สาขา คีรีรัฐนิคม</t>
  </si>
  <si>
    <t>0060831</t>
  </si>
  <si>
    <t>ธ. กรุงไทย จำกัด (มหาชน) สาขา ท่าฉาง</t>
  </si>
  <si>
    <t>0060832</t>
  </si>
  <si>
    <t>ธ. กรุงไทย จำกัด (มหาชน) สาขา ปฐมพร</t>
  </si>
  <si>
    <t>0060833</t>
  </si>
  <si>
    <t>ธ. กรุงไทย จำกัด (มหาชน) สาขา  โรงพยาบาลมหาราชนครศรีธรรมราช</t>
  </si>
  <si>
    <t>0060834</t>
  </si>
  <si>
    <t>ธ. กรุงไทย จำกัด (มหาชน) สาขา ดอนสัก</t>
  </si>
  <si>
    <t>0060835</t>
  </si>
  <si>
    <t>ธ. กรุงไทย จำกัด (มหาชน) สาขา จันดี</t>
  </si>
  <si>
    <t>0060836</t>
  </si>
  <si>
    <t>ธ. กรุงไทย จำกัด (มหาชน) สาขา เกาะพะงัน</t>
  </si>
  <si>
    <t>0060837</t>
  </si>
  <si>
    <t>ธ. กรุงไทย จำกัด (มหาชน) สาขา ป่าตอง</t>
  </si>
  <si>
    <t>0060840</t>
  </si>
  <si>
    <t>ธ. กรุงไทย จำกัด (มหาชน) สาขา เทสโก้โลตัสแอทพาร์ค(สุขุมวิท101/1)</t>
  </si>
  <si>
    <t>0060841</t>
  </si>
  <si>
    <t>ธ. กรุงไทย จำกัด (มหาชน) สาขา  โรงพยาบาลกลาง</t>
  </si>
  <si>
    <t>0060842</t>
  </si>
  <si>
    <t>ธ. กรุงไทย จำกัด (มหาชน) สาขา  ตลาดบ้านดู่ (เชียงราย)</t>
  </si>
  <si>
    <t>0060843</t>
  </si>
  <si>
    <t>ธ. กรุงไทย จำกัด (มหาชน) สาขา ตลาดป่าก่อ (เชียงราย)</t>
  </si>
  <si>
    <t>0060844</t>
  </si>
  <si>
    <t>ธ. กรุงไทย จำกัด (มหาชน) สาขา นิคมพัฒนา (ระยอง)</t>
  </si>
  <si>
    <t>0060845</t>
  </si>
  <si>
    <t>ธ. กรุงไทย จำกัด (มหาชน) สาขา เดอะพาชิโอ(ลาดกระบัง)</t>
  </si>
  <si>
    <t>0060846</t>
  </si>
  <si>
    <t>ธ. กรุงไทย จำกัด (มหาชน) สาขา  สิริบรรณช้อปปิ้งเซ็นเตอร์</t>
  </si>
  <si>
    <t>0060847</t>
  </si>
  <si>
    <t>ธ. กรุงไทย จำกัด (มหาชน) สาขา สะปำ</t>
  </si>
  <si>
    <t>0060848</t>
  </si>
  <si>
    <t>ธ. กรุงไทย จำกัด (มหาชน) สาขา ย่อยจังหวัดเสียมเรียบ</t>
  </si>
  <si>
    <t>0060849</t>
  </si>
  <si>
    <t>ธ. กรุงไทย จำกัด (มหาชน) สาขา เทสโก้โลตัส เดชอุดม</t>
  </si>
  <si>
    <t>0060850</t>
  </si>
  <si>
    <t>ธ. กรุงไทย จำกัด (มหาชน) สาขา  สุนีย์ทาวเวอร์ อุบลราชธานี</t>
  </si>
  <si>
    <t>0060851</t>
  </si>
  <si>
    <t>ธ. กรุงไทย จำกัด (มหาชน) สาขา บิ๊กซี บางพลี</t>
  </si>
  <si>
    <t>0060852</t>
  </si>
  <si>
    <t>ธ. กรุงไทย จำกัด (มหาชน) สาขา สุขุมวิท 22</t>
  </si>
  <si>
    <t>0060853</t>
  </si>
  <si>
    <t>ธ. กรุงไทย จำกัด (มหาชน) สาขา  เทสโก้โลตัส เชียงใหม่หางดง</t>
  </si>
  <si>
    <t>0060854</t>
  </si>
  <si>
    <t>ธ. กรุงไทย จำกัด (มหาชน) สาขา  บิ๊กซี ลำพูน</t>
  </si>
  <si>
    <t>0060855</t>
  </si>
  <si>
    <t>ธ. กรุงไทย จำกัด (มหาชน) สาขา บิ๊กซี สำโรง 2</t>
  </si>
  <si>
    <t>0060856</t>
  </si>
  <si>
    <t>ธ. กรุงไทย จำกัด (มหาชน) สาขา  ท่าน้ำปากเกร็ด</t>
  </si>
  <si>
    <t>0060857</t>
  </si>
  <si>
    <t>ธ. กรุงไทย จำกัด (มหาชน) สาขา  มหาวิทยาลัยนเรศวร</t>
  </si>
  <si>
    <t>0060858</t>
  </si>
  <si>
    <t>ธ. กรุงไทย จำกัด (มหาชน) สาขา เนวาด้า สกลนคร</t>
  </si>
  <si>
    <t>0060859</t>
  </si>
  <si>
    <t>ธ. กรุงไทย จำกัด (มหาชน) สาขา ตลาดราตรี</t>
  </si>
  <si>
    <t>0060860</t>
  </si>
  <si>
    <t>ธ. กรุงไทย จำกัด (มหาชน) สาขา  ศาลอาญา</t>
  </si>
  <si>
    <t>0060861</t>
  </si>
  <si>
    <t>ธ. กรุงไทย จำกัด (มหาชน) สาขา เทสโก้โลตัส ขุขันธ์</t>
  </si>
  <si>
    <t>0060862</t>
  </si>
  <si>
    <t>ธ. กรุงไทย จำกัด (มหาชน) สาขา เทสโก้โลตัส พิบูลมังสาหาร</t>
  </si>
  <si>
    <t>0060863</t>
  </si>
  <si>
    <t>ธ. กรุงไทย จำกัด (มหาชน) สาขา  ศูนย์ราชการจังหวัดเพชรบูรณ์</t>
  </si>
  <si>
    <t>0060864</t>
  </si>
  <si>
    <t>ธ. กรุงไทย จำกัด (มหาชน) สาขา แม็คโครจรัญสนิทวงศ์</t>
  </si>
  <si>
    <t>0060865</t>
  </si>
  <si>
    <t>ธ. กรุงไทย จำกัด (มหาชน) สาขา  เทสโก้โลตัส ยโสธร</t>
  </si>
  <si>
    <t>0060866</t>
  </si>
  <si>
    <t>ธ. กรุงไทย จำกัด (มหาชน) สาขา  คลองแงะ</t>
  </si>
  <si>
    <t>0060867</t>
  </si>
  <si>
    <t>ธ. กรุงไทย จำกัด (มหาชน) สาขา  บิ๊กซี สุโขทัย</t>
  </si>
  <si>
    <t>0060868</t>
  </si>
  <si>
    <t>ธ. กรุงไทย จำกัด (มหาชน) สาขา  กาญจนวนิช (สงขลา)</t>
  </si>
  <si>
    <t>0060869</t>
  </si>
  <si>
    <t>ธ. กรุงไทย จำกัด (มหาชน) สาขา บิ๊กซี สุขาภิบาล 3</t>
  </si>
  <si>
    <t>0060870</t>
  </si>
  <si>
    <t>ธ. กรุงไทย จำกัด (มหาชน) สาขา  เคย์แมน</t>
  </si>
  <si>
    <t>0060871</t>
  </si>
  <si>
    <t>ธ. กรุงไทย จำกัด (มหาชน) สาขา สำนักงานผู้แทนย่างกุ้ง</t>
  </si>
  <si>
    <t>0060876</t>
  </si>
  <si>
    <t>ธ. กรุงไทย จำกัด (มหาชน) สาขา เทสโก้โลตัส แม่แตง</t>
  </si>
  <si>
    <t>0060877</t>
  </si>
  <si>
    <t>ธ. กรุงไทย จำกัด (มหาชน) สาขา ตลาดนัดจตุจักร 2 (เมืองมีน)</t>
  </si>
  <si>
    <t>0060878</t>
  </si>
  <si>
    <t>ธ. กรุงไทย จำกัด (มหาชน) สาขา เดอะมอลล์ ท่าพระ</t>
  </si>
  <si>
    <t>0060879</t>
  </si>
  <si>
    <t>ธ. กรุงไทย จำกัด (มหาชน) สาขา ปุณณกัณฑ์(ม.อ.หาดใหญ่ )</t>
  </si>
  <si>
    <t>0060880</t>
  </si>
  <si>
    <t>ธ. กรุงไทย จำกัด (มหาชน) สาขา อาคารวรรณสรณ์</t>
  </si>
  <si>
    <t>0060881</t>
  </si>
  <si>
    <t>ธ. กรุงไทย จำกัด (มหาชน) สาขา  ถนนเอื้ออารี</t>
  </si>
  <si>
    <t>0060882</t>
  </si>
  <si>
    <t>ธ. กรุงไทย จำกัด (มหาชน) สาขา  พานทอง</t>
  </si>
  <si>
    <t>0060883</t>
  </si>
  <si>
    <t>ธ. กรุงไทย จำกัด (มหาชน) สาขา  เทสโก้โลตัส ศาลายา</t>
  </si>
  <si>
    <t>0060884</t>
  </si>
  <si>
    <t>ธ. กรุงไทย จำกัด (มหาชน) สาขา  เทสโก้โลตัส ปิ่นเกล้า</t>
  </si>
  <si>
    <t>0060885</t>
  </si>
  <si>
    <t>ธ. กรุงไทย จำกัด (มหาชน) สาขา ธาตุพนม</t>
  </si>
  <si>
    <t>0060886</t>
  </si>
  <si>
    <t>ธ. กรุงไทย จำกัด (มหาชน) สาขา เทสโก้โลตัส เชียงคำ</t>
  </si>
  <si>
    <t>0060887</t>
  </si>
  <si>
    <t>ธ. กรุงไทย จำกัด (มหาชน) สาขา บิ๊กซี หาดใหญ่</t>
  </si>
  <si>
    <t>0060900</t>
  </si>
  <si>
    <t>ธ. กรุงไทย จำกัด (มหาชน) สาขา แก่งคอย</t>
  </si>
  <si>
    <t>0060901</t>
  </si>
  <si>
    <t>ธ. กรุงไทย จำกัด (มหาชน) สาขา สงขลา</t>
  </si>
  <si>
    <t>0060902</t>
  </si>
  <si>
    <t>ธ. กรุงไทย จำกัด (มหาชน) สาขา หาดใหญ่</t>
  </si>
  <si>
    <t>0060903</t>
  </si>
  <si>
    <t>ธ. กรุงไทย จำกัด (มหาชน) สาขา ตรัง</t>
  </si>
  <si>
    <t>0060904</t>
  </si>
  <si>
    <t>ธ. กรุงไทย จำกัด (มหาชน) สาขา กันตัง</t>
  </si>
  <si>
    <t>0060905</t>
  </si>
  <si>
    <t>ธ. กรุงไทย จำกัด (มหาชน) สาขา นราธิวาส</t>
  </si>
  <si>
    <t>0060906</t>
  </si>
  <si>
    <t>ธ. กรุงไทย จำกัด (มหาชน) สาขา ตันหยงมัส</t>
  </si>
  <si>
    <t>0060907</t>
  </si>
  <si>
    <t>ธ. กรุงไทย จำกัด (มหาชน) สาขา ปัตตานี</t>
  </si>
  <si>
    <t>0060908</t>
  </si>
  <si>
    <t>ธ. กรุงไทย จำกัด (มหาชน) สาขา พัทลุง</t>
  </si>
  <si>
    <t>0060909</t>
  </si>
  <si>
    <t>ธ. กรุงไทย จำกัด (มหาชน) สาขา ยะลา</t>
  </si>
  <si>
    <t>0060910</t>
  </si>
  <si>
    <t>ธ. กรุงไทย จำกัด (มหาชน) สาขา สตูล</t>
  </si>
  <si>
    <t>0060911</t>
  </si>
  <si>
    <t>ธ. กรุงไทย จำกัด (มหาชน) สาขา ถนนเพชรเกษม (หาดใหญ่)</t>
  </si>
  <si>
    <t>0060912</t>
  </si>
  <si>
    <t>ธ. กรุงไทย จำกัด (มหาชน) สาขา เบตง</t>
  </si>
  <si>
    <t>0060913</t>
  </si>
  <si>
    <t>ธ. กรุงไทย จำกัด (มหาชน) สาขา แม่ขรี</t>
  </si>
  <si>
    <t>0060914</t>
  </si>
  <si>
    <t>ธ. กรุงไทย จำกัด (มหาชน) สาขา สุไหงโก-ลก</t>
  </si>
  <si>
    <t>0060915</t>
  </si>
  <si>
    <t>ธ. กรุงไทย จำกัด (มหาชน) สาขา นิพัทธ์อุทิศ2</t>
  </si>
  <si>
    <t>0060916</t>
  </si>
  <si>
    <t>ธ. กรุงไทย จำกัด (มหาชน) สาขา ย่านตาขาว</t>
  </si>
  <si>
    <t>0060917</t>
  </si>
  <si>
    <t>ธ. กรุงไทย จำกัด (มหาชน) สาขา ปาดังเบซาร์</t>
  </si>
  <si>
    <t>0060918</t>
  </si>
  <si>
    <t>ธ. กรุงไทย จำกัด (มหาชน) สาขา สิเกา</t>
  </si>
  <si>
    <t>0060919</t>
  </si>
  <si>
    <t>ธ. กรุงไทย จำกัด (มหาชน) สาขา ควนกาหลง</t>
  </si>
  <si>
    <t>0060920</t>
  </si>
  <si>
    <t>ธ. กรุงไทย จำกัด (มหาชน) สาขา รามัน</t>
  </si>
  <si>
    <t>0060921</t>
  </si>
  <si>
    <t>ธ. กรุงไทย จำกัด (มหาชน) สาขา เขาชัยสน</t>
  </si>
  <si>
    <t>0060922</t>
  </si>
  <si>
    <t>ธ. กรุงไทย จำกัด (มหาชน) สาขา ตากใบ</t>
  </si>
  <si>
    <t>0060923</t>
  </si>
  <si>
    <t>ธ. กรุงไทย จำกัด (มหาชน) สาขา สทิงพระ</t>
  </si>
  <si>
    <t>0060924</t>
  </si>
  <si>
    <t>ธ. กรุงไทย จำกัด (มหาชน) สาขา บันนังสตา</t>
  </si>
  <si>
    <t>0060925</t>
  </si>
  <si>
    <t>ธ. กรุงไทย จำกัด (มหาชน) สาขา ยะรัง</t>
  </si>
  <si>
    <t>0060926</t>
  </si>
  <si>
    <t>ธ. กรุงไทย จำกัด (มหาชน) สาขา ปากพะยูน</t>
  </si>
  <si>
    <t>0060927</t>
  </si>
  <si>
    <t>ธ. กรุงไทย จำกัด (มหาชน) สาขา สิงหนคร</t>
  </si>
  <si>
    <t>0060928</t>
  </si>
  <si>
    <t>ธ. กรุงไทย จำกัด (มหาชน) สาขา นาทวี</t>
  </si>
  <si>
    <t>0060929</t>
  </si>
  <si>
    <t>ธ. กรุงไทย จำกัด (มหาชน) สาขา เจริญประดิษฐ์</t>
  </si>
  <si>
    <t>0060930</t>
  </si>
  <si>
    <t>ธ. กรุงไทย จำกัด (มหาชน) สาขา ราษฎร์ยินดี</t>
  </si>
  <si>
    <t>0060931</t>
  </si>
  <si>
    <t>ธ. กรุงไทย จำกัด (มหาชน) สาขา ทับเที่ยง</t>
  </si>
  <si>
    <t>0060932</t>
  </si>
  <si>
    <t>ธ. กรุงไทย จำกัด (มหาชน) สาขา สิโรรส</t>
  </si>
  <si>
    <t>0060933</t>
  </si>
  <si>
    <t>ธ. กรุงไทย จำกัด (มหาชน) สาขา ยะหา</t>
  </si>
  <si>
    <t>0060934</t>
  </si>
  <si>
    <t>ธ. กรุงไทย จำกัด (มหาชน) สาขา ย่อยหาดใหญ่ดารุ้ลมุสตากีม</t>
  </si>
  <si>
    <t>0060935</t>
  </si>
  <si>
    <t>ธ. กรุงไทย จำกัด (มหาชน) สาขา กะปาง</t>
  </si>
  <si>
    <t>0060936</t>
  </si>
  <si>
    <t>ธ. กรุงไทย จำกัด (มหาชน) สาขา ย่อยโรงพยาบาลหาดใหญ่</t>
  </si>
  <si>
    <t>0060937</t>
  </si>
  <si>
    <t>ธ. กรุงไทย จำกัด (มหาชน) สาขา นาโยง</t>
  </si>
  <si>
    <t>0060938</t>
  </si>
  <si>
    <t>ธ. กรุงไทย จำกัด (มหาชน) สาขา ทุ่งลุง</t>
  </si>
  <si>
    <t>0060939</t>
  </si>
  <si>
    <t>ธ. กรุงไทย จำกัด (มหาชน) สาขา ย่อยกาญจนวนิช</t>
  </si>
  <si>
    <t>0060941</t>
  </si>
  <si>
    <t>ธ. กรุงไทย จำกัด (มหาชน) สาขา มุมไบ</t>
  </si>
  <si>
    <t>0060942</t>
  </si>
  <si>
    <t>ธ. กรุงไทย จำกัด (มหาชน) สาขา สำนักงานผู้แทนร่างกุ้ง</t>
  </si>
  <si>
    <t>0060943</t>
  </si>
  <si>
    <t>ธ. กรุงไทย จำกัด (มหาชน) สาขา สิงคโปร์</t>
  </si>
  <si>
    <t>0060944</t>
  </si>
  <si>
    <t>ธ. กรุงไทย จำกัด (มหาชน) สาขา เคย์แมน</t>
  </si>
  <si>
    <t>0060945</t>
  </si>
  <si>
    <t>ธ. กรุงไทย จำกัด (มหาชน) สาขา นครหลวงเวียงจันทน์</t>
  </si>
  <si>
    <t>0060946</t>
  </si>
  <si>
    <t>ธ. กรุงไทย จำกัด (มหาชน) สาขา สำนักงานผู้แทนนครโฮจิมินห์</t>
  </si>
  <si>
    <t>0060947</t>
  </si>
  <si>
    <t>ธ. กรุงไทย จำกัด (มหาชน) สาขา คุนหมิง</t>
  </si>
  <si>
    <t>0060948</t>
  </si>
  <si>
    <t>ธ. กรุงไทย จำกัด (มหาชน) สาขา สำนักงานผู้แทนกรุงฮานอย</t>
  </si>
  <si>
    <t>0060949</t>
  </si>
  <si>
    <t>ธ. กรุงไทย จำกัด (มหาชน) สาขา ย่อย ตลาดพาเจริญ แม่สอด</t>
  </si>
  <si>
    <t>0060950</t>
  </si>
  <si>
    <t>ธ. กรุงไทย จำกัด (มหาชน) สาขา บิ๊กซี อุดรธานี</t>
  </si>
  <si>
    <t>0060951</t>
  </si>
  <si>
    <t>ธ. กรุงไทย จำกัด (มหาชน) สาขา  โรงพยาบาลเจริญกรุงประชารักษ์</t>
  </si>
  <si>
    <t>0060952</t>
  </si>
  <si>
    <t>ธ. กรุงไทย จำกัด (มหาชน) สาขา เทสโก้โลตัส ทุ่งสง</t>
  </si>
  <si>
    <t>0060953</t>
  </si>
  <si>
    <t>ธ. กรุงไทย จำกัด (มหาชน) สาขา บิ๊กซีวารินชำราบ</t>
  </si>
  <si>
    <t>0060954</t>
  </si>
  <si>
    <t>ธ. กรุงไทย จำกัด (มหาชน) สาขา บิ๊กซี มหาสารคาม</t>
  </si>
  <si>
    <t>0060955</t>
  </si>
  <si>
    <t>ธ. กรุงไทย จำกัด (มหาชน) สาขา ศูนย์ราชการเฉลิมพระเกียรติแจ้งวัฒนะ</t>
  </si>
  <si>
    <t>0060956</t>
  </si>
  <si>
    <t>ธ. กรุงไทย จำกัด (มหาชน) สาขา เทสโก้โลตัส ปราณบุรี</t>
  </si>
  <si>
    <t>0060957</t>
  </si>
  <si>
    <t>ธ. กรุงไทย จำกัด (มหาชน) สาขา เทสโก้โลตัสพัทลุง</t>
  </si>
  <si>
    <t>0060958</t>
  </si>
  <si>
    <t>ธ. กรุงไทย จำกัด (มหาชน) สาขา  เทสโก้โลตัส ราไวย์ ภูเก็ต</t>
  </si>
  <si>
    <t>0060959</t>
  </si>
  <si>
    <t>ธ. กรุงไทย จำกัด (มหาชน) สาขา มหาวิทยาลัยมหิดลศาลายา</t>
  </si>
  <si>
    <t>0060960</t>
  </si>
  <si>
    <t>ธ. กรุงไทย จำกัด (มหาชน) สาขา  ตลาดผาสุก กาญจนบุรี</t>
  </si>
  <si>
    <t>0060961</t>
  </si>
  <si>
    <t>ธ. กรุงไทย จำกัด (มหาชน) สาขา ราษฎร์อุทิศ</t>
  </si>
  <si>
    <t>0060962</t>
  </si>
  <si>
    <t>ธ. กรุงไทย จำกัด (มหาชน) สาขา  เซ็นทรัลพลาซ่า แจ้งวัฒนะ</t>
  </si>
  <si>
    <t>0060963</t>
  </si>
  <si>
    <t>ธ. กรุงไทย จำกัด (มหาชน) สาขา  เทสโก้โลตัส เพชรบูรณ์</t>
  </si>
  <si>
    <t>0060964</t>
  </si>
  <si>
    <t>ธ. กรุงไทย จำกัด (มหาชน) สาขา บิ๊กซี อยุธยา</t>
  </si>
  <si>
    <t>0060965</t>
  </si>
  <si>
    <t>ธ. กรุงไทย จำกัด (มหาชน) สาขา  ตลาดพาเจริญ แม่สอด</t>
  </si>
  <si>
    <t>0060966</t>
  </si>
  <si>
    <t>ธ. กรุงไทย จำกัด (มหาชน) สาขา  บิ๊กซี เพชรเกษม 2</t>
  </si>
  <si>
    <t>0060967</t>
  </si>
  <si>
    <t>ธ. กรุงไทย จำกัด (มหาชน) สาขา โบ๊เบ๊</t>
  </si>
  <si>
    <t>0060968</t>
  </si>
  <si>
    <t>ธ. กรุงไทย จำกัด (มหาชน) สาขา  อาคาร ซิลลิค เฮ้าส์</t>
  </si>
  <si>
    <t>0060969</t>
  </si>
  <si>
    <t>ธ. กรุงไทย จำกัด (มหาชน) สาขา  อ่าวนาง 2</t>
  </si>
  <si>
    <t>0060970</t>
  </si>
  <si>
    <t>ธ. กรุงไทย จำกัด (มหาชน) สาขา  ร้านสหกรณ์ กรุงเทพ (เอกมัย)</t>
  </si>
  <si>
    <t>0060971</t>
  </si>
  <si>
    <t>ธ. กรุงไทย จำกัด (มหาชน) สาขา  กสท บางรัก</t>
  </si>
  <si>
    <t>0060972</t>
  </si>
  <si>
    <t>ธ. กรุงไทย จำกัด (มหาชน) สาขา  อาคาร บสก.</t>
  </si>
  <si>
    <t>0060973</t>
  </si>
  <si>
    <t>ธ. กรุงไทย จำกัด (มหาชน) สาขา เกาะลันตา</t>
  </si>
  <si>
    <t>0060974</t>
  </si>
  <si>
    <t>ธ. กรุงไทย จำกัด (มหาชน) สาขา  บิ๊กซี รังสิตคลอง 6</t>
  </si>
  <si>
    <t>0060975</t>
  </si>
  <si>
    <t>ธ. กรุงไทย จำกัด (มหาชน) สาขา  ศูนย์ราชการฯ แจ้งวัฒนะ (อาคาร เอ)</t>
  </si>
  <si>
    <t>0060976</t>
  </si>
  <si>
    <t>ธ. กรุงไทย จำกัด (มหาชน) สาขา  ตลาดยิ่งเจริญ</t>
  </si>
  <si>
    <t>0060977</t>
  </si>
  <si>
    <t>ธ. กรุงไทย จำกัด (มหาชน) สาขา  เทสโก้โลตัส สิงห์บุรี</t>
  </si>
  <si>
    <t>0060978</t>
  </si>
  <si>
    <t>ธ. กรุงไทย จำกัด (มหาชน) สาขา เซ็นทรัลมารีนา พัทยา</t>
  </si>
  <si>
    <t>0060979</t>
  </si>
  <si>
    <t>ธ. กรุงไทย จำกัด (มหาชน) สาขา โอเชี่ยนช้อปปิ้งมอลล์ ชุมพร</t>
  </si>
  <si>
    <t>0060980</t>
  </si>
  <si>
    <t>0060981</t>
  </si>
  <si>
    <t>0060982</t>
  </si>
  <si>
    <t>0060983</t>
  </si>
  <si>
    <t>0060984</t>
  </si>
  <si>
    <t>0060985</t>
  </si>
  <si>
    <t>0060986</t>
  </si>
  <si>
    <t>0060989</t>
  </si>
  <si>
    <t>0060995</t>
  </si>
  <si>
    <t>0060999</t>
  </si>
  <si>
    <t>0061000</t>
  </si>
  <si>
    <t>ธ. กรุงไทย จำกัด (มหาชน) สาขา  อาคารพี.เอส.ทาวเวอร์ (อโศก)</t>
  </si>
  <si>
    <t>0061001</t>
  </si>
  <si>
    <t>ธ. กรุงไทย จำกัด (มหาชน) สาขา บิ๊กซี สุราษฎร์ธานี</t>
  </si>
  <si>
    <t>0061002</t>
  </si>
  <si>
    <t>ธ. กรุงไทย จำกัด (มหาชน) สาขา  บิ๊กซี เกาะสมุย</t>
  </si>
  <si>
    <t>0061003</t>
  </si>
  <si>
    <t>ธ. กรุงไทย จำกัด (มหาชน) สาขา เดอะคริสตัล ราชพฤกษ์</t>
  </si>
  <si>
    <t>0061004</t>
  </si>
  <si>
    <t>ธ. กรุงไทย จำกัด (มหาชน) สาขา  ศรีประจันต์</t>
  </si>
  <si>
    <t>0061005</t>
  </si>
  <si>
    <t>ธ. กรุงไทย จำกัด (มหาชน) สาขา  บิ๊กซี บางปะกอก</t>
  </si>
  <si>
    <t>0061006</t>
  </si>
  <si>
    <t>ธ. กรุงไทย จำกัด (มหาชน) สาขา เอไอเอ แคปปิตอล เซ็นเตอร์</t>
  </si>
  <si>
    <t>0061007</t>
  </si>
  <si>
    <t>ธ. กรุงไทย จำกัด (มหาชน) สาขา  บิ๊กซี ลำลูกกา (คลอง 5)</t>
  </si>
  <si>
    <t>0061008</t>
  </si>
  <si>
    <t>ธ. กรุงไทย จำกัด (มหาชน) สาขา เขาตาโล (พัทยา ซอย 83)</t>
  </si>
  <si>
    <t>0061009</t>
  </si>
  <si>
    <t>ธ. กรุงไทย จำกัด (มหาชน) สาขา  เทสโก้โลตัส บางแค</t>
  </si>
  <si>
    <t>0061010</t>
  </si>
  <si>
    <t>ธ. กรุงไทย จำกัด (มหาชน) สาขา  บิ๊กซี ปราจีนบุรี</t>
  </si>
  <si>
    <t>0061011</t>
  </si>
  <si>
    <t>ธ. กรุงไทย จำกัด (มหาชน) สาขา  ปตท.เขาทอง (นครสวรรค์)</t>
  </si>
  <si>
    <t>0061012</t>
  </si>
  <si>
    <t>ธ. กรุงไทย จำกัด (มหาชน) สาขา  ไปรษณีย์ไทย</t>
  </si>
  <si>
    <t>0061013</t>
  </si>
  <si>
    <t>ธ. กรุงไทย จำกัด (มหาชน) สาขา  ตลาดพูนทรัพย์</t>
  </si>
  <si>
    <t>0061014</t>
  </si>
  <si>
    <t>ธ. กรุงไทย จำกัด (มหาชน) สาขา เซ็นทรัลเฟสติวัล พัทยาบีช</t>
  </si>
  <si>
    <t>0061015</t>
  </si>
  <si>
    <t>ธ. กรุงไทย จำกัด (มหาชน) สาขา เทสโก้โลตัส ศรีนครินทร์</t>
  </si>
  <si>
    <t>0061016</t>
  </si>
  <si>
    <t>ธ. กรุงไทย จำกัด (มหาชน) สาขา ตลาดย่านยาว</t>
  </si>
  <si>
    <t>0061017</t>
  </si>
  <si>
    <t>ธ. กรุงไทย จำกัด (มหาชน) สาขา  นิคมอุตสาหกรรมโรจนะ</t>
  </si>
  <si>
    <t>0061018</t>
  </si>
  <si>
    <t>ธ. กรุงไทย จำกัด (มหาชน) สาขา  บิ๊กซี หางดง 2</t>
  </si>
  <si>
    <t>0061019</t>
  </si>
  <si>
    <t>ธ. กรุงไทย จำกัด (มหาชน) สาขา  บิ๊กซี ศรีสะเกษ</t>
  </si>
  <si>
    <t>0061020</t>
  </si>
  <si>
    <t>ธ. กรุงไทย จำกัด (มหาชน) สาขา  กรมโรงงานอุตสาหกรรม</t>
  </si>
  <si>
    <t>0061021</t>
  </si>
  <si>
    <t>ธ. กรุงไทย จำกัด (มหาชน) สาขา  ศูนย์ราชการจังหวัดเชียงใหม่</t>
  </si>
  <si>
    <t>0061022</t>
  </si>
  <si>
    <t>ธ. กรุงไทย จำกัด (มหาชน) สาขา  กระทรวงกลาโหม</t>
  </si>
  <si>
    <t>0061023</t>
  </si>
  <si>
    <t>ธ. กรุงไทย จำกัด (มหาชน) สาขา เซ็นทรัลพลาซ่า ชลบุรี</t>
  </si>
  <si>
    <t>0061024</t>
  </si>
  <si>
    <t>ธ. กรุงไทย จำกัด (มหาชน) สาขา บรมไตรโลกนารถ</t>
  </si>
  <si>
    <t>0061025</t>
  </si>
  <si>
    <t>ธ. กรุงไทย จำกัด (มหาชน) สาขา  ปัญญาวิลเลจ รามอินทรา</t>
  </si>
  <si>
    <t>0061026</t>
  </si>
  <si>
    <t>ธ. กรุงไทย จำกัด (มหาชน) สาขา โรงพยาบาลสงขลา</t>
  </si>
  <si>
    <t>0061027</t>
  </si>
  <si>
    <t>ธ. กรุงไทย จำกัด (มหาชน) สาขา รังสิต-นครนายก คลอง 3</t>
  </si>
  <si>
    <t>0061028</t>
  </si>
  <si>
    <t>ธ. กรุงไทย จำกัด (มหาชน) สาขา  พุทธมณฑล สาย 4</t>
  </si>
  <si>
    <t>0061029</t>
  </si>
  <si>
    <t>ธ. กรุงไทย จำกัด (มหาชน) สาขา ตลาดท่าอิฐ</t>
  </si>
  <si>
    <t>0061030</t>
  </si>
  <si>
    <t>ธ. กรุงไทย จำกัด (มหาชน) สาขา  ตลาดน้ำดำเนินสะดวก</t>
  </si>
  <si>
    <t>0061031</t>
  </si>
  <si>
    <t>ธ. กรุงไทย จำกัด (มหาชน) สาขา  วงเวียนน้ำพุ (สุรินทร์)</t>
  </si>
  <si>
    <t>0061032</t>
  </si>
  <si>
    <t>ธ. กรุงไทย จำกัด (มหาชน) สาขา  บิ๊กซี บางนา</t>
  </si>
  <si>
    <t>0061033</t>
  </si>
  <si>
    <t>ธ. กรุงไทย จำกัด (มหาชน) สาขา บิ๊กซี พระราม 4</t>
  </si>
  <si>
    <t>0061034</t>
  </si>
  <si>
    <t>ธ. กรุงไทย จำกัด (มหาชน) สาขา โพนพิสัย</t>
  </si>
  <si>
    <t>0061035</t>
  </si>
  <si>
    <t>ธ. กรุงไทย จำกัด (มหาชน) สาขา บิ๊กซี พิษณุโลก</t>
  </si>
  <si>
    <t>0061036</t>
  </si>
  <si>
    <t>ธ. กรุงไทย จำกัด (มหาชน) สาขา  เทสโก้โลตัส ลำลูกกา (คลอง 2)</t>
  </si>
  <si>
    <t>0061037</t>
  </si>
  <si>
    <t>ธ. กรุงไทย จำกัด (มหาชน) สาขา  สำนักงาน คปภ.(ถนนรัชดาภิเษก)</t>
  </si>
  <si>
    <t>0061038</t>
  </si>
  <si>
    <t>ธ. กรุงไทย จำกัด (มหาชน) สาขา  โรงพยาบาลศรีสะเกษ</t>
  </si>
  <si>
    <t>0061039</t>
  </si>
  <si>
    <t>ธ. กรุงไทย จำกัด (มหาชน) สาขา  ศาลากลางจังหวัดอุดรธานี</t>
  </si>
  <si>
    <t>0061040</t>
  </si>
  <si>
    <t>ธ. กรุงไทย จำกัด (มหาชน) สาขา  ท่าขอนยาง มหาสารคาม</t>
  </si>
  <si>
    <t>0061041</t>
  </si>
  <si>
    <t>ธ. กรุงไทย จำกัด (มหาชน) สาขามหาวิทยาลัยเกษตรศาสตร์ บางเขน</t>
  </si>
  <si>
    <t>0061042</t>
  </si>
  <si>
    <t>ธ. กรุงไทย จำกัด (มหาชน) สาขา โรงพยาบาลพระปกเกล้า จังหวัดจันทบุรี</t>
  </si>
  <si>
    <t>0061043</t>
  </si>
  <si>
    <t>ธ. กรุงไทย จำกัด (มหาชน) สาขา  เทสโก้โลตัส อมตะนคร</t>
  </si>
  <si>
    <t>0061044</t>
  </si>
  <si>
    <t>ธ. กรุงไทย จำกัด (มหาชน) สาขา  มหาวิทยาลัยราชภัฏนครสวรรค์</t>
  </si>
  <si>
    <t>0061045</t>
  </si>
  <si>
    <t>ธ. กรุงไทย จำกัด (มหาชน) สาขา  ตลาดศรีเมือง (ราชบุรี)</t>
  </si>
  <si>
    <t>0061046</t>
  </si>
  <si>
    <t>ธ. กรุงไทย จำกัด (มหาชน) สาขา  ถนนบ้านเก่า-พานทอง</t>
  </si>
  <si>
    <t>0061047</t>
  </si>
  <si>
    <t>ธ. กรุงไทย จำกัด (มหาชน) สาขา มหาวิทยาลัยเทคโนโลยีราชมงคลศรีวิชัย</t>
  </si>
  <si>
    <t>0061048</t>
  </si>
  <si>
    <t>ธ. กรุงไทย จำกัด (มหาชน) สาขา  ถนนราเมศวร์</t>
  </si>
  <si>
    <t>0061049</t>
  </si>
  <si>
    <t>ธ. กรุงไทย จำกัด (มหาชน) สาขา  เทสโก้โลตัส นาดี อุดรธานี</t>
  </si>
  <si>
    <t>0061050</t>
  </si>
  <si>
    <t>ธ. กรุงไทย จำกัด (มหาชน) สาขา บ้านนาสาร</t>
  </si>
  <si>
    <t>0061051</t>
  </si>
  <si>
    <t>ธ. กรุงไทย จำกัด (มหาชน) สาขา  มหาวิทยาลัยราชภัฏวไลยอลงกรณ์</t>
  </si>
  <si>
    <t>0061052</t>
  </si>
  <si>
    <t>ธ. กรุงไทย จำกัด (มหาชน) สาขา  วิภาวดีรังสิต 2 (หอการค้าไทย)</t>
  </si>
  <si>
    <t>0061053</t>
  </si>
  <si>
    <t>ธ. กรุงไทย จำกัด (มหาชน) สาขา นากลาง</t>
  </si>
  <si>
    <t>0061054</t>
  </si>
  <si>
    <t>ธ. กรุงไทย จำกัด (มหาชน) สาขา เวียงสา</t>
  </si>
  <si>
    <t>0061055</t>
  </si>
  <si>
    <t>ธ. กรุงไทย จำกัด (มหาชน) สาขา เซ็นทรัลพลาซา ขอนแก่น</t>
  </si>
  <si>
    <t>0061056</t>
  </si>
  <si>
    <t>ธ. กรุงไทย จำกัด (มหาชน) สาขา  เอนเนอร์ยี่ คอมเพล็กซ์</t>
  </si>
  <si>
    <t>0061057</t>
  </si>
  <si>
    <t>ธ. กรุงไทย จำกัด (มหาชน) สาขา นาเชือก</t>
  </si>
  <si>
    <t>0061058</t>
  </si>
  <si>
    <t>ธ. กรุงไทย จำกัด (มหาชน) สาขา  บางพระ</t>
  </si>
  <si>
    <t>0061059</t>
  </si>
  <si>
    <t>ธ. กรุงไทย จำกัด (มหาชน) สาขา  ตลาดโรงเกลือ</t>
  </si>
  <si>
    <t>0061060</t>
  </si>
  <si>
    <t>ธ. กรุงไทย จำกัด (มหาชน) สาขา มหาวิทยาลัยขอนแก่น</t>
  </si>
  <si>
    <t>0061061</t>
  </si>
  <si>
    <t>ธ. กรุงไทย จำกัด (มหาชน) สาขา สมเด็จ</t>
  </si>
  <si>
    <t>0061062</t>
  </si>
  <si>
    <t>ธ. กรุงไทย จำกัด (มหาชน) สาขา  ห้วยยอด</t>
  </si>
  <si>
    <t>0061063</t>
  </si>
  <si>
    <t>ธ. กรุงไทย จำกัด (มหาชน) สาขา สเปลล์ ฟิวเจอร์พาร์ค รังสิต</t>
  </si>
  <si>
    <t>0061064</t>
  </si>
  <si>
    <t>ธ. กรุงไทย จำกัด (มหาชน) สาขา  ศาลปกครอง</t>
  </si>
  <si>
    <t>0061065</t>
  </si>
  <si>
    <t>ธ. กรุงไทย จำกัด (มหาชน) สาขา  มหาวิทยาลัยราชภัฎอุตรดิตถ์</t>
  </si>
  <si>
    <t>0061066</t>
  </si>
  <si>
    <t>ธ. กรุงไทย จำกัด (มหาชน) สาขา  บิ๊กซี สะพานควาย</t>
  </si>
  <si>
    <t>0061067</t>
  </si>
  <si>
    <t>ธ. กรุงไทย จำกัด (มหาชน) สาขา  บิ๊กซี มหาชัย</t>
  </si>
  <si>
    <t>0061068</t>
  </si>
  <si>
    <t>ธ. กรุงไทย จำกัด (มหาชน) สาขา ปทุมราชวงศา</t>
  </si>
  <si>
    <t>0061069</t>
  </si>
  <si>
    <t>ธ. กรุงไทย จำกัด (มหาชน) สาขา เทสโก้โลตัส สตูล</t>
  </si>
  <si>
    <t>0061070</t>
  </si>
  <si>
    <t>ธ. กรุงไทย จำกัด (มหาชน) สาขา  ห้วยสะท้อน</t>
  </si>
  <si>
    <t>0061071</t>
  </si>
  <si>
    <t>ธ. กรุงไทย จำกัด (มหาชน) สาขา  พุทธมณฑล สาย 2</t>
  </si>
  <si>
    <t>0061072</t>
  </si>
  <si>
    <t>ธ. กรุงไทย จำกัด (มหาชน) สาขา ซีคอนสแควร์</t>
  </si>
  <si>
    <t>0061073</t>
  </si>
  <si>
    <t>ธ. กรุงไทย จำกัด (มหาชน) สาขา ท่าตะโก</t>
  </si>
  <si>
    <t>0061074</t>
  </si>
  <si>
    <t>ธ. กรุงไทย จำกัด (มหาชน) สาขา  ยูดี ทาวน์</t>
  </si>
  <si>
    <t>0061075</t>
  </si>
  <si>
    <t>ธ. กรุงไทย จำกัด (มหาชน) สาขา  ตลาดเซฟวัน</t>
  </si>
  <si>
    <t>0061076</t>
  </si>
  <si>
    <t>ธ. กรุงไทย จำกัด (มหาชน) สาขา  ละงู</t>
  </si>
  <si>
    <t>0061077</t>
  </si>
  <si>
    <t>ธ. กรุงไทย จำกัด (มหาชน) สาขา  โรงพยาบาลพระนครศรีอยุธยา</t>
  </si>
  <si>
    <t>0061078</t>
  </si>
  <si>
    <t>ธ. กรุงไทย จำกัด (มหาชน) สาขา ชุมชนอ่างน้ำ (หัวหิน)</t>
  </si>
  <si>
    <t>0061079</t>
  </si>
  <si>
    <t>ธ. กรุงไทย จำกัด (มหาชน) สาขา ทุ่งสร้าง</t>
  </si>
  <si>
    <t>0061080</t>
  </si>
  <si>
    <t>ธ. กรุงไทย จำกัด (มหาชน) สาขา  เจ.เจ.มอลล์ (จตุจักร)</t>
  </si>
  <si>
    <t>0061081</t>
  </si>
  <si>
    <t>ธ. กรุงไทย จำกัด (มหาชน) สาขา เทสโก้โลตัส วังหิน</t>
  </si>
  <si>
    <t>0061082</t>
  </si>
  <si>
    <t>ธ. กรุงไทย จำกัด (มหาชน) สาขา  ห้าแยกฉลอง</t>
  </si>
  <si>
    <t>0061083</t>
  </si>
  <si>
    <t>ธ. กรุงไทย จำกัด (มหาชน) สาขา  เชิงทะเล</t>
  </si>
  <si>
    <t>0061084</t>
  </si>
  <si>
    <t>ธ. กรุงไทย จำกัด (มหาชน) สาขา ถนนชนเกษม</t>
  </si>
  <si>
    <t>0061085</t>
  </si>
  <si>
    <t>ธ. กรุงไทย จำกัด (มหาชน) สาขา ควนขนุน</t>
  </si>
  <si>
    <t>0061086</t>
  </si>
  <si>
    <t>ธ. กรุงไทย จำกัด (มหาชน) สาขา ม.ศรีนครินทรวิโรฒประสานมิตร</t>
  </si>
  <si>
    <t>0061087</t>
  </si>
  <si>
    <t>ธ. กรุงไทย จำกัด (มหาชน) สาขา  ศาลากลางจังหวัดชลบุรี</t>
  </si>
  <si>
    <t>0061088</t>
  </si>
  <si>
    <t>ธ. กรุงไทย จำกัด (มหาชน) สาขา  บิ๊กซี นครราชสีมา</t>
  </si>
  <si>
    <t>0061089</t>
  </si>
  <si>
    <t>ธ. กรุงไทย จำกัด (มหาชน) สาขา บางแสน</t>
  </si>
  <si>
    <t>0061090</t>
  </si>
  <si>
    <t>ธ. กรุงไทย จำกัด (มหาชน) สาขา  คู้บอน 5</t>
  </si>
  <si>
    <t>0061091</t>
  </si>
  <si>
    <t>ธ. กรุงไทย จำกัด (มหาชน) สาขา  ปลวกแดง</t>
  </si>
  <si>
    <t>0061092</t>
  </si>
  <si>
    <t>ธ. กรุงไทย จำกัด (มหาชน) สาขา  ศาลากลางจังหวัดขอนแก่น</t>
  </si>
  <si>
    <t>0061093</t>
  </si>
  <si>
    <t>ธ. กรุงไทย จำกัด (มหาชน) สาขา  ม.ศิลปากร วิทยาเขตสารสนเทศเพชรบุรี</t>
  </si>
  <si>
    <t>0061094</t>
  </si>
  <si>
    <t>ธ. กรุงไทย จำกัด (มหาชน) สาขา  บิ๊กซี ชุมพร</t>
  </si>
  <si>
    <t>0061095</t>
  </si>
  <si>
    <t>ธ. กรุงไทย จำกัด (มหาชน) สาขา  สูงเม่น</t>
  </si>
  <si>
    <t>0061096</t>
  </si>
  <si>
    <t>ธ. กรุงไทย จำกัด (มหาชน) สาขา  เด่นห้า (เชียงราย)</t>
  </si>
  <si>
    <t>0061097</t>
  </si>
  <si>
    <t>ธ. กรุงไทย จำกัด (มหาชน) สาขา  บิ๊กซี ประชาอุทิศ</t>
  </si>
  <si>
    <t>0061098</t>
  </si>
  <si>
    <t>ธ. กรุงไทย จำกัด (มหาชน) สาขา ศูนย์ราชการจังหวัดพะเยา</t>
  </si>
  <si>
    <t>0061099</t>
  </si>
  <si>
    <t>ธ. กรุงไทย จำกัด (มหาชน) สาขา แม็กซ์แวลู นวมินทร์</t>
  </si>
  <si>
    <t>0061100</t>
  </si>
  <si>
    <t>ธ. กรุงไทย จำกัด (มหาชน) สาขา ศาลากลางจังหวัดสุราษฎร์ธานี</t>
  </si>
  <si>
    <t>0061101</t>
  </si>
  <si>
    <t>ธ. กรุงไทย จำกัด (มหาชน) สาขา กรมสอบสวนคดีพิเศษ (DSI)</t>
  </si>
  <si>
    <t>0061102</t>
  </si>
  <si>
    <t>ธ. กรุงไทย จำกัด (มหาชน) สาขา  ปตท.วัดป่าเลไลยก์</t>
  </si>
  <si>
    <t>0061103</t>
  </si>
  <si>
    <t>ธ. กรุงไทย จำกัด (มหาชน) สาขา  ศูนย์ราชการจังหวัดหนองคาย</t>
  </si>
  <si>
    <t>0061104</t>
  </si>
  <si>
    <t>ธ. กรุงไทย จำกัด (มหาชน) สาขา สัมมากร เพลส รามคำแหง 110</t>
  </si>
  <si>
    <t>0061105</t>
  </si>
  <si>
    <t>ธ. กรุงไทย จำกัด (มหาชน) สาขา  มหาวิทยาลัยเทคโนโลยีสุรนารี</t>
  </si>
  <si>
    <t>0061106</t>
  </si>
  <si>
    <t>ธ. กรุงไทย จำกัด (มหาชน) สาขา  อาคารสยามกิตติ์</t>
  </si>
  <si>
    <t>0061107</t>
  </si>
  <si>
    <t>ธ. กรุงไทย จำกัด (มหาชน) สาขา  กรมการขนส่งทางบก</t>
  </si>
  <si>
    <t>0061108</t>
  </si>
  <si>
    <t>ธ. กรุงไทย จำกัด (มหาชน) สาขา  โรงพยาบาลตำรวจ</t>
  </si>
  <si>
    <t>0061109</t>
  </si>
  <si>
    <t>ธ. กรุงไทย จำกัด (มหาชน) สาขา  เนินพลับหวาน (พัทยาซอย 53)</t>
  </si>
  <si>
    <t>0061110</t>
  </si>
  <si>
    <t>ธ. กรุงไทย จำกัด (มหาชน) สาขา  ถนนสวนผัก (ตลาดกรุงนนท์)</t>
  </si>
  <si>
    <t>0061111</t>
  </si>
  <si>
    <t>ธ. กรุงไทย จำกัด (มหาชน) สาขา  ศาลากลางจังหวัดเชียงราย</t>
  </si>
  <si>
    <t>0061112</t>
  </si>
  <si>
    <t>ธ. กรุงไทย จำกัด (มหาชน) สาขา  โรงพยาบาลมหาราชนครราชสีมา</t>
  </si>
  <si>
    <t>0061113</t>
  </si>
  <si>
    <t>ธ. กรุงไทย จำกัด (มหาชน) สาขา  น้ำพอง</t>
  </si>
  <si>
    <t>0061114</t>
  </si>
  <si>
    <t>ธ. กรุงไทย จำกัด (มหาชน) สาขา  บิ๊กซี อ่อนนุช</t>
  </si>
  <si>
    <t>0061115</t>
  </si>
  <si>
    <t>ธ. กรุงไทย จำกัด (มหาชน) สาขา  ศาลากลางจังหวัดฉะเชิงเทรา</t>
  </si>
  <si>
    <t>0061116</t>
  </si>
  <si>
    <t>ธ. กรุงไทย จำกัด (มหาชน) สาขา  ศาลากลางจังหวัดสระบุรี</t>
  </si>
  <si>
    <t>0061117</t>
  </si>
  <si>
    <t>ธ. กรุงไทย จำกัด (มหาชน) สาขา  ศูนย์ราชการจังหวัดหนองบัวลำภู</t>
  </si>
  <si>
    <t>0061118</t>
  </si>
  <si>
    <t>ธ. กรุงไทย จำกัด (มหาชน) สาขา เทสโก้โลตัส หาดใหญ่</t>
  </si>
  <si>
    <t>0061119</t>
  </si>
  <si>
    <t>ธ. กรุงไทย จำกัด (มหาชน) สาขา  โพนทอง</t>
  </si>
  <si>
    <t>0061120</t>
  </si>
  <si>
    <t>ธ. กรุงไทย จำกัด (มหาชน) สาขา  ศาลากลางจังหวัดอำนาจเจริญ</t>
  </si>
  <si>
    <t>0061121</t>
  </si>
  <si>
    <t>ธ. กรุงไทย จำกัด (มหาชน) สาขา  ศาลากลางจังหวัดยโสธร</t>
  </si>
  <si>
    <t>0061122</t>
  </si>
  <si>
    <t>ธ. กรุงไทย จำกัด (มหาชน) สาขา  มีโชคพลาซ่า (เชียงใหม่)</t>
  </si>
  <si>
    <t>0061123</t>
  </si>
  <si>
    <t>ธ. กรุงไทย จำกัด (มหาชน) สาขา โรบินสัน ลพบุรี</t>
  </si>
  <si>
    <t>0061124</t>
  </si>
  <si>
    <t>ธ. กรุงไทย จำกัด (มหาชน) สาขา  คลองหลวง</t>
  </si>
  <si>
    <t>0061125</t>
  </si>
  <si>
    <t>ธ. กรุงไทย จำกัด (มหาชน) สาขา  บิ๊กซี แจ้งวัฒนะ</t>
  </si>
  <si>
    <t>0061126</t>
  </si>
  <si>
    <t>ธ. กรุงไทย จำกัด (มหาชน) สาขา  เทสโก้โลตัส พิษณุโลก</t>
  </si>
  <si>
    <t>0061127</t>
  </si>
  <si>
    <t>ธ. กรุงไทย จำกัด (มหาชน) สาขา  มหาวิทยาลัยราชภัฏนครปฐม</t>
  </si>
  <si>
    <t>0061128</t>
  </si>
  <si>
    <t>ธ. กรุงไทย จำกัด (มหาชน) สาขา  สวนจตุจักร</t>
  </si>
  <si>
    <t>0061129</t>
  </si>
  <si>
    <t>ธ. กรุงไทย จำกัด (มหาชน) สาขา  ศาลากลางจังหวัดพิษณุโลก</t>
  </si>
  <si>
    <t>0061130</t>
  </si>
  <si>
    <t>ธ. กรุงไทย จำกัด (มหาชน) สาขา  วิภาวดี-รังสิต 64</t>
  </si>
  <si>
    <t>0061131</t>
  </si>
  <si>
    <t>ธ. กรุงไทย จำกัด (มหาชน) สาขา  พหลโยธิน 62/1</t>
  </si>
  <si>
    <t>0061132</t>
  </si>
  <si>
    <t>ธ. กรุงไทย จำกัด (มหาชน) สาขา  กองทัพเรือวังนันทอุทยาน</t>
  </si>
  <si>
    <t>0061133</t>
  </si>
  <si>
    <t>ธ. กรุงไทย จำกัด (มหาชน) สาขา  คริสตัล ดีไซน์ เซ็นเตอร์</t>
  </si>
  <si>
    <t>0061134</t>
  </si>
  <si>
    <t>ธ. กรุงไทย จำกัด (มหาชน) สาขา  ตลาดใหม่ดอนเมือง</t>
  </si>
  <si>
    <t>0061135</t>
  </si>
  <si>
    <t>ธ. กรุงไทย จำกัด (มหาชน) สาขา โรงพยาบาลพุทธชินราชพิษณุโลก</t>
  </si>
  <si>
    <t>0061136</t>
  </si>
  <si>
    <t>ธ. กรุงไทย จำกัด (มหาชน) สาขา  ถนนสามเสน (วชิรพยาบาล)</t>
  </si>
  <si>
    <t>0061137</t>
  </si>
  <si>
    <t>ธ. กรุงไทย จำกัด (มหาชน) สาขา เทสโก้โลตัส รัตนาธิเบศร์</t>
  </si>
  <si>
    <t>0061138</t>
  </si>
  <si>
    <t>ธ. กรุงไทย จำกัด (มหาชน) สาขา  ศาลากลางจังหวัดเพชรบุรี</t>
  </si>
  <si>
    <t>0061139</t>
  </si>
  <si>
    <t>ธ. กรุงไทย จำกัด (มหาชน) สาขา เทสโก้โลตัส ประจวบคีรีขันธ์</t>
  </si>
  <si>
    <t>0061140</t>
  </si>
  <si>
    <t>ธ. กรุงไทย จำกัด (มหาชน) สาขา  เทสโก้โลตัส ชุมแพ</t>
  </si>
  <si>
    <t>0061141</t>
  </si>
  <si>
    <t>ธ. กรุงไทย จำกัด (มหาชน) สาขา เซ็นทรัลพลาซ่า เชียงราย</t>
  </si>
  <si>
    <t>0061142</t>
  </si>
  <si>
    <t>ธ. กรุงไทย จำกัด (มหาชน) สาขา  หอนาฬิกา (นครศรีธรรมราช)</t>
  </si>
  <si>
    <t>0061143</t>
  </si>
  <si>
    <t>ธ. กรุงไทย จำกัด (มหาชน) สาขา  บางรักษ์สมุย</t>
  </si>
  <si>
    <t>0061144</t>
  </si>
  <si>
    <t>ธ. กรุงไทย จำกัด (มหาชน) สาขา อาคารสำนักงานใหญ่2(สุขุมวิทซอย2)</t>
  </si>
  <si>
    <t>0061145</t>
  </si>
  <si>
    <t>ธ. กรุงไทย จำกัด (มหาชน) สาขา  ศูนย์ราชการจังหวัดพระนครศรีอยุธยา</t>
  </si>
  <si>
    <t>0061146</t>
  </si>
  <si>
    <t>ธ. กรุงไทย จำกัด (มหาชน) สาขา ถนนบางขุนเทียน-ชายทะเล</t>
  </si>
  <si>
    <t>0061147</t>
  </si>
  <si>
    <t>ธ. กรุงไทย จำกัด (มหาชน) สาขา บางปลา</t>
  </si>
  <si>
    <t>0061148</t>
  </si>
  <si>
    <t>ธ. กรุงไทย จำกัด (มหาชน) สาขา  ถนนเทพประสิทธิ์ (พัทยา)</t>
  </si>
  <si>
    <t>0061149</t>
  </si>
  <si>
    <t>ธ. กรุงไทย จำกัด (มหาชน) สาขา แพชชั่น ช้อปปิ้ง เดสติเนชั่น</t>
  </si>
  <si>
    <t>0061150</t>
  </si>
  <si>
    <t>ธ. กรุงไทย จำกัด (มหาชน) สาขา พหลโยธิน 40</t>
  </si>
  <si>
    <t>0061151</t>
  </si>
  <si>
    <t>ธ. กรุงไทย จำกัด (มหาชน) สาขา  เทสโก้โลตัส พระราม 1</t>
  </si>
  <si>
    <t>0061152</t>
  </si>
  <si>
    <t>ธ. กรุงไทย จำกัด (มหาชน) สาขา บิ๊กซี สายไหม</t>
  </si>
  <si>
    <t>0061153</t>
  </si>
  <si>
    <t>ธ. กรุงไทย จำกัด (มหาชน) สาขา  ศาลากลางจังหวัดเลย</t>
  </si>
  <si>
    <t>0061154</t>
  </si>
  <si>
    <t>ธ. กรุงไทย จำกัด (มหาชน) สาขา  ชินเขต ซอย 2/42</t>
  </si>
  <si>
    <t>0061155</t>
  </si>
  <si>
    <t>ธ. กรุงไทย จำกัด (มหาชน) สาขา สี่แยกบึงกาฬ</t>
  </si>
  <si>
    <t>0061156</t>
  </si>
  <si>
    <t>ธ. กรุงไทย จำกัด (มหาชน) สาขา  ศาลากลางจังหวัดสุโขทัย</t>
  </si>
  <si>
    <t>0061157</t>
  </si>
  <si>
    <t>ธ. กรุงไทย จำกัด (มหาชน) สาขา  ร้านสหกรณ์จังหวัดตราด</t>
  </si>
  <si>
    <t>0061158</t>
  </si>
  <si>
    <t>ธ. กรุงไทย จำกัด (มหาชน) สาขา ถนนวิรัชหงษ์หยก</t>
  </si>
  <si>
    <t>0061159</t>
  </si>
  <si>
    <t>ธ. กรุงไทย จำกัด (มหาชน) สาขา  ศาลากลางจังหวัดกาญจนบุรี</t>
  </si>
  <si>
    <t>0061160</t>
  </si>
  <si>
    <t>ธ. กรุงไทย จำกัด (มหาชน) สาขา เดอะไนน์ ถนนพระราม9</t>
  </si>
  <si>
    <t>0061161</t>
  </si>
  <si>
    <t>ธ. กรุงไทย จำกัด (มหาชน) สาขา  เดอะเซอร์เคิล ราชพฤกษ์</t>
  </si>
  <si>
    <t>0061162</t>
  </si>
  <si>
    <t>ธ. กรุงไทย จำกัด (มหาชน) สาขา  อเวนิว รัชโยธิน</t>
  </si>
  <si>
    <t>0061163</t>
  </si>
  <si>
    <t>ธ. กรุงไทย จำกัด (มหาชน) สาขา  สถาบันโรคผิวหนัง</t>
  </si>
  <si>
    <t>0061164</t>
  </si>
  <si>
    <t>ธ. กรุงไทย จำกัด (มหาชน) สาขา  เมืองพระชนก (อุทัยธานี)</t>
  </si>
  <si>
    <t>0061165</t>
  </si>
  <si>
    <t>ธ. กรุงไทย จำกัด (มหาชน) สาขา  มหาวิทยาลัยภาคตะวันออกเฉียงเหนือ</t>
  </si>
  <si>
    <t>0061166</t>
  </si>
  <si>
    <t>ธ. กรุงไทย จำกัด (มหาชน) สาขา  ศูนย์ราชการจังหวัดกำแพงเพชร</t>
  </si>
  <si>
    <t>0061167</t>
  </si>
  <si>
    <t>ธ. กรุงไทย จำกัด (มหาชน) สาขา  พัฒน์พงศ์</t>
  </si>
  <si>
    <t>0061168</t>
  </si>
  <si>
    <t>ธ. กรุงไทย จำกัด (มหาชน) สาขา พันธุ์ทิพย์ พลาซ่า งามวงศ์วาน</t>
  </si>
  <si>
    <t>0061169</t>
  </si>
  <si>
    <t>ธ. กรุงไทย จำกัด (มหาชน) สาขา  ศาลากลางจังหวัดนครนายก</t>
  </si>
  <si>
    <t>0061170</t>
  </si>
  <si>
    <t>ธ. กรุงไทย จำกัด (มหาชน) สาขา พิมาย</t>
  </si>
  <si>
    <t>0061171</t>
  </si>
  <si>
    <t>ธ. กรุงไทย จำกัด (มหาชน) สาขา  เวียงป่าเป้า</t>
  </si>
  <si>
    <t>0061172</t>
  </si>
  <si>
    <t>ธ. กรุงไทย จำกัด (มหาชน) สาขา  สิชล</t>
  </si>
  <si>
    <t>0061173</t>
  </si>
  <si>
    <t>ธ. กรุงไทย จำกัด (มหาชน) สาขา  นวลจันทร์ 25</t>
  </si>
  <si>
    <t>0061174</t>
  </si>
  <si>
    <t>ธ. กรุงไทย จำกัด (มหาชน) สาขา  สังขละบุรี</t>
  </si>
  <si>
    <t>0061175</t>
  </si>
  <si>
    <t>ธ. กรุงไทย จำกัด (มหาชน) สาขา ปัว</t>
  </si>
  <si>
    <t>0061176</t>
  </si>
  <si>
    <t>ธ. กรุงไทย จำกัด (มหาชน) สาขา  ม.เทคโนโลยีราชมงคลอีสาน นครราชสีมา</t>
  </si>
  <si>
    <t>0061177</t>
  </si>
  <si>
    <t>ธ. กรุงไทย จำกัด (มหาชน) สาขา  ศูนย์ราชการจังหวัดสกลนคร</t>
  </si>
  <si>
    <t>0061178</t>
  </si>
  <si>
    <t>ธ. กรุงไทย จำกัด (มหาชน) สาขา  ยูทาวเวอร์ (ศรีนครินทร์ 13)</t>
  </si>
  <si>
    <t>0061179</t>
  </si>
  <si>
    <t>ธ. กรุงไทย จำกัด (มหาชน) สาขา  ศาลากลางจังหวัดร้อยเอ็ด</t>
  </si>
  <si>
    <t>0061180</t>
  </si>
  <si>
    <t>ธ. กรุงไทย จำกัด (มหาชน) สาขา  ศาลากลางจังหวัดมหาสารคาม</t>
  </si>
  <si>
    <t>0061181</t>
  </si>
  <si>
    <t>ธ. กรุงไทย จำกัด (มหาชน) สาขา  ซิตี้ คอมเพล็กซ์ ประตูน้ำ</t>
  </si>
  <si>
    <t>0061182</t>
  </si>
  <si>
    <t>ธ. กรุงไทย จำกัด (มหาชน) สาขา  ศาลากลางจังหวัดกาฬสินธุ์</t>
  </si>
  <si>
    <t>0061183</t>
  </si>
  <si>
    <t>ธ. กรุงไทย จำกัด (มหาชน) สาขา  เทศบาลนครรังสิต</t>
  </si>
  <si>
    <t>0061184</t>
  </si>
  <si>
    <t>ธ. กรุงไทย จำกัด (มหาชน) สาขา พันท้ายนรสิงห์ (ถนนพระราม 2 กม.17)</t>
  </si>
  <si>
    <t>0061185</t>
  </si>
  <si>
    <t>ธ. กรุงไทย จำกัด (มหาชน) สาขา  เทสโก้โลตัส ตาก</t>
  </si>
  <si>
    <t>0061186</t>
  </si>
  <si>
    <t>ธ. กรุงไทย จำกัด (มหาชน) สาขา  ไอดีโอ มิกซ์ สุขุมวิท 103</t>
  </si>
  <si>
    <t>0061187</t>
  </si>
  <si>
    <t>ธ. กรุงไทย จำกัด (มหาชน) สาขา เซ็นทรัลพลาซ่า พิษณุโลก</t>
  </si>
  <si>
    <t>0061188</t>
  </si>
  <si>
    <t>ธ. กรุงไทย จำกัด (มหาชน) สาขา การกีฬาแห่งประเทศไทย (หัวหมาก)</t>
  </si>
  <si>
    <t>0061189</t>
  </si>
  <si>
    <t>ธ. กรุงไทย จำกัด (มหาชน) สาขา  พาร์ค วิลเลจ พระราม 2</t>
  </si>
  <si>
    <t>0061190</t>
  </si>
  <si>
    <t>ธ. กรุงไทย จำกัด (มหาชน) สาขา  ม.รัตนบัณฑิต (ซอยลาดพร้าว 107)</t>
  </si>
  <si>
    <t>0061191</t>
  </si>
  <si>
    <t>ธ. กรุงไทย จำกัด (มหาชน) สาขา  สยามนครินทร์ คอมเพล็กซ์ (หาดใหญ่)</t>
  </si>
  <si>
    <t>0061192</t>
  </si>
  <si>
    <t>ธ. กรุงไทย จำกัด (มหาชน) สาขา  ศาลากลางจังหวัดนราธิวาส</t>
  </si>
  <si>
    <t>0061193</t>
  </si>
  <si>
    <t>ธ. กรุงไทย จำกัด (มหาชน) สาขา เซ็นทรัลพลาซา แกรนด์ พระราม 9</t>
  </si>
  <si>
    <t>0061194</t>
  </si>
  <si>
    <t>ธ. กรุงไทย จำกัด (มหาชน) สาขา  อาคาร ซี.พี.ทาวเวอร์</t>
  </si>
  <si>
    <t>0061195</t>
  </si>
  <si>
    <t>ธ. กรุงไทย จำกัด (มหาชน) สาขา  ขุขันธ์</t>
  </si>
  <si>
    <t>0061196</t>
  </si>
  <si>
    <t>ธ. กรุงไทย จำกัด (มหาชน) สาขา  เดิมบางนางบวช</t>
  </si>
  <si>
    <t>0061197</t>
  </si>
  <si>
    <t>ธ. กรุงไทย จำกัด (มหาชน) สาขา  หนองตำลึง</t>
  </si>
  <si>
    <t>0061198</t>
  </si>
  <si>
    <t>ธ. กรุงไทย จำกัด (มหาชน) สาขา  ศาลากลางจังหวัดนครพนม</t>
  </si>
  <si>
    <t>0061199</t>
  </si>
  <si>
    <t>ธ. กรุงไทย จำกัด (มหาชน) สาขา  ถนนช้างเผือก (เชียงใหม่)</t>
  </si>
  <si>
    <t>0061200</t>
  </si>
  <si>
    <t>ธ. กรุงไทย จำกัด (มหาชน) สาขา  มหาวิทยาลัยราชภัฎจันทรเกษม</t>
  </si>
  <si>
    <t>0061201</t>
  </si>
  <si>
    <t>ธ. กรุงไทย จำกัด (มหาชน) สาขา  กรมบังคับคดี</t>
  </si>
  <si>
    <t>0061202</t>
  </si>
  <si>
    <t>ธ. กรุงไทย จำกัด (มหาชน) สาขา  อาคารเมืองทอง (เยาวราช)</t>
  </si>
  <si>
    <t>0061203</t>
  </si>
  <si>
    <t>ธ. กรุงไทย จำกัด (มหาชน) สาขา  ตลาดบูรพาบางวัว</t>
  </si>
  <si>
    <t>0061204</t>
  </si>
  <si>
    <t>ธ. กรุงไทย จำกัด (มหาชน) สาขา  โรบินสัน สุพรรณบุรี</t>
  </si>
  <si>
    <t>0061205</t>
  </si>
  <si>
    <t>ธ. กรุงไทย จำกัด (มหาชน) สาขา อาคารเคพีไอ ทาวเวอร์</t>
  </si>
  <si>
    <t>0061206</t>
  </si>
  <si>
    <t>ธ. กรุงไทย จำกัด (มหาชน) สาขา  เทสโก้โลตัส ขอนแก่น 2</t>
  </si>
  <si>
    <t>0061207</t>
  </si>
  <si>
    <t>ธ. กรุงไทย จำกัด (มหาชน) สาขา  เดอะวอล์ค ราชพฤกษ์</t>
  </si>
  <si>
    <t>0061208</t>
  </si>
  <si>
    <t>ธ. กรุงไทย จำกัด (มหาชน) สาขา ศาลากลางจังหวัดอุบลราชธานี</t>
  </si>
  <si>
    <t>0061209</t>
  </si>
  <si>
    <t>ธ. กรุงไทย จำกัด (มหาชน) สาขา  บิ๊กซี กมลา ภูเก็ต</t>
  </si>
  <si>
    <t>0061210</t>
  </si>
  <si>
    <t>ธ. กรุงไทย จำกัด (มหาชน) สาขา  โรงพยาบาลสุราษฎร์ธานี</t>
  </si>
  <si>
    <t>0061211</t>
  </si>
  <si>
    <t>ธ. กรุงไทย จำกัด (มหาชน) สาขา  ไชยา</t>
  </si>
  <si>
    <t>0061212</t>
  </si>
  <si>
    <t>ธ. กรุงไทย จำกัด (มหาชน) สาขา  แก้งคร้อ</t>
  </si>
  <si>
    <t>0061213</t>
  </si>
  <si>
    <t>ธ. กรุงไทย จำกัด (มหาชน) สาขา จัตุรัส</t>
  </si>
  <si>
    <t>0061214</t>
  </si>
  <si>
    <t>ธ. กรุงไทย จำกัด (มหาชน) สาขา  ม.ราชภัฏราชนครินทร์ (ฉะเชิงเทรา)</t>
  </si>
  <si>
    <t>0061215</t>
  </si>
  <si>
    <t>ธ. กรุงไทย จำกัด (มหาชน) สาขา  วังสะพุง</t>
  </si>
  <si>
    <t>0061216</t>
  </si>
  <si>
    <t>ธ. กรุงไทย จำกัด (มหาชน) สาขา  เมืองเอกรังสิต</t>
  </si>
  <si>
    <t>0061217</t>
  </si>
  <si>
    <t>ธ. กรุงไทย จำกัด (มหาชน) สาขา เมกา บางนา</t>
  </si>
  <si>
    <t>0061218</t>
  </si>
  <si>
    <t>ธ. กรุงไทย จำกัด (มหาชน) สาขา  นวมินทร์ ซิตี้ อเวนิว</t>
  </si>
  <si>
    <t>0061219</t>
  </si>
  <si>
    <t>ธ. กรุงไทย จำกัด (มหาชน) สาขา  เทสโก้โลตัส บ้านบึง</t>
  </si>
  <si>
    <t>0061220</t>
  </si>
  <si>
    <t>ธ. กรุงไทย จำกัด (มหาชน) สาขา ศูนย์การแพทย์และโรงพยาบาลมหาวิทยาลั</t>
  </si>
  <si>
    <t>0061221</t>
  </si>
  <si>
    <t>ธ. กรุงไทย จำกัด (มหาชน) สาขา  สังขะ</t>
  </si>
  <si>
    <t>0061222</t>
  </si>
  <si>
    <t>ธ. กรุงไทย จำกัด (มหาชน) สาขา  โรงพยาบาลบุรีรัมย์</t>
  </si>
  <si>
    <t>0061223</t>
  </si>
  <si>
    <t>ธ. กรุงไทย จำกัด (มหาชน) สาขา  สตาร์ ไอที เซ็นเตอร์</t>
  </si>
  <si>
    <t>0061224</t>
  </si>
  <si>
    <t>ธ. กรุงไทย จำกัด (มหาชน) สาขา  ตลาดสุวินทวงศ์พลาซ่า ฉะเชิงเทรา</t>
  </si>
  <si>
    <t>0061225</t>
  </si>
  <si>
    <t>ธ. กรุงไทย จำกัด (มหาชน) สาขา  ทุ่งใหญ่</t>
  </si>
  <si>
    <t>0061226</t>
  </si>
  <si>
    <t>ธ. กรุงไทย จำกัด (มหาชน) สาขา ท่าเรือพระแท่น</t>
  </si>
  <si>
    <t>0061227</t>
  </si>
  <si>
    <t>ธ. กรุงไทย จำกัด (มหาชน) สาขา บ้านตาขุน</t>
  </si>
  <si>
    <t>0061228</t>
  </si>
  <si>
    <t>ธ. กรุงไทย จำกัด (มหาชน) สาขา ศรีวรา ทาวน์ อิน ทาวน์</t>
  </si>
  <si>
    <t>0061229</t>
  </si>
  <si>
    <t>ธ. กรุงไทย จำกัด (มหาชน) สาขา โคลีเซี่ยม สุราษฎร์ธานี</t>
  </si>
  <si>
    <t>0061230</t>
  </si>
  <si>
    <t>ธ. กรุงไทย จำกัด (มหาชน) สาขา ศรีสัชนาลัย</t>
  </si>
  <si>
    <t>0061231</t>
  </si>
  <si>
    <t>ธ. กรุงไทย จำกัด (มหาชน) สาขา เดอะแพลทินัม แฟชั่นมอลล์</t>
  </si>
  <si>
    <t>0061232</t>
  </si>
  <si>
    <t>ธ. กรุงไทย จำกัด (มหาชน) สาขา เกาะโพธิ์ ชลบุรี</t>
  </si>
  <si>
    <t>0061233</t>
  </si>
  <si>
    <t>ธ. กรุงไทย จำกัด (มหาชน) สาขา อาคารซันทาวเวอร์ส</t>
  </si>
  <si>
    <t>0061234</t>
  </si>
  <si>
    <t>ธ. กรุงไทย จำกัด (มหาชน) สาขา ช่องเม็ก</t>
  </si>
  <si>
    <t>0061235</t>
  </si>
  <si>
    <t>ธ. กรุงไทย จำกัด (มหาชน) สาขา สัมมาพร เพลส รังสิต คลอง 2</t>
  </si>
  <si>
    <t>0061236</t>
  </si>
  <si>
    <t>ธ. กรุงไทย จำกัด (มหาชน) สาขา หนองหาน</t>
  </si>
  <si>
    <t>0061237</t>
  </si>
  <si>
    <t>ธ. กรุงไทย จำกัด (มหาชน) สาขา สำนักงานประกันสังคม</t>
  </si>
  <si>
    <t>0061238</t>
  </si>
  <si>
    <t>ธ. กรุงไทย จำกัด (มหาชน) สาขา ธัญญะช็อปปิ้งพาร์ค(ถนนศรีนครินทร์)</t>
  </si>
  <si>
    <t>0061239</t>
  </si>
  <si>
    <t>ธ. กรุงไทย จำกัด (มหาชน) สาขา ครบุรี</t>
  </si>
  <si>
    <t>0061240</t>
  </si>
  <si>
    <t>ธ. กรุงไทย จำกัด (มหาชน) สาขา ศูนย์ราชการจังหวัดชัยภูมิ</t>
  </si>
  <si>
    <t>0061241</t>
  </si>
  <si>
    <t>ธ. กรุงไทย จำกัด (มหาชน) สาขา เทสโก้โลตัส วารินชำราบ</t>
  </si>
  <si>
    <t>0061242</t>
  </si>
  <si>
    <t>ธ. กรุงไทย จำกัด (มหาชน) สาขา พัฒนาการ 31/1</t>
  </si>
  <si>
    <t>0061243</t>
  </si>
  <si>
    <t>ธ. กรุงไทย จำกัด (มหาชน) สาขา วิว ถนนเจริญนคร</t>
  </si>
  <si>
    <t>0061244</t>
  </si>
  <si>
    <t>ธ. กรุงไทย จำกัด (มหาชน) สาขา มหาวิทยาลัยธรรมศาสตร์ ท่าพระจันทร์</t>
  </si>
  <si>
    <t>0061245</t>
  </si>
  <si>
    <t>ธ. กรุงไทย จำกัด (มหาชน) สาขา ศาลากลางจังหวัดสงขลา</t>
  </si>
  <si>
    <t>0061246</t>
  </si>
  <si>
    <t>ธ. กรุงไทย จำกัด (มหาชน) สาขา เซ็นทรัลพลาซา สุราษฎร์ธานี</t>
  </si>
  <si>
    <t>0061247</t>
  </si>
  <si>
    <t>ธ. กรุงไทย จำกัด (มหาชน) สาขา เขาพนม</t>
  </si>
  <si>
    <t>0061248</t>
  </si>
  <si>
    <t>ธ. กรุงไทย จำกัด (มหาชน) สาขา แม่ระมาด</t>
  </si>
  <si>
    <t>0061249</t>
  </si>
  <si>
    <t>ธ. กรุงไทย จำกัด (มหาชน) สาขา เซ็นทรัลพลาซา ลำปาง</t>
  </si>
  <si>
    <t>0061250</t>
  </si>
  <si>
    <t>ธ. กรุงไทย จำกัด (มหาชน) สาขา ศรีบุญเรือง</t>
  </si>
  <si>
    <t>0061251</t>
  </si>
  <si>
    <t>ธ. กรุงไทย จำกัด (มหาชน) สาขา ดอนตูม</t>
  </si>
  <si>
    <t>0061252</t>
  </si>
  <si>
    <t>ธ. กรุงไทย จำกัด (มหาชน) สาขา สะพานมิตรภาพไทย-ลาว (หนองคาย)</t>
  </si>
  <si>
    <t>0061253</t>
  </si>
  <si>
    <t>ธ. กรุงไทย จำกัด (มหาชน) สาขา เทสโก้โลตัส สะเดา</t>
  </si>
  <si>
    <t>0061254</t>
  </si>
  <si>
    <t>ธ. กรุงไทย จำกัด (มหาชน) สาขา ศูนย์ราชการจังหวัดระนอง</t>
  </si>
  <si>
    <t>0061255</t>
  </si>
  <si>
    <t>ธ. กรุงไทย จำกัด (มหาชน) สาขา เทิง</t>
  </si>
  <si>
    <t>0061256</t>
  </si>
  <si>
    <t>ธ. กรุงไทย จำกัด (มหาชน) สาขา ตลาดน้ำดอนหวาย</t>
  </si>
  <si>
    <t>0061257</t>
  </si>
  <si>
    <t>ธ. กรุงไทย จำกัด (มหาชน) สาขา โอ สแควร์ ศรีนครินทร์ กม.19</t>
  </si>
  <si>
    <t>0061258</t>
  </si>
  <si>
    <t>ธ. กรุงไทย จำกัด (มหาชน) สาขา มาร์คโฟร์ พลาซ่า</t>
  </si>
  <si>
    <t>0061259</t>
  </si>
  <si>
    <t>ธ. กรุงไทย จำกัด (มหาชน) สาขา ศาลากลางจังหวัดศรีสะเกษ</t>
  </si>
  <si>
    <t>0061260</t>
  </si>
  <si>
    <t>ธ. กรุงไทย จำกัด (มหาชน) สาขา ตระการพืชผล</t>
  </si>
  <si>
    <t>0061261</t>
  </si>
  <si>
    <t>ธ. กรุงไทย จำกัด (มหาชน) สาขา ศูนย์ราชการจังหวัดชุมพร</t>
  </si>
  <si>
    <t>0061262</t>
  </si>
  <si>
    <t>ธ. กรุงไทย จำกัด (มหาชน) สาขา อาคารลิเบอร์ตี้ สแควร์</t>
  </si>
  <si>
    <t>0061263</t>
  </si>
  <si>
    <t>ธ. กรุงไทย จำกัด (มหาชน) สาขา เขาวง</t>
  </si>
  <si>
    <t>0061264</t>
  </si>
  <si>
    <t>ธ. กรุงไทย จำกัด (มหาชน) สาขา งามดูพลี</t>
  </si>
  <si>
    <t>0061265</t>
  </si>
  <si>
    <t>ธ. กรุงไทย จำกัด (มหาชน) สาขา  ท่าแซะ</t>
  </si>
  <si>
    <t>0061266</t>
  </si>
  <si>
    <t>ธ. กรุงไทย จำกัด (มหาชน) สาขา เชียงคาน</t>
  </si>
  <si>
    <t>0061267</t>
  </si>
  <si>
    <t>ธ. กรุงไทย จำกัด (มหาชน) สาขา มหาวิทยาลัยราชภัฏเลย</t>
  </si>
  <si>
    <t>0061268</t>
  </si>
  <si>
    <t>ธ. กรุงไทย จำกัด (มหาชน) สาขา เซ็นทรัลพลาซ่า มหาชัย</t>
  </si>
  <si>
    <t>0061269</t>
  </si>
  <si>
    <t>ธ. กรุงไทย จำกัด (มหาชน) สาขา ตลาดนานาเจริญ (ลำลูกกา คลอง 2)</t>
  </si>
  <si>
    <t>0061270</t>
  </si>
  <si>
    <t>ธ. กรุงไทย จำกัด (มหาชน) สาขา รัตภูมิ</t>
  </si>
  <si>
    <t>0061271</t>
  </si>
  <si>
    <t>ธ. กรุงไทย จำกัด (มหาชน) สาขา เทสโก้โลตัส พิษณุโลก ท่าทอง</t>
  </si>
  <si>
    <t>0061272</t>
  </si>
  <si>
    <t>ธ. กรุงไทย จำกัด (มหาชน) สาขา เทสโก้โลตัส แม่สอด</t>
  </si>
  <si>
    <t>0061273</t>
  </si>
  <si>
    <t>ธ. กรุงไทย จำกัด (มหาชน) สาขา  พระพุทธบาท</t>
  </si>
  <si>
    <t>0061274</t>
  </si>
  <si>
    <t>ธ. กรุงไทย จำกัด (มหาชน) สาขา ถนนร่มเกล้า ซอย 21/3</t>
  </si>
  <si>
    <t>0061275</t>
  </si>
  <si>
    <t>ธ. กรุงไทย จำกัด (มหาชน) สาขา  โรงพยาบาลนราธิวาสราชนครินทร์</t>
  </si>
  <si>
    <t>0061276</t>
  </si>
  <si>
    <t>ธ. กรุงไทย จำกัด (มหาชน) สาขา  บิ๊กซี ร้อยเอ็ด</t>
  </si>
  <si>
    <t>0061277</t>
  </si>
  <si>
    <t>ธ. กรุงไทย จำกัด (มหาชน) สาขา โรบินสัน กาญจนบุรี</t>
  </si>
  <si>
    <t>0061278</t>
  </si>
  <si>
    <t>ธ. กรุงไทย จำกัด (มหาชน) สาขา  คลองเตย</t>
  </si>
  <si>
    <t>0061279</t>
  </si>
  <si>
    <t>ธ. กรุงไทย จำกัด (มหาชน) สาขา กะทู้</t>
  </si>
  <si>
    <t>0061280</t>
  </si>
  <si>
    <t>ธ. กรุงไทย จำกัด (มหาชน) สาขา  บ้านค่าย</t>
  </si>
  <si>
    <t>0061281</t>
  </si>
  <si>
    <t>ธ. กรุงไทย จำกัด (มหาชน) สาขา  ทุ่งยาว</t>
  </si>
  <si>
    <t>0061282</t>
  </si>
  <si>
    <t>ธ. กรุงไทย จำกัด (มหาชน) สาขา เมืองทองนครศรีธรรมราช</t>
  </si>
  <si>
    <t>0061283</t>
  </si>
  <si>
    <t>ธ. กรุงไทย จำกัด (มหาชน) สาขา  เทสโก้โลตัส นครสวรรค์</t>
  </si>
  <si>
    <t>0061284</t>
  </si>
  <si>
    <t>ธ. กรุงไทย จำกัด (มหาชน) สาขา  ศาลายา 2</t>
  </si>
  <si>
    <t>0061285</t>
  </si>
  <si>
    <t>ธ. กรุงไทย จำกัด (มหาชน) สาขา  วิคตอรี่มอลล์</t>
  </si>
  <si>
    <t>0061286</t>
  </si>
  <si>
    <t>ธ. กรุงไทย จำกัด (มหาชน) สาขา  บางสวรรค์</t>
  </si>
  <si>
    <t>0061287</t>
  </si>
  <si>
    <t>ธ. กรุงไทย จำกัด (มหาชน) สาขา เซ็นทรัลพลาซ่า อุบลราชธานี</t>
  </si>
  <si>
    <t>0061288</t>
  </si>
  <si>
    <t>ธ. กรุงไทย จำกัด (มหาชน) สาขา  ตึกคอม แลนด์มาร์ค อุดรธานี</t>
  </si>
  <si>
    <t>0061289</t>
  </si>
  <si>
    <t>ธ. กรุงไทย จำกัด (มหาชน) สาขา  คำเขื่อนแก้ว</t>
  </si>
  <si>
    <t>0061290</t>
  </si>
  <si>
    <t>ธ. กรุงไทย จำกัด (มหาชน) สาขา ม.เกษตรฯวข.เฉลิมพระเกียรติ จ.สกลนคร</t>
  </si>
  <si>
    <t>0061291</t>
  </si>
  <si>
    <t>ธ. กรุงไทย จำกัด (มหาชน) สาขา  ขุนทะเล</t>
  </si>
  <si>
    <t>0061292</t>
  </si>
  <si>
    <t>ธ. กรุงไทย จำกัด (มหาชน) สาขา สำนักงานคณะกรรมการ ก.ล.ต.</t>
  </si>
  <si>
    <t>0061293</t>
  </si>
  <si>
    <t>ธ. กรุงไทย จำกัด (มหาชน) สาขา เทสโก้โลตัส บางปะกง</t>
  </si>
  <si>
    <t>0061294</t>
  </si>
  <si>
    <t>ธ. กรุงไทย จำกัด (มหาชน) สาขา ศาลากลางจังหวัดสมุทรสาคร</t>
  </si>
  <si>
    <t>0061295</t>
  </si>
  <si>
    <t>ธ. กรุงไทย จำกัด (มหาชน) สาขา  โรงเรียนกรุงเทพคริสเตียนวิทยาลัย</t>
  </si>
  <si>
    <t>0061296</t>
  </si>
  <si>
    <t>ธ. กรุงไทย จำกัด (มหาชน) สาขา สุขุมวิท 33</t>
  </si>
  <si>
    <t>0061297</t>
  </si>
  <si>
    <t>ธ. กรุงไทย จำกัด (มหาชน) สาขา อิมพีเรียลเวิลด์ สำโรง</t>
  </si>
  <si>
    <t>0061298</t>
  </si>
  <si>
    <t>ธ. กรุงไทย จำกัด (มหาชน) สาขา มัญจาคีรี</t>
  </si>
  <si>
    <t>0061299</t>
  </si>
  <si>
    <t>ธ. กรุงไทย จำกัด (มหาชน) สาขา ตลาดสดเทศบาลเมืองวารินชำราบ</t>
  </si>
  <si>
    <t>0061300</t>
  </si>
  <si>
    <t>ธ. กรุงไทย จำกัด (มหาชน) สาขา โรบินสัน สกลนคร</t>
  </si>
  <si>
    <t>0061301</t>
  </si>
  <si>
    <t>ธ. กรุงไทย จำกัด (มหาชน) สาขา ตลาดอุดมสุข กบินทร์บุรี</t>
  </si>
  <si>
    <t>0061302</t>
  </si>
  <si>
    <t>ธ. กรุงไทย จำกัด (มหาชน) สาขา  หนองบัวแดง</t>
  </si>
  <si>
    <t>0061303</t>
  </si>
  <si>
    <t>ธ. กรุงไทย จำกัด (มหาชน) สาขา  ศูนย์ราชการจังหวัดลำปาง</t>
  </si>
  <si>
    <t>0061304</t>
  </si>
  <si>
    <t>ธ. กรุงไทย จำกัด (มหาชน) สาขา  มหาวิทยาลัยราชภัฏอุดรธานี</t>
  </si>
  <si>
    <t>0061305</t>
  </si>
  <si>
    <t>ธ. กรุงไทย จำกัด (มหาชน) สาขา  คลองสามวา</t>
  </si>
  <si>
    <t>0061306</t>
  </si>
  <si>
    <t>ธ. กรุงไทย จำกัด (มหาชน) สาขา   สำนักงานสลากกินแบ่งรัฐบาล</t>
  </si>
  <si>
    <t>0061307</t>
  </si>
  <si>
    <t>ธ. กรุงไทย จำกัด (มหาชน) สาขา  นิมมานเหมินท์</t>
  </si>
  <si>
    <t>0061308</t>
  </si>
  <si>
    <t>ธ. กรุงไทย จำกัด (มหาชน) สาขา ศูนย์การค้าสลากไทย</t>
  </si>
  <si>
    <t>0061309</t>
  </si>
  <si>
    <t>ธ. กรุงไทย จำกัด (มหาชน) สาขา ตลาดพระปิ่น 3 (ถนนกาญจนาภิเษก)</t>
  </si>
  <si>
    <t>0061310</t>
  </si>
  <si>
    <t>ธ. กรุงไทย จำกัด (มหาชน) สาขา  เขื่องใน</t>
  </si>
  <si>
    <t>0061311</t>
  </si>
  <si>
    <t>ธ. กรุงไทย จำกัด (มหาชน) สาขา  เทสโก้โลตัส เชียงของ</t>
  </si>
  <si>
    <t>0061312</t>
  </si>
  <si>
    <t>ธ. กรุงไทย จำกัด (มหาชน) สาขา หนองสองห้อง</t>
  </si>
  <si>
    <t>0061313</t>
  </si>
  <si>
    <t>ธ. กรุงไทย จำกัด (มหาชน) สาขา ภูเวียง</t>
  </si>
  <si>
    <t>0061314</t>
  </si>
  <si>
    <t>ธ. กรุงไทย จำกัด (มหาชน) สาขา  แม่อาย</t>
  </si>
  <si>
    <t>0061315</t>
  </si>
  <si>
    <t>ธ. กรุงไทย จำกัด (มหาชน) สาขา  เทสโก้โลตัส หลักสี่</t>
  </si>
  <si>
    <t>0061316</t>
  </si>
  <si>
    <t>ธ. กรุงไทย จำกัด (มหาชน) สาขา ไวท์มอลล์</t>
  </si>
  <si>
    <t>0061317</t>
  </si>
  <si>
    <t>ธ. กรุงไทย จำกัด (มหาชน) สาขา เทสโก้โลตัส ลาดพร้าว 101</t>
  </si>
  <si>
    <t>0061318</t>
  </si>
  <si>
    <t>ธ. กรุงไทย จำกัด (มหาชน) สาขา  วังเจ้า</t>
  </si>
  <si>
    <t>0061319</t>
  </si>
  <si>
    <t>ธ. กรุงไทย จำกัด (มหาชน) สาขา  โนนไทย</t>
  </si>
  <si>
    <t>0061320</t>
  </si>
  <si>
    <t>ธ. กรุงไทย จำกัด (มหาชน) สาขา  ฮอด</t>
  </si>
  <si>
    <t>0061321</t>
  </si>
  <si>
    <t>ธ. กรุงไทย จำกัด (มหาชน) สาขา ระโนด</t>
  </si>
  <si>
    <t>0061322</t>
  </si>
  <si>
    <t>ธ. กรุงไทย จำกัด (มหาชน) สาขา เสิงสาง</t>
  </si>
  <si>
    <t>0061323</t>
  </si>
  <si>
    <t>ธ. กรุงไทย จำกัด (มหาชน) สาขา  ศูนย์ราชการจังหวัดบุรีรัมย์</t>
  </si>
  <si>
    <t>0061324</t>
  </si>
  <si>
    <t>ธ. กรุงไทย จำกัด (มหาชน) สาขา ลำทับ</t>
  </si>
  <si>
    <t>0061325</t>
  </si>
  <si>
    <t>ธ. กรุงไทย จำกัด (มหาชน) สาขา  สารภี</t>
  </si>
  <si>
    <t>0061326</t>
  </si>
  <si>
    <t>ธ. กรุงไทย จำกัด (มหาชน) สาขา  เซ็นทรัล เฟสติวัล เชียงใหม่</t>
  </si>
  <si>
    <t>0061327</t>
  </si>
  <si>
    <t>ธ. กรุงไทย จำกัด (มหาชน) สาขา  ตลาดวังน้อย</t>
  </si>
  <si>
    <t>0061328</t>
  </si>
  <si>
    <t>ธ. กรุงไทย จำกัด (มหาชน) สาขา  ประตูเชียงใหม่</t>
  </si>
  <si>
    <t>0061329</t>
  </si>
  <si>
    <t>ธ. กรุงไทย จำกัด (มหาชน) สาขา โรบินสัน สระบุรี</t>
  </si>
  <si>
    <t>0061330</t>
  </si>
  <si>
    <t>ธ. กรุงไทย จำกัด (มหาชน) สาขา พรเจริญ</t>
  </si>
  <si>
    <t>0061331</t>
  </si>
  <si>
    <t>ธ. กรุงไทย จำกัด (มหาชน) สาขา  เทสโก้โลตัส เวียงสระ</t>
  </si>
  <si>
    <t>0061332</t>
  </si>
  <si>
    <t>ธ. กรุงไทย จำกัด (มหาชน) สาขา หนองฉาง</t>
  </si>
  <si>
    <t>0061333</t>
  </si>
  <si>
    <t>ธ. กรุงไทย จำกัด (มหาชน) สาขา  เทสโก้โลตัส สงขลา</t>
  </si>
  <si>
    <t>0061334</t>
  </si>
  <si>
    <t>ธ. กรุงไทย จำกัด (มหาชน) สาขา  เทศบาลนครนนทบุรี</t>
  </si>
  <si>
    <t>0061335</t>
  </si>
  <si>
    <t>ธ. กรุงไทย จำกัด (มหาชน) สาขา คิส มอลล์ (กล้วยน้ำไท)</t>
  </si>
  <si>
    <t>0061336</t>
  </si>
  <si>
    <t>ธ. กรุงไทย จำกัด (มหาชน) สาขา ละแม</t>
  </si>
  <si>
    <t>0061337</t>
  </si>
  <si>
    <t>ธ. กรุงไทย จำกัด (มหาชน) สาขา บิ๊กซี ตรัง</t>
  </si>
  <si>
    <t>0061338</t>
  </si>
  <si>
    <t>ธ. กรุงไทย จำกัด (มหาชน) สาขา ยางตลาด</t>
  </si>
  <si>
    <t>0061339</t>
  </si>
  <si>
    <t>ธ. กรุงไทย จำกัด (มหาชน) สาขา โรบินสัน สุรินทร์</t>
  </si>
  <si>
    <t>0061340</t>
  </si>
  <si>
    <t>ธ. กรุงไทย จำกัด (มหาชน) สาขา เซ็นทรัล เฟสติวัล หาดใหญ่</t>
  </si>
  <si>
    <t>0061341</t>
  </si>
  <si>
    <t>ธ. กรุงไทย จำกัด (มหาชน) สาขา โรงพยาบาลค่ายสุรนารี</t>
  </si>
  <si>
    <t>0061342</t>
  </si>
  <si>
    <t>ธ. กรุงไทย จำกัด (มหาชน) สาขา  อิมพีเรียลเวิลด์ ลาดพร้าว</t>
  </si>
  <si>
    <t>0061343</t>
  </si>
  <si>
    <t>ธ. กรุงไทย จำกัด (มหาชน) สาขา กรีนเพลส (ถนนจันทน์ 43)</t>
  </si>
  <si>
    <t>0061344</t>
  </si>
  <si>
    <t>ธ. กรุงไทย จำกัด (มหาชน) สาขา โรบินสัน ตรัง</t>
  </si>
  <si>
    <t>0061345</t>
  </si>
  <si>
    <t>ธ. กรุงไทย จำกัด (มหาชน) สาขา รัตนบุรี</t>
  </si>
  <si>
    <t>0061346</t>
  </si>
  <si>
    <t>ธ. กรุงไทย จำกัด (มหาชน) สาขา เกษตรวิสัย</t>
  </si>
  <si>
    <t>0061347</t>
  </si>
  <si>
    <t>ธ. กรุงไทย จำกัด (มหาชน) สาขา เทสโก้โลตัส ภูเก็ต</t>
  </si>
  <si>
    <t>0061348</t>
  </si>
  <si>
    <t>ธ. กรุงไทย จำกัด (มหาชน) สาขา มวกเหล็ก</t>
  </si>
  <si>
    <t>0061349</t>
  </si>
  <si>
    <t>ธ. กรุงไทย จำกัด (มหาชน) สาขา กาญจนดิษฐ์</t>
  </si>
  <si>
    <t>0061350</t>
  </si>
  <si>
    <t>ธ. กรุงไทย จำกัด (มหาชน) สาขา เจริญกรุง 93</t>
  </si>
  <si>
    <t>0061351</t>
  </si>
  <si>
    <t>ธ. กรุงไทย จำกัด (มหาชน) สาขา บ้านดุง</t>
  </si>
  <si>
    <t>0061352</t>
  </si>
  <si>
    <t>ธ. กรุงไทย จำกัด (มหาชน) สาขา บ้านตาก</t>
  </si>
  <si>
    <t>0061353</t>
  </si>
  <si>
    <t>ธ. กรุงไทย จำกัด (มหาชน) สาขา เซ็นทรัล เฟสติวัล สมุย</t>
  </si>
  <si>
    <t>0061354</t>
  </si>
  <si>
    <t>ธ. กรุงไทย จำกัด (มหาชน) สาขา  บิ๊กซี นครพนม</t>
  </si>
  <si>
    <t>0061355</t>
  </si>
  <si>
    <t>ธ. กรุงไทย จำกัด (มหาชน) สาขา  หอการค้าไทย</t>
  </si>
  <si>
    <t>0061356</t>
  </si>
  <si>
    <t>ธ. กรุงไทย จำกัด (มหาชน) สาขา  ศูนย์ราชการจังหวัดปราจีนบุรี</t>
  </si>
  <si>
    <t>0061357</t>
  </si>
  <si>
    <t>ธ. กรุงไทย จำกัด (มหาชน) สาขา  ถนนศักดิเดช</t>
  </si>
  <si>
    <t>0061358</t>
  </si>
  <si>
    <t>ธ. กรุงไทย จำกัด (มหาชน) สาขา  หนองบัว</t>
  </si>
  <si>
    <t>0061359</t>
  </si>
  <si>
    <t>ธ. กรุงไทย จำกัด (มหาชน) สาขา พรานกระต่าย</t>
  </si>
  <si>
    <t>0061360</t>
  </si>
  <si>
    <t>ธ. กรุงไทย จำกัด (มหาชน) สาขา บิ๊กซี ศรีมหาโพธิ</t>
  </si>
  <si>
    <t>0061361</t>
  </si>
  <si>
    <t>ธ. กรุงไทย จำกัด (มหาชน) สาขา บิ๊กซี กัลปพฤกษ์</t>
  </si>
  <si>
    <t>0061362</t>
  </si>
  <si>
    <t>ธ. กรุงไทย จำกัด (มหาชน) สาขา เทสโก้โลตัส นครนายก</t>
  </si>
  <si>
    <t>0061363</t>
  </si>
  <si>
    <t>ธ. กรุงไทย จำกัด (มหาชน) สาขา เชียงยืน</t>
  </si>
  <si>
    <t>0061364</t>
  </si>
  <si>
    <t>ธ. กรุงไทย จำกัด (มหาชน) สาขา กุมภวาปี เมืองใหม่</t>
  </si>
  <si>
    <t>0061365</t>
  </si>
  <si>
    <t>ธ. กรุงไทย จำกัด (มหาชน) สาขา เดอะโคสท์ บางนา</t>
  </si>
  <si>
    <t>0061366</t>
  </si>
  <si>
    <t>ธ. กรุงไทย จำกัด (มหาชน) สาขา เซ็นทรัลพลาซา ศาลายา</t>
  </si>
  <si>
    <t>0061367</t>
  </si>
  <si>
    <t>ธ. กรุงไทย จำกัด (มหาชน) สาขา เดอะมอลล์ บางกะปิ 2</t>
  </si>
  <si>
    <t>0061368</t>
  </si>
  <si>
    <t>ธ. กรุงไทย จำกัด (มหาชน) สาขา โรบินสัน ร้อยเอ็ด</t>
  </si>
  <si>
    <t>0061369</t>
  </si>
  <si>
    <t>ธ. กรุงไทย จำกัด (มหาชน) สาขา ราษีไศล</t>
  </si>
  <si>
    <t>0061370</t>
  </si>
  <si>
    <t>ธ. กรุงไทย จำกัด (มหาชน) สาขา จะนะ</t>
  </si>
  <si>
    <t>0061371</t>
  </si>
  <si>
    <t>ธ. กรุงไทย จำกัด (มหาชน) สาขา โรบินสัน สมุทรปราการ</t>
  </si>
  <si>
    <t>0061372</t>
  </si>
  <si>
    <t>ธ. กรุงไทย จำกัด (มหาชน) สาขา ตะพง</t>
  </si>
  <si>
    <t>0061373</t>
  </si>
  <si>
    <t>ธ. กรุงไทย จำกัด (มหาชน) สาขา หัวทะเล</t>
  </si>
  <si>
    <t>0061374</t>
  </si>
  <si>
    <t>ธ. กรุงไทย จำกัด (มหาชน) สาขา เขาหลัก</t>
  </si>
  <si>
    <t>0061375</t>
  </si>
  <si>
    <t>ธ. กรุงไทย จำกัด (มหาชน) สาขา โรบินสัน ฉะเชิงเทรา</t>
  </si>
  <si>
    <t>0061376</t>
  </si>
  <si>
    <t>ธ. กรุงไทย จำกัด (มหาชน) สาขา โรบินสัน  ปราจีนบุรี</t>
  </si>
  <si>
    <t>0061377</t>
  </si>
  <si>
    <t>ธ. กรุงไทย จำกัด (มหาชน) สาขา โรบินสัน มุกดาหาร</t>
  </si>
  <si>
    <t>0061378</t>
  </si>
  <si>
    <t>ธ. กรุงไทย จำกัด (มหาชน) สาขา สะพานนนทบุรี</t>
  </si>
  <si>
    <t>0061379</t>
  </si>
  <si>
    <t>ธ. กรุงไทย จำกัด (มหาชน) สาขา ท่าพระ (ขอนแก่น)</t>
  </si>
  <si>
    <t>0061380</t>
  </si>
  <si>
    <t>ธ. กรุงไทย จำกัด (มหาชน) สาขา บิ๊กซี บ้านโป่ง</t>
  </si>
  <si>
    <t>0061381</t>
  </si>
  <si>
    <t>ธ. กรุงไทย จำกัด (มหาชน) สาขา มาบอำมฤต</t>
  </si>
  <si>
    <t>0061382</t>
  </si>
  <si>
    <t>ธ. กรุงไทย จำกัด (มหาชน) สาขา กันทรารมย์</t>
  </si>
  <si>
    <t>0061383</t>
  </si>
  <si>
    <t>ธ. กรุงไทย จำกัด (มหาชน) สาขา แอมพาร์ค จุฬา</t>
  </si>
  <si>
    <t>0061384</t>
  </si>
  <si>
    <t>ธ. กรุงไทย จำกัด (มหาชน) สาขา ศรีเทพ</t>
  </si>
  <si>
    <t>0061385</t>
  </si>
  <si>
    <t>ธ. กรุงไทย จำกัด (มหาชน) สาขา เพลินนารี่ มอลล์ วัชรพล</t>
  </si>
  <si>
    <t>0061386</t>
  </si>
  <si>
    <t>ธ. กรุงไทย จำกัด (มหาชน) สาขา ลี้</t>
  </si>
  <si>
    <t>0061387</t>
  </si>
  <si>
    <t>ธ. กรุงไทย จำกัด (มหาชน) สาขา เซ็นทรัลพลาซ่า พระราม 2</t>
  </si>
  <si>
    <t>0061388</t>
  </si>
  <si>
    <t>ธ. กรุงไทย จำกัด (มหาชน) สาขา เทสโก้โลตัสหนองบัวลำภู</t>
  </si>
  <si>
    <t>0061389</t>
  </si>
  <si>
    <t>ธ. กรุงไทย จำกัด (มหาชน) สาขา วัดสิงห์</t>
  </si>
  <si>
    <t>0061390</t>
  </si>
  <si>
    <t>ธ. กรุงไทย จำกัด (มหาชน) สาขา ดอยสะเก็ด</t>
  </si>
  <si>
    <t>0061391</t>
  </si>
  <si>
    <t>ธ. กรุงไทย จำกัด (มหาชน) สาขา บ้านทุ่ม</t>
  </si>
  <si>
    <t>0061392</t>
  </si>
  <si>
    <t>ธ. กรุงไทย จำกัด (มหาชน) สาขา บ้านพรุ</t>
  </si>
  <si>
    <t>0061393</t>
  </si>
  <si>
    <t>ธ. กรุงไทย จำกัด (มหาชน) สาขา ศรีสงคราม</t>
  </si>
  <si>
    <t>0061394</t>
  </si>
  <si>
    <t>ธ. กรุงไทย จำกัด (มหาชน) สาขา เซ็นทรัลพลาซา ระยอง</t>
  </si>
  <si>
    <t>0061395</t>
  </si>
  <si>
    <t>ธ. กรุงไทย จำกัด (มหาชน) สาขา มาร์เก็ต วิลเลจ สุวรรณภูมิ</t>
  </si>
  <si>
    <t>0061396</t>
  </si>
  <si>
    <t>ธ. กรุงไทย จำกัด (มหาชน) สาขา ม.ศิลปากร วิทยาเขตฯ สนามจันทร์</t>
  </si>
  <si>
    <t>0061397</t>
  </si>
  <si>
    <t>ธ. กรุงไทย จำกัด (มหาชน) สาขา บิ๊กซี น่าน</t>
  </si>
  <si>
    <t>0061398</t>
  </si>
  <si>
    <t>ธ. กรุงไทย จำกัด (มหาชน) สาขา สยามพารากอน</t>
  </si>
  <si>
    <t>0061399</t>
  </si>
  <si>
    <t>ธ. กรุงไทย จำกัด (มหาชน) สาขา หัวไทร</t>
  </si>
  <si>
    <t>0061400</t>
  </si>
  <si>
    <t>ธ. กรุงไทย จำกัด (มหาชน) สาขา เซ็นทรัลพลาซา เวสต์เกต</t>
  </si>
  <si>
    <t>0061401</t>
  </si>
  <si>
    <t>ธ. กรุงไทย จำกัด (มหาชน) สาขา สถาบันสุขภาพเด็กแห่งชาติมหาราชินี</t>
  </si>
  <si>
    <t>0061402</t>
  </si>
  <si>
    <t>ธ. กรุงไทย จำกัด (มหาชน) สาขา เดอะ พรอมานาด (แฟชั่นไอส์แลนด์ 2)</t>
  </si>
  <si>
    <t>0061403</t>
  </si>
  <si>
    <t>ธ. กรุงไทย จำกัด (มหาชน) สาขา โรบินสัน ศรีสมาน</t>
  </si>
  <si>
    <t>0061404</t>
  </si>
  <si>
    <t>ธ. กรุงไทย จำกัด (มหาชน) สาขา เทสโก้โลตัส ป่าพะยอม</t>
  </si>
  <si>
    <t>0061405</t>
  </si>
  <si>
    <t>ธ. กรุงไทย จำกัด (มหาชน) สาขา โรบินสัน บุรีรัมย์</t>
  </si>
  <si>
    <t>0061406</t>
  </si>
  <si>
    <t>ธ. กรุงไทย จำกัด (มหาชน) สาขา หนองกี่</t>
  </si>
  <si>
    <t>0061407</t>
  </si>
  <si>
    <t>ธ. กรุงไทย จำกัด (มหาชน) สาขา โรบินสัน แม่สอด</t>
  </si>
  <si>
    <t>0061408</t>
  </si>
  <si>
    <t>ธ. กรุงไทย จำกัด (มหาชน) สาขา โรงโป๊ะ</t>
  </si>
  <si>
    <t>0061409</t>
  </si>
  <si>
    <t>ธ. กรุงไทย จำกัด (มหาชน) สาขา ร่อนพิบูลย์</t>
  </si>
  <si>
    <t>0061410</t>
  </si>
  <si>
    <t>ธ. กรุงไทย จำกัด (มหาชน) สาขา ละหานทราย</t>
  </si>
  <si>
    <t>0061411</t>
  </si>
  <si>
    <t>ธ. กรุงไทย จำกัด (มหาชน) สาขา ฮาร์เบอร์มอลล์ พัทยา</t>
  </si>
  <si>
    <t>0061412</t>
  </si>
  <si>
    <t>ธ. กรุงไทย จำกัด (มหาชน) สาขา เมเจอร์ ทาวเวอร์ (ทองหล่อ ซอย10)</t>
  </si>
  <si>
    <t>0061413</t>
  </si>
  <si>
    <t>ธ. กรุงไทย จำกัด (มหาชน) สาขา ตลาดเก่า</t>
  </si>
  <si>
    <t>0061414</t>
  </si>
  <si>
    <t>ธ. กรุงไทย จำกัด (มหาชน) สาขา เซ็นทรัลเฟสติวัล อีสต์วิลล์</t>
  </si>
  <si>
    <t>0061415</t>
  </si>
  <si>
    <t>ธ. กรุงไทย จำกัด (มหาชน) สาขา เซ็นทรัลพลาซ่า นครศรีธรรมราช</t>
  </si>
  <si>
    <t>0061416</t>
  </si>
  <si>
    <t>ธ. กรุงไทย จำกัด (มหาชน) สาขา ออล ซีซั่นส์ เพลส</t>
  </si>
  <si>
    <t>0061417</t>
  </si>
  <si>
    <t>ธ. กรุงไทย จำกัด (มหาชน) สาขา โรบินสัน เพชรบุรี</t>
  </si>
  <si>
    <t>0061418</t>
  </si>
  <si>
    <t>ธ. กรุงไทย จำกัด (มหาชน) สาขา บิ๊กซี สุวินทวงศ์</t>
  </si>
  <si>
    <t>0061419</t>
  </si>
  <si>
    <t>ธ. กรุงไทย จำกัด (มหาชน) สาขา เซ็นทรัลพลาซา นครราชสีมา</t>
  </si>
  <si>
    <t>0061421</t>
  </si>
  <si>
    <t>ธ. กรุงไทย จำกัด (มหาชน) สาขา ศูนย์บริการ รพ ศิริราช PRECIOUSPLUS</t>
  </si>
  <si>
    <t>0061422</t>
  </si>
  <si>
    <t>ธ. กรุงไทย จำกัด (มหาชน) สาขา บิ๊กซี ปากช่อง</t>
  </si>
  <si>
    <t>0069999</t>
  </si>
  <si>
    <t>ธ. กรุงไทย จำกัด (มหาชน) สาขา สำนักงานใหญ่</t>
  </si>
  <si>
    <t>0080001</t>
  </si>
  <si>
    <t>ธ. เจพีมอร์แกน เชส สำนักงานใหญ่</t>
  </si>
  <si>
    <t>0080030</t>
  </si>
  <si>
    <t>ธ. เจพีมอร์แกน เชส สาขา กรุงเทพฯ กิจการวิเทศธนกิจ</t>
  </si>
  <si>
    <t>0090001</t>
  </si>
  <si>
    <t>ธ. โอเวอร์ซี-ไชนีสแบงกิ้งคอร์ปอเรชั่น จำกัด สาขา กรุงเทพฯ</t>
  </si>
  <si>
    <t>0090851</t>
  </si>
  <si>
    <t>ธ. โอเวอร์ซี-ไชนีสแบงกิ้งคอร์ปอเรชั่น จำกัด สาขา กรุงเทพฯ กิจการวิเทศธนกิจ</t>
  </si>
  <si>
    <t>0110001</t>
  </si>
  <si>
    <t>ธ. ทหารไทย จำกัด (มหาชน) สาขา พหลโยธิน</t>
  </si>
  <si>
    <t>0110002</t>
  </si>
  <si>
    <t>ธ. ทหารไทย จำกัด (มหาชน) สาขา ราชดำเนิน</t>
  </si>
  <si>
    <t>0110003</t>
  </si>
  <si>
    <t>ธ. ทหารไทย จำกัด (มหาชน) สาขา พญาไท</t>
  </si>
  <si>
    <t>0110004</t>
  </si>
  <si>
    <t>ธ. ทหารไทยธนชาต จำกัด (มหาชน) สาขา อาคารสาทร ซิตี้</t>
  </si>
  <si>
    <t>0110005</t>
  </si>
  <si>
    <t>ธ. ทหารไทยธนชาต จำกัด (มหาชน) สาขา ถนนเพชรบุรีตัดใหม่-แยกอโศก</t>
  </si>
  <si>
    <t>0110011</t>
  </si>
  <si>
    <t>ธ. ทหารไทยธนชาต จำกัด (มหาชน) สาขา ราชดำริ</t>
  </si>
  <si>
    <t>0110012</t>
  </si>
  <si>
    <t>ธ. ทหารไทยธนชาต จำกัด (มหาชน) สาขา ท่าอากาศยานสุวรรณภูมิ</t>
  </si>
  <si>
    <t>0110013</t>
  </si>
  <si>
    <t>ธ. ทหารไทย จำกัด (มหาชน) สาขา สมุทรปราการ</t>
  </si>
  <si>
    <t>0110014</t>
  </si>
  <si>
    <t>ธ. ทหารไทย จำกัด (มหาชน) สาขา หัวหมาก</t>
  </si>
  <si>
    <t>0110015</t>
  </si>
  <si>
    <t>ธ. ทหารไทย จำกัด (มหาชน) สาขา คลองเตย</t>
  </si>
  <si>
    <t>0110016</t>
  </si>
  <si>
    <t>ธ. ทหารไทย จำกัด (มหาชน) สาขา ถนนจันทน์</t>
  </si>
  <si>
    <t>0110017</t>
  </si>
  <si>
    <t>ธ. ทหารไทย จำกัด (มหาชน) สาขา ธาตุทอง</t>
  </si>
  <si>
    <t>0110018</t>
  </si>
  <si>
    <t>ธ. ทหารไทย จำกัด (มหาชน) สาขา เตาปูน</t>
  </si>
  <si>
    <t>0110019</t>
  </si>
  <si>
    <t>ธ. ทหารไทย จำกัด (มหาชน) สาขา พรานนก</t>
  </si>
  <si>
    <t>0110020</t>
  </si>
  <si>
    <t>ธ. ทหารไทยธนชาต จำกัด (มหาชน) สาขา จรัญสนิทวงศ์</t>
  </si>
  <si>
    <t>0110021</t>
  </si>
  <si>
    <t>ธ. ทหารไทย จำกัด (มหาชน) สาขา สนามเป้า</t>
  </si>
  <si>
    <t>0110022</t>
  </si>
  <si>
    <t>ธ. ทหารไทย จำกัด (มหาชน) สาขา คลองจั่น</t>
  </si>
  <si>
    <t>0110023</t>
  </si>
  <si>
    <t>ธ. ทหารไทย จำกัด (มหาชน) สาขา พระประแดง</t>
  </si>
  <si>
    <t>0110024</t>
  </si>
  <si>
    <t>ธ. ทหารไทย จำกัด (มหาชน) สาขา ลาดพร้าว 124</t>
  </si>
  <si>
    <t>0110025</t>
  </si>
  <si>
    <t>ธ. ทหารไทยธนชาต จำกัด (มหาชน) สาขา ประดิพัทธ์</t>
  </si>
  <si>
    <t>0110026</t>
  </si>
  <si>
    <t>ธ. ทหารไทย จำกัด (มหาชน) สาขา งามวงศ์วาน</t>
  </si>
  <si>
    <t>0110027</t>
  </si>
  <si>
    <t>ธ. ทหารไทย จำกัด (มหาชน) สาขา ตลาดน้อย</t>
  </si>
  <si>
    <t>0110028</t>
  </si>
  <si>
    <t>ธ. ทหารไทย จำกัด (มหาชน) สาขา ช่องนนทรี</t>
  </si>
  <si>
    <t>0110029</t>
  </si>
  <si>
    <t>ธ. ทหารไทย จำกัด (มหาชน) สาขา ปากเกร็ด</t>
  </si>
  <si>
    <t>0110030</t>
  </si>
  <si>
    <t>ธ. ทหารไทย จำกัด (มหาชน) สาขา ปู่เจ้าสมิงพราย</t>
  </si>
  <si>
    <t>0110031</t>
  </si>
  <si>
    <t>ธ. ทหารไทย จำกัด (มหาชน) สาขา ถนนจอมทอง</t>
  </si>
  <si>
    <t>0110032</t>
  </si>
  <si>
    <t>ธ. ทหารไทย จำกัด (มหาชน) สาขา บางเขน</t>
  </si>
  <si>
    <t>0110033</t>
  </si>
  <si>
    <t>ธ. ทหารไทย จำกัด (มหาชน) สาขา ลาดหญ้า</t>
  </si>
  <si>
    <t>0110034</t>
  </si>
  <si>
    <t>ธ. ทหารไทย จำกัด (มหาชน) สาขา หนองจอก</t>
  </si>
  <si>
    <t>0110035</t>
  </si>
  <si>
    <t>ธ. ทหารไทย จำกัด (มหาชน) สาขา สะพานใหม่-ดอนเมือง</t>
  </si>
  <si>
    <t>0110036</t>
  </si>
  <si>
    <t>ธ. ทหารไทย จำกัด (มหาชน) สาขา โชคชัย 4</t>
  </si>
  <si>
    <t>0110037</t>
  </si>
  <si>
    <t>ธ. ทหารไทย จำกัด (มหาชน) สาขา มีนบุรี</t>
  </si>
  <si>
    <t>0110038</t>
  </si>
  <si>
    <t>ธ. ทหารไทย จำกัด (มหาชน) สาขา โรงพยาบาลพระมงกุฏเกล้า</t>
  </si>
  <si>
    <t>0110039</t>
  </si>
  <si>
    <t>ธ. ทหารไทย จำกัด (มหาชน) สาขา กระทรวงกลาโหม</t>
  </si>
  <si>
    <t>0110040</t>
  </si>
  <si>
    <t>ธ. ทหารไทย จำกัด (มหาชน) สาขา โรงพยาบาลสมเด็จพระปิ่นเกล้า</t>
  </si>
  <si>
    <t>0110041</t>
  </si>
  <si>
    <t>ธ. ทหารไทย จำกัด (มหาชน) สาขา ศรีย่าน</t>
  </si>
  <si>
    <t>0110042</t>
  </si>
  <si>
    <t>ธ. ทหารไทย จำกัด (มหาชน) สาขา เยาวราช</t>
  </si>
  <si>
    <t>0110043</t>
  </si>
  <si>
    <t>ธ. ทหารไทย จำกัด (มหาชน) สาขา มาบุญครองเซ็นเตอร์</t>
  </si>
  <si>
    <t>0110044</t>
  </si>
  <si>
    <t>ธ. ทหารไทย จำกัด (มหาชน) สาขา ป้อมพระจุลจอมเกล้า</t>
  </si>
  <si>
    <t>0110045</t>
  </si>
  <si>
    <t>ธ. ทหารไทย จำกัด (มหาชน) สาขา เสนานิคม</t>
  </si>
  <si>
    <t>0110046</t>
  </si>
  <si>
    <t>ธ. ทหารไทย จำกัด (มหาชน) สาขา สนามเสือป่า</t>
  </si>
  <si>
    <t>0110047</t>
  </si>
  <si>
    <t>ธ. ทหารไทย จำกัด (มหาชน) สาขา มหาพฤฒาราม</t>
  </si>
  <si>
    <t>0110048</t>
  </si>
  <si>
    <t>ธ. ทหารไทยธนชาต จำกัด (มหาชน) สาขา พาหุรัดพลาซ่า</t>
  </si>
  <si>
    <t>0110049</t>
  </si>
  <si>
    <t>ธ. ทหารไทยธนชาต จำกัด (มหาชน) สาขา โรงพยาบาลภูมิพลอดุลยเดช</t>
  </si>
  <si>
    <t>0110050</t>
  </si>
  <si>
    <t>ธ. ทหารไทย จำกัด (มหาชน) สาขา ธรรมศาสตร์-รังสิต</t>
  </si>
  <si>
    <t>0110051</t>
  </si>
  <si>
    <t>ธ. ทหารไทย จำกัด (มหาชน) สาขา นานาเหนือ</t>
  </si>
  <si>
    <t>0110052</t>
  </si>
  <si>
    <t>ธ. ทหารไทย จำกัด (มหาชน) สาขา วงศ์สว่าง ทาวน์ เซ็นเตอร์</t>
  </si>
  <si>
    <t>0110053</t>
  </si>
  <si>
    <t>ธ. ทหารไทย จำกัด (มหาชน) สาขา อโศก</t>
  </si>
  <si>
    <t>0110054</t>
  </si>
  <si>
    <t>ธ. ทหารไทย จำกัด (มหาชน) สาขา รัชดาภิเษก-ห้วยขวาง</t>
  </si>
  <si>
    <t>0110055</t>
  </si>
  <si>
    <t>ธ. ทหารไทยธนชาต จำกัด (มหาชน) สาขา สวนจตุจักร</t>
  </si>
  <si>
    <t>0110056</t>
  </si>
  <si>
    <t>ธ. ทหารไทย จำกัด (มหาชน) สาขา บางลำภู</t>
  </si>
  <si>
    <t>0110057</t>
  </si>
  <si>
    <t>ธ. ทหารไทย จำกัด (มหาชน) สาขา กองบัญชาการกองทัพอากาศ</t>
  </si>
  <si>
    <t>0110058</t>
  </si>
  <si>
    <t>ธ. ทหารไทยธนชาต จำกัด (มหาชน) สาขา บางนา</t>
  </si>
  <si>
    <t>0110059</t>
  </si>
  <si>
    <t>ธ. ทหารไทย จำกัด (มหาชน) สาขา ปทุมธานี</t>
  </si>
  <si>
    <t>0110060</t>
  </si>
  <si>
    <t>ธ. ทหารไทย จำกัด (มหาชน) สาขา ถนนเทพารักษ์</t>
  </si>
  <si>
    <t>0110061</t>
  </si>
  <si>
    <t>ธ. ทหารไทย จำกัด (มหาชน) สาขา ศูนย์การค้าปู่เจ้าสมิงพราย</t>
  </si>
  <si>
    <t>0110062</t>
  </si>
  <si>
    <t>ธ. ทหารไทย จำกัด (มหาชน) สาขา รามอินทรา กม.8</t>
  </si>
  <si>
    <t>0110063</t>
  </si>
  <si>
    <t>ธ. ทหารไทย จำกัด (มหาชน) สาขา แจ้งวัฒนะ</t>
  </si>
  <si>
    <t>0110064</t>
  </si>
  <si>
    <t>ธ. ทหารไทย จำกัด (มหาชน) สาขา ศูนย์การค้าวรรัตน์</t>
  </si>
  <si>
    <t>0110065</t>
  </si>
  <si>
    <t>ธ. ทหารไทย จำกัด (มหาชน) สาขา ถนนบรมราชชนนี</t>
  </si>
  <si>
    <t>0110066</t>
  </si>
  <si>
    <t>ธ. ทหารไทย จำกัด (มหาชน) สาขา เดอะคริสตัล เอสบี ราชพฤกษ์</t>
  </si>
  <si>
    <t>0110067</t>
  </si>
  <si>
    <t>ธ. ทหารไทย จำกัด (มหาชน) สาขา วงเวียนใหญ่</t>
  </si>
  <si>
    <t>0110068</t>
  </si>
  <si>
    <t>ธ. ทหารไทย จำกัด (มหาชน) สาขา เมืองใหม่บางพลี</t>
  </si>
  <si>
    <t>0110069</t>
  </si>
  <si>
    <t>ธ. ทหารไทย จำกัด (มหาชน) สาขา มหาวิทยาลัยเกษตรศาสตร์</t>
  </si>
  <si>
    <t>0110070</t>
  </si>
  <si>
    <t>ธ. ทหารไทย จำกัด (มหาชน) สาขา พระโขนง</t>
  </si>
  <si>
    <t>0110071</t>
  </si>
  <si>
    <t>ธ. ทหารไทย จำกัด (มหาชน) สาขา ถนนสามัคคี</t>
  </si>
  <si>
    <t>0110072</t>
  </si>
  <si>
    <t>ธ. ทหารไทย จำกัด (มหาชน) สาขา บางรัก</t>
  </si>
  <si>
    <t>0110073</t>
  </si>
  <si>
    <t>ธ. ทหารไทย จำกัด (มหาชน) สาขา สาธุประดิษฐ์</t>
  </si>
  <si>
    <t>0110074</t>
  </si>
  <si>
    <t>ธ. ทหารไทยธนชาต จำกัด (มหาชน) สาขา ถนนสายลวด</t>
  </si>
  <si>
    <t>0110075</t>
  </si>
  <si>
    <t>ธ. ทหารไทย จำกัด (มหาชน) สาขา พาราไดซ์ พาร์ค</t>
  </si>
  <si>
    <t>0110076</t>
  </si>
  <si>
    <t>ธ. ทหารไทยธนชาต จำกัด (มหาชน) สาขา บางปะกอก</t>
  </si>
  <si>
    <t>0110077</t>
  </si>
  <si>
    <t>ธ. ทหารไทย จำกัด (มหาชน) สาขา กองบัญชาการกองทัพบก</t>
  </si>
  <si>
    <t>0110078</t>
  </si>
  <si>
    <t>ธ. ทหารไทย จำกัด (มหาชน) สาขา สุรวงศ์</t>
  </si>
  <si>
    <t>0110079</t>
  </si>
  <si>
    <t>ธ. ทหารไทย จำกัด (มหาชน) สาขา พุทธมณฑล</t>
  </si>
  <si>
    <t>0110080</t>
  </si>
  <si>
    <t>ธ. ทหารไทยธนชาต จำกัด (มหาชน) สาขา บางแค</t>
  </si>
  <si>
    <t>0110081</t>
  </si>
  <si>
    <t>ธ. ทหารไทยธนชาต จำกัด (มหาชน) สาขา วรจักร</t>
  </si>
  <si>
    <t>0110082</t>
  </si>
  <si>
    <t>ธ. ทหารไทย จำกัด (มหาชน) สาขา อิมพีเรียล เวิลด์ สำโรง</t>
  </si>
  <si>
    <t>0110083</t>
  </si>
  <si>
    <t>ธ. ทหารไทย จำกัด (มหาชน) สาขา อินทรา-ประตูน้ำ</t>
  </si>
  <si>
    <t>0110084</t>
  </si>
  <si>
    <t>ธ. ทหารไทยธนชาต จำกัด (มหาชน) สาขา นนทบุรี</t>
  </si>
  <si>
    <t>0110085</t>
  </si>
  <si>
    <t>ธ. ทหารไทย จำกัด (มหาชน) สาขา ศิริราช</t>
  </si>
  <si>
    <t>0110086</t>
  </si>
  <si>
    <t>ธ. ทหารไทย จำกัด (มหาชน) สาขา ปากคลองตลาด</t>
  </si>
  <si>
    <t>0110087</t>
  </si>
  <si>
    <t>ธ. ทหารไทยธนชาต จำกัด (มหาชน) สาขา โบ๊เบ๊</t>
  </si>
  <si>
    <t>0110088</t>
  </si>
  <si>
    <t>ธ. ทหารไทยธนชาต จำกัด (มหาชน) สาขา ซอยทองหล่อ</t>
  </si>
  <si>
    <t>0110089</t>
  </si>
  <si>
    <t>ธ. ทหารไทย จำกัด (มหาชน) สาขา บางบอน</t>
  </si>
  <si>
    <t>0110090</t>
  </si>
  <si>
    <t>ธ. ทหารไทย จำกัด (มหาชน) สาขา ถนนเพชรบุรีตัดใหม่</t>
  </si>
  <si>
    <t>0110091</t>
  </si>
  <si>
    <t>ธ. ทหารไทย จำกัด (มหาชน) สาขา กรุงเกษม</t>
  </si>
  <si>
    <t>0110092</t>
  </si>
  <si>
    <t>ธ. ทหารไทย จำกัด (มหาชน) สาขา ตรีเพชร</t>
  </si>
  <si>
    <t>0110093</t>
  </si>
  <si>
    <t>ธ. ทหารไทยธนชาต จำกัด (มหาชน) สาขา ถนนเศรษฐกิจ1-สมุทรสาคร</t>
  </si>
  <si>
    <t>0110094</t>
  </si>
  <si>
    <t>ธ. ทหารไทยธนชาต จำกัด (มหาชน) สาขา สามพราน</t>
  </si>
  <si>
    <t>0110095</t>
  </si>
  <si>
    <t>ธ. ทหารไทยธนชาต จำกัด (มหาชน) สาขา  เทสโก้ โลตัส บางกะปิ</t>
  </si>
  <si>
    <t>0110096</t>
  </si>
  <si>
    <t>ธ. ทหารไทยธนชาต จำกัด (มหาชน) สาขา อาคารวอเตอร์เกทพาวิลเลี่ยนประตูน้ำ</t>
  </si>
  <si>
    <t>0110097</t>
  </si>
  <si>
    <t>ธ. ทหารไทยธนชาต จำกัด (มหาชน) สาขา บางโพ</t>
  </si>
  <si>
    <t>0110098</t>
  </si>
  <si>
    <t>ธ. ทหารไทยธนชาต จำกัด (มหาชน) สาขา แคราย</t>
  </si>
  <si>
    <t>0110099</t>
  </si>
  <si>
    <t>ธ. ทหารไทย จำกัด (มหาชน) สาขา เมืองเอก รังสิต</t>
  </si>
  <si>
    <t>0110100</t>
  </si>
  <si>
    <t>ธ. ทหารไทย จำกัด (มหาชน) สาขา เซ็นทรัลพลาซา พระราม 9</t>
  </si>
  <si>
    <t>0110101</t>
  </si>
  <si>
    <t>ธ. ทหารไทย จำกัด (มหาชน) สาขา อุดมสุข</t>
  </si>
  <si>
    <t>0110102</t>
  </si>
  <si>
    <t>ธ. ทหารไทย จำกัด (มหาชน) สาขา อินทรารักษ์</t>
  </si>
  <si>
    <t>0110103</t>
  </si>
  <si>
    <t>ธ. ทหารไทย จำกัด (มหาชน) สาขา บางบัว</t>
  </si>
  <si>
    <t>0110104</t>
  </si>
  <si>
    <t>ธ. ทหารไทยธนชาต จำกัด (มหาชน) สาขา ถนนพหลโยธิน-สะพานใหม่</t>
  </si>
  <si>
    <t>0110105</t>
  </si>
  <si>
    <t>ธ. ทหารไทย จำกัด (มหาชน) สาขา ถนนศรีนครินทร์-ลาซาล</t>
  </si>
  <si>
    <t>0110106</t>
  </si>
  <si>
    <t>ธ. ทหารไทยธนชาต จำกัด (มหาชน) สาขา ย่อยถนนสิรินธร</t>
  </si>
  <si>
    <t>0110107</t>
  </si>
  <si>
    <t>ธ. ทหารไทยธนชาต จำกัด (มหาชน) สาขา บางพลัด</t>
  </si>
  <si>
    <t>0110108</t>
  </si>
  <si>
    <t>ธ. ทหารไทย จำกัด (มหาชน) สาขา ลาดพร้าว 103</t>
  </si>
  <si>
    <t>0110109</t>
  </si>
  <si>
    <t>ธ. ทหารไทยธนชาต จำกัด (มหาชน) สาขา หนองแขม</t>
  </si>
  <si>
    <t>0110110</t>
  </si>
  <si>
    <t>ธ. ทหารไทย จำกัด (มหาชน) สาขา เทสโก้ โลตัส ประชาชื่น</t>
  </si>
  <si>
    <t>0110111</t>
  </si>
  <si>
    <t>ธ. ทหารไทย จำกัด (มหาชน) สาขา ถนนติวานนท์</t>
  </si>
  <si>
    <t>0110112</t>
  </si>
  <si>
    <t>ธ. ทหารไทยธนชาต จำกัด (มหาชน) สาขา แลนด์มาร์คพลาซ่า</t>
  </si>
  <si>
    <t>0110113</t>
  </si>
  <si>
    <t>ธ. ทหารไทย จำกัด (มหาชน) สาขา บางขุนนนท์</t>
  </si>
  <si>
    <t>0110114</t>
  </si>
  <si>
    <t>ธ. ทหารไทย จำกัด (มหาชน) สาขา ตลาดพลู</t>
  </si>
  <si>
    <t>0110115</t>
  </si>
  <si>
    <t>ธ. ทหารไทย จำกัด (มหาชน) สาขา กองบัญชาการกองทัพเรือ</t>
  </si>
  <si>
    <t>0110116</t>
  </si>
  <si>
    <t>ธ. ทหารไทย จำกัด (มหาชน) สาขา ถนนพัฒนาการ</t>
  </si>
  <si>
    <t>0110117</t>
  </si>
  <si>
    <t>ธ. ทหารไทยธนชาต จำกัด (มหาชน) สาขา ย่อยถนนวิภาวดีรังสิต</t>
  </si>
  <si>
    <t>0110118</t>
  </si>
  <si>
    <t>ธ. ทหารไทย จำกัด (มหาชน) สาขา สีลม</t>
  </si>
  <si>
    <t>0110119</t>
  </si>
  <si>
    <t>ธ. ทหารไทย จำกัด (มหาชน) สาขา ดาวคนอง</t>
  </si>
  <si>
    <t>0110120</t>
  </si>
  <si>
    <t>ธ. ทหารไทย จำกัด (มหาชน) สาขา ถนนรัตนาธิเบศร์</t>
  </si>
  <si>
    <t>0110121</t>
  </si>
  <si>
    <t>ธ. ทหารไทย จำกัด (มหาชน) สาขา นครชัยศรี</t>
  </si>
  <si>
    <t>0110122</t>
  </si>
  <si>
    <t>ธ. ทหารไทย จำกัด (มหาชน) สาขา จารุเมือง</t>
  </si>
  <si>
    <t>0110123</t>
  </si>
  <si>
    <t>ธ. ทหารไทย จำกัด (มหาชน) สาขา กระทุ่มแบน</t>
  </si>
  <si>
    <t>0110124</t>
  </si>
  <si>
    <t>ธ. ทหารไทยธนชาต จำกัด (มหาชน) สาขา เดอะไนน์ ถนนพระราม 9</t>
  </si>
  <si>
    <t>0110125</t>
  </si>
  <si>
    <t>ธ. ทหารไทยธนชาต จำกัด (มหาชน) สาขา โรงพยาบาลพญาไท 3</t>
  </si>
  <si>
    <t>0110126</t>
  </si>
  <si>
    <t>ธ. ทหารไทย จำกัด (มหาชน) สาขา ถนนวัดกิ่งแก้ว</t>
  </si>
  <si>
    <t>0110127</t>
  </si>
  <si>
    <t>ธ. ทหารไทย จำกัด (มหาชน) สาขา บิ๊กซี เอ็กซ์ตร้า อ่อนนุช</t>
  </si>
  <si>
    <t>0110128</t>
  </si>
  <si>
    <t>ธ. ทหารไทย จำกัด (มหาชน) สาขา เดอะมอลล์ 3 รามคำแหง</t>
  </si>
  <si>
    <t>0110129</t>
  </si>
  <si>
    <t>ธ. ทหารไทยธนชาต จำกัด (มหาชน) สาขา นวนคร</t>
  </si>
  <si>
    <t>0110130</t>
  </si>
  <si>
    <t>ธ. ทหารไทย จำกัด (มหาชน) สาขา สะพานนนทบุรี</t>
  </si>
  <si>
    <t>0110131</t>
  </si>
  <si>
    <t>ธ. ทหารไทย จำกัด (มหาชน) สาขา บางจาก</t>
  </si>
  <si>
    <t>0110132</t>
  </si>
  <si>
    <t>ธ. ทหารไทย จำกัด (มหาชน) สาขา ถนนเจริญนคร</t>
  </si>
  <si>
    <t>0110133</t>
  </si>
  <si>
    <t>ธ. ทหารไทยธนชาต จำกัด (มหาชน) สาขา รังสิต</t>
  </si>
  <si>
    <t>0110134</t>
  </si>
  <si>
    <t>ธ. ทหารไทย จำกัด (มหาชน) สาขา ตลิ่งชัน</t>
  </si>
  <si>
    <t>0110135</t>
  </si>
  <si>
    <t>ธ. ทหารไทย จำกัด (มหาชน) สาขา ถนนสรงประภา</t>
  </si>
  <si>
    <t>0110136</t>
  </si>
  <si>
    <t>ธ. ทหารไทย จำกัด (มหาชน) สาขา รามอินทรา กม.4</t>
  </si>
  <si>
    <t>0110137</t>
  </si>
  <si>
    <t>ธ. ทหารไทยธนชาต จำกัด (มหาชน) สาขา ประชานิเวศน์ 1</t>
  </si>
  <si>
    <t>0110138</t>
  </si>
  <si>
    <t>ธ. ทหารไทย จำกัด (มหาชน) สาขา ซีคอน บางแค</t>
  </si>
  <si>
    <t>0110139</t>
  </si>
  <si>
    <t>ธ. ทหารไทย จำกัด (มหาชน) สาขา ถนนเทพารักษ์ กม.22</t>
  </si>
  <si>
    <t>0110140</t>
  </si>
  <si>
    <t>ธ. ทหารไทยธนชาต จำกัด (มหาชน) สาขา บางครุ</t>
  </si>
  <si>
    <t>0110141</t>
  </si>
  <si>
    <t>ธ. ทหารไทย จำกัด (มหาชน) สาขา ลาดพร้าว 42</t>
  </si>
  <si>
    <t>0110142</t>
  </si>
  <si>
    <t>ธ. ทหารไทย จำกัด (มหาชน) สาขา แม็คโคร จรัญสนิทวงศ์</t>
  </si>
  <si>
    <t>0110143</t>
  </si>
  <si>
    <t>ธ. ทหารไทยธนชาต จำกัด (มหาชน) สาขา ถนนเอกชัย</t>
  </si>
  <si>
    <t>0110144</t>
  </si>
  <si>
    <t>ธ. ทหารไทย จำกัด (มหาชน) สาขา ถนนสุขาภิบาล 3</t>
  </si>
  <si>
    <t>0110145</t>
  </si>
  <si>
    <t>ธ. ทหารไทย จำกัด (มหาชน) สาขา ตลาดบางบัวทอง</t>
  </si>
  <si>
    <t>0110146</t>
  </si>
  <si>
    <t>ธ. ทหารไทย จำกัด (มหาชน) สาขา อ้อมใหญ่</t>
  </si>
  <si>
    <t>0110147</t>
  </si>
  <si>
    <t>ธ. ทหารไทย จำกัด (มหาชน) สาขา รังสิต-คลอง 3</t>
  </si>
  <si>
    <t>0110148</t>
  </si>
  <si>
    <t>ธ. ทหารไทย จำกัด (มหาชน) สาขา โรบินสัน สมุทรปราการ</t>
  </si>
  <si>
    <t>0110149</t>
  </si>
  <si>
    <t>ธ. ทหารไทย จำกัด (มหาชน) สาขา กล้วยน้ำไท</t>
  </si>
  <si>
    <t>0110150</t>
  </si>
  <si>
    <t>ธ. ทหารไทย จำกัด (มหาชน) สาขา ลาดกระบัง</t>
  </si>
  <si>
    <t>0110151</t>
  </si>
  <si>
    <t>ธ. ทหารไทย จำกัด (มหาชน) สาขา ถนนเทพารักษ์ กม.3</t>
  </si>
  <si>
    <t>0110152</t>
  </si>
  <si>
    <t>ธ. ทหารไทย จำกัด (มหาชน) สาขา เอกมัย</t>
  </si>
  <si>
    <t>0110153</t>
  </si>
  <si>
    <t>ธ. ทหารไทยธนชาต จำกัด (มหาชน) สาขา ถนนประชาอุทิศ</t>
  </si>
  <si>
    <t>0110154</t>
  </si>
  <si>
    <t>ธ. ทหารไทยธนชาต จำกัด (มหาชน) สาขา เสรีไทย 32</t>
  </si>
  <si>
    <t>0110155</t>
  </si>
  <si>
    <t>ธ. ทหารไทย จำกัด (มหาชน) สาขา มหาวิทยาลัยธรรมศาสตร์-ท่าพระจันทร์</t>
  </si>
  <si>
    <t>0110156</t>
  </si>
  <si>
    <t>ธ. ทหารไทยธนชาต จำกัด (มหาชน) สาขา มหาวิทยาลัยรามคำแหง-หัวหมาก</t>
  </si>
  <si>
    <t>0110157</t>
  </si>
  <si>
    <t>ธ. ทหารไทยธนชาต จำกัด (มหาชน) สาขา กองบัญชาการกองทัพไทย</t>
  </si>
  <si>
    <t>0110158</t>
  </si>
  <si>
    <t>ธ. ทหารไทย จำกัด (มหาชน) สาขา มหาวิทยาลัยศรีปทุม</t>
  </si>
  <si>
    <t>0110159</t>
  </si>
  <si>
    <t>ธ. ทหารไทยธนชาต จำกัด (มหาชน) สาขา มหาวิทยาลัยสยาม</t>
  </si>
  <si>
    <t>0110160</t>
  </si>
  <si>
    <t>ธ. ทหารไทย จำกัด (มหาชน) สาขา คอสโม ออฟฟิศ พาร์ค เมืองทองธานี</t>
  </si>
  <si>
    <t>0110161</t>
  </si>
  <si>
    <t>ธ. ทหารไทยธนชาต จำกัด (มหาชน) สาขา มหาวิทยาลัยราชภัฏพระนคร</t>
  </si>
  <si>
    <t>0110162</t>
  </si>
  <si>
    <t>ธ. ทหารไทย จำกัด (มหาชน) สาขา มหาวิทยาลัยราชภัฏจันทรเกษม</t>
  </si>
  <si>
    <t>0110163</t>
  </si>
  <si>
    <t>ธ. ทหารไทยธนชาต จำกัด (มหาชน) สาขา ตลาดสี่มุมเมือง รังสิต</t>
  </si>
  <si>
    <t>0110164</t>
  </si>
  <si>
    <t>ธ. ทหารไทยธนชาต จำกัด (มหาชน) สาขา เดอะมอลล์ ท่าพระ</t>
  </si>
  <si>
    <t>0110165</t>
  </si>
  <si>
    <t>ธ. ทหารไทย จำกัด (มหาชน) สาขา เมกาบางนา</t>
  </si>
  <si>
    <t>0110166</t>
  </si>
  <si>
    <t>ธ. ทหารไทย จำกัด (มหาชน) สาขา บิ๊กซี-ถนนพระรามที่ 2</t>
  </si>
  <si>
    <t>0110167</t>
  </si>
  <si>
    <t>ธ. ทหารไทยธนชาต จำกัด (มหาชน) สาขา ม.ศรีนครินทรวิโรฒ-ประสานมิตร</t>
  </si>
  <si>
    <t>0110168</t>
  </si>
  <si>
    <t>ธ. ทหารไทยธนชาต จำกัด (มหาชน) สาขา การไฟฟ้าส่วนภูมิภาค</t>
  </si>
  <si>
    <t>0110169</t>
  </si>
  <si>
    <t>ธ. ทหารไทยธนชาต จำกัด (มหาชน) สาขา ย่อยอนุสาวรีย์ชัยสมรภูมิ</t>
  </si>
  <si>
    <t>0110170</t>
  </si>
  <si>
    <t>ธ. ทหารไทย จำกัด (มหาชน) สาขา พัฒน์พงศ์</t>
  </si>
  <si>
    <t>0110171</t>
  </si>
  <si>
    <t>ธ. ทหารไทย จำกัด (มหาชน) สาขา ซอยหลังสวน</t>
  </si>
  <si>
    <t>0110172</t>
  </si>
  <si>
    <t>ธ. ทหารไทย จำกัด (มหาชน) สาขา ราชวงศ์</t>
  </si>
  <si>
    <t>0110173</t>
  </si>
  <si>
    <t>ธ. ทหารไทย จำกัด (มหาชน) สาขา วัดพระยาไกร</t>
  </si>
  <si>
    <t>0110174</t>
  </si>
  <si>
    <t>ธ. ทหารไทย จำกัด (มหาชน) สาขา สยามสแควร์</t>
  </si>
  <si>
    <t>0110175</t>
  </si>
  <si>
    <t>ธ. ทหารไทย จำกัด (มหาชน) สาขา ลาดพร้าว</t>
  </si>
  <si>
    <t>0110176</t>
  </si>
  <si>
    <t>ธ. ทหารไทย จำกัด (มหาชน) สาขา ถนนเพชรเกษม-บางแค</t>
  </si>
  <si>
    <t>0110177</t>
  </si>
  <si>
    <t>ธ. ทหารไทย จำกัด (มหาชน) สาขา วังบูรพา</t>
  </si>
  <si>
    <t>0110178</t>
  </si>
  <si>
    <t>ธ. ทหารไทยธนชาต จำกัด (มหาชน) สาขา สุขุมวิท 31</t>
  </si>
  <si>
    <t>0110179</t>
  </si>
  <si>
    <t>ธ. ทหารไทย จำกัด (มหาชน) สาขา ลาดพร้าว 71</t>
  </si>
  <si>
    <t>0110180</t>
  </si>
  <si>
    <t>ธ. ทหารไทย จำกัด (มหาชน) สาขา สุขุมวิท 71</t>
  </si>
  <si>
    <t>0110181</t>
  </si>
  <si>
    <t>ธ. ทหารไทย จำกัด (มหาชน) สาขา ถนนสุขุมวิท-สำโรง</t>
  </si>
  <si>
    <t>0110182</t>
  </si>
  <si>
    <t>ธ. ทหารไทย จำกัด (มหาชน) สาขา ทองหล่อ</t>
  </si>
  <si>
    <t>0110183</t>
  </si>
  <si>
    <t>ธ. ทหารไทย จำกัด (มหาชน) สาขา พระปิ่นเกล้า</t>
  </si>
  <si>
    <t>0110184</t>
  </si>
  <si>
    <t>ธ. ทหารไทยธนชาต จำกัด (มหาชน) สาขา รามคำแหง</t>
  </si>
  <si>
    <t>0110185</t>
  </si>
  <si>
    <t>ธ. ทหารไทย จำกัด (มหาชน) สาขา สี่แยกซอยอ่อนนุช-ถนนศรีนครินทร์</t>
  </si>
  <si>
    <t>0110186</t>
  </si>
  <si>
    <t>ธ. ทหารไทยธนชาต จำกัด (มหาชน) สาขา โรงพยาบาลเซนต์หลุยส์</t>
  </si>
  <si>
    <t>0110187</t>
  </si>
  <si>
    <t>ธ. ทหารไทย จำกัด (มหาชน) สาขา สี่แยกถนนบางขุนเทียน-ถนนพระรามที่ 2</t>
  </si>
  <si>
    <t>0110188</t>
  </si>
  <si>
    <t>ธ. ทหารไทย จำกัด (มหาชน) สาขา รังสิต-ปทุมธานี</t>
  </si>
  <si>
    <t>0110189</t>
  </si>
  <si>
    <t>ธ. ทหารไทย จำกัด (มหาชน) สาขา บางบ่อ</t>
  </si>
  <si>
    <t>0110190</t>
  </si>
  <si>
    <t>ธ. ทหารไทย จำกัด (มหาชน) สาขา ถนนแจ้งวัฒนะ</t>
  </si>
  <si>
    <t>0110191</t>
  </si>
  <si>
    <t>ธ. ทหารไทย จำกัด (มหาชน) สาขา ถนนประชาราษฎร์-นนทบุรี</t>
  </si>
  <si>
    <t>0110192</t>
  </si>
  <si>
    <t>ธ. ทหารไทยธนชาต จำกัด (มหาชน) สาขา หนามแดง</t>
  </si>
  <si>
    <t>0110193</t>
  </si>
  <si>
    <t>ธ. ทหารไทยธนชาต จำกัด (มหาชน) สาขา สะพานควาย</t>
  </si>
  <si>
    <t>0110194</t>
  </si>
  <si>
    <t>ธ. ทหารไทย จำกัด (มหาชน) สาขา ถนนสุขสวัสดิ์-ราษฎร์บูรณะ</t>
  </si>
  <si>
    <t>0110195</t>
  </si>
  <si>
    <t>ธ. ทหารไทย จำกัด (มหาชน) สาขา ห้วยขวาง</t>
  </si>
  <si>
    <t>0110196</t>
  </si>
  <si>
    <t>ธ. ทหารไทยธนชาต จำกัด (มหาชน) สาขา ชาญอิสสระทาวเวอร์ 2</t>
  </si>
  <si>
    <t>0110197</t>
  </si>
  <si>
    <t>ธ. ทหารไทย จำกัด (มหาชน) สาขา ถนนเพชรเกษม-หนองแขม</t>
  </si>
  <si>
    <t>0110198</t>
  </si>
  <si>
    <t>ธ. ทหารไทยธนชาต จำกัด (มหาชน) สาขา ถนนรามอินทรา กม.6</t>
  </si>
  <si>
    <t>0110199</t>
  </si>
  <si>
    <t>ธ. ทหารไทยธนชาต จำกัด (มหาชน) สาขา ย่อยสุขุมวิท42ซอยรูเบีย</t>
  </si>
  <si>
    <t>0110200</t>
  </si>
  <si>
    <t>ธ. ทหารไทย จำกัด (มหาชน) สาขา เทสโก้ โลตัส สุขาภิบาล 1</t>
  </si>
  <si>
    <t>0110201</t>
  </si>
  <si>
    <t>ธ. ทหารไทยธนชาต จำกัด (มหาชน) สาขา ลาดพร้าว ซอย 136</t>
  </si>
  <si>
    <t>0110202</t>
  </si>
  <si>
    <t>ธ. ทหารไทยธนชาต จำกัด (มหาชน) สาขา เพนนินซูล่า</t>
  </si>
  <si>
    <t>0110203</t>
  </si>
  <si>
    <t>ธ. ทหารไทย จำกัด (มหาชน) สาขา ถนนรัชดาภิเษก-นางลิ้นจี่</t>
  </si>
  <si>
    <t>0110204</t>
  </si>
  <si>
    <t>ธ. ทหารไทยธนชาต จำกัด (มหาชน) สาขา หัวตะเข้-ลาดกระบัง</t>
  </si>
  <si>
    <t>0110205</t>
  </si>
  <si>
    <t>ธ. ทหารไทย จำกัด (มหาชน) สาขา ถนนสายลวด-สมุทรปราการ</t>
  </si>
  <si>
    <t>0110206</t>
  </si>
  <si>
    <t>ธ. ทหารไทย จำกัด (มหาชน) สาขา เซ็นทรัล รัตนาธิเบศร์</t>
  </si>
  <si>
    <t>0110207</t>
  </si>
  <si>
    <t>ธ. ทหารไทยธนชาต จำกัด (มหาชน) สาขา ย่อยสยามดีสคัฟเวอร์รี่ชั้น6</t>
  </si>
  <si>
    <t>0110208</t>
  </si>
  <si>
    <t>ธ. ทหารไทยธนชาต จำกัด (มหาชน) สาขา ถนนหลวง-วรจักร</t>
  </si>
  <si>
    <t>0110209</t>
  </si>
  <si>
    <t>ธ. ทหารไทย จำกัด (มหาชน) สาขา เซ็นทรัล ปิ่นเกล้า</t>
  </si>
  <si>
    <t>0110210</t>
  </si>
  <si>
    <t>ธ. ทหารไทยธนชาต จำกัด (มหาชน) สาขา เดอะแพลทินัม แฟชั่นมอลล์</t>
  </si>
  <si>
    <t>0110211</t>
  </si>
  <si>
    <t>ธ. ทหารไทยธนชาต จำกัด (มหาชน) สาขา เอนเนอร์ยี่ คอมเพล็กซ์</t>
  </si>
  <si>
    <t>0110212</t>
  </si>
  <si>
    <t>ธ. ทหารไทย จำกัด (มหาชน) สาขา เซ็นทรัลพลาซา พระราม 3</t>
  </si>
  <si>
    <t>0110213</t>
  </si>
  <si>
    <t>ธ. ทหารไทย จำกัด (มหาชน) สาขา เซ็นทรัลพลาซา บางนา</t>
  </si>
  <si>
    <t>0110214</t>
  </si>
  <si>
    <t>ธ. ทหารไทยธนชาต จำกัด (มหาชน) สาขา โรงพยาบาลกรุงเทพ ซอยศูนย์วิจัย</t>
  </si>
  <si>
    <t>0110215</t>
  </si>
  <si>
    <t>ธ. ทหารไทย จำกัด (มหาชน) สาขา ฟิวเจอร์พาร์ค รังสิต</t>
  </si>
  <si>
    <t>0110216</t>
  </si>
  <si>
    <t>ธ. ทหารไทยธนชาต จำกัด (มหาชน) สาขา เซ็นทรัลเวิลด์</t>
  </si>
  <si>
    <t>0110217</t>
  </si>
  <si>
    <t>ธ. ทหารไทย จำกัด (มหาชน) สาขา เดอะมอลล์ บางกะปิ</t>
  </si>
  <si>
    <t>0110218</t>
  </si>
  <si>
    <t>ธ. ทหารไทยธนชาต จำกัด (มหาชน) สาขา สุวรรณภูมิ ชั้น 2 (ขาเข้า)</t>
  </si>
  <si>
    <t>0110219</t>
  </si>
  <si>
    <t>ธ. ทหารไทยธนชาต จำกัด (มหาชน) สาขา สุวรรณภูมิ ชั้น 4 (ขาออก)</t>
  </si>
  <si>
    <t>0110220</t>
  </si>
  <si>
    <t>ธ. ทหารไทยธนชาต จำกัด (มหาชน) สาขา สุวรรณภูมิ อาคารปฏิบัติงาน ทอท.</t>
  </si>
  <si>
    <t>0110221</t>
  </si>
  <si>
    <t xml:space="preserve">ธ. ทหารไทย จำกัด (มหาชน) </t>
  </si>
  <si>
    <t>0110222</t>
  </si>
  <si>
    <t>ธ. ทหารไทยธนชาต จำกัด (มหาชน) สาขา ท่าอากาศยานดอนเมือง</t>
  </si>
  <si>
    <t>0110223</t>
  </si>
  <si>
    <t>ธ. ทหารไทยธนชาต จำกัด (มหาชน) สาขา เทอมินอล 21 สุขุมวิท</t>
  </si>
  <si>
    <t>0110224</t>
  </si>
  <si>
    <t>ธ. ทหารไทย จำกัด (มหาชน) สาขา เซ็นทรัลพลาซา พระราม 2</t>
  </si>
  <si>
    <t>0110225</t>
  </si>
  <si>
    <t>ธ. ทหารไทย จำกัด (มหาชน) สาขา สุวรรณภูมิ ฝ่ายช่าง การบินไทย</t>
  </si>
  <si>
    <t>0110226</t>
  </si>
  <si>
    <t>ธ. ทหารไทยธนชาต จำกัด (มหาชน) สาขา สุวรรณภูมิ เขตปลอดอากร</t>
  </si>
  <si>
    <t>0110227</t>
  </si>
  <si>
    <t>ธ. ทหารไทยธนชาต จำกัด (มหาชน) สาขา อินทรา สแควร์</t>
  </si>
  <si>
    <t>0110228</t>
  </si>
  <si>
    <t>ธ. ทหารไทยธนชาต จำกัด (มหาชน) สาขา  เจ.เจ.มอลล์ จตุจักร</t>
  </si>
  <si>
    <t>0110229</t>
  </si>
  <si>
    <t>ธ. ทหารไทย จำกัด (มหาชน) สาขา เซียร์ รังสิต</t>
  </si>
  <si>
    <t>0110230</t>
  </si>
  <si>
    <t>ธ. ทหารไทย จำกัด (มหาชน) สาขา แฟชั่น ไอส์แลนด์</t>
  </si>
  <si>
    <t>0110231</t>
  </si>
  <si>
    <t>ธ. ทหารไทย จำกัด (มหาชน) สาขา เทสโก้ โลตัส นวนคร</t>
  </si>
  <si>
    <t>0110232</t>
  </si>
  <si>
    <t>ธ. ทหารไทยธนชาต จำกัด (มหาชน) สาขา  อาคารญาดา สีลม</t>
  </si>
  <si>
    <t>0110233</t>
  </si>
  <si>
    <t>ธ. ทหารไทยธนชาต จำกัด (มหาชน) สาขา เซ็นทรัลพลาซา ลาดพร้าว</t>
  </si>
  <si>
    <t>0110234</t>
  </si>
  <si>
    <t>ธ. ทหารไทย จำกัด (มหาชน) สาขา เดอะมอลล์ บางแค</t>
  </si>
  <si>
    <t>0110235</t>
  </si>
  <si>
    <t>ธ. ทหารไทย จำกัด (มหาชน) สาขา เซ็นทรัลพลาซา แจ้งวัฒนะ</t>
  </si>
  <si>
    <t>0110236</t>
  </si>
  <si>
    <t>ธ. ทหารไทย จำกัด (มหาชน) สาขา ศูนย์ราชการเฉลิมพระเกียรติ (อาคาร บ</t>
  </si>
  <si>
    <t>0110237</t>
  </si>
  <si>
    <t>ธ. ทหารไทย จำกัด (มหาชน) สาขา ซีคอนสแควร์</t>
  </si>
  <si>
    <t>0110238</t>
  </si>
  <si>
    <t>ธ. ทหารไทยธนชาต จำกัด (มหาชน) สาขา จามจุรี สแควร์</t>
  </si>
  <si>
    <t>0110239</t>
  </si>
  <si>
    <t>ธ. ทหารไทย จำกัด (มหาชน) สาขา เทสโก้ โลตัส ศรีนครินทร์</t>
  </si>
  <si>
    <t>0110240</t>
  </si>
  <si>
    <t>ธ. ทหารไทยธนชาต จำกัด (มหาชน) สาขา สยามพารากอน</t>
  </si>
  <si>
    <t>0110241</t>
  </si>
  <si>
    <t>ธ. ทหารไทยธนชาต จำกัด (มหาชน) สาขา พันธุ์ทิพย์ พลาซ่า งามวงศ์วาน</t>
  </si>
  <si>
    <t>0110242</t>
  </si>
  <si>
    <t>ธ. ทหารไทย จำกัด (มหาชน) สาขา บิ๊กซี ลำลูกกา 2</t>
  </si>
  <si>
    <t>0110243</t>
  </si>
  <si>
    <t>ธ. ทหารไทย จำกัด (มหาชน) สาขา เพชรเกษม พาวเวอร์ เซ็นเตอร์</t>
  </si>
  <si>
    <t>0110244</t>
  </si>
  <si>
    <t>ธ. ทหารไทย จำกัด (มหาชน) สาขา ตลาดถนอมมิตร วัชรพล</t>
  </si>
  <si>
    <t>0110245</t>
  </si>
  <si>
    <t>ธ. ทหารไทย จำกัด (มหาชน) สาขา บิ๊กซี สวนหลวง</t>
  </si>
  <si>
    <t>0110246</t>
  </si>
  <si>
    <t>ธ. ทหารไทย จำกัด (มหาชน) สาขา เดอะมอลล์ งามวงศ์วาน</t>
  </si>
  <si>
    <t>0110247</t>
  </si>
  <si>
    <t>ธ. ทหารไทย จำกัด (มหาชน) สาขา บิ๊กซี แจ้งวัฒนะ</t>
  </si>
  <si>
    <t>0110248</t>
  </si>
  <si>
    <t>ธ. ทหารไทย จำกัด (มหาชน) สาขา ตลาดกลางบางใหญ่</t>
  </si>
  <si>
    <t>0110249</t>
  </si>
  <si>
    <t>ธ. ทหารไทยธนชาต จำกัด (มหาชน) สาขา เทสโก้ โลตัส รังสิต</t>
  </si>
  <si>
    <t>0110250</t>
  </si>
  <si>
    <t>ธ. ทหารไทย จำกัด (มหาชน) สาขา อาคารพหลโยธิน เพลส</t>
  </si>
  <si>
    <t>0110251</t>
  </si>
  <si>
    <t>ธ. ทหารไทยธนชาต จำกัด (มหาชน) สาขา เทสโก้ โลตัส พระราม 4</t>
  </si>
  <si>
    <t>0110252</t>
  </si>
  <si>
    <t>ธ. ทหารไทย จำกัด (มหาชน) สาขา อาคารยูไนเต็ด เซ็นเตอร์ สีลม</t>
  </si>
  <si>
    <t>0110253</t>
  </si>
  <si>
    <t>ธ. ทหารไทยธนชาต จำกัด (มหาชน) สาขา เพียวเพลส รามคำแหง 110</t>
  </si>
  <si>
    <t>0110254</t>
  </si>
  <si>
    <t>ธ. ทหารไทย จำกัด (มหาชน) สาขา ทาวน์ อิน ทาวน์</t>
  </si>
  <si>
    <t>0110255</t>
  </si>
  <si>
    <t>ธ. ทหารไทยธนชาต จำกัด (มหาชน) สาขา อาคารลิเบอร์ตี้ สแควร์ สีลม</t>
  </si>
  <si>
    <t>0110256</t>
  </si>
  <si>
    <t>ธ. ทหารไทยธนชาต จำกัด (มหาชน) สาขา เทเวศร์</t>
  </si>
  <si>
    <t>0110257</t>
  </si>
  <si>
    <t>ธ. ทหารไทยธนชาต จำกัด (มหาชน) สาขา เมืองใหม่ บางพลี</t>
  </si>
  <si>
    <t>0110258</t>
  </si>
  <si>
    <t>ธ. ทหารไทยธนชาต จำกัด (มหาชน) สาขา  เดอะคริสตัล</t>
  </si>
  <si>
    <t>0110259</t>
  </si>
  <si>
    <t>ธ. ทหารไทยธนชาต จำกัด (มหาชน) สาขา ไอ เรสซิเดนท์ ถ.นราธิวาสราชนครินทร์</t>
  </si>
  <si>
    <t>0110260</t>
  </si>
  <si>
    <t>ธ. ทหารไทยธนชาต จำกัด (มหาชน) สาขา เพียวเพลส ราชพฤกษ์</t>
  </si>
  <si>
    <t>0110261</t>
  </si>
  <si>
    <t>ธ. ทหารไทยธนชาต จำกัด (มหาชน) สาขา  อาคารฟอร์จูนทาวน์</t>
  </si>
  <si>
    <t>0110262</t>
  </si>
  <si>
    <t>ธ. ทหารไทยธนชาต จำกัด (มหาชน) สาขา  เดอะพาซิโอ ลาดกระบัง</t>
  </si>
  <si>
    <t>0110263</t>
  </si>
  <si>
    <t>ธ. ทหารไทยธนชาต จำกัด (มหาชน) สาขา ออลซีซั่นส์เพลส</t>
  </si>
  <si>
    <t>0110264</t>
  </si>
  <si>
    <t>ธ. ทหารไทยธนชาต จำกัด (มหาชน) สาขา  โรงพยาบาลพญาไท 2</t>
  </si>
  <si>
    <t>0110265</t>
  </si>
  <si>
    <t>ธ. ทหารไทยธนชาต จำกัด (มหาชน) สาขา  โรงพยาบาลวิภาวดี</t>
  </si>
  <si>
    <t>0110266</t>
  </si>
  <si>
    <t>ธ. ทหารไทยธนชาต จำกัด (มหาชน) สาขา เอ็มไพร์ ทาวเวอร์</t>
  </si>
  <si>
    <t>0110267</t>
  </si>
  <si>
    <t>ธ. ทหารไทย จำกัด (มหาชน) สาขา พอร์โต้ ชิโน่ ถนนพระราม 2</t>
  </si>
  <si>
    <t>0110268</t>
  </si>
  <si>
    <t>ธ. ทหารไทยธนชาต จำกัด (มหาชน) สาขา ตลาดไท</t>
  </si>
  <si>
    <t>0110269</t>
  </si>
  <si>
    <t>ธ. ทหารไทยธนชาต จำกัด (มหาชน) สาขา  บิ๊กซี พระราม 4</t>
  </si>
  <si>
    <t>0110270</t>
  </si>
  <si>
    <t>ธ. ทหารไทย จำกัด (มหาชน) สาขา เทสโก้ โลตัส พลัสมอลล์ บางใหญ่</t>
  </si>
  <si>
    <t>0110271</t>
  </si>
  <si>
    <t>ธ. ทหารไทย จำกัด (มหาชน) สาขา เซ็นทรัลพลาซา ศาลายา</t>
  </si>
  <si>
    <t>0110272</t>
  </si>
  <si>
    <t>ธ. ทหารไทยธนชาต จำกัด (มหาชน) สาขา มาร์เก็ตวิลเลจ สุวรรณภูมิ</t>
  </si>
  <si>
    <t>0110273</t>
  </si>
  <si>
    <t>ธ. ทหารไทย จำกัด (มหาชน) สาขา เซ็นทรัลพลาซา เวสต์เกต</t>
  </si>
  <si>
    <t>0110274</t>
  </si>
  <si>
    <t>ธ. ทหารไทย จำกัด (มหาชน) สาขา โรบินสัน ศรีสมาน</t>
  </si>
  <si>
    <t>0110275</t>
  </si>
  <si>
    <t>ธ. ทหารไทย จำกัด (มหาชน) สาขา เซ็นทรัลเฟสติวัล อีสต์วิลล์</t>
  </si>
  <si>
    <t>0110276</t>
  </si>
  <si>
    <t>ธ. ทหารไทยธนชาต จำกัด (มหาชน) สาขา พุทธมณฑล สาย 4</t>
  </si>
  <si>
    <t>0110277</t>
  </si>
  <si>
    <t>ธ. ทหารไทย จำกัด (มหาชน) สาขา ถนนเอกชัย โพธิ์แจ้</t>
  </si>
  <si>
    <t>0110278</t>
  </si>
  <si>
    <t>ธ. ทหารไทยธนชาต จำกัด (มหาชน) สาขา พันท้ายนรสิงห์</t>
  </si>
  <si>
    <t>0110279</t>
  </si>
  <si>
    <t>ธ. ทหารไทยธนชาต จำกัด (มหาชน) สาขา บิ๊กซี เคหะร่มเกล้า</t>
  </si>
  <si>
    <t>0110280</t>
  </si>
  <si>
    <t>ธ. ทหารไทย จำกัด (มหาชน) สาขา เทสโก้ โลตัส รังสิต คลอง 7</t>
  </si>
  <si>
    <t>0110281</t>
  </si>
  <si>
    <t>ธ. ทหารไทย จำกัด (มหาชน) สาขา เซ็นทรัลพลาซา มหาชัย สมุทรสาคร</t>
  </si>
  <si>
    <t>0110282</t>
  </si>
  <si>
    <t>ธ. ทหารไทยธนชาต จำกัด (มหาชน) สาขา เซ็นจูรี่ เดอะมูฟวี่ พลาซ่า อ่อนนุช</t>
  </si>
  <si>
    <t>0110283</t>
  </si>
  <si>
    <t>ธ. ทหารไทยธนชาต จำกัด (มหาชน) สาขา ไอคอนสยาม</t>
  </si>
  <si>
    <t>0110284</t>
  </si>
  <si>
    <t>ธ. ทหารไทยธนชาต จำกัด (มหาชน) สาขา ศุภาลัย แกรนด์ ทาวเวอร์ พระราม 3</t>
  </si>
  <si>
    <t>0110285</t>
  </si>
  <si>
    <t>ธ. ทหารไทยธนชาต จำกัด (มหาชน) สาขา รัชดาภิเษก-ท่าพระ</t>
  </si>
  <si>
    <t>0110286</t>
  </si>
  <si>
    <t>ธ. ทหารไทยธนชาต จำกัด (มหาชน) สาขา เจริญนคร ซอย 36</t>
  </si>
  <si>
    <t>0110287</t>
  </si>
  <si>
    <t>ธ. ทหารไทยธนชาต จำกัด (มหาชน) สาขา พระราม 3</t>
  </si>
  <si>
    <t>0110288</t>
  </si>
  <si>
    <t>ธ. ทหารไทยธนชาต จำกัด (มหาชน) สาขา สี่แยกเฉลิมบุรี (เยาวราช)</t>
  </si>
  <si>
    <t>0110289</t>
  </si>
  <si>
    <t>ธ. ทหารไทยธนชาต จำกัด (มหาชน) สาขา ศาลอุทธรณ์</t>
  </si>
  <si>
    <t>0110291</t>
  </si>
  <si>
    <t>ธ. ทหารไทยธนชาต จำกัด (มหาชน) สาขา จรัญสนิทวงศ์ 13</t>
  </si>
  <si>
    <t>0110292</t>
  </si>
  <si>
    <t>ธ. ทหารไทยธนชาต จำกัด (มหาชน) สาขา โตโยต้า บัสส์ เกษตร-นวมินทร์</t>
  </si>
  <si>
    <t>0110293</t>
  </si>
  <si>
    <t>0110294</t>
  </si>
  <si>
    <t>ธ. ทหารไทยธนชาต จำกัด (มหาชน) สาขา ถนนเอกชัย (สมุทรสาคร)</t>
  </si>
  <si>
    <t>0110295</t>
  </si>
  <si>
    <t>ธ. ทหารไทยธนชาต จำกัด (มหาชน) สาขา มหาวิทยาลัยหัวเฉียวเฉลิมพระเกียรติ</t>
  </si>
  <si>
    <t>0110296</t>
  </si>
  <si>
    <t>ธ. ทหารไทยธนชาต จำกัด (มหาชน) สาขา เมืองใหม่-บางพลี</t>
  </si>
  <si>
    <t>0110297</t>
  </si>
  <si>
    <t>ธ. ทหารไทยธนชาต จำกัด (มหาชน) สาขา วัดเทียนดัด</t>
  </si>
  <si>
    <t>0110298</t>
  </si>
  <si>
    <t>ธ. ทหารไทยธนชาต จำกัด (มหาชน) สาขา ซีคอนสแควร์ ศรีนครินทร์</t>
  </si>
  <si>
    <t>0110300</t>
  </si>
  <si>
    <t>ธ. ทหารไทยธนชาต จำกัด (มหาชน) สาขา ประชาอุทิศ</t>
  </si>
  <si>
    <t>0110301</t>
  </si>
  <si>
    <t>ธ. ทหารไทย จำกัด (มหาชน) สาขา ชลบุรี</t>
  </si>
  <si>
    <t>0110302</t>
  </si>
  <si>
    <t>ธ. ทหารไทย จำกัด (มหาชน) สาขา สัตหีบ</t>
  </si>
  <si>
    <t>0110303</t>
  </si>
  <si>
    <t>ธ. ทหารไทย จำกัด (มหาชน) สาขา นครราชสีมา</t>
  </si>
  <si>
    <t>0110304</t>
  </si>
  <si>
    <t>ธ. ทหารไทย จำกัด (มหาชน) สาขา ลพบุรี</t>
  </si>
  <si>
    <t>0110305</t>
  </si>
  <si>
    <t>ธ. ทหารไทย จำกัด (มหาชน) สาขา อุบลราชธานี</t>
  </si>
  <si>
    <t>0110306</t>
  </si>
  <si>
    <t>ธ. ทหารไทย จำกัด (มหาชน) สาขา อุดรธานี</t>
  </si>
  <si>
    <t>0110307</t>
  </si>
  <si>
    <t>ธ. ทหารไทย จำกัด (มหาชน) สาขา ปราจีนบุรี</t>
  </si>
  <si>
    <t>0110308</t>
  </si>
  <si>
    <t>ธ. ทหารไทย จำกัด (มหาชน) สาขา กาญจนบุรี</t>
  </si>
  <si>
    <t>0110309</t>
  </si>
  <si>
    <t>ธ. ทหารไทย จำกัด (มหาชน) สาขา บ้านฉาง</t>
  </si>
  <si>
    <t>0110310</t>
  </si>
  <si>
    <t>ธ. ทหารไทย จำกัด (มหาชน) สาขา แฟรี่แลนด์ นครสวรรค์</t>
  </si>
  <si>
    <t>0110311</t>
  </si>
  <si>
    <t>ธ. ทหารไทย จำกัด (มหาชน) สาขา ราชบุรี</t>
  </si>
  <si>
    <t>0110312</t>
  </si>
  <si>
    <t>ธ. ทหารไทย จำกัด (มหาชน) สาขา สระบุรี</t>
  </si>
  <si>
    <t>0110313</t>
  </si>
  <si>
    <t>ธ. ทหารไทย จำกัด (มหาชน) สาขา สุราษฎร์ธานี</t>
  </si>
  <si>
    <t>0110314</t>
  </si>
  <si>
    <t>ธ. ทหารไทย จำกัด (มหาชน) สาขา พิษณุโลก</t>
  </si>
  <si>
    <t>0110315</t>
  </si>
  <si>
    <t>ธ. ทหารไทย จำกัด (มหาชน) สาขา เชียงราย</t>
  </si>
  <si>
    <t>0110316</t>
  </si>
  <si>
    <t>ธ. ทหารไทย จำกัด (มหาชน) สาขา หาดใหญ่</t>
  </si>
  <si>
    <t>0110317</t>
  </si>
  <si>
    <t>ธ. ทหารไทย จำกัด (มหาชน) สาขา ปัตตานี</t>
  </si>
  <si>
    <t>0110318</t>
  </si>
  <si>
    <t>ธ. ทหารไทย จำกัด (มหาชน) สาขา ชุมแพ</t>
  </si>
  <si>
    <t>0110319</t>
  </si>
  <si>
    <t>ธ. ทหารไทย จำกัด (มหาชน) สาขา พิมาย</t>
  </si>
  <si>
    <t>0110320</t>
  </si>
  <si>
    <t>ธ. ทหารไทย จำกัด (มหาชน) สาขา ชัยภูมิ</t>
  </si>
  <si>
    <t>0110321</t>
  </si>
  <si>
    <t>ธ. ทหารไทย จำกัด (มหาชน) สาขา นครพนม</t>
  </si>
  <si>
    <t>0110322</t>
  </si>
  <si>
    <t>ธ. ทหารไทย จำกัด (มหาชน) สาขา เชียงใหม่</t>
  </si>
  <si>
    <t>0110323</t>
  </si>
  <si>
    <t>ธ. ทหารไทย จำกัด (มหาชน) สาขา นาสาร</t>
  </si>
  <si>
    <t>0110324</t>
  </si>
  <si>
    <t>ธ. ทหารไทย จำกัด (มหาชน) สาขา อยุธยา</t>
  </si>
  <si>
    <t>0110325</t>
  </si>
  <si>
    <t>ธ. ทหารไทย จำกัด (มหาชน) สาขา ห้วยยอด</t>
  </si>
  <si>
    <t>0110326</t>
  </si>
  <si>
    <t>ธ. ทหารไทย จำกัด (มหาชน) สาขา ตลาดเซฟวัน นครราชสีมา</t>
  </si>
  <si>
    <t>0110327</t>
  </si>
  <si>
    <t>ธ. ทหารไทย จำกัด (มหาชน) สาขา พระพุทธบาท</t>
  </si>
  <si>
    <t>0110328</t>
  </si>
  <si>
    <t>ธ. ทหารไทย จำกัด (มหาชน) สาขา ลำปาง</t>
  </si>
  <si>
    <t>0110329</t>
  </si>
  <si>
    <t>ธ. ทหารไทยธนชาต จำกัด (มหาชน) สาขา ตระการพืชผล</t>
  </si>
  <si>
    <t>0110330</t>
  </si>
  <si>
    <t>ธ. ทหารไทย จำกัด (มหาชน) สาขา นางรอง</t>
  </si>
  <si>
    <t>0110331</t>
  </si>
  <si>
    <t>ธ. ทหารไทย จำกัด (มหาชน) สาขา สากเหล็ก</t>
  </si>
  <si>
    <t>0110332</t>
  </si>
  <si>
    <t>ธ. ทหารไทย จำกัด (มหาชน) สาขา หัวกุญแจ บ้านบึง</t>
  </si>
  <si>
    <t>0110333</t>
  </si>
  <si>
    <t>ธ. ทหารไทยธนชาต จำกัด (มหาชน) สาขา ครบุรี</t>
  </si>
  <si>
    <t>0110334</t>
  </si>
  <si>
    <t>ธ. ทหารไทย จำกัด (มหาชน) สาขา ปักธงชัย</t>
  </si>
  <si>
    <t>0110335</t>
  </si>
  <si>
    <t>ธ. ทหารไทย จำกัด (มหาชน) สาขา ขอนแก่น</t>
  </si>
  <si>
    <t>0110336</t>
  </si>
  <si>
    <t>ธ. ทหารไทย จำกัด (มหาชน) สาขา สุไหงโก-ลก</t>
  </si>
  <si>
    <t>0110337</t>
  </si>
  <si>
    <t>ธ. ทหารไทย จำกัด (มหาชน) สาขา เมืองพล</t>
  </si>
  <si>
    <t>0110338</t>
  </si>
  <si>
    <t>ธ. ทหารไทย จำกัด (มหาชน) สาขา อรัญประเทศ</t>
  </si>
  <si>
    <t>0110339</t>
  </si>
  <si>
    <t>ธ. ทหารไทย จำกัด (มหาชน) สาขา อ่าวอุดม</t>
  </si>
  <si>
    <t>0110340</t>
  </si>
  <si>
    <t>ธ. ทหารไทย จำกัด (มหาชน) สาขา ตาคลี</t>
  </si>
  <si>
    <t>0110341</t>
  </si>
  <si>
    <t>ธ. ทหารไทย จำกัด (มหาชน) สาขา นครศรีธรรมราช</t>
  </si>
  <si>
    <t>0110342</t>
  </si>
  <si>
    <t>ธ. ทหารไทย จำกัด (มหาชน) สาขา หนองคาย</t>
  </si>
  <si>
    <t>0110343</t>
  </si>
  <si>
    <t>ธ. ทหารไทย จำกัด (มหาชน) สาขา หนองกี่</t>
  </si>
  <si>
    <t>0110344</t>
  </si>
  <si>
    <t>ธ. ทหารไทย จำกัด (มหาชน) สาขา ภูเก็ต</t>
  </si>
  <si>
    <t>0110345</t>
  </si>
  <si>
    <t>ธ. ทหารไทย จำกัด (มหาชน) สาขา กำแพงแสน</t>
  </si>
  <si>
    <t>0110346</t>
  </si>
  <si>
    <t>ธ. ทหารไทย จำกัด (มหาชน) สาขา พัทลุง</t>
  </si>
  <si>
    <t>0110347</t>
  </si>
  <si>
    <t>ธ. ทหารไทย จำกัด (มหาชน) สาขา สกลนคร</t>
  </si>
  <si>
    <t>0110348</t>
  </si>
  <si>
    <t>ธ. ทหารไทย จำกัด (มหาชน) สาขา สงขลา</t>
  </si>
  <si>
    <t>0110349</t>
  </si>
  <si>
    <t>ธ. ทหารไทย จำกัด (มหาชน) สาขา จันทบุรี</t>
  </si>
  <si>
    <t>0110350</t>
  </si>
  <si>
    <t>ธ. ทหารไทย จำกัด (มหาชน) สาขา โพนพิสัย</t>
  </si>
  <si>
    <t>0110351</t>
  </si>
  <si>
    <t>ธ. ทหารไทย จำกัด (มหาชน) สาขา พัทยา</t>
  </si>
  <si>
    <t>0110352</t>
  </si>
  <si>
    <t>ธ. ทหารไทย จำกัด (มหาชน) สาขา นครปฐม</t>
  </si>
  <si>
    <t>0110353</t>
  </si>
  <si>
    <t>ธ. ทหารไทย จำกัด (มหาชน) สาขา อุตรดิตถ์</t>
  </si>
  <si>
    <t>0110354</t>
  </si>
  <si>
    <t>ธ. ทหารไทย จำกัด (มหาชน) สาขา แพร่</t>
  </si>
  <si>
    <t>0110355</t>
  </si>
  <si>
    <t>ธ. ทหารไทย จำกัด (มหาชน) สาขา สุโขทัย</t>
  </si>
  <si>
    <t>0110356</t>
  </si>
  <si>
    <t>ธ. ทหารไทย จำกัด (มหาชน) สาขา หล่มสัก</t>
  </si>
  <si>
    <t>0110357</t>
  </si>
  <si>
    <t>ธ. ทหารไทยธนชาต จำกัด (มหาชน) สาขา เพชรบุรี</t>
  </si>
  <si>
    <t>0110358</t>
  </si>
  <si>
    <t>ธ. ทหารไทย จำกัด (มหาชน) สาขา เพชรบูรณ์</t>
  </si>
  <si>
    <t>0110359</t>
  </si>
  <si>
    <t>ธ. ทหารไทย จำกัด (มหาชน) สาขา ตรัง</t>
  </si>
  <si>
    <t>0110360</t>
  </si>
  <si>
    <t>ธ. ทหารไทย จำกัด (มหาชน) สาขา ท่าเรือ</t>
  </si>
  <si>
    <t>0110361</t>
  </si>
  <si>
    <t>ธ. ทหารไทย จำกัด (มหาชน) สาขา สวรรคโลก</t>
  </si>
  <si>
    <t>0110362</t>
  </si>
  <si>
    <t>ธ. ทหารไทย จำกัด (มหาชน) สาขา บ้านผือ</t>
  </si>
  <si>
    <t>0110363</t>
  </si>
  <si>
    <t>ธ. ทหารไทย จำกัด (มหาชน) สาขา น่าน</t>
  </si>
  <si>
    <t>0110364</t>
  </si>
  <si>
    <t>ธ. ทหารไทย จำกัด (มหาชน) สาขา พะเยา</t>
  </si>
  <si>
    <t>0110365</t>
  </si>
  <si>
    <t>ธ. ทหารไทย จำกัด (มหาชน) สาขา ตะพานหิน</t>
  </si>
  <si>
    <t>0110366</t>
  </si>
  <si>
    <t>ธ. ทหารไทย จำกัด (มหาชน) สาขา วิหารแดง</t>
  </si>
  <si>
    <t>0110367</t>
  </si>
  <si>
    <t>ธ. ทหารไทย จำกัด (มหาชน) สาขา สามง่าม</t>
  </si>
  <si>
    <t>0110368</t>
  </si>
  <si>
    <t>ธ. ทหารไทย จำกัด (มหาชน) สาขา ร้อยเอ็ด</t>
  </si>
  <si>
    <t>0110369</t>
  </si>
  <si>
    <t>ธ. ทหารไทย จำกัด (มหาชน) สาขา สูงเม่น</t>
  </si>
  <si>
    <t>0110370</t>
  </si>
  <si>
    <t>ธ. ทหารไทย จำกัด (มหาชน) สาขา บ้านค่าย</t>
  </si>
  <si>
    <t>0110371</t>
  </si>
  <si>
    <t>ธ. ทหารไทย จำกัด (มหาชน) สาขา ชัยนาท</t>
  </si>
  <si>
    <t>0110372</t>
  </si>
  <si>
    <t>ธ. ทหารไทย จำกัด (มหาชน) สาขา ประจันตคาม</t>
  </si>
  <si>
    <t>0110373</t>
  </si>
  <si>
    <t>ธ. ทหารไทย จำกัด (มหาชน) สาขา อุทัยธานี</t>
  </si>
  <si>
    <t>0110374</t>
  </si>
  <si>
    <t>ธ. ทหารไทย จำกัด (มหาชน) สาขา เซ็นทรัลพลาซา อุบลราชธานี</t>
  </si>
  <si>
    <t>0110375</t>
  </si>
  <si>
    <t>ธ. ทหารไทย จำกัด (มหาชน) สาขา ตราด</t>
  </si>
  <si>
    <t>0110376</t>
  </si>
  <si>
    <t>ธ. ทหารไทย จำกัด (มหาชน) สาขา สมุทรสาคร</t>
  </si>
  <si>
    <t>0110377</t>
  </si>
  <si>
    <t>ธ. ทหารไทย จำกัด (มหาชน) สาขา ตาก</t>
  </si>
  <si>
    <t>0110378</t>
  </si>
  <si>
    <t>ธ. ทหารไทยธนชาต จำกัด (มหาชน) สาขา ตากใบ</t>
  </si>
  <si>
    <t>0110379</t>
  </si>
  <si>
    <t>ธ. ทหารไทย จำกัด (มหาชน) สาขา เทิง</t>
  </si>
  <si>
    <t>0110380</t>
  </si>
  <si>
    <t>ธ. ทหารไทย จำกัด (มหาชน) สาขา เลย</t>
  </si>
  <si>
    <t>0110381</t>
  </si>
  <si>
    <t>ธ. ทหารไทยธนชาต จำกัด (มหาชน) สาขา ละหานทราย</t>
  </si>
  <si>
    <t>0110382</t>
  </si>
  <si>
    <t>ธ. ทหารไทย จำกัด (มหาชน) สาขา ประจวบคีรีขันธ์</t>
  </si>
  <si>
    <t>0110383</t>
  </si>
  <si>
    <t>ธ. ทหารไทย จำกัด (มหาชน) สาขา ชุมพร</t>
  </si>
  <si>
    <t>0110384</t>
  </si>
  <si>
    <t>ธ. ทหารไทย จำกัด (มหาชน) สาขา บ้านไผ่</t>
  </si>
  <si>
    <t>0110385</t>
  </si>
  <si>
    <t>ธ. ทหารไทย จำกัด (มหาชน) สาขา ฝาง</t>
  </si>
  <si>
    <t>0110386</t>
  </si>
  <si>
    <t>ธ. ทหารไทย จำกัด (มหาชน) สาขา สิงห์บุรี</t>
  </si>
  <si>
    <t>0110387</t>
  </si>
  <si>
    <t>ธ. ทหารไทย จำกัด (มหาชน) สาขา ประทาย</t>
  </si>
  <si>
    <t>0110388</t>
  </si>
  <si>
    <t>ธ. ทหารไทย จำกัด (มหาชน) สาขา เมืองคง</t>
  </si>
  <si>
    <t>0110389</t>
  </si>
  <si>
    <t>ธ. ทหารไทย จำกัด (มหาชน) สาขา มวกเหล็ก</t>
  </si>
  <si>
    <t>0110390</t>
  </si>
  <si>
    <t>ธ. ทหารไทย จำกัด (มหาชน) สาขา พิจิตร</t>
  </si>
  <si>
    <t>0110391</t>
  </si>
  <si>
    <t>ธ. ทหารไทย จำกัด (มหาชน) สาขา เขาทราย</t>
  </si>
  <si>
    <t>0110392</t>
  </si>
  <si>
    <t>ธ. ทหารไทย จำกัด (มหาชน) สาขา ถนนรัถการ-หาดใหญ่</t>
  </si>
  <si>
    <t>0110393</t>
  </si>
  <si>
    <t>ธ. ทหารไทย จำกัด (มหาชน) สาขา ฮอด</t>
  </si>
  <si>
    <t>0110394</t>
  </si>
  <si>
    <t>ธ. ทหารไทย จำกัด (มหาชน) สาขา นราธิวาส</t>
  </si>
  <si>
    <t>0110395</t>
  </si>
  <si>
    <t>ธ. ทหารไทย จำกัด (มหาชน) สาขา ระโนด</t>
  </si>
  <si>
    <t>0110396</t>
  </si>
  <si>
    <t>ธ. ทหารไทย จำกัด (มหาชน) สาขา ด่านขุนทด</t>
  </si>
  <si>
    <t>0110397</t>
  </si>
  <si>
    <t>ธ. ทหารไทย จำกัด (มหาชน) สาขา กาฬสินธุ์</t>
  </si>
  <si>
    <t>0110398</t>
  </si>
  <si>
    <t>ธ. ทหารไทย จำกัด (มหาชน) สาขา หนองคล้า</t>
  </si>
  <si>
    <t>0110399</t>
  </si>
  <si>
    <t>ธ. ทหารไทย จำกัด (มหาชน) สาขา ยะลา</t>
  </si>
  <si>
    <t>0110400</t>
  </si>
  <si>
    <t>ธ. ทหารไทย จำกัด (มหาชน) สาขา ทรัพย์ไพรวัลย์</t>
  </si>
  <si>
    <t>0110401</t>
  </si>
  <si>
    <t>ธ. ทหารไทย จำกัด (มหาชน) สาขา ห้างฉัตร</t>
  </si>
  <si>
    <t>0110402</t>
  </si>
  <si>
    <t>ธ. ทหารไทยธนชาต จำกัด (มหาชน) สาขา สี่มุมเมือง-รังสิต</t>
  </si>
  <si>
    <t>0110403</t>
  </si>
  <si>
    <t>ธ. ทหารไทย จำกัด (มหาชน) สาขา ตลาดหนองหอย-เชียงใหม่</t>
  </si>
  <si>
    <t>0110404</t>
  </si>
  <si>
    <t>ธ. ทหารไทย จำกัด (มหาชน) สาขา บ้านด่านลานหอย</t>
  </si>
  <si>
    <t>0110405</t>
  </si>
  <si>
    <t>ธ. ทหารไทย จำกัด (มหาชน) สาขา งาว</t>
  </si>
  <si>
    <t>0110406</t>
  </si>
  <si>
    <t>ธ. ทหารไทย จำกัด (มหาชน) สาขา ถลาง</t>
  </si>
  <si>
    <t>0110407</t>
  </si>
  <si>
    <t>ธ. ทหารไทย จำกัด (มหาชน) สาขา โรบินสัน มุกดาหาร</t>
  </si>
  <si>
    <t>0110408</t>
  </si>
  <si>
    <t>ธ. ทหารไทยธนชาต จำกัด (มหาชน) สาขา ฉะเชิงเทรา</t>
  </si>
  <si>
    <t>0110409</t>
  </si>
  <si>
    <t>ธ. ทหารไทย จำกัด (มหาชน) สาขา นครนายก</t>
  </si>
  <si>
    <t>0110410</t>
  </si>
  <si>
    <t>ธ. ทหารไทย จำกัด (มหาชน) สาขา ทุ่งสง</t>
  </si>
  <si>
    <t>0110411</t>
  </si>
  <si>
    <t>ธ. ทหารไทย จำกัด (มหาชน) สาขา บางวัว</t>
  </si>
  <si>
    <t>0110412</t>
  </si>
  <si>
    <t>ธ. ทหารไทย จำกัด (มหาชน) สาขา ศรีสะเกษ</t>
  </si>
  <si>
    <t>0110413</t>
  </si>
  <si>
    <t>ธ. ทหารไทย จำกัด (มหาชน) สาขา บ้านไร่</t>
  </si>
  <si>
    <t>0110414</t>
  </si>
  <si>
    <t>ธ. ทหารไทย จำกัด (มหาชน) สาขา แม่สอด</t>
  </si>
  <si>
    <t>0110415</t>
  </si>
  <si>
    <t>ธ. ทหารไทย จำกัด (มหาชน) สาขา โรบินสัน สุรินทร์</t>
  </si>
  <si>
    <t>0110416</t>
  </si>
  <si>
    <t>ธ. ทหารไทย จำกัด (มหาชน) สาขา บ่อไร่</t>
  </si>
  <si>
    <t>0110417</t>
  </si>
  <si>
    <t>ธ. ทหารไทย จำกัด (มหาชน) สาขา อุทัย-อยุธยา</t>
  </si>
  <si>
    <t>0110418</t>
  </si>
  <si>
    <t>ธ. ทหารไทย จำกัด (มหาชน) สาขา จอมเทียน</t>
  </si>
  <si>
    <t>0110419</t>
  </si>
  <si>
    <t>ธ. ทหารไทย จำกัด (มหาชน) สาขา สตูล</t>
  </si>
  <si>
    <t>0110420</t>
  </si>
  <si>
    <t>ธ. ทหารไทย จำกัด (มหาชน) สาขา กระบี่</t>
  </si>
  <si>
    <t>0110421</t>
  </si>
  <si>
    <t>ธ. ทหารไทย จำกัด (มหาชน) สาขา พนัสนิคม</t>
  </si>
  <si>
    <t>0110422</t>
  </si>
  <si>
    <t>ธ. ทหารไทย จำกัด (มหาชน) สาขา ลำพูน</t>
  </si>
  <si>
    <t>0110423</t>
  </si>
  <si>
    <t>ธ. ทหารไทยธนชาต จำกัด (มหาชน) สาขา คลองปาง</t>
  </si>
  <si>
    <t>0110424</t>
  </si>
  <si>
    <t>ธ. ทหารไทย จำกัด (มหาชน) สาขา บิ๊กซี นครสวรรค์ (วี-สแควร์)</t>
  </si>
  <si>
    <t>0110425</t>
  </si>
  <si>
    <t>ธ. ทหารไทย จำกัด (มหาชน) สาขา ชุมแสง</t>
  </si>
  <si>
    <t>0110426</t>
  </si>
  <si>
    <t>ธ. ทหารไทย จำกัด (มหาชน) สาขา บุรีรัมย์</t>
  </si>
  <si>
    <t>0110427</t>
  </si>
  <si>
    <t>ธ. ทหารไทย จำกัด (มหาชน) สาขา ปราณบุรี</t>
  </si>
  <si>
    <t>0110428</t>
  </si>
  <si>
    <t>ธ. ทหารไทย จำกัด (มหาชน) สาขา หลังสวน</t>
  </si>
  <si>
    <t>0110429</t>
  </si>
  <si>
    <t>ธ. ทหารไทย จำกัด (มหาชน) สาขา ระนอง</t>
  </si>
  <si>
    <t>0110430</t>
  </si>
  <si>
    <t>ธ. ทหารไทย จำกัด (มหาชน) สาขา อู่ทอง</t>
  </si>
  <si>
    <t>0110431</t>
  </si>
  <si>
    <t>ธ. ทหารไทยธนชาต จำกัด (มหาชน) สาขา แม่เมาะ</t>
  </si>
  <si>
    <t>0110432</t>
  </si>
  <si>
    <t>ธ. ทหารไทย จำกัด (มหาชน) สาขา วังม่วง</t>
  </si>
  <si>
    <t>0110433</t>
  </si>
  <si>
    <t>ธ. ทหารไทย จำกัด (มหาชน) สาขา ห้วยไคร้</t>
  </si>
  <si>
    <t>0110434</t>
  </si>
  <si>
    <t>ธ. ทหารไทย จำกัด (มหาชน) สาขา กำแพงเพชร</t>
  </si>
  <si>
    <t>0110435</t>
  </si>
  <si>
    <t>ธ. ทหารไทย จำกัด (มหาชน) สาขา เซ็นทรัลพลาซา นครศรีธรรมราช</t>
  </si>
  <si>
    <t>0110436</t>
  </si>
  <si>
    <t>ธ. ทหารไทย จำกัด (มหาชน) สาขา ควนเนียง</t>
  </si>
  <si>
    <t>0110437</t>
  </si>
  <si>
    <t>ธ. ทหารไทย จำกัด (มหาชน) สาขา ยโสธร</t>
  </si>
  <si>
    <t>0110438</t>
  </si>
  <si>
    <t>ธ. ทหารไทย จำกัด (มหาชน) สาขา เสริมไทย คอมเพล็กซ์ มหาสารคาม</t>
  </si>
  <si>
    <t>0110439</t>
  </si>
  <si>
    <t>ธ. ทหารไทย จำกัด (มหาชน) สาขา อ้อมน้อย</t>
  </si>
  <si>
    <t>0110440</t>
  </si>
  <si>
    <t>ธ. ทหารไทย จำกัด (มหาชน) สาขา แปลงยาว</t>
  </si>
  <si>
    <t>0110441</t>
  </si>
  <si>
    <t>ธ. ทหารไทยธนชาต จำกัด (มหาชน) สาขา หน้าโรงพยาบาลสุราษฎร์ธานี</t>
  </si>
  <si>
    <t>0110442</t>
  </si>
  <si>
    <t>ธ. ทหารไทย จำกัด (มหาชน) สาขา ถนนเอเชีย-นครสวรรค์</t>
  </si>
  <si>
    <t>0110443</t>
  </si>
  <si>
    <t>ธ. ทหารไทยธนชาต จำกัด (มหาชน) สาขา ระยอง</t>
  </si>
  <si>
    <t>0110444</t>
  </si>
  <si>
    <t>ธ. ทหารไทย จำกัด (มหาชน) สาขา จังซีลอน ภูเก็ต</t>
  </si>
  <si>
    <t>0110445</t>
  </si>
  <si>
    <t>ธ. ทหารไทย จำกัด (มหาชน) สาขา ทุ่งตะโก</t>
  </si>
  <si>
    <t>0110446</t>
  </si>
  <si>
    <t>ธ. ทหารไทย จำกัด (มหาชน) สาขา กระบุรี</t>
  </si>
  <si>
    <t>0110447</t>
  </si>
  <si>
    <t>ธ. ทหารไทย จำกัด (มหาชน) สาขา สมุทรสงคราม</t>
  </si>
  <si>
    <t>0110448</t>
  </si>
  <si>
    <t>ธ. ทหารไทย จำกัด (มหาชน) สาขา พังงา</t>
  </si>
  <si>
    <t>0110449</t>
  </si>
  <si>
    <t>ธ. ทหารไทยธนชาต จำกัด (มหาชน) สาขา ท่าวังผา</t>
  </si>
  <si>
    <t>0110450</t>
  </si>
  <si>
    <t>ธ. ทหารไทยธนชาต จำกัด (มหาชน) สาขา บางเสร่</t>
  </si>
  <si>
    <t>0110451</t>
  </si>
  <si>
    <t>ธ. ทหารไทย จำกัด (มหาชน) สาขา เกาะสมุย</t>
  </si>
  <si>
    <t>0110452</t>
  </si>
  <si>
    <t>ธ. ทหารไทย จำกัด (มหาชน) สาขา ปลายพระยา</t>
  </si>
  <si>
    <t>0110453</t>
  </si>
  <si>
    <t>ธ. ทหารไทย จำกัด (มหาชน) สาขา ถนนช้างคลาน เชียงใหม่</t>
  </si>
  <si>
    <t>0110454</t>
  </si>
  <si>
    <t>ธ. ทหารไทย จำกัด (มหาชน) สาขา หนองมน</t>
  </si>
  <si>
    <t>0110455</t>
  </si>
  <si>
    <t>ธ. ทหารไทยธนชาต จำกัด (มหาชน) สาขา ถนนเจตน์จำนงค์</t>
  </si>
  <si>
    <t>0110456</t>
  </si>
  <si>
    <t>ธ. ทหารไทย จำกัด (มหาชน) สาขา มาบตาพุด</t>
  </si>
  <si>
    <t>0110457</t>
  </si>
  <si>
    <t>ธ. ทหารไทย จำกัด (มหาชน) สาขา พระปฐมเจดีย์</t>
  </si>
  <si>
    <t>0110458</t>
  </si>
  <si>
    <t>ธ. ทหารไทยธนชาต จำกัด (มหาชน) สาขา คลองใหญ่</t>
  </si>
  <si>
    <t>0110459</t>
  </si>
  <si>
    <t>ธ. ทหารไทย จำกัด (มหาชน) สาขา แม่สาย</t>
  </si>
  <si>
    <t>0110460</t>
  </si>
  <si>
    <t>ธ. ทหารไทย จำกัด (มหาชน) สาขา เซ็นทรัลเฟสติวัล หาดใหญ่</t>
  </si>
  <si>
    <t>0110461</t>
  </si>
  <si>
    <t>ธ. ทหารไทยธนชาต จำกัด (มหาชน) สาขา หัวหิน</t>
  </si>
  <si>
    <t>0110462</t>
  </si>
  <si>
    <t>ธ. ทหารไทย จำกัด (มหาชน) สาขา ถนนพหลโยธิน-เชียงราย</t>
  </si>
  <si>
    <t>0110463</t>
  </si>
  <si>
    <t>ธ. ทหารไทยธนชาต จำกัด (มหาชน) สาขา ทัพทัน</t>
  </si>
  <si>
    <t>0110464</t>
  </si>
  <si>
    <t>ธ. ทหารไทย จำกัด (มหาชน) สาขา แฟรี่พลาซ่า ขอนแก่น</t>
  </si>
  <si>
    <t>0110465</t>
  </si>
  <si>
    <t>ธ. ทหารไทย จำกัด (มหาชน) สาขา ถนนโพศรี-อุดรธานี</t>
  </si>
  <si>
    <t>0110466</t>
  </si>
  <si>
    <t>ธ. ทหารไทย จำกัด (มหาชน) สาขา ศรีราชา</t>
  </si>
  <si>
    <t>0110467</t>
  </si>
  <si>
    <t>ธ. ทหารไทย จำกัด (มหาชน) สาขา สุพรรณบุรี</t>
  </si>
  <si>
    <t>0110468</t>
  </si>
  <si>
    <t>ธ. ทหารไทย จำกัด (มหาชน) สาขา ถนนมนตรี-ภูเก็ต</t>
  </si>
  <si>
    <t>0110469</t>
  </si>
  <si>
    <t>ธ. ทหารไทย จำกัด (มหาชน) สาขา ดำเนินสะดวก</t>
  </si>
  <si>
    <t>0110470</t>
  </si>
  <si>
    <t>ธ. ทหารไทยธนชาต จำกัด (มหาชน) สาขา หนองหญ้าไซ</t>
  </si>
  <si>
    <t>0110471</t>
  </si>
  <si>
    <t>ธ. ทหารไทย จำกัด (มหาชน) สาขา บ้านโป่ง</t>
  </si>
  <si>
    <t>0110472</t>
  </si>
  <si>
    <t>ธ. ทหารไทย จำกัด (มหาชน) สาขา อ่างทอง</t>
  </si>
  <si>
    <t>0110473</t>
  </si>
  <si>
    <t>ธ. ทหารไทย จำกัด (มหาชน) สาขา วงเวียนสระแก้ว-ลพบุรี</t>
  </si>
  <si>
    <t>0110474</t>
  </si>
  <si>
    <t>ธ. ทหารไทย จำกัด (มหาชน) สาขา แม่ฮ่องสอน</t>
  </si>
  <si>
    <t>0110475</t>
  </si>
  <si>
    <t>ธ. ทหารไทย จำกัด (มหาชน) สาขา สระแก้ว</t>
  </si>
  <si>
    <t>0110476</t>
  </si>
  <si>
    <t>ธ. ทหารไทย จำกัด (มหาชน) สาขา บางละมุง</t>
  </si>
  <si>
    <t>0110477</t>
  </si>
  <si>
    <t>ธ. ทหารไทย จำกัด (มหาชน) สาขา ถนนนิมมานเหมินทร์ เชียงใหม่</t>
  </si>
  <si>
    <t>0110478</t>
  </si>
  <si>
    <t>ธ. ทหารไทย จำกัด (มหาชน) สาขา อำนาจเจริญ</t>
  </si>
  <si>
    <t>0110479</t>
  </si>
  <si>
    <t>ธ. ทหารไทย จำกัด (มหาชน) สาขา ฮาร์เบอร์ พัทยา</t>
  </si>
  <si>
    <t>0110480</t>
  </si>
  <si>
    <t>ธ. ทหารไทย จำกัด (มหาชน) สาขา ถนนพิบูลละเอียด-นครราชสีมา</t>
  </si>
  <si>
    <t>0110481</t>
  </si>
  <si>
    <t>ธ. ทหารไทย จำกัด (มหาชน) สาขา ปากช่อง</t>
  </si>
  <si>
    <t>0110482</t>
  </si>
  <si>
    <t>ธ. ทหารไทย จำกัด (มหาชน) สาขา โพธาราม</t>
  </si>
  <si>
    <t>0110483</t>
  </si>
  <si>
    <t>ธ. ทหารไทย จำกัด (มหาชน) สาขา บางบาล</t>
  </si>
  <si>
    <t>0110484</t>
  </si>
  <si>
    <t>ธ. ทหารไทยธนชาต จำกัด (มหาชน) สาขา บ้านแพรก</t>
  </si>
  <si>
    <t>0110485</t>
  </si>
  <si>
    <t>ธ. ทหารไทย จำกัด (มหาชน) สาขา เซ็นทรัลเฟสติวัล เชียงใหม่</t>
  </si>
  <si>
    <t>0110486</t>
  </si>
  <si>
    <t>ธ. ทหารไทย จำกัด (มหาชน) สาขา แกลง</t>
  </si>
  <si>
    <t>0110487</t>
  </si>
  <si>
    <t>ธ. ทหารไทยธนชาต จำกัด (มหาชน) สาขา ท่ายาง</t>
  </si>
  <si>
    <t>0110488</t>
  </si>
  <si>
    <t>ธ. ทหารไทย จำกัด (มหาชน) สาขา บิ๊กซี เอ็กซ์ตร้า หาดใหญ่</t>
  </si>
  <si>
    <t>0110489</t>
  </si>
  <si>
    <t>ธ. ทหารไทยธนชาต จำกัด (มหาชน) สาขา ชะอำ</t>
  </si>
  <si>
    <t>0110490</t>
  </si>
  <si>
    <t>ธ. ทหารไทยธนชาต จำกัด (มหาชน) สาขา ริมเมย-แม่สอด</t>
  </si>
  <si>
    <t>0110491</t>
  </si>
  <si>
    <t>ธ. ทหารไทย จำกัด (มหาชน) สาขา ถนนพหลโยธิน-สระบุรี</t>
  </si>
  <si>
    <t>0110492</t>
  </si>
  <si>
    <t>ธ. ทหารไทย จำกัด (มหาชน) สาขา บ้านสวน-ชลบุรี</t>
  </si>
  <si>
    <t>0110493</t>
  </si>
  <si>
    <t>ธ. ทหารไทยธนชาต จำกัด (มหาชน) สาขา ถนนประจักษ์-นครราชสีมา</t>
  </si>
  <si>
    <t>0110494</t>
  </si>
  <si>
    <t>ธ. ทหารไทย จำกัด (มหาชน) สาขา พนมสารคาม</t>
  </si>
  <si>
    <t>0110495</t>
  </si>
  <si>
    <t>ธ. ทหารไทย จำกัด (มหาชน) สาขา เทสโก้ โลตัส ภูเก็ต</t>
  </si>
  <si>
    <t>0110496</t>
  </si>
  <si>
    <t>ธ. ทหารไทย จำกัด (มหาชน) สาขา โคกมะตูม-พิษณุโลก</t>
  </si>
  <si>
    <t>0110497</t>
  </si>
  <si>
    <t>ธ. ทหารไทย จำกัด (มหาชน) สาขา สันป่าข่อย-เชียงใหม่</t>
  </si>
  <si>
    <t>0110498</t>
  </si>
  <si>
    <t>ธ. ทหารไทยธนชาต จำกัด (มหาชน) สาขา พระประโทน-นครปฐม</t>
  </si>
  <si>
    <t>0110499</t>
  </si>
  <si>
    <t>ธ. ทหารไทย จำกัด (มหาชน) สาขา เชียงของ</t>
  </si>
  <si>
    <t>0110500</t>
  </si>
  <si>
    <t>ธ. ทหารไทยธนชาต จำกัด (มหาชน) สาขา บ้านหลวง</t>
  </si>
  <si>
    <t>0110501</t>
  </si>
  <si>
    <t>ธ. ทหารไทยธนชาต จำกัด (มหาชน) สาขา ไม้แก่น</t>
  </si>
  <si>
    <t>0110502</t>
  </si>
  <si>
    <t>ธ. ทหารไทยธนชาต จำกัด (มหาชน) สาขา ท่าเรือ-อยุธยา</t>
  </si>
  <si>
    <t>0110503</t>
  </si>
  <si>
    <t>ธ. ทหารไทย จำกัด (มหาชน) สาขา ถนนศุขประยูร-ฉะเชิงเทรา</t>
  </si>
  <si>
    <t>0110504</t>
  </si>
  <si>
    <t>ธ. ทหารไทยธนชาต จำกัด (มหาชน) สาขา แม่สะเรียง</t>
  </si>
  <si>
    <t>0110505</t>
  </si>
  <si>
    <t>ธ. ทหารไทย จำกัด (มหาชน) สาขา ลำทับ</t>
  </si>
  <si>
    <t>0110506</t>
  </si>
  <si>
    <t>ธ. ทหารไทย จำกัด (มหาชน) สาขา ตลาดหัวอิฐ-นครศรีธรรมราช</t>
  </si>
  <si>
    <t>0110507</t>
  </si>
  <si>
    <t>ธ. ทหารไทยธนชาต จำกัด (มหาชน) สาขา กระแสสินธุ์</t>
  </si>
  <si>
    <t>0110508</t>
  </si>
  <si>
    <t>ธ. ทหารไทยธนชาต จำกัด (มหาชน) สาขา ดอยแม่สลอง</t>
  </si>
  <si>
    <t>0110509</t>
  </si>
  <si>
    <t>ธ. ทหารไทย จำกัด (มหาชน) สาขา เทสโก้ โลตัส ชลบุรี</t>
  </si>
  <si>
    <t>0110510</t>
  </si>
  <si>
    <t>ธ. ทหารไทยธนชาต จำกัด (มหาชน) สาขา วังน้อย</t>
  </si>
  <si>
    <t>0110511</t>
  </si>
  <si>
    <t>ธ. ทหารไทยธนชาต จำกัด (มหาชน) สาขา หนองแค</t>
  </si>
  <si>
    <t>0110512</t>
  </si>
  <si>
    <t>ธ. ทหารไทย จำกัด (มหาชน) สาขา สี่แยกข่วงสิงห์-เชียงใหม่</t>
  </si>
  <si>
    <t>0110513</t>
  </si>
  <si>
    <t>ธ. ทหารไทย จำกัด (มหาชน) สาขา ถนนพรหมราช-อุบลราชธานี</t>
  </si>
  <si>
    <t>0110514</t>
  </si>
  <si>
    <t>ธ. ทหารไทยธนชาต จำกัด (มหาชน) สาขา โซ่พิสัย</t>
  </si>
  <si>
    <t>0110515</t>
  </si>
  <si>
    <t>ธ. ทหารไทยธนชาต จำกัด (มหาชน) สาขา ค่ายสุรนารี-นครราชสีมา</t>
  </si>
  <si>
    <t>0110516</t>
  </si>
  <si>
    <t>ธ. ทหารไทยธนชาต จำกัด (มหาชน) สาขา มหาวิทยาลัยราชภัฏอุดรธานี</t>
  </si>
  <si>
    <t>0110517</t>
  </si>
  <si>
    <t>ธ. ทหารไทยธนชาต จำกัด (มหาชน) สาขา มหาวิทยาลัยมหาสารคาม</t>
  </si>
  <si>
    <t>0110518</t>
  </si>
  <si>
    <t>ธ. ทหารไทย จำกัด (มหาชน) สาขา เทสโก้ โลตัส สุราษฎร์ธานี</t>
  </si>
  <si>
    <t>0110519</t>
  </si>
  <si>
    <t>ธ. ทหารไทยธนชาต จำกัด (มหาชน) สาขา ย่อยมหาวิทยาลัยราชภัฏสกลนคร</t>
  </si>
  <si>
    <t>0110520</t>
  </si>
  <si>
    <t>ธ. ทหารไทย จำกัด (มหาชน) สาขา โรบินสัน นครศรีธรรมราช</t>
  </si>
  <si>
    <t>0110521</t>
  </si>
  <si>
    <t>ธ. ทหารไทย จำกัด (มหาชน) สาขา โรบินสัน เพชรบุรี</t>
  </si>
  <si>
    <t>0110522</t>
  </si>
  <si>
    <t>ธ. ทหารไทยธนชาต จำกัด (มหาชน) สาขา เกาะช้าง</t>
  </si>
  <si>
    <t>0110523</t>
  </si>
  <si>
    <t>ธ. ทหารไทย จำกัด (มหาชน) สาขา เซ็นทรัลพลาซา ลำปาง</t>
  </si>
  <si>
    <t>0110524</t>
  </si>
  <si>
    <t>ธ. ทหารไทยธนชาต จำกัด (มหาชน) สาขา บางคล้า</t>
  </si>
  <si>
    <t>0110525</t>
  </si>
  <si>
    <t>ธ. ทหารไทย จำกัด (มหาชน) สาขา สามพราน นครปฐม</t>
  </si>
  <si>
    <t>0110526</t>
  </si>
  <si>
    <t>ธ. ทหารไทย จำกัด (มหาชน) สาขา ถนนมหาจักรพรรดิ์-ฉะเชิงเทรา</t>
  </si>
  <si>
    <t>0110527</t>
  </si>
  <si>
    <t>ธ. ทหารไทย จำกัด (มหาชน) สาขา ถนนช้างเผือก เชียงใหม่</t>
  </si>
  <si>
    <t>0110528</t>
  </si>
  <si>
    <t>ธ. ทหารไทย จำกัด (มหาชน) สาขา ถนนประจักษ์-แยกศาลหลักเมือง</t>
  </si>
  <si>
    <t>0110529</t>
  </si>
  <si>
    <t>ธ. ทหารไทยธนชาต จำกัด (มหาชน) สาขา ถนนจุติอนุสรณ์ หาดใหญ่</t>
  </si>
  <si>
    <t>0110530</t>
  </si>
  <si>
    <t>ธ. ทหารไทยธนชาต จำกัด (มหาชน) สาขา บางปลาสร้อย-ชลบุรี</t>
  </si>
  <si>
    <t>0110531</t>
  </si>
  <si>
    <t>ธ. ทหารไทยธนชาต จำกัด (มหาชน) สาขา บ้านฉาง-ระยอง</t>
  </si>
  <si>
    <t>0110532</t>
  </si>
  <si>
    <t>ธ. ทหารไทย จำกัด (มหาชน) สาขา หัวหิน-ประจวบคีรีขันธ์</t>
  </si>
  <si>
    <t>0110533</t>
  </si>
  <si>
    <t>ธ. ทหารไทยธนชาต จำกัด (มหาชน) สาขา ถนนสุขุมวิท-แกลง</t>
  </si>
  <si>
    <t>0110534</t>
  </si>
  <si>
    <t>ธ. ทหารไทยธนชาต จำกัด (มหาชน) สาขา ตลาดศิริเนตร-เชียงราย</t>
  </si>
  <si>
    <t>0110535</t>
  </si>
  <si>
    <t>ธ. ทหารไทย จำกัด (มหาชน) สาขา ถนนเบญจมราชูทิศ-จันทบุรี</t>
  </si>
  <si>
    <t>0110536</t>
  </si>
  <si>
    <t>ธ. ทหารไทย จำกัด (มหาชน) สาขา ระยอง</t>
  </si>
  <si>
    <t>0110537</t>
  </si>
  <si>
    <t>ธ. ทหารไทยธนชาต จำกัด (มหาชน) สาขา ม.ศิลปากร-พระราชวังสนามจันทร์</t>
  </si>
  <si>
    <t>0110538</t>
  </si>
  <si>
    <t>ธ. ทหารไทยธนชาต จำกัด (มหาชน) สาขา รอยัลการ์เด้นฯ</t>
  </si>
  <si>
    <t>0110539</t>
  </si>
  <si>
    <t>ธ. ทหารไทยธนชาต จำกัด (มหาชน) สาขา ถนนแสงชูโตกาญจนบุรี</t>
  </si>
  <si>
    <t>0110540</t>
  </si>
  <si>
    <t>ธ. ทหารไทยธนชาต จำกัด (มหาชน) สาขา ถนนสุดบรรทัดสระบุรี</t>
  </si>
  <si>
    <t>0110541</t>
  </si>
  <si>
    <t>ธ. ทหารไทย จำกัด (มหาชน) สาขา ถนนมิตรภาพ ขอนแก่น</t>
  </si>
  <si>
    <t>0110542</t>
  </si>
  <si>
    <t>ธ. ทหารไทย จำกัด (มหาชน) สาขา ถนนทหาร อุดรธานี</t>
  </si>
  <si>
    <t>0110543</t>
  </si>
  <si>
    <t>ธ. ทหารไทย จำกัด (มหาชน) สาขา ถนนคฑาธร ราชบุรี</t>
  </si>
  <si>
    <t>0110544</t>
  </si>
  <si>
    <t>ธ. ทหารไทยธนชาต จำกัด (มหาชน) สาขา สมุทรสาคร2</t>
  </si>
  <si>
    <t>0110545</t>
  </si>
  <si>
    <t>ธ. ทหารไทยธนชาต จำกัด (มหาชน) สาขา ราชบุรี2</t>
  </si>
  <si>
    <t>0110546</t>
  </si>
  <si>
    <t>ธ. ทหารไทยธนชาต จำกัด (มหาชน) สาขา ประจวบคีรีขันธ์2</t>
  </si>
  <si>
    <t>0110547</t>
  </si>
  <si>
    <t>ธ. ทหารไทยธนชาต จำกัด (มหาชน) สาขา พระนครศรีอยุธยา</t>
  </si>
  <si>
    <t>0110548</t>
  </si>
  <si>
    <t>ธ. ทหารไทยธนชาต จำกัด (มหาชน) สาขา เสนา</t>
  </si>
  <si>
    <t>0110549</t>
  </si>
  <si>
    <t>ธ. ทหารไทยธนชาต จำกัด (มหาชน) สาขา ปราจีนบุรี2</t>
  </si>
  <si>
    <t>0110550</t>
  </si>
  <si>
    <t>ธ. ทหารไทยธนชาต จำกัด (มหาชน) สาขา เชียงใหม่2</t>
  </si>
  <si>
    <t>0110551</t>
  </si>
  <si>
    <t>ธ. ทหารไทยธนชาต จำกัด (มหาชน) สาขา เชียงราย2</t>
  </si>
  <si>
    <t>0110552</t>
  </si>
  <si>
    <t>ธ. ทหารไทยธนชาต จำกัด (มหาชน) สาขา ลำปาง2</t>
  </si>
  <si>
    <t>0110553</t>
  </si>
  <si>
    <t>ธ. ทหารไทยธนชาต จำกัด (มหาชน) สาขา แพร่2</t>
  </si>
  <si>
    <t>0110554</t>
  </si>
  <si>
    <t>ธ. ทหารไทยธนชาต จำกัด (มหาชน) สาขา ตาก2</t>
  </si>
  <si>
    <t>0110555</t>
  </si>
  <si>
    <t>ธ. ทหารไทย จำกัด (มหาชน) สาขา เซ็นทรัลพลาซา พิษณุโลก</t>
  </si>
  <si>
    <t>0110556</t>
  </si>
  <si>
    <t>ธ. ทหารไทยธนชาต จำกัด (มหาชน) สาขา นครสวรรค์2</t>
  </si>
  <si>
    <t>0110557</t>
  </si>
  <si>
    <t>ธ. ทหารไทยธนชาต จำกัด (มหาชน) สาขา เพชรบูรณ์2</t>
  </si>
  <si>
    <t>0110558</t>
  </si>
  <si>
    <t>ธ. ทหารไทยธนชาต จำกัด (มหาชน) สาขา ขอนแก่น2</t>
  </si>
  <si>
    <t>0110559</t>
  </si>
  <si>
    <t>ธ. ทหารไทยธนชาต จำกัด (มหาชน) สาขา อุดรธานี2</t>
  </si>
  <si>
    <t>0110560</t>
  </si>
  <si>
    <t>ธ. ทหารไทยธนชาต จำกัด (มหาชน) สาขา ร้อยเอ็ด2</t>
  </si>
  <si>
    <t>0110561</t>
  </si>
  <si>
    <t>ธ. ทหารไทยธนชาต จำกัด (มหาชน) สาขา อุบลราชธานี2</t>
  </si>
  <si>
    <t>0110562</t>
  </si>
  <si>
    <t>ธ. ทหารไทยธนชาต จำกัด (มหาชน) สาขา มุกดาหาร2</t>
  </si>
  <si>
    <t>0110563</t>
  </si>
  <si>
    <t>ธ. ทหารไทยธนชาต จำกัด (มหาชน) สาขา สกลนคร2</t>
  </si>
  <si>
    <t>0110564</t>
  </si>
  <si>
    <t>ธ. ทหารไทยธนชาต จำกัด (มหาชน) สาขา นครราชสีมา2</t>
  </si>
  <si>
    <t>0110565</t>
  </si>
  <si>
    <t>ธ. ทหารไทยธนชาต จำกัด (มหาชน) สาขา ชัยภูมิ2</t>
  </si>
  <si>
    <t>0110566</t>
  </si>
  <si>
    <t>ธ. ทหารไทยธนชาต จำกัด (มหาชน) สาขา สุรินทร์2</t>
  </si>
  <si>
    <t>0110567</t>
  </si>
  <si>
    <t>ธ. ทหารไทยธนชาต จำกัด (มหาชน) สาขา ระยอง3</t>
  </si>
  <si>
    <t>0110568</t>
  </si>
  <si>
    <t>ธ. ทหารไทยธนชาต จำกัด (มหาชน) สาขา จันทบุรี2</t>
  </si>
  <si>
    <t>0110569</t>
  </si>
  <si>
    <t>ธ. ทหารไทยธนชาต จำกัด (มหาชน) สาขา ชลบุรี2</t>
  </si>
  <si>
    <t>0110570</t>
  </si>
  <si>
    <t>ธ. ทหารไทยธนชาต จำกัด (มหาชน) สาขา สุราษฎร์ธานี2</t>
  </si>
  <si>
    <t>0110571</t>
  </si>
  <si>
    <t>ธ. ทหารไทยธนชาต จำกัด (มหาชน) สาขา ชุมพร2</t>
  </si>
  <si>
    <t>0110572</t>
  </si>
  <si>
    <t>ธ. ทหารไทยธนชาต จำกัด (มหาชน) สาขา ภูเก็ต2</t>
  </si>
  <si>
    <t>0110573</t>
  </si>
  <si>
    <t>ธ. ทหารไทยธนชาต จำกัด (มหาชน) สาขา ตรัง2</t>
  </si>
  <si>
    <t>0110574</t>
  </si>
  <si>
    <t>ธ. ทหารไทยธนชาต จำกัด (มหาชน) สาขา กระบี่2</t>
  </si>
  <si>
    <t>0110575</t>
  </si>
  <si>
    <t>ธ. ทหารไทยธนชาต จำกัด (มหาชน) สาขา นครศรีธรรมราช2</t>
  </si>
  <si>
    <t>0110576</t>
  </si>
  <si>
    <t>ธ. ทหารไทยธนชาต จำกัด (มหาชน) สาขา หาดใหญ่2</t>
  </si>
  <si>
    <t>0110577</t>
  </si>
  <si>
    <t>ธ. ทหารไทยธนชาต จำกัด (มหาชน) สาขา ปัตตานี2</t>
  </si>
  <si>
    <t>0110578</t>
  </si>
  <si>
    <t>ธ. ทหารไทยธนชาต จำกัด (มหาชน) สาขา ยะลา2</t>
  </si>
  <si>
    <t>0110579</t>
  </si>
  <si>
    <t>ธ. ทหารไทยธนชาต จำกัด (มหาชน) สาขา มหาวิทยาลัยราชภัฎเลย</t>
  </si>
  <si>
    <t>0110580</t>
  </si>
  <si>
    <t>ธ. ทหารไทยธนชาต จำกัด (มหาชน) สาขา เกาะพะงัน</t>
  </si>
  <si>
    <t>0110581</t>
  </si>
  <si>
    <t>ธ. ทหารไทยธนชาต จำกัด (มหาชน) สาขา ย่อยหาดริ้นเกาะพะงัน</t>
  </si>
  <si>
    <t>0110582</t>
  </si>
  <si>
    <t>ธ. ทหารไทยธนชาต จำกัด (มหาชน) สาขา ท้องศาลา เกาะพะงัน</t>
  </si>
  <si>
    <t>0110583</t>
  </si>
  <si>
    <t>ธ. ทหารไทยธนชาต จำกัด (มหาชน) สาขา เซ็นทรัลเฟสติวัล สมุย</t>
  </si>
  <si>
    <t>0110584</t>
  </si>
  <si>
    <t>ธ. ทหารไทยธนชาต จำกัด (มหาชน) สาขา แม่น้ำ เกาะสมุย</t>
  </si>
  <si>
    <t>0110585</t>
  </si>
  <si>
    <t>ธ. ทหารไทย จำกัด (มหาชน) สาขา เซ็นทรัลพลาซา สุราษฎร์ธานี</t>
  </si>
  <si>
    <t>0110586</t>
  </si>
  <si>
    <t>ธ. ทหารไทยธนชาต จำกัด (มหาชน) สาขา หาดเฉวง 2 เกาะสมุย</t>
  </si>
  <si>
    <t>0110587</t>
  </si>
  <si>
    <t>ธ. ทหารไทย จำกัด (มหาชน) สาขา บิ๊กซี สุราษฎร์ธานี</t>
  </si>
  <si>
    <t>0110588</t>
  </si>
  <si>
    <t>ธ. ทหารไทย จำกัด (มหาชน) สาขา บ้านส้อง สุราษฎร์ธานี</t>
  </si>
  <si>
    <t>0110589</t>
  </si>
  <si>
    <t>ธ. ทหารไทยธนชาต จำกัด (มหาชน) สาขา ด่านนอก</t>
  </si>
  <si>
    <t>0110590</t>
  </si>
  <si>
    <t>ธ. ทหารไทยธนชาต จำกัด (มหาชน) สาขา ห้างแฟรี่พลาซ่า ขอนแก่น</t>
  </si>
  <si>
    <t>0110591</t>
  </si>
  <si>
    <t>ธ. ทหารไทยธนชาต จำกัด (มหาชน) สาขา นิคมอมตะนคร ชลบุรี</t>
  </si>
  <si>
    <t>0110592</t>
  </si>
  <si>
    <t>ธ. ทหารไทย จำกัด (มหาชน) สาขา โรงพยาบาลกรุงเทพ-ภูเก็ต</t>
  </si>
  <si>
    <t>0110593</t>
  </si>
  <si>
    <t>ธ. ทหารไทยธนชาต จำกัด (มหาชน) สาขา ซันไชน์ พัทยา</t>
  </si>
  <si>
    <t>0110594</t>
  </si>
  <si>
    <t>ธ. ทหารไทย จำกัด (มหาชน) สาขา บลูพอร์ต หัวหิน รีสอร์ท มอลล์</t>
  </si>
  <si>
    <t>0110595</t>
  </si>
  <si>
    <t>ธ. ทหารไทยธนชาต จำกัด (มหาชน) สาขา หาดละไม เกาะสมุย</t>
  </si>
  <si>
    <t>0110596</t>
  </si>
  <si>
    <t>ธ. ทหารไทยธนชาต จำกัด (มหาชน) สาขา สลกบาตร</t>
  </si>
  <si>
    <t>0110597</t>
  </si>
  <si>
    <t>ธ. ทหารไทยธนชาต จำกัด (มหาชน) สาขา ท่าอากาศยาน ภูเก็ต</t>
  </si>
  <si>
    <t>0110598</t>
  </si>
  <si>
    <t>ธ. ทหารไทยธนชาต จำกัด (มหาชน) สาขา หางดง</t>
  </si>
  <si>
    <t>0110599</t>
  </si>
  <si>
    <t>ธ. ทหารไทยธนชาต จำกัด (มหาชน) สาขา มีโชค พลาซ่า เชียงใหม่</t>
  </si>
  <si>
    <t>0110600</t>
  </si>
  <si>
    <t>ธ. ทหารไทยธนชาต จำกัด (มหาชน) สาขา บิ๊กซี ลำพูน</t>
  </si>
  <si>
    <t>0110601</t>
  </si>
  <si>
    <t>ธ. ทหารไทยธนชาต จำกัด (มหาชน) สาขา อ่าวนาง กระบี่</t>
  </si>
  <si>
    <t>0110602</t>
  </si>
  <si>
    <t>ธ. ทหารไทยธนชาต จำกัด (มหาชน) สาขา เกาะลันตา</t>
  </si>
  <si>
    <t>0110603</t>
  </si>
  <si>
    <t>ธ. ทหารไทย จำกัด (มหาชน) สาขา เขาหลัก พังงา</t>
  </si>
  <si>
    <t>0110604</t>
  </si>
  <si>
    <t>ธ. ทหารไทยธนชาต จำกัด (มหาชน) สาขา ซอยบัวขาว พัทยา</t>
  </si>
  <si>
    <t>0110605</t>
  </si>
  <si>
    <t>ธ. ทหารไทยธนชาต จำกัด (มหาชน) สาขา มหาวิทยาลัยเกษตรศาสตร์ ศรีราชา</t>
  </si>
  <si>
    <t>0110606</t>
  </si>
  <si>
    <t>ธ. ทหารไทยธนชาต จำกัด (มหาชน) สาขา โฮมเวิร์ค พัทยา</t>
  </si>
  <si>
    <t>0110607</t>
  </si>
  <si>
    <t>ธ. ทหารไทยธนชาต จำกัด (มหาชน) สาขา ถนนมูลเมือง เชียงใหม่</t>
  </si>
  <si>
    <t>0110608</t>
  </si>
  <si>
    <t>ธ. ทหารไทย จำกัด (มหาชน) สาขา ท่าวังผา</t>
  </si>
  <si>
    <t>0110609</t>
  </si>
  <si>
    <t>ธ. ทหารไทยธนชาต จำกัด (มหาชน) สาขา เทสโก้ โลตัส โคราช 2</t>
  </si>
  <si>
    <t>0110610</t>
  </si>
  <si>
    <t>ธ. ทหารไทย จำกัด (มหาชน) สาขา เดอะมอลล์ นครราชสีมา</t>
  </si>
  <si>
    <t>0110611</t>
  </si>
  <si>
    <t>ธ. ทหารไทยธนชาต จำกัด (มหาชน) สาขา มหาวิทยาลัยนเรศวร พะเยา</t>
  </si>
  <si>
    <t>0110612</t>
  </si>
  <si>
    <t>ธ. ทหารไทย จำกัด (มหาชน) สาขา ปากร่วม บ่อวิน</t>
  </si>
  <si>
    <t>0110613</t>
  </si>
  <si>
    <t>ธ. ทหารไทย จำกัด (มหาชน) สาขา หนองบัวลำภู</t>
  </si>
  <si>
    <t>0110614</t>
  </si>
  <si>
    <t>ธ. ทหารไทยธนชาต จำกัด (มหาชน) สาขา นิคมอุตสาหกรรม เกตเวย์ ซิตี้</t>
  </si>
  <si>
    <t>0110615</t>
  </si>
  <si>
    <t>ธ. ทหารไทยธนชาต จำกัด (มหาชน) สาขา กนกเพชร กาญจนบุรี</t>
  </si>
  <si>
    <t>0110616</t>
  </si>
  <si>
    <t>ธ. ทหารไทยธนชาต จำกัด (มหาชน) สาขา สวนอุตสาหกรรมสหพัฒน์ ศรีราชา</t>
  </si>
  <si>
    <t>0110617</t>
  </si>
  <si>
    <t>ธ. ทหารไทย จำกัด (มหาชน) สาขา ถนนทัพพระยา พัทยา</t>
  </si>
  <si>
    <t>0110618</t>
  </si>
  <si>
    <t>ธ. ทหารไทย จำกัด (มหาชน) สาขา เซ็นทรัลภูเก็ต เฟสติวัล</t>
  </si>
  <si>
    <t>0110619</t>
  </si>
  <si>
    <t>ธ. ทหารไทยธนชาต จำกัด (มหาชน) สาขา กองบิน 4 ตาคลี</t>
  </si>
  <si>
    <t>0110620</t>
  </si>
  <si>
    <t>ธ. ทหารไทย จำกัด (มหาชน) สาขา ห้าแยกฉลองภูเก็ต</t>
  </si>
  <si>
    <t>0110621</t>
  </si>
  <si>
    <t>ธ. ทหารไทยธนชาต จำกัด (มหาชน) สาขา เซ็นทรัลพลาซา เชียงใหม่ แอร์พอร์ต</t>
  </si>
  <si>
    <t>0110622</t>
  </si>
  <si>
    <t>ธ. ทหารไทย จำกัด (มหาชน) สาขา เซ็นทรัลพลาซา ชลบุรี</t>
  </si>
  <si>
    <t>0110623</t>
  </si>
  <si>
    <t>ธ. ทหารไทยธนชาต จำกัด (มหาชน) สาขา ฮาร์เบอร์ มอลล์ แหลมฉบัง</t>
  </si>
  <si>
    <t>0110624</t>
  </si>
  <si>
    <t>ธ. ทหารไทย จำกัด (มหาชน) สาขา เซ็นทรัลเฟสติวัล พัทยาบีช</t>
  </si>
  <si>
    <t>0110625</t>
  </si>
  <si>
    <t>ธ. ทหารไทยธนชาต จำกัด (มหาชน) สาขา จังซีลอน ภูเก็ต</t>
  </si>
  <si>
    <t>0110626</t>
  </si>
  <si>
    <t>ธ. ทหารไทยธนชาต จำกัด (มหาชน) สาขา ศูนย์การค้าแปซิฟิค พาร์ค ศรีราชา</t>
  </si>
  <si>
    <t>0110627</t>
  </si>
  <si>
    <t>ธ. ทหารไทย จำกัด (มหาชน) สาขา โรบินสัน จันทบุรี</t>
  </si>
  <si>
    <t>0110628</t>
  </si>
  <si>
    <t>ธ. ทหารไทย จำกัด (มหาชน) สาขา แพชชั่น ระยอง</t>
  </si>
  <si>
    <t>0110629</t>
  </si>
  <si>
    <t>ธ. ทหารไทย จำกัด (มหาชน) สาขา เซ็นทรัลพลาซา อุดรธานี</t>
  </si>
  <si>
    <t>0110630</t>
  </si>
  <si>
    <t>ธ. ทหารไทย จำกัด (มหาชน) สาขา เซ็นทรัลพลาซา ขอนแก่น</t>
  </si>
  <si>
    <t>0110631</t>
  </si>
  <si>
    <t>ธ. ทหารไทย จำกัด (มหาชน) สาขา บิ๊กซี ลพบุรี 2</t>
  </si>
  <si>
    <t>0110632</t>
  </si>
  <si>
    <t>ธ. ทหารไทยธนชาต จำกัด (มหาชน) สาขา หน้ารพ.สมเด็จพระนางเจ้าสิริกิติ์</t>
  </si>
  <si>
    <t>0110633</t>
  </si>
  <si>
    <t>ธ. ทหารไทย จำกัด (มหาชน) สาขา อยุธยา พาร์ค</t>
  </si>
  <si>
    <t>0110634</t>
  </si>
  <si>
    <t>ธ. ทหารไทย จำกัด (มหาชน) สาขา เซ็นทรัลพลาซา เชียงราย</t>
  </si>
  <si>
    <t>0110635</t>
  </si>
  <si>
    <t>ธ. ทหารไทย จำกัด (มหาชน) สาขา บิ๊กซี นครปฐม</t>
  </si>
  <si>
    <t>0110636</t>
  </si>
  <si>
    <t>ธ. ทหารไทย จำกัด (มหาชน) สาขา บิ๊กซี หาดใหญ่</t>
  </si>
  <si>
    <t>0110637</t>
  </si>
  <si>
    <t>ธ. ทหารไทย จำกัด (มหาชน) สาขา บิ๊กซี บ้านบึง-ชลบุรี</t>
  </si>
  <si>
    <t>0110638</t>
  </si>
  <si>
    <t>ธ. ทหารไทย จำกัด (มหาชน) สาขา โรบินสัน สุพรรณบุรี</t>
  </si>
  <si>
    <t>0110639</t>
  </si>
  <si>
    <t>ธ. ทหารไทย จำกัด (มหาชน) สาขา โรบินสัน สระบุรี</t>
  </si>
  <si>
    <t>0110640</t>
  </si>
  <si>
    <t>ธ. ทหารไทยธนชาต จำกัด (มหาชน) สาขา  บ้านแอนด์บียอนด์ ขอนแก่น</t>
  </si>
  <si>
    <t>0110641</t>
  </si>
  <si>
    <t>ธ. ทหารไทยธนชาต จำกัด (มหาชน) สาขา โรบินสัน กาญจนบุรี</t>
  </si>
  <si>
    <t>0110642</t>
  </si>
  <si>
    <t>ธ. ทหารไทย จำกัด (มหาชน) สาขา โรบินสัน ฉะเชิงเทรา</t>
  </si>
  <si>
    <t>0110643</t>
  </si>
  <si>
    <t>ธ. ทหารไทยธนชาต จำกัด (มหาชน) สาขา โรบินสัน ร้อยเอ็ด</t>
  </si>
  <si>
    <t>0110644</t>
  </si>
  <si>
    <t>ธ. ทหารไทย จำกัด (มหาชน) สาขา เซ็นทรัลพลาซา ระยอง</t>
  </si>
  <si>
    <t>0110645</t>
  </si>
  <si>
    <t>ธ. ทหารไทย จำกัด (มหาชน) สาขา ถนนพัทยาใต้</t>
  </si>
  <si>
    <t>0110646</t>
  </si>
  <si>
    <t>ธ. ทหารไทยธนชาต จำกัด (มหาชน) สาขา สวนอุตสาหกรรมโรจนะ อยุธยา</t>
  </si>
  <si>
    <t>0110647</t>
  </si>
  <si>
    <t>ธ. ทหารไทยธนชาต จำกัด (มหาชน) สาขา บึงกาฬ</t>
  </si>
  <si>
    <t>0110648</t>
  </si>
  <si>
    <t>ธ. ทหารไทยธนชาต จำกัด (มหาชน) สาขา ดอนหัวฬ่อ (อมตะนคร ชลบุรี)</t>
  </si>
  <si>
    <t>0110649</t>
  </si>
  <si>
    <t>ธ. ทหารไทยธนชาต จำกัด (มหาชน) สาขา บิ๊กซี หางดง</t>
  </si>
  <si>
    <t>0110650</t>
  </si>
  <si>
    <t>ธ. ทหารไทยธนชาต จำกัด (มหาชน) สาขา เซ็นทรัลพลาซา นครราชสีมา</t>
  </si>
  <si>
    <t>0110651</t>
  </si>
  <si>
    <t>ธ. ทหารไทยธนชาต จำกัด (มหาชน) สาขา เทอมินอล 21 พัทยา</t>
  </si>
  <si>
    <t>0110652</t>
  </si>
  <si>
    <t>ธ. ทหารไทยธนชาต จำกัด (มหาชน) สาขา แหลมฉบัง ชลบุรี</t>
  </si>
  <si>
    <t>0110653</t>
  </si>
  <si>
    <t>ธ. ทหารไทยธนชาต จำกัด (มหาชน) สาขา บิ๊กซี อุดรธานี</t>
  </si>
  <si>
    <t>0110654</t>
  </si>
  <si>
    <t>ธ. ทหารไทยธนชาต จำกัด (มหาชน) สาขา โลตัส อมตะนคร</t>
  </si>
  <si>
    <t>0110656</t>
  </si>
  <si>
    <t>ธ. ทหารไทยธนชาต จำกัด (มหาชน) สาขา บิ๊กซี พัทยาใต้</t>
  </si>
  <si>
    <t>0110657</t>
  </si>
  <si>
    <t>0110658</t>
  </si>
  <si>
    <t>ธ. ทหารไทยธนชาต จำกัด (มหาชน) สาขา ถนนพระยาสัจจา (ชลบุรี)</t>
  </si>
  <si>
    <t>0110659</t>
  </si>
  <si>
    <t>ธ. ทหารไทยธนชาต จำกัด (มหาชน) สาขา วังสมบูรณ์</t>
  </si>
  <si>
    <t>0110660</t>
  </si>
  <si>
    <t>ธ. ทหารไทยธนชาต จำกัด (มหาชน) สาขา ประชาสงเคราะห์ 33</t>
  </si>
  <si>
    <t>0110661</t>
  </si>
  <si>
    <t>ธ. ทหารไทยธนชาต จำกัด (มหาชน) สาขา ลาดบัวหลวง</t>
  </si>
  <si>
    <t>0110662</t>
  </si>
  <si>
    <t>ธ. ทหารไทยธนชาต จำกัด (มหาชน) สาขา สุขุมวิท 71 (ปรีดีพนมยงค์ 8)</t>
  </si>
  <si>
    <t>0110663</t>
  </si>
  <si>
    <t>ธ. ทหารไทยธนชาต จำกัด (มหาชน) สาขา ศรีวรจักร</t>
  </si>
  <si>
    <t>0110664</t>
  </si>
  <si>
    <t>ธ. ทหารไทยธนชาต จำกัด (มหาชน) สาขา มันนี่ปาร์ค</t>
  </si>
  <si>
    <t>0110665</t>
  </si>
  <si>
    <t>ธ. ทหารไทยธนชาต จำกัด (มหาชน) สาขา บางซ้าย</t>
  </si>
  <si>
    <t>0110666</t>
  </si>
  <si>
    <t>ธ. ทหารไทยธนชาต จำกัด (มหาชน) สาขา โรงพยาบาลรามคำแหง</t>
  </si>
  <si>
    <t>0110667</t>
  </si>
  <si>
    <t>ธ. ทหารไทยธนชาต จำกัด (มหาชน) สาขา เอสพละนาด รัชดา</t>
  </si>
  <si>
    <t>0110668</t>
  </si>
  <si>
    <t>ธ. ทหารไทยธนชาต จำกัด (มหาชน) สาขา นิคมพัฒนา</t>
  </si>
  <si>
    <t>0110669</t>
  </si>
  <si>
    <t>ธ. ทหารไทยธนชาต จำกัด (มหาชน) สาขา สันทราย</t>
  </si>
  <si>
    <t>0110670</t>
  </si>
  <si>
    <t>ธ. ทหารไทยธนชาต จำกัด (มหาชน) สาขา แหลมฉบัง</t>
  </si>
  <si>
    <t>0110671</t>
  </si>
  <si>
    <t>ธ. ทหารไทยธนชาต จำกัด (มหาชน) สาขา สามแยกพระประแดง</t>
  </si>
  <si>
    <t>0110672</t>
  </si>
  <si>
    <t>ธ. ทหารไทยธนชาต จำกัด (มหาชน) สาขา เขตอุตสาหกรรม 304</t>
  </si>
  <si>
    <t>0110673</t>
  </si>
  <si>
    <t>ธ. ทหารไทยธนชาต จำกัด (มหาชน) สาขา โรบินสัน ชัยภูมิ</t>
  </si>
  <si>
    <t>0110674</t>
  </si>
  <si>
    <t>ธ. ทหารไทยธนชาต จำกัด (มหาชน) สาขา สามแยกปักธงชัย</t>
  </si>
  <si>
    <t>0110675</t>
  </si>
  <si>
    <t>ธ. ทหารไทยธนชาต จำกัด (มหาชน) สาขา เทสโก้ โลตัส โคราช</t>
  </si>
  <si>
    <t>0110676</t>
  </si>
  <si>
    <t>ธ. ทหารไทยธนชาต จำกัด (มหาชน) สาขา สีลม (ถนนปั้น)</t>
  </si>
  <si>
    <t>0110677</t>
  </si>
  <si>
    <t>ธ. ทหารไทยธนชาต จำกัด (มหาชน) สาขา บิ๊กซี บุรีรัมย์</t>
  </si>
  <si>
    <t>0110678</t>
  </si>
  <si>
    <t>ธ. ทหารไทยธนชาต จำกัด (มหาชน) สาขา มหาสารคาม</t>
  </si>
  <si>
    <t>0110679</t>
  </si>
  <si>
    <t>ธ. ทหารไทยธนชาต จำกัด (มหาชน) สาขา บิ๊กซี สระแก้ว</t>
  </si>
  <si>
    <t>0110680</t>
  </si>
  <si>
    <t>ธ. ทหารไทยธนชาต จำกัด (มหาชน) สาขา วงศ์สว่าง</t>
  </si>
  <si>
    <t>0110681</t>
  </si>
  <si>
    <t>ธ. ทหารไทยธนชาต จำกัด (มหาชน) สาขา สุรินทร์ พลาซ่า</t>
  </si>
  <si>
    <t>0110682</t>
  </si>
  <si>
    <t>ธ. ทหารไทยธนชาต จำกัด (มหาชน) สาขา ถนนกาญจนาภิเษก (ทวีวัฒนา)</t>
  </si>
  <si>
    <t>0110683</t>
  </si>
  <si>
    <t>ธ. ทหารไทยธนชาต จำกัด (มหาชน) สาขา คริสตัลดีไซน์เซ็นเตอร์</t>
  </si>
  <si>
    <t>0110684</t>
  </si>
  <si>
    <t>ธ. ทหารไทยธนชาต จำกัด (มหาชน) สาขา ศูนย์การค้าสยามฟิวเจอร์บางบอน</t>
  </si>
  <si>
    <t>0110685</t>
  </si>
  <si>
    <t>ธ. ทหารไทยธนชาต จำกัด (มหาชน) สาขา บิ๊กซี สุขสวัสดิ์</t>
  </si>
  <si>
    <t>0110686</t>
  </si>
  <si>
    <t>ธ. ทหารไทยธนชาต จำกัด (มหาชน) สาขา ถนนสรรพสิทธิ์</t>
  </si>
  <si>
    <t>0110687</t>
  </si>
  <si>
    <t>ธ. ทหารไทยธนชาต จำกัด (มหาชน) สาขา พัทยาเหนือ</t>
  </si>
  <si>
    <t>0110688</t>
  </si>
  <si>
    <t>ธ. ทหารไทยธนชาต จำกัด (มหาชน) สาขา สำเพ็ง</t>
  </si>
  <si>
    <t>0110689</t>
  </si>
  <si>
    <t>ธ. ทหารไทยธนชาต จำกัด (มหาชน) สาขา สมุทรปราการ</t>
  </si>
  <si>
    <t>0110690</t>
  </si>
  <si>
    <t>ธ. ทหารไทยธนชาต จำกัด (มหาชน) สาขา ถนนพัฒนาการ 22</t>
  </si>
  <si>
    <t>0110691</t>
  </si>
  <si>
    <t>0110692</t>
  </si>
  <si>
    <t>ธ. ทหารไทยธนชาต จำกัด (มหาชน) สาขา เทสโก้ โลตัส พิษณุโลก</t>
  </si>
  <si>
    <t>0110693</t>
  </si>
  <si>
    <t>ธ. ทหารไทยธนชาต จำกัด (มหาชน) สาขา ถนนบรมไตรโลกนารถ 2 (พิษณุโลก)</t>
  </si>
  <si>
    <t>0110694</t>
  </si>
  <si>
    <t>ธ. ทหารไทยธนชาต จำกัด (มหาชน) สาขา โรบินสัน ชลบุรี</t>
  </si>
  <si>
    <t>0110695</t>
  </si>
  <si>
    <t>ธ. ทหารไทยธนชาต จำกัด (มหาชน) สาขา ตาคลี</t>
  </si>
  <si>
    <t>0110696</t>
  </si>
  <si>
    <t>ธ. ทหารไทยธนชาต จำกัด (มหาชน) สาขา บางปลาสร้อย</t>
  </si>
  <si>
    <t>0110697</t>
  </si>
  <si>
    <t>ธ. ทหารไทยธนชาต จำกัด (มหาชน) สาขา เทสโก้ โลตัส พัทยาเหนือ</t>
  </si>
  <si>
    <t>0110698</t>
  </si>
  <si>
    <t>ธ. ทหารไทยธนชาต จำกัด (มหาชน) สาขา สวนอุตสาหกรรมเครือสหพัฒน์ (ศรีราชา)</t>
  </si>
  <si>
    <t>0110700</t>
  </si>
  <si>
    <t>ธ. ทหารไทยธนชาต จำกัด (มหาชน) สาขา บางใหญ่</t>
  </si>
  <si>
    <t>0110701</t>
  </si>
  <si>
    <t>ธ. ทหารไทยธนชาต จำกัด (มหาชน) สาขา ฮ่องกง</t>
  </si>
  <si>
    <t>0110702</t>
  </si>
  <si>
    <t>ธ. ทหารไทยธนชาต จำกัด (มหาชน) สาขา นครหลวงเวียงจันทน์</t>
  </si>
  <si>
    <t>0110703</t>
  </si>
  <si>
    <t>ธ. ทหารไทยธนชาต จำกัด (มหาชน) สาขา โฮจิมินห์ซิตี้</t>
  </si>
  <si>
    <t>0110704</t>
  </si>
  <si>
    <t>ธ. ทหารไทยธนชาต จำกัด (มหาชน) สาขา นครศรีธรรมราช (ถนนพัฒนาการคูขวาง)</t>
  </si>
  <si>
    <t>0110705</t>
  </si>
  <si>
    <t>ธ. ทหารไทยธนชาต จำกัด (มหาชน) สาขา เคย์แมน</t>
  </si>
  <si>
    <t>0110706</t>
  </si>
  <si>
    <t>ธ. ทหารไทยธนชาต จำกัด (มหาชน) สาขา สี่พระยา</t>
  </si>
  <si>
    <t>0110707</t>
  </si>
  <si>
    <t>ธ. ทหารไทยธนชาต จำกัด (มหาชน) สาขา แหลมทอง บางแสน</t>
  </si>
  <si>
    <t>0110708</t>
  </si>
  <si>
    <t>ธ. ทหารไทยธนชาต จำกัด (มหาชน) สาขา เขตอุตสาหกรรมกบินทร์บุรี (หนองกี่)</t>
  </si>
  <si>
    <t>0110709</t>
  </si>
  <si>
    <t>ธ. ทหารไทยธนชาต จำกัด (มหาชน) สาขา บิ๊กซี บางบอน</t>
  </si>
  <si>
    <t>0110710</t>
  </si>
  <si>
    <t>ธ. ทหารไทยธนชาต จำกัด (มหาชน) สาขา ป่าตอง</t>
  </si>
  <si>
    <t>0110711</t>
  </si>
  <si>
    <t>ธ. ทหารไทยธนชาต จำกัด (มหาชน) สาขา รามคำแหง ซอย 122</t>
  </si>
  <si>
    <t>0110712</t>
  </si>
  <si>
    <t>ธ. ทหารไทยธนชาต จำกัด (มหาชน) สาขา ถนนบูรพา (พาหุรัด)</t>
  </si>
  <si>
    <t>0110713</t>
  </si>
  <si>
    <t>ธ. ทหารไทยธนชาต จำกัด (มหาชน) สาขา ลำสาลี</t>
  </si>
  <si>
    <t>0110714</t>
  </si>
  <si>
    <t>ธ. ทหารไทยธนชาต จำกัด (มหาชน) สาขา กันตัง</t>
  </si>
  <si>
    <t>0110715</t>
  </si>
  <si>
    <t>ธ. ทหารไทยธนชาต จำกัด (มหาชน) สาขา บิ๊กซี บางนา</t>
  </si>
  <si>
    <t>0110716</t>
  </si>
  <si>
    <t>ธ. ทหารไทยธนชาต จำกัด (มหาชน) สาขา ไดอาน่า ศรีภูวนารถ</t>
  </si>
  <si>
    <t>0110717</t>
  </si>
  <si>
    <t>ธ. ทหารไทยธนชาต จำกัด (มหาชน) สาขา พระรามสี่</t>
  </si>
  <si>
    <t>0110718</t>
  </si>
  <si>
    <t>ธ. ทหารไทยธนชาต จำกัด (มหาชน) สาขา ถนนหน้าเมือง (ขอนแก่น)</t>
  </si>
  <si>
    <t>0110719</t>
  </si>
  <si>
    <t>ธ. ทหารไทยธนชาต จำกัด (มหาชน) สาขา บางนา-ตราด กม.4</t>
  </si>
  <si>
    <t>0110720</t>
  </si>
  <si>
    <t>ธ. ทหารไทยธนชาต จำกัด (มหาชน) สาขา ลาดกระบัง (ซอยลาดกระบัง 15)</t>
  </si>
  <si>
    <t>0110721</t>
  </si>
  <si>
    <t>ธ. ทหารไทยธนชาต จำกัด (มหาชน) สาขา อ่างทอง (ถนนอ่างทอง-โพธิ์ทอง)</t>
  </si>
  <si>
    <t>0110722</t>
  </si>
  <si>
    <t>ธ. ทหารไทยธนชาต จำกัด (มหาชน) สาขา อู่ทอง (ถนนท้าวอู่ทอง)</t>
  </si>
  <si>
    <t>0110723</t>
  </si>
  <si>
    <t>ธ. ทหารไทยธนชาต จำกัด (มหาชน) สาขา ถนนสิรินธร</t>
  </si>
  <si>
    <t>0110724</t>
  </si>
  <si>
    <t>ธ. ทหารไทยธนชาต จำกัด (มหาชน) สาขา เบตง</t>
  </si>
  <si>
    <t>0110725</t>
  </si>
  <si>
    <t>ธ. ทหารไทยธนชาต จำกัด (มหาชน) สาขา บางนา (อาคารแอมเพิล ทาวเวอร์)</t>
  </si>
  <si>
    <t>0110726</t>
  </si>
  <si>
    <t>ธ. ทหารไทยธนชาต จำกัด (มหาชน) สาขา บิ๊กซี ปัตตานี</t>
  </si>
  <si>
    <t>0110727</t>
  </si>
  <si>
    <t>ธ. ทหารไทยธนชาต จำกัด (มหาชน) สาขา กระทุ่มแบน (ถนนสุคนธวิท)</t>
  </si>
  <si>
    <t>0110728</t>
  </si>
  <si>
    <t>ธ. ทหารไทยธนชาต จำกัด (มหาชน) สาขา เทสโก้ โลตัส กระบี่</t>
  </si>
  <si>
    <t>0110729</t>
  </si>
  <si>
    <t>ธ. ทหารไทยธนชาต จำกัด (มหาชน) สาขา จันทบุรี</t>
  </si>
  <si>
    <t>0110730</t>
  </si>
  <si>
    <t>ธ. ทหารไทยธนชาต จำกัด (มหาชน) สาขา สะพานพระราม 7 (บางพลัด)</t>
  </si>
  <si>
    <t>0110731</t>
  </si>
  <si>
    <t>ธ. ทหารไทยธนชาต จำกัด (มหาชน) สาขา ถนนสุรนารี</t>
  </si>
  <si>
    <t>0110732</t>
  </si>
  <si>
    <t>ธ. ทหารไทยธนชาต จำกัด (มหาชน) สาขา อ่าวลึก</t>
  </si>
  <si>
    <t>0110733</t>
  </si>
  <si>
    <t>ธ. ทหารไทยธนชาต จำกัด (มหาชน) สาขา ถนนปุณณกัณฑ์ (หาดใหญ่)</t>
  </si>
  <si>
    <t>0110734</t>
  </si>
  <si>
    <t>ธ. ทหารไทยธนชาต จำกัด (มหาชน) สาขา คลองครุ</t>
  </si>
  <si>
    <t>0110735</t>
  </si>
  <si>
    <t>ธ. ทหารไทยธนชาต จำกัด (มหาชน) สาขา ไพศาลี</t>
  </si>
  <si>
    <t>0110736</t>
  </si>
  <si>
    <t>ธ. ทหารไทยธนชาต จำกัด (มหาชน) สาขา เทสโก้ โลตัส พระราม 2</t>
  </si>
  <si>
    <t>0110737</t>
  </si>
  <si>
    <t>ธ. ทหารไทยธนชาต จำกัด (มหาชน) สาขา โรบินสัน ตรัง</t>
  </si>
  <si>
    <t>0110738</t>
  </si>
  <si>
    <t>ธ. ทหารไทยธนชาต จำกัด (มหาชน) สาขา สุราษฎร์ธานี (ถนนกาญจนวิถี)</t>
  </si>
  <si>
    <t>0110739</t>
  </si>
  <si>
    <t>ธ. ทหารไทยธนชาต จำกัด (มหาชน) สาขา ย่านตาขาว</t>
  </si>
  <si>
    <t>0110740</t>
  </si>
  <si>
    <t>ธ. ทหารไทยธนชาต จำกัด (มหาชน) สาขา บิ๊กซี เชียงใหม่</t>
  </si>
  <si>
    <t>0110741</t>
  </si>
  <si>
    <t>0110742</t>
  </si>
  <si>
    <t>ธ. ทหารไทยธนชาต จำกัด (มหาชน) สาขา เกทเวย์ แอท บางซื่อ</t>
  </si>
  <si>
    <t>0110743</t>
  </si>
  <si>
    <t>0110744</t>
  </si>
  <si>
    <t>ธ. ทหารไทยธนชาต จำกัด (มหาชน) สาขา เพชรเกษม-อ้อมใหญ่</t>
  </si>
  <si>
    <t>0110745</t>
  </si>
  <si>
    <t>ธ. ทหารไทยธนชาต จำกัด (มหาชน) สาขา นครสวรรค์</t>
  </si>
  <si>
    <t>0110746</t>
  </si>
  <si>
    <t>ธ. ทหารไทยธนชาต จำกัด (มหาชน) สาขา บิ๊กซี ดอนเมือง</t>
  </si>
  <si>
    <t>0110747</t>
  </si>
  <si>
    <t>ธ. ทหารไทยธนชาต จำกัด (มหาชน) สาขา ลำพูน (ถนนอินทยงยศ)</t>
  </si>
  <si>
    <t>0110748</t>
  </si>
  <si>
    <t>ธ. ทหารไทยธนชาต จำกัด (มหาชน) สาขา เซ็นทรัล รามอินทรา</t>
  </si>
  <si>
    <t>0110749</t>
  </si>
  <si>
    <t>ธ. ทหารไทยธนชาต จำกัด (มหาชน) สาขา สี่แยกบ้านแขก</t>
  </si>
  <si>
    <t>0110750</t>
  </si>
  <si>
    <t>ธ. ทหารไทยธนชาต จำกัด (มหาชน) สาขา คลองหลวง</t>
  </si>
  <si>
    <t>0110753</t>
  </si>
  <si>
    <t>ธ. ทหารไทยธนชาต จำกัด (มหาชน) สาขา นวมินทร์ 66</t>
  </si>
  <si>
    <t>0110754</t>
  </si>
  <si>
    <t>ธ. ทหารไทยธนชาต จำกัด (มหาชน) สาขา ตลาดพลู</t>
  </si>
  <si>
    <t>0110755</t>
  </si>
  <si>
    <t>ธ. ทหารไทยธนชาต จำกัด (มหาชน) สาขา สวรรคโลก</t>
  </si>
  <si>
    <t>0110757</t>
  </si>
  <si>
    <t>ธ. ทหารไทยธนชาต จำกัด (มหาชน) สาขา บางขุนนนท์</t>
  </si>
  <si>
    <t>0110758</t>
  </si>
  <si>
    <t>ธ. ทหารไทยธนชาต จำกัด (มหาชน) สาขา ตลาดวโรรส</t>
  </si>
  <si>
    <t>0110759</t>
  </si>
  <si>
    <t>ธ. ทหารไทยธนชาต จำกัด (มหาชน) สาขา เพลินจิต เซ็นเตอร์</t>
  </si>
  <si>
    <t>0110766</t>
  </si>
  <si>
    <t>ธ. ทหารไทยธนชาต จำกัด (มหาชน) สาขา ตราด (ซอยตราดเซ็นเตอร์)</t>
  </si>
  <si>
    <t>0110767</t>
  </si>
  <si>
    <t>ธ. ทหารไทยธนชาต จำกัด (มหาชน) สาขา ถนนชนเกษม (สุราษฎร์ธานี)</t>
  </si>
  <si>
    <t>0110768</t>
  </si>
  <si>
    <t>ธ. ทหารไทยธนชาต จำกัด (มหาชน) สาขา ถนนหายโศรก (ร้อยเอ็ด)</t>
  </si>
  <si>
    <t>0110769</t>
  </si>
  <si>
    <t>ธ. ทหารไทยธนชาต จำกัด (มหาชน) สาขา ท่าเรือ-กาญจนบุรี</t>
  </si>
  <si>
    <t>0110772</t>
  </si>
  <si>
    <t>ธ. ทหารไทยธนชาต จำกัด (มหาชน) สาขา มุกดาหาร</t>
  </si>
  <si>
    <t>0110778</t>
  </si>
  <si>
    <t>ธ. ทหารไทยธนชาต จำกัด (มหาชน) สาขา วัชรพล</t>
  </si>
  <si>
    <t>0110779</t>
  </si>
  <si>
    <t>ธ. ทหารไทยธนชาต จำกัด (มหาชน) สาขา เพชรเกษม 69</t>
  </si>
  <si>
    <t>0110780</t>
  </si>
  <si>
    <t>ธ. ทหารไทยธนชาต จำกัด (มหาชน) สาขา นางรอง (ถนนโชคชัย-เดชอุดม)</t>
  </si>
  <si>
    <t>0110781</t>
  </si>
  <si>
    <t>ธ. ทหารไทยธนชาต จำกัด (มหาชน) สาขา ท้ายเหมือง</t>
  </si>
  <si>
    <t>0110782</t>
  </si>
  <si>
    <t>ธ. ทหารไทยธนชาต จำกัด (มหาชน) สาขา หาดเฉวง</t>
  </si>
  <si>
    <t>0110783</t>
  </si>
  <si>
    <t>ธ. ทหารไทยธนชาต จำกัด (มหาชน) สาขา ยโสธร (ถนนแจ้งสนิท)</t>
  </si>
  <si>
    <t>0110784</t>
  </si>
  <si>
    <t>ธ. ทหารไทยธนชาต จำกัด (มหาชน) สาขา แม่สาย เชียงราย</t>
  </si>
  <si>
    <t>0110785</t>
  </si>
  <si>
    <t>ธ. ทหารไทยธนชาต จำกัด (มหาชน) สาขา บิ๊กซี กำแพงเพชร</t>
  </si>
  <si>
    <t>0110786</t>
  </si>
  <si>
    <t>ธ. ทหารไทยธนชาต จำกัด (มหาชน) สาขา ถนนทวีวงศ์ (หาดป่าตอง)</t>
  </si>
  <si>
    <t>0110787</t>
  </si>
  <si>
    <t>ธ. ทหารไทยธนชาต จำกัด (มหาชน) สาขา ระยอง (ซอยนครระยอง 35)</t>
  </si>
  <si>
    <t>0110788</t>
  </si>
  <si>
    <t>ธ. ทหารไทยธนชาต จำกัด (มหาชน) สาขา ภูเก็ต</t>
  </si>
  <si>
    <t>0110789</t>
  </si>
  <si>
    <t>ธ. ทหารไทยธนชาต จำกัด (มหาชน) สาขา สุขุมวิท ซอย 25</t>
  </si>
  <si>
    <t>0110790</t>
  </si>
  <si>
    <t>ธ. ทหารไทยธนชาต จำกัด (มหาชน) สาขา ถนนรัษฎา (ภูเก็ต)</t>
  </si>
  <si>
    <t>0110791</t>
  </si>
  <si>
    <t>0110794</t>
  </si>
  <si>
    <t>ธ. ทหารไทยธนชาต จำกัด (มหาชน) สาขา พัทลุง (ซอยเพียรยินดี)</t>
  </si>
  <si>
    <t>0110795</t>
  </si>
  <si>
    <t>ธ. ทหารไทยธนชาต จำกัด (มหาชน) สาขา ถนนศรีจันทร์</t>
  </si>
  <si>
    <t>0110796</t>
  </si>
  <si>
    <t>ธ. ทหารไทยธนชาต จำกัด (มหาชน) สาขา ร้อยเอ็ด (ถนนเทวาภิบาล)</t>
  </si>
  <si>
    <t>0110797</t>
  </si>
  <si>
    <t>ธ. ทหารไทยธนชาต จำกัด (มหาชน) สาขา ถนนมิตรภาพ (นครราชสีมา)</t>
  </si>
  <si>
    <t>0110798</t>
  </si>
  <si>
    <t>ธ. ทหารไทยธนชาต จำกัด (มหาชน) สาขา ถนนราชวิถี (นครปฐม)</t>
  </si>
  <si>
    <t>0110799</t>
  </si>
  <si>
    <t>ธ. ทหารไทยธนชาต จำกัด (มหาชน) สาขา ปิ่นเกล้า</t>
  </si>
  <si>
    <t>0110802</t>
  </si>
  <si>
    <t>ธ. ทหารไทยธนชาต จำกัด (มหาชน) สาขา เล่งเน่ยยี่</t>
  </si>
  <si>
    <t>0110803</t>
  </si>
  <si>
    <t>ธ. ทหารไทยธนชาต จำกัด (มหาชน) สาขา โบ๊เบ๊ ทาวเวอร์</t>
  </si>
  <si>
    <t>0110804</t>
  </si>
  <si>
    <t>ธ. ทหารไทยธนชาต จำกัด (มหาชน) สาขา บางปู</t>
  </si>
  <si>
    <t>0110805</t>
  </si>
  <si>
    <t>ธ. ทหารไทยธนชาต จำกัด (มหาชน) สาขา สี่กั๊กพระยาศรี</t>
  </si>
  <si>
    <t>0110806</t>
  </si>
  <si>
    <t>ธ. ทหารไทยธนชาต จำกัด (มหาชน) สาขา โรงพยาบาลวิชัยยุทธ   (T-Express)</t>
  </si>
  <si>
    <t>0110807</t>
  </si>
  <si>
    <t>ธ. ทหารไทยธนชาต จำกัด (มหาชน) สาขา วัน-โอ-วัน เดอะเทิร์ดเพลส</t>
  </si>
  <si>
    <t>0110808</t>
  </si>
  <si>
    <t>ธ. ทหารไทยธนชาต จำกัด (มหาชน) สาขา บางมด</t>
  </si>
  <si>
    <t>0110809</t>
  </si>
  <si>
    <t>0110810</t>
  </si>
  <si>
    <t>ธ. ทหารไทยธนชาต จำกัด (มหาชน) สาขา ปากคลองตลาด</t>
  </si>
  <si>
    <t>0110811</t>
  </si>
  <si>
    <t>ธ. ทหารไทยธนชาต จำกัด (มหาชน) สาขา ห้วยสะท้อน</t>
  </si>
  <si>
    <t>0110812</t>
  </si>
  <si>
    <t>ธ. ทหารไทยธนชาต จำกัด (มหาชน) สาขา บิ๊กซี ระยอง</t>
  </si>
  <si>
    <t>0110813</t>
  </si>
  <si>
    <t>ธ. ทหารไทยธนชาต จำกัด (มหาชน) สาขา กาญจนบุรี</t>
  </si>
  <si>
    <t>0110814</t>
  </si>
  <si>
    <t>ธ. ทหารไทยธนชาต จำกัด (มหาชน) สาขา สุโขทัย (ถนนสิงหวัฒน์)</t>
  </si>
  <si>
    <t>0110815</t>
  </si>
  <si>
    <t>ธ. ทหารไทยธนชาต จำกัด (มหาชน) สาขา สุรินทร์</t>
  </si>
  <si>
    <t>0110816</t>
  </si>
  <si>
    <t>ธ. ทหารไทยธนชาต จำกัด (มหาชน) สาขา ถนนมิตรภาพ ขอนแก่น</t>
  </si>
  <si>
    <t>0110817</t>
  </si>
  <si>
    <t>ธ. ทหารไทยธนชาต จำกัด (มหาชน) สาขา รามคำแหง 160</t>
  </si>
  <si>
    <t>0110818</t>
  </si>
  <si>
    <t>ธ. ทหารไทยธนชาต จำกัด (มหาชน) สาขา ถนนมังกร</t>
  </si>
  <si>
    <t>0110819</t>
  </si>
  <si>
    <t>ธ. ทหารไทยธนชาต จำกัด (มหาชน) สาขา เทสโก้ โลตัส วังหิน</t>
  </si>
  <si>
    <t>0110820</t>
  </si>
  <si>
    <t>ธ. ทหารไทยธนชาต จำกัด (มหาชน) สาขา ถนนเคหะร่มเกล้า</t>
  </si>
  <si>
    <t>0110821</t>
  </si>
  <si>
    <t>ธ. ทหารไทยธนชาต จำกัด (มหาชน) สาขา อุตรดิตถ์ (ถนนสำราญรื่น)</t>
  </si>
  <si>
    <t>0110822</t>
  </si>
  <si>
    <t>ธ. ทหารไทยธนชาต จำกัด (มหาชน) สาขา ถนนธรรมนูญวิถี (หาดใหญ่)</t>
  </si>
  <si>
    <t>0110823</t>
  </si>
  <si>
    <t>ธ. ทหารไทยธนชาต จำกัด (มหาชน) สาขา เพชรบุรี (ถนนสุรินทรฦาชัย)</t>
  </si>
  <si>
    <t>0110824</t>
  </si>
  <si>
    <t>ธ. ทหารไทยธนชาต จำกัด (มหาชน) สาขา พนมสารคาม(ถ.ฉะเชิงเทรา-กบินทร์บุรี)</t>
  </si>
  <si>
    <t>0110825</t>
  </si>
  <si>
    <t>ธ. ทหารไทยธนชาต จำกัด (มหาชน) สาขา ห้วยยอด (ถนนเพชรเกษม)</t>
  </si>
  <si>
    <t>0110826</t>
  </si>
  <si>
    <t>ธ. ทหารไทยธนชาต จำกัด (มหาชน) สาขา ถนนอัมรินทร์ (ราชบุรี)</t>
  </si>
  <si>
    <t>0110827</t>
  </si>
  <si>
    <t>ธ. ทหารไทยธนชาต จำกัด (มหาชน) สาขา ทับเที่ยง (ตรัง)</t>
  </si>
  <si>
    <t>0110828</t>
  </si>
  <si>
    <t>ธ. ทหารไทยธนชาต จำกัด (มหาชน) สาขา โพธาราม (ถนนโพธาราม)</t>
  </si>
  <si>
    <t>0110829</t>
  </si>
  <si>
    <t>ธ. ทหารไทยธนชาต จำกัด (มหาชน) สาขา หนองคาย (ซอยประจักษ์ศิลปาคม)</t>
  </si>
  <si>
    <t>0110830</t>
  </si>
  <si>
    <t>ธ. ทหารไทยธนชาต จำกัด (มหาชน) สาขา ถนนทรงพล</t>
  </si>
  <si>
    <t>0110831</t>
  </si>
  <si>
    <t>ธ. ทหารไทยธนชาต จำกัด (มหาชน) สาขา ปัตตานี (ถนนฤาดี)</t>
  </si>
  <si>
    <t>0110832</t>
  </si>
  <si>
    <t>ธ. ทหารไทยธนชาต จำกัด (มหาชน) สาขา ถนนพหลโยธิน-สระบุรี 2</t>
  </si>
  <si>
    <t>0110833</t>
  </si>
  <si>
    <t>ธ. ทหารไทยธนชาต จำกัด (มหาชน) สาขา ชุมแพ (ถนนมะลิวัลย์)</t>
  </si>
  <si>
    <t>0110834</t>
  </si>
  <si>
    <t>ธ. ทหารไทยธนชาต จำกัด (มหาชน) สาขา บ้านไผ่ (ถนนมนตรี)</t>
  </si>
  <si>
    <t>0110835</t>
  </si>
  <si>
    <t>0110836</t>
  </si>
  <si>
    <t>ธ. ทหารไทยธนชาต จำกัด (มหาชน) สาขา นครพนม (ถนนอภิบาลบัญชา)</t>
  </si>
  <si>
    <t>0110837</t>
  </si>
  <si>
    <t>ธ. ทหารไทยธนชาต จำกัด (มหาชน) สาขา ประจวบคีรีขันธ์ (ถนนสละชีพ)</t>
  </si>
  <si>
    <t>0110838</t>
  </si>
  <si>
    <t>ธ. ทหารไทยธนชาต จำกัด (มหาชน) สาขา ถนนนางลิ้นจี่</t>
  </si>
  <si>
    <t>0110839</t>
  </si>
  <si>
    <t>ธ. ทหารไทยธนชาต จำกัด (มหาชน) สาขา สามแยกแกลง</t>
  </si>
  <si>
    <t>0110840</t>
  </si>
  <si>
    <t>ธ. ทหารไทยธนชาต จำกัด (มหาชน) สาขา สกลนคร (ถนนรัฐพัฒนา)</t>
  </si>
  <si>
    <t>0110841</t>
  </si>
  <si>
    <t>ธ. ทหารไทยธนชาต จำกัด (มหาชน) สาขา สระแก้ว (ถนนสุวรรณศร)</t>
  </si>
  <si>
    <t>0110842</t>
  </si>
  <si>
    <t>ธ. ทหารไทยธนชาต จำกัด (มหาชน) สาขา กระบี่ (ถนนมหาราช)</t>
  </si>
  <si>
    <t>0110843</t>
  </si>
  <si>
    <t>ธ. ทหารไทยธนชาต จำกัด (มหาชน) สาขา บิ๊กซี สตูล</t>
  </si>
  <si>
    <t>0110844</t>
  </si>
  <si>
    <t>ธ. ทหารไทยธนชาต จำกัด (มหาชน) สาขา ถนนพระราม 2 (การเคหะธนบุรี 3)</t>
  </si>
  <si>
    <t>0110845</t>
  </si>
  <si>
    <t>ธ. ทหารไทยธนชาต จำกัด (มหาชน) สาขา รัชดาภิเษก (อาคารกลาสเฮ้าส์)</t>
  </si>
  <si>
    <t>0110846</t>
  </si>
  <si>
    <t>ธ. ทหารไทยธนชาต จำกัด (มหาชน) สาขา ยูเนี่ยน มอลล์ ลาดพร้าว</t>
  </si>
  <si>
    <t>0110854</t>
  </si>
  <si>
    <t>ธ. ทหารไทยธนชาต จำกัด (มหาชน) สาขา สำนักชิดลม</t>
  </si>
  <si>
    <t>0110856</t>
  </si>
  <si>
    <t>ธ. ทหารไทยธนชาต จำกัด (มหาชน) สาขา อาคารสยามกิตติ์</t>
  </si>
  <si>
    <t>0110857</t>
  </si>
  <si>
    <t>ธ. ทหารไทยธนชาต จำกัด (มหาชน) สาขา ถนนเอกชัย (บางบอน 5)</t>
  </si>
  <si>
    <t>0110860</t>
  </si>
  <si>
    <t>ธ. ทหารไทยธนชาต จำกัด (มหาชน) สาขา ตลาดบางแค</t>
  </si>
  <si>
    <t>0110863</t>
  </si>
  <si>
    <t>ธ. ทหารไทยธนชาต จำกัด (มหาชน) สาขา ถนนเศรษฐกิจ 1 (อ้อมน้อย)</t>
  </si>
  <si>
    <t>0110867</t>
  </si>
  <si>
    <t>ธ. ทหารไทยธนชาต จำกัด (มหาชน) สาขา ถนนขุนสรรค์ (สิงห์บุรี)</t>
  </si>
  <si>
    <t>0110869</t>
  </si>
  <si>
    <t>ธ. ทหารไทยธนชาต จำกัด (มหาชน) สาขา ปากน้ำโพ</t>
  </si>
  <si>
    <t>0110870</t>
  </si>
  <si>
    <t>ธ. ทหารไทยธนชาต จำกัด (มหาชน) สาขา ถนนนิมมานเหมินท์</t>
  </si>
  <si>
    <t>0110871</t>
  </si>
  <si>
    <t>ธ. ทหารไทยธนชาต จำกัด (มหาชน) สาขา ตาก (ถนนมหาดไทยบำรุง)</t>
  </si>
  <si>
    <t>0110875</t>
  </si>
  <si>
    <t>ธ. ทหารไทยธนชาต จำกัด (มหาชน) สาขา สันป่าข่อย (ถนนเจริญเมือง)</t>
  </si>
  <si>
    <t>0110876</t>
  </si>
  <si>
    <t>ธ. ทหารไทยธนชาต จำกัด (มหาชน) สาขา พิษณุโลก (ถนนพิชัยสงคราม)</t>
  </si>
  <si>
    <t>0110877</t>
  </si>
  <si>
    <t>ธ. ทหารไทยธนชาต จำกัด (มหาชน) สาขา แม่สอด (ถนนอินทรคีรี)</t>
  </si>
  <si>
    <t>0110879</t>
  </si>
  <si>
    <t>ธ. ทหารไทยธนชาต จำกัด (มหาชน) สาขา ปากเพรียว</t>
  </si>
  <si>
    <t>0110881</t>
  </si>
  <si>
    <t>ธ. ทหารไทยธนชาต จำกัด (มหาชน) สาขา อำนาจเจริญ (ถนนชยางกูร)</t>
  </si>
  <si>
    <t>0110884</t>
  </si>
  <si>
    <t>ธ. ทหารไทยธนชาต จำกัด (มหาชน) สาขา บุรีรัมย์ (ถนนปลัดเมือง)</t>
  </si>
  <si>
    <t>0110892</t>
  </si>
  <si>
    <t>ธ. ทหารไทยธนชาต จำกัด (มหาชน) สาขา อุบลราชธานี (ถนนชยางกูร)</t>
  </si>
  <si>
    <t>0110898</t>
  </si>
  <si>
    <t>ธ. ทหารไทยธนชาต จำกัด (มหาชน) สาขา ปราจีนบุรี (ถนนราษฏรดำริ)</t>
  </si>
  <si>
    <t>0110900</t>
  </si>
  <si>
    <t>ธ. ทหารไทยธนชาต จำกัด (มหาชน) สาขา อรัญประเทศ (ถนนสุวรรณศร)</t>
  </si>
  <si>
    <t>0110903</t>
  </si>
  <si>
    <t>ธ. ทหารไทยธนชาต จำกัด (มหาชน) สาขา หลังสวน-ชุมพร</t>
  </si>
  <si>
    <t>0110904</t>
  </si>
  <si>
    <t>ธ. ทหารไทยธนชาต จำกัด (มหาชน) สาขา บิ๊กซี สุขาภิบาล 3 (รามคำแหง)</t>
  </si>
  <si>
    <t>0110906</t>
  </si>
  <si>
    <t>ธ. ทหารไทยธนชาต จำกัด (มหาชน) สาขา วงเวียนใหญ่</t>
  </si>
  <si>
    <t>0110907</t>
  </si>
  <si>
    <t>ธ. ทหารไทยธนชาต จำกัด (มหาชน) สาขา โรงพยาบาลพญาไท 1</t>
  </si>
  <si>
    <t>0110908</t>
  </si>
  <si>
    <t>ธ. ทหารไทยธนชาต จำกัด (มหาชน) สาขา ปลวกแดง</t>
  </si>
  <si>
    <t>0110909</t>
  </si>
  <si>
    <t>ธ. ทหารไทยธนชาต จำกัด (มหาชน) สาขา สำนักเพชรบุรี</t>
  </si>
  <si>
    <t>0110910</t>
  </si>
  <si>
    <t>ธ. ทหารไทยธนชาต จำกัด (มหาชน) สาขา ถนนฉลองกรุง</t>
  </si>
  <si>
    <t>0110911</t>
  </si>
  <si>
    <t>0110912</t>
  </si>
  <si>
    <t>ธ. ทหารไทยธนชาต จำกัด (มหาชน) สาขา เทสโก้ โลตัส ทุ่งสง</t>
  </si>
  <si>
    <t>0110913</t>
  </si>
  <si>
    <t>ธ. ทหารไทยธนชาต จำกัด (มหาชน) สาขา ปากพนัง</t>
  </si>
  <si>
    <t>0110914</t>
  </si>
  <si>
    <t>ธ. ทหารไทยธนชาต จำกัด (มหาชน) สาขา ลาดพร้าว 80</t>
  </si>
  <si>
    <t>0110915</t>
  </si>
  <si>
    <t>ธ. ทหารไทยธนชาต จำกัด (มหาชน) สาขา บิ๊กซี เอกมัย</t>
  </si>
  <si>
    <t>0110916</t>
  </si>
  <si>
    <t>ธ. ทหารไทยธนชาต จำกัด (มหาชน) สาขา ทองหล่อ ซอย 17</t>
  </si>
  <si>
    <t>0110918</t>
  </si>
  <si>
    <t>ธ. ทหารไทยธนชาต จำกัด (มหาชน) สาขา นครชัยศรี</t>
  </si>
  <si>
    <t>0110920</t>
  </si>
  <si>
    <t>ธ. ทหารไทยธนชาต จำกัด (มหาชน) สาขา  มี เพลส เซ็นทรัลเวิลด์</t>
  </si>
  <si>
    <t>0110921</t>
  </si>
  <si>
    <t>0110922</t>
  </si>
  <si>
    <t>ธ. ทหารไทยธนชาต จำกัด (มหาชน) สาขา  สีลมคอมเพล็กซ์</t>
  </si>
  <si>
    <t>0110923</t>
  </si>
  <si>
    <t>ธ. ทหารไทยธนชาต จำกัด (มหาชน) สาขา  เดอะมอลล์ บางกะปิ 2</t>
  </si>
  <si>
    <t>0110924</t>
  </si>
  <si>
    <t>ธ. ทหารไทยธนชาต จำกัด (มหาชน) สาขา  เดอะมอลล์ บางแค 2</t>
  </si>
  <si>
    <t>0110925</t>
  </si>
  <si>
    <t>ธ. ทหารไทยธนชาต จำกัด (มหาชน) สาขา เทสโก้ โลตัส สงขลา</t>
  </si>
  <si>
    <t>0110926</t>
  </si>
  <si>
    <t>ธ. ทหารไทยธนชาต จำกัด (มหาชน) สาขา สะเดา</t>
  </si>
  <si>
    <t>0110927</t>
  </si>
  <si>
    <t>0110928</t>
  </si>
  <si>
    <t>ธ. ทหารไทยธนชาต จำกัด (มหาชน) สาขา สนามเป้า (หน้าโรงพยาบาลพญาไท 2)</t>
  </si>
  <si>
    <t>0110929</t>
  </si>
  <si>
    <t>ธ. ทหารไทยธนชาต จำกัด (มหาชน) สาขา อุดรธานี</t>
  </si>
  <si>
    <t>0110930</t>
  </si>
  <si>
    <t>ธ. ทหารไทยธนชาต จำกัด (มหาชน) สาขา อนุวงศ์</t>
  </si>
  <si>
    <t>0110931</t>
  </si>
  <si>
    <t>ธ. ทหารไทยธนชาต จำกัด (มหาชน) สาขา ถนนสาทรใต้ (ไทย ซี ซี ทาวเวอร์)</t>
  </si>
  <si>
    <t>0110932</t>
  </si>
  <si>
    <t>ธ. ทหารไทยธนชาต จำกัด (มหาชน) สาขา บิ๊กซี สุขาภิบาล 5</t>
  </si>
  <si>
    <t>0110933</t>
  </si>
  <si>
    <t>ธ. ทหารไทยธนชาต จำกัด (มหาชน) สาขา เทสโก้ โลตัส เพชรเกษม 81</t>
  </si>
  <si>
    <t>0110934</t>
  </si>
  <si>
    <t>ธ. ทหารไทยธนชาต จำกัด (มหาชน) สาขา ไอที สแควร์</t>
  </si>
  <si>
    <t>0110935</t>
  </si>
  <si>
    <t>ธ. ทหารไทยธนชาต จำกัด (มหาชน) สาขา ถนนพระราม 2 (ซอย 3)</t>
  </si>
  <si>
    <t>0110936</t>
  </si>
  <si>
    <t>ธ. ทหารไทยธนชาต จำกัด (มหาชน) สาขา ถนนพระราม 9</t>
  </si>
  <si>
    <t>0110937</t>
  </si>
  <si>
    <t>ธ. ทหารไทยธนชาต จำกัด (มหาชน) สาขา แจ้งวัฒนะ</t>
  </si>
  <si>
    <t>0110938</t>
  </si>
  <si>
    <t>ธ. ทหารไทยธนชาต จำกัด (มหาชน) สาขา เทสโก้ โลตัส รัตนาธิเบศร์</t>
  </si>
  <si>
    <t>0110939</t>
  </si>
  <si>
    <t>ธ. ทหารไทยธนชาต จำกัด (มหาชน) สาขา บางกรวย</t>
  </si>
  <si>
    <t>0110940</t>
  </si>
  <si>
    <t>ธ. ทหารไทยธนชาต จำกัด (มหาชน) สาขา บ้าน แอนด์ บียอนด์ ราชพฤกษ์</t>
  </si>
  <si>
    <t>0110941</t>
  </si>
  <si>
    <t>ธ. ทหารไทยธนชาต จำกัด (มหาชน) สาขา เทสโก้ โลตัส ชุมพร</t>
  </si>
  <si>
    <t>0110942</t>
  </si>
  <si>
    <t>ธ. ทหารไทยธนชาต จำกัด (มหาชน) สาขา หาดละไม</t>
  </si>
  <si>
    <t>0110943</t>
  </si>
  <si>
    <t>ธ. ทหารไทยธนชาต จำกัด (มหาชน) สาขา สุไหงโก-ลก (ถนนประชาวิวัฒน์)</t>
  </si>
  <si>
    <t>0110944</t>
  </si>
  <si>
    <t>ธ. ทหารไทยธนชาต จำกัด (มหาชน) สาขา ปราณบุรี (ถนนเพชรเกษม)</t>
  </si>
  <si>
    <t>0110945</t>
  </si>
  <si>
    <t>ธ. ทหารไทยธนชาต จำกัด (มหาชน) สาขา บิ๊กซี สมุทรปราการ</t>
  </si>
  <si>
    <t>0110946</t>
  </si>
  <si>
    <t>ธ. ทหารไทยธนชาต จำกัด (มหาชน) สาขา บิ๊กซี บางพลี</t>
  </si>
  <si>
    <t>0110947</t>
  </si>
  <si>
    <t>ธ. ทหารไทยธนชาต จำกัด (มหาชน) สาขา อาคารไว้ท์กรุ๊ป (กล้วยน้ำไท)</t>
  </si>
  <si>
    <t>0110948</t>
  </si>
  <si>
    <t>ธ. ทหารไทยธนชาต จำกัด (มหาชน) สาขา บางเลน</t>
  </si>
  <si>
    <t>0110949</t>
  </si>
  <si>
    <t>ธ. ทหารไทยธนชาต จำกัด (มหาชน) สาขา บิ๊กซี สำโรง 2</t>
  </si>
  <si>
    <t>0110950</t>
  </si>
  <si>
    <t>ธ. ทหารไทยธนชาต จำกัด (มหาชน) สาขา นิคมอุตสาหกรรมบางปู</t>
  </si>
  <si>
    <t>0110951</t>
  </si>
  <si>
    <t>ธ. ทหารไทยธนชาต จำกัด (มหาชน) สาขา กำแพงเพชร (ถนนเจริญสุข)</t>
  </si>
  <si>
    <t>0110952</t>
  </si>
  <si>
    <t>ธ. ทหารไทยธนชาต จำกัด (มหาชน) สาขา ราชวัตร์</t>
  </si>
  <si>
    <t>0110953</t>
  </si>
  <si>
    <t>ธ. ทหารไทยธนชาต จำกัด (มหาชน) สาขา ถนนราชดำเนิน (นครศรีธรรมราช)</t>
  </si>
  <si>
    <t>0110954</t>
  </si>
  <si>
    <t>ธ. ทหารไทยธนชาต จำกัด (มหาชน) สาขา ทุ่งสง (ถนนชนปรีดา)</t>
  </si>
  <si>
    <t>0110955</t>
  </si>
  <si>
    <t>ธ. ทหารไทยธนชาต จำกัด (มหาชน) สาขา นครปฐม (ถนนทรงพล)</t>
  </si>
  <si>
    <t>0110956</t>
  </si>
  <si>
    <t>ธ. ทหารไทยธนชาต จำกัด (มหาชน) สาขา โรงพยาบาลวิภาวดี</t>
  </si>
  <si>
    <t>0110957</t>
  </si>
  <si>
    <t>ธ. ทหารไทยธนชาต จำกัด (มหาชน) สาขา สำโรงเหนือ</t>
  </si>
  <si>
    <t>0110958</t>
  </si>
  <si>
    <t>ธ. ทหารไทยธนชาต จำกัด (มหาชน) สาขา อาคารวิบูลย์ธานี (พระราม 4)</t>
  </si>
  <si>
    <t>0110961</t>
  </si>
  <si>
    <t>ธ. ทหารไทยธนชาต จำกัด (มหาชน) สาขา พิจิตร (ถนนศรีมาลา)</t>
  </si>
  <si>
    <t>0110962</t>
  </si>
  <si>
    <t>ธ. ทหารไทยธนชาต จำกัด (มหาชน) สาขา ยะลา (ถนนยะลา)</t>
  </si>
  <si>
    <t>0110963</t>
  </si>
  <si>
    <t>ธ. ทหารไทยธนชาต จำกัด (มหาชน) สาขา มหาชัยเมืองใหม่</t>
  </si>
  <si>
    <t>0110965</t>
  </si>
  <si>
    <t>ธ. ทหารไทยธนชาต จำกัด (มหาชน) สาขา บ้านแพ้ว</t>
  </si>
  <si>
    <t>0110966</t>
  </si>
  <si>
    <t>ธ. ทหารไทยธนชาต จำกัด (มหาชน) สาขา ท่าม่วง</t>
  </si>
  <si>
    <t>0110967</t>
  </si>
  <si>
    <t>ธ. ทหารไทยธนชาต จำกัด (มหาชน) สาขา หันคา</t>
  </si>
  <si>
    <t>0110968</t>
  </si>
  <si>
    <t>ธ. ทหารไทยธนชาต จำกัด (มหาชน) สาขา สามชุก</t>
  </si>
  <si>
    <t>0110969</t>
  </si>
  <si>
    <t>ธ. ทหารไทยธนชาต จำกัด (มหาชน) สาขา บางปะหัน</t>
  </si>
  <si>
    <t>0110970</t>
  </si>
  <si>
    <t>ธ. ทหารไทยธนชาต จำกัด (มหาชน) สาขา แก่งคอย</t>
  </si>
  <si>
    <t>0110971</t>
  </si>
  <si>
    <t>ธ. ทหารไทยธนชาต จำกัด (มหาชน) สาขา บ้านนาเดิม</t>
  </si>
  <si>
    <t>0110972</t>
  </si>
  <si>
    <t>ธ. ทหารไทยธนชาต จำกัด (มหาชน) สาขา เคียนซา</t>
  </si>
  <si>
    <t>0110973</t>
  </si>
  <si>
    <t>ธ. ทหารไทยธนชาต จำกัด (มหาชน) สาขา หาดกะรน</t>
  </si>
  <si>
    <t>0110974</t>
  </si>
  <si>
    <t>ธ. ทหารไทยธนชาต จำกัด (มหาชน) สาขา เทสโก้ โลตัส เจ้าฟ้า (ภูเก็ต)</t>
  </si>
  <si>
    <t>0110980</t>
  </si>
  <si>
    <t>ธ. ทหารไทยธนชาต จำกัด (มหาชน) สาขา ถนนสุดบรรทัด</t>
  </si>
  <si>
    <t>0110982</t>
  </si>
  <si>
    <t>0110983</t>
  </si>
  <si>
    <t>ธ. ทหารไทยธนชาต จำกัด (มหาชน) สาขา ทุ่งคอก</t>
  </si>
  <si>
    <t>0110984</t>
  </si>
  <si>
    <t>ธ. ทหารไทยธนชาต จำกัด (มหาชน) สาขา สองพี่น้อง</t>
  </si>
  <si>
    <t>0110985</t>
  </si>
  <si>
    <t>ธ. ทหารไทยธนชาต จำกัด (มหาชน) สาขา วารินชำราบ</t>
  </si>
  <si>
    <t>0110987</t>
  </si>
  <si>
    <t>ธ. ทหารไทยธนชาต จำกัด (มหาชน) สาขา กบินทร์บุรี</t>
  </si>
  <si>
    <t>0140001</t>
  </si>
  <si>
    <t>ธ. ไทยพาณิชย์ จำกัด (มหาชน) สาขา ชิดลม</t>
  </si>
  <si>
    <t>0140002</t>
  </si>
  <si>
    <t>ธ. ไทยพาณิชย์ จำกัด (มหาชน) สาขา สุรวงษ์</t>
  </si>
  <si>
    <t>0140003</t>
  </si>
  <si>
    <t>ธ. ไทยพาณิชย์ จำกัด (มหาชน) สาขา บางลำพู</t>
  </si>
  <si>
    <t>0140004</t>
  </si>
  <si>
    <t>ธ. ไทยพาณิชย์ จำกัด (มหาชน) สาขา อาคารสหประชาชาติ</t>
  </si>
  <si>
    <t>0140005</t>
  </si>
  <si>
    <t>ธ. ไทยพาณิชย์ จำกัด (มหาชน) สาขา สะพานเหลือง</t>
  </si>
  <si>
    <t>0140006</t>
  </si>
  <si>
    <t>ธ. ไทยพาณิชย์ จำกัด (มหาชน) สาขา ตรีเพชร</t>
  </si>
  <si>
    <t>0140007</t>
  </si>
  <si>
    <t>ธ. ไทยพาณิชย์ จำกัด (มหาชน) สาขา ราชวงศ์</t>
  </si>
  <si>
    <t>0140008</t>
  </si>
  <si>
    <t>ธ. ไทยพาณิชย์ จำกัด (มหาชน) สาขา ถนนเพชรบุรี</t>
  </si>
  <si>
    <t>0140009</t>
  </si>
  <si>
    <t>ธ. ไทยพาณิชย์ จำกัด (มหาชน) สาขา บางกะปิ (สุขุมวิท 45)</t>
  </si>
  <si>
    <t>0140010</t>
  </si>
  <si>
    <t>ธ. ไทยพาณิชย์ จำกัด (มหาชน) สาขา ลาดพร้าว ซอย 59</t>
  </si>
  <si>
    <t>0140011</t>
  </si>
  <si>
    <t>ธ. ไทยพาณิชย์ จำกัด (มหาชน) สาขา บางพลัด</t>
  </si>
  <si>
    <t>0140012</t>
  </si>
  <si>
    <t>ธ. ไทยพาณิชย์ จำกัด (มหาชน) สาขา ลาดหญ้า</t>
  </si>
  <si>
    <t>0140013</t>
  </si>
  <si>
    <t>ธ. ไทยพาณิชย์ จำกัด (มหาชน) สาขา ตลาดน้อย</t>
  </si>
  <si>
    <t>0140014</t>
  </si>
  <si>
    <t>ธ. ไทยพาณิชย์ จำกัด (มหาชน) สาขา พหลโยธิน</t>
  </si>
  <si>
    <t>0140015</t>
  </si>
  <si>
    <t>ธ. ไทยพาณิชย์ จำกัด (มหาชน) สาขา บางนา</t>
  </si>
  <si>
    <t>0140016</t>
  </si>
  <si>
    <t>ธ. ไทยพาณิชย์ จำกัด (มหาชน) สาขา ศิริราช</t>
  </si>
  <si>
    <t>0140017</t>
  </si>
  <si>
    <t>ธ. ไทยพาณิชย์ จำกัด (มหาชน) สาขา ท่าพระ</t>
  </si>
  <si>
    <t>0140018</t>
  </si>
  <si>
    <t>ธ. ไทยพาณิชย์ จำกัด (มหาชน) สาขา บางกระบือ</t>
  </si>
  <si>
    <t>0140019</t>
  </si>
  <si>
    <t>ธ. ไทยพาณิชย์ จำกัด (มหาชน) สาขา บางคอแหลม</t>
  </si>
  <si>
    <t>0140020</t>
  </si>
  <si>
    <t>ธ. ไทยพาณิชย์ จำกัด (มหาชน) สาขา เทเวศร์</t>
  </si>
  <si>
    <t>0140021</t>
  </si>
  <si>
    <t>ธ. ไทยพาณิชย์ จำกัด (มหาชน) สาขา สุทธิสาร</t>
  </si>
  <si>
    <t>0140022</t>
  </si>
  <si>
    <t>ธ. ไทยพาณิชย์ จำกัด (มหาชน) สาขา บางแค</t>
  </si>
  <si>
    <t>0140023</t>
  </si>
  <si>
    <t>ธ. ไทยพาณิชย์ จำกัด (มหาชน) สาขา ลุมพินี</t>
  </si>
  <si>
    <t>0140024</t>
  </si>
  <si>
    <t>ธ. ไทยพาณิชย์ จำกัด (มหาชน) สาขา เจริญนคร</t>
  </si>
  <si>
    <t>0140025</t>
  </si>
  <si>
    <t>ธ. ไทยพาณิชย์ จำกัด (มหาชน) สาขา วิสุทธิกษัตริย์</t>
  </si>
  <si>
    <t>0140026</t>
  </si>
  <si>
    <t>ธ. ไทยพาณิชย์ จำกัด (มหาชน) สาขา รามาธิบดี</t>
  </si>
  <si>
    <t>0140027</t>
  </si>
  <si>
    <t>ธ. ไทยพาณิชย์ จำกัด (มหาชน) สาขา บางโพ</t>
  </si>
  <si>
    <t>0140028</t>
  </si>
  <si>
    <t>ธ. ไทยพาณิชย์ จำกัด (มหาชน) สาขา คลองตัน</t>
  </si>
  <si>
    <t>0140029</t>
  </si>
  <si>
    <t>ธ. ไทยพาณิชย์ จำกัด (มหาชน) สาขา หลักสี่</t>
  </si>
  <si>
    <t>0140030</t>
  </si>
  <si>
    <t>ธ. ไทยพาณิชย์ จำกัด (มหาชน) สาขา ราชดำเนินกลาง</t>
  </si>
  <si>
    <t>0140031</t>
  </si>
  <si>
    <t>ธ. ไทยพาณิชย์ จำกัด (มหาชน) สาขา ถนนจันทน์</t>
  </si>
  <si>
    <t>0140032</t>
  </si>
  <si>
    <t>ธ. ไทยพาณิชย์ จำกัด (มหาชน) สาขา อโศก</t>
  </si>
  <si>
    <t>0140033</t>
  </si>
  <si>
    <t>ธ. ไทยพาณิชย์ จำกัด (มหาชน) สาขา บิ๊กซี สะพานควาย</t>
  </si>
  <si>
    <t>0140034</t>
  </si>
  <si>
    <t>ธ. ไทยพาณิชย์ จำกัด (มหาชน) สาขา อนุสาวรีย์ชัยสมรภูมิ</t>
  </si>
  <si>
    <t>0140035</t>
  </si>
  <si>
    <t>ธ. ไทยพาณิชย์ จำกัด (มหาชน) สาขา พระราม 4</t>
  </si>
  <si>
    <t>0140036</t>
  </si>
  <si>
    <t>ธ. ไทยพาณิชย์ จำกัด (มหาชน) สาขา สามแยกไฟฉาย</t>
  </si>
  <si>
    <t>0140037</t>
  </si>
  <si>
    <t>ธ. ไทยพาณิชย์ จำกัด (มหาชน) สาขา เฉลิมนคร</t>
  </si>
  <si>
    <t>0140038</t>
  </si>
  <si>
    <t>ธ. ไทยพาณิชย์ จำกัด (มหาชน) สาขา สยามสแควร์</t>
  </si>
  <si>
    <t>0140039</t>
  </si>
  <si>
    <t>ธ. ไทยพาณิชย์ จำกัด (มหาชน) สาขา เยาวราช</t>
  </si>
  <si>
    <t>0140040</t>
  </si>
  <si>
    <t>ธ. ไทยพาณิชย์ จำกัด (มหาชน) สาขา ซอยไชยยศ</t>
  </si>
  <si>
    <t>0140041</t>
  </si>
  <si>
    <t>ธ. ไทยพาณิชย์ จำกัด (มหาชน) สาขา บางเขน</t>
  </si>
  <si>
    <t>0140042</t>
  </si>
  <si>
    <t>ธ. ไทยพาณิชย์ จำกัด (มหาชน) สาขา ซอยทองหล่อ</t>
  </si>
  <si>
    <t>0140043</t>
  </si>
  <si>
    <t>ธ. ไทยพาณิชย์ จำกัด (มหาชน) สาขา ถนนเพชรบุรีตัดใหม่</t>
  </si>
  <si>
    <t>0140044</t>
  </si>
  <si>
    <t>ธ. ไทยพาณิชย์ จำกัด (มหาชน) สาขา หัวหมาก</t>
  </si>
  <si>
    <t>0140045</t>
  </si>
  <si>
    <t>ธ. ไทยพาณิชย์ จำกัด (มหาชน) สาขา สภากาชาดไทย</t>
  </si>
  <si>
    <t>0140046</t>
  </si>
  <si>
    <t>ธ. ไทยพาณิชย์ จำกัด (มหาชน) สาขา บางมด</t>
  </si>
  <si>
    <t>0140047</t>
  </si>
  <si>
    <t>ธ. ไทยพาณิชย์ จำกัด (มหาชน) สาขา ลาดพร้าว ซอย 10</t>
  </si>
  <si>
    <t>0140048</t>
  </si>
  <si>
    <t>ธ. ไทยพาณิชย์ จำกัด (มหาชน) สาขา ถนนศรีนครินทร์ (อุดมสุข)</t>
  </si>
  <si>
    <t>0140049</t>
  </si>
  <si>
    <t>ธ. ไทยพาณิชย์ จำกัด (มหาชน) สาขา ถนนวิทยุ</t>
  </si>
  <si>
    <t>0140050</t>
  </si>
  <si>
    <t>ธ. ไทยพาณิชย์ จำกัด (มหาชน) สาขา หัวเม็ด</t>
  </si>
  <si>
    <t>0140051</t>
  </si>
  <si>
    <t>ธ. ไทยพาณิชย์ จำกัด (มหาชน) สาขา โรงพยาบาลราชวิถี</t>
  </si>
  <si>
    <t>0140052</t>
  </si>
  <si>
    <t>ธ. ไทยพาณิชย์ จำกัด (มหาชน) สาขา ลาดพร้าว ซอย 111</t>
  </si>
  <si>
    <t>0140053</t>
  </si>
  <si>
    <t>ธ. ไทยพาณิชย์ จำกัด (มหาชน) สาขา บางบัว</t>
  </si>
  <si>
    <t>0140054</t>
  </si>
  <si>
    <t>ธ. ไทยพาณิชย์ จำกัด (มหาชน) สาขา บางรัก</t>
  </si>
  <si>
    <t>0140055</t>
  </si>
  <si>
    <t>ธ. ไทยพาณิชย์ จำกัด (มหาชน) สาขา ถนนตากสิน</t>
  </si>
  <si>
    <t>0140056</t>
  </si>
  <si>
    <t>ธ. ไทยพาณิชย์ จำกัด (มหาชน) สาขา ซอยอารีสัมพันธ์</t>
  </si>
  <si>
    <t>0140057</t>
  </si>
  <si>
    <t>ธ. ไทยพาณิชย์ จำกัด (มหาชน) สาขา พลับพลาไชย</t>
  </si>
  <si>
    <t>0140058</t>
  </si>
  <si>
    <t>ธ. ไทยพาณิชย์ จำกัด (มหาชน) สาขา ตลาดพลู</t>
  </si>
  <si>
    <t>0140059</t>
  </si>
  <si>
    <t>ธ. ไทยพาณิชย์ จำกัด (มหาชน) สาขา เพลินจิต</t>
  </si>
  <si>
    <t>0140060</t>
  </si>
  <si>
    <t>ธ. ไทยพาณิชย์ จำกัด (มหาชน) สาขา ถนนรัชดาภิเษก</t>
  </si>
  <si>
    <t>0140061</t>
  </si>
  <si>
    <t>ธ. ไทยพาณิชย์ จำกัด (มหาชน) สาขา พระบรมมหาราชวัง</t>
  </si>
  <si>
    <t>0140062</t>
  </si>
  <si>
    <t>ธ. ไทยพาณิชย์ จำกัด (มหาชน) สาขา ถนนวุฒากาศ</t>
  </si>
  <si>
    <t>0140063</t>
  </si>
  <si>
    <t>ธ. ไทยพาณิชย์ จำกัด (มหาชน) สาขา บรรทัดทอง</t>
  </si>
  <si>
    <t>0140064</t>
  </si>
  <si>
    <t>ธ. ไทยพาณิชย์ จำกัด (มหาชน) สาขา สุรวงค์ 2</t>
  </si>
  <si>
    <t>0140065</t>
  </si>
  <si>
    <t>ธ. ไทยพาณิชย์ จำกัด (มหาชน) สาขา สีลม</t>
  </si>
  <si>
    <t>0140066</t>
  </si>
  <si>
    <t>ธ. ไทยพาณิชย์ จำกัด (มหาชน) สาขา พระราม 9</t>
  </si>
  <si>
    <t>0140067</t>
  </si>
  <si>
    <t>ธ. ไทยพาณิชย์ จำกัด (มหาชน) สาขา สวนจิตรลดา</t>
  </si>
  <si>
    <t>0140068</t>
  </si>
  <si>
    <t>ธ. ไทยพาณิชย์ จำกัด (มหาชน) สาขา สาธุประดิษฐ์</t>
  </si>
  <si>
    <t>0140069</t>
  </si>
  <si>
    <t>ธ. ไทยพาณิชย์ จำกัด (มหาชน) สาขา มหาวิทยาลัยเกษตรศาสตร์</t>
  </si>
  <si>
    <t>0140070</t>
  </si>
  <si>
    <t>ธ. ไทยพาณิชย์ จำกัด (มหาชน) สาขา เพชรเกษม ซอย 18</t>
  </si>
  <si>
    <t>0140071</t>
  </si>
  <si>
    <t>ธ. ไทยพาณิชย์ จำกัด (มหาชน) สาขา สุขุมวิท ซอย 71</t>
  </si>
  <si>
    <t>0140072</t>
  </si>
  <si>
    <t>ธ. ไทยพาณิชย์ จำกัด (มหาชน) สาขา บางบอน</t>
  </si>
  <si>
    <t>0140073</t>
  </si>
  <si>
    <t>ธ. ไทยพาณิชย์ จำกัด (มหาชน) สาขา สามเสน</t>
  </si>
  <si>
    <t>0140074</t>
  </si>
  <si>
    <t>ธ. ไทยพาณิชย์ จำกัด (มหาชน) สาขา สุขุมวิท ซอย 3/1</t>
  </si>
  <si>
    <t>0140075</t>
  </si>
  <si>
    <t>ธ. ไทยพาณิชย์ จำกัด (มหาชน) สาขา ถนนรัชดาภิเษก 2</t>
  </si>
  <si>
    <t>0140076</t>
  </si>
  <si>
    <t>ธ. ไทยพาณิชย์ จำกัด (มหาชน) สาขา รามอินทรา กม.4.5</t>
  </si>
  <si>
    <t>0140077</t>
  </si>
  <si>
    <t>ธ. ไทยพาณิชย์ จำกัด (มหาชน) สาขา ถนนนวมินทร์</t>
  </si>
  <si>
    <t>0140078</t>
  </si>
  <si>
    <t>ธ. ไทยพาณิชย์ จำกัด (มหาชน) สาขา เอกมัย</t>
  </si>
  <si>
    <t>0140079</t>
  </si>
  <si>
    <t>ธ. ไทยพาณิชย์ จำกัด (มหาชน) สาขา ถนนรามคำแหง</t>
  </si>
  <si>
    <t>0140080</t>
  </si>
  <si>
    <t>ธ. ไทยพาณิชย์ จำกัด (มหาชน) สาขา ถนนศรีนครินทร์ (กรุงเทพกรีฑา)</t>
  </si>
  <si>
    <t>0140081</t>
  </si>
  <si>
    <t>ธ. ไทยพาณิชย์ จำกัด (มหาชน) สาขา สะพานใหม่ดอนเมือง</t>
  </si>
  <si>
    <t>0140082</t>
  </si>
  <si>
    <t>ธ. ไทยพาณิชย์ จำกัด (มหาชน) สาขา กรมศุลกากร</t>
  </si>
  <si>
    <t>0140083</t>
  </si>
  <si>
    <t>ธ. ไทยพาณิชย์ จำกัด (มหาชน) สาขา ย่อยปากคลองตลาด</t>
  </si>
  <si>
    <t>0140084</t>
  </si>
  <si>
    <t>ธ. ไทยพาณิชย์ จำกัด (มหาชน) สาขา บางขุนนนท์</t>
  </si>
  <si>
    <t>0140085</t>
  </si>
  <si>
    <t>ธ. ไทยพาณิชย์ จำกัด (มหาชน) สาขา ประชานิเวศน์ 1</t>
  </si>
  <si>
    <t>0140086</t>
  </si>
  <si>
    <t>ธ. ไทยพาณิชย์ จำกัด (มหาชน) สาขา ถนนสุขสวัสดิ์</t>
  </si>
  <si>
    <t>0140087</t>
  </si>
  <si>
    <t>ธ. ไทยพาณิชย์ จำกัด (มหาชน) สาขา ซอยเซ็นต์หลุยส์ 3</t>
  </si>
  <si>
    <t>0140088</t>
  </si>
  <si>
    <t>ธ. ไทยพาณิชย์ จำกัด (มหาชน) สาขา เทคโนโลยีฯ เจ้าคุณทหาร</t>
  </si>
  <si>
    <t>0140089</t>
  </si>
  <si>
    <t>ธ. ไทยพาณิชย์ จำกัด (มหาชน) สาขา บางจาก</t>
  </si>
  <si>
    <t>0140090</t>
  </si>
  <si>
    <t>ธ. ไทยพาณิชย์ จำกัด (มหาชน) สาขา เพชรเกษม ซอย 29</t>
  </si>
  <si>
    <t>0140091</t>
  </si>
  <si>
    <t>ธ. ไทยพาณิชย์ จำกัด (มหาชน) สาขา ซอยหมู่บ้านเศรษฐกิจ</t>
  </si>
  <si>
    <t>0140092</t>
  </si>
  <si>
    <t>ธ. ไทยพาณิชย์ จำกัด (มหาชน) สาขา ประชาชื่น</t>
  </si>
  <si>
    <t>0140093</t>
  </si>
  <si>
    <t>ธ. ไทยพาณิชย์ จำกัด (มหาชน) สาขา ซอยหมู่บ้านเสนานิเวศน์</t>
  </si>
  <si>
    <t>0140094</t>
  </si>
  <si>
    <t>ธ. ไทยพาณิชย์ จำกัด (มหาชน) สาขา ปิ่นเกล้า</t>
  </si>
  <si>
    <t>0140095</t>
  </si>
  <si>
    <t>ธ. ไทยพาณิชย์ จำกัด (มหาชน) สาขา บางโคล่</t>
  </si>
  <si>
    <t>0140096</t>
  </si>
  <si>
    <t>ธ. ไทยพาณิชย์ จำกัด (มหาชน) สาขา อาคารสิรินรัตน์ (พระราม 4)</t>
  </si>
  <si>
    <t>0140097</t>
  </si>
  <si>
    <t>ธ. ไทยพาณิชย์ จำกัด (มหาชน) สาขา แจ้งวัฒนะ ซอย 13</t>
  </si>
  <si>
    <t>0140098</t>
  </si>
  <si>
    <t>ธ. ไทยพาณิชย์ จำกัด (มหาชน) สาขา ย่อยศาลาสันติธรรม</t>
  </si>
  <si>
    <t>0140099</t>
  </si>
  <si>
    <t>ธ. ไทยพาณิชย์ จำกัด (มหาชน) สาขา ซอยรามคำแหง 24</t>
  </si>
  <si>
    <t>0140100</t>
  </si>
  <si>
    <t xml:space="preserve">ธ. ไทยพาณิชย์ จำกัด (มหาชน) </t>
  </si>
  <si>
    <t>0140101</t>
  </si>
  <si>
    <t>ธ. ไทยพาณิชย์ จำกัด (มหาชน) สาขา ถนนสาทร</t>
  </si>
  <si>
    <t>0140102</t>
  </si>
  <si>
    <t>ธ. ไทยพาณิชย์ จำกัด (มหาชน) สาขา ซอยประชาสงเคราะห์ 30</t>
  </si>
  <si>
    <t>0140103</t>
  </si>
  <si>
    <t>ธ. ไทยพาณิชย์ จำกัด (มหาชน) สาขา วงเวียน 22 กรกฎา</t>
  </si>
  <si>
    <t>0140104</t>
  </si>
  <si>
    <t>ธ. ไทยพาณิชย์ จำกัด (มหาชน) สาขา ถนนศรีนครินทร์ (อ่อนนุช)</t>
  </si>
  <si>
    <t>0140105</t>
  </si>
  <si>
    <t>ธ. ไทยพาณิชย์ จำกัด (มหาชน) สาขา ถนนเชิดวุฒากาศ (ดอนเมือง)</t>
  </si>
  <si>
    <t>0140106</t>
  </si>
  <si>
    <t>ธ. ไทยพาณิชย์ จำกัด (มหาชน) สาขา ถนนรัชดาภิเษก 3 (ทรูทาวเวอร์)</t>
  </si>
  <si>
    <t>0140107</t>
  </si>
  <si>
    <t>ธ. ไทยพาณิชย์ จำกัด (มหาชน) สาขา ถนนอิสรภาพ</t>
  </si>
  <si>
    <t>0140108</t>
  </si>
  <si>
    <t>ธ. ไทยพาณิชย์ จำกัด (มหาชน) สาขา ถนนรัชดาภิเษก (ท่าพระ)</t>
  </si>
  <si>
    <t>0140109</t>
  </si>
  <si>
    <t>ธ. ไทยพาณิชย์ จำกัด (มหาชน) สาขา มีนบุรี</t>
  </si>
  <si>
    <t>0140110</t>
  </si>
  <si>
    <t>ธ. ไทยพาณิชย์ จำกัด (มหาชน) สาขา วิภาวดีรังสิต (หมู่บ้านธนินทร)</t>
  </si>
  <si>
    <t>0140111</t>
  </si>
  <si>
    <t>ธ. ไทยพาณิชย์ จำกัด (มหาชน) สาขา สำนักรัชโยธิน</t>
  </si>
  <si>
    <t>0140112</t>
  </si>
  <si>
    <t>ธ. ไทยพาณิชย์ จำกัด (มหาชน) สาขา เพชรเกษม ซอย 69</t>
  </si>
  <si>
    <t>0140113</t>
  </si>
  <si>
    <t>ธ. ไทยพาณิชย์ จำกัด (มหาชน) สาขา คลองจั่น</t>
  </si>
  <si>
    <t>0140114</t>
  </si>
  <si>
    <t>ธ. ไทยพาณิชย์ จำกัด (มหาชน) สาขา ท่าพระจันทร์</t>
  </si>
  <si>
    <t>0140115</t>
  </si>
  <si>
    <t>ธ. ไทยพาณิชย์ จำกัด (มหาชน) สาขา เพชรเกษม ซอย 114</t>
  </si>
  <si>
    <t>0140116</t>
  </si>
  <si>
    <t>ธ. ไทยพาณิชย์ จำกัด (มหาชน) สาขา ถนนประชาราษฎร์ สาย 1 (บางโพ)</t>
  </si>
  <si>
    <t>0140117</t>
  </si>
  <si>
    <t>ธ. ไทยพาณิชย์ จำกัด (มหาชน) สาขา บิ๊กซี บางนา-ตราด กม.3</t>
  </si>
  <si>
    <t>0140118</t>
  </si>
  <si>
    <t>ธ. ไทยพาณิชย์ จำกัด (มหาชน) สาขา การไฟฟ้าฝ่ายผลิต (บางกรวย)</t>
  </si>
  <si>
    <t>0140119</t>
  </si>
  <si>
    <t>ธ. ไทยพาณิชย์ จำกัด (มหาชน) สาขา จรัลสนิทวงศ์ 13</t>
  </si>
  <si>
    <t>0140120</t>
  </si>
  <si>
    <t>ธ. ไทยพาณิชย์ จำกัด (มหาชน) สาขา ถนนสุขาภิบาล 1 (ท่าเกษตร-บางแค)</t>
  </si>
  <si>
    <t>0140121</t>
  </si>
  <si>
    <t>ธ. ไทยพาณิชย์ จำกัด (มหาชน) สาขา จรัลสนิทวงศ์ ซอย 48</t>
  </si>
  <si>
    <t>0140122</t>
  </si>
  <si>
    <t>ธ. ไทยพาณิชย์ จำกัด (มหาชน) สาขา ถนนสิรินธร</t>
  </si>
  <si>
    <t>0140123</t>
  </si>
  <si>
    <t>ธ. ไทยพาณิชย์ จำกัด (มหาชน) สาขา ถนนพัฒนาการ</t>
  </si>
  <si>
    <t>0140124</t>
  </si>
  <si>
    <t>ธ. ไทยพาณิชย์ จำกัด (มหาชน) สาขา ย่อยลาดพร้าวซอย81</t>
  </si>
  <si>
    <t>0140125</t>
  </si>
  <si>
    <t>ธ. ไทยพาณิชย์ จำกัด (มหาชน) สาขา ย่อยสี่แยกบ้านแขก</t>
  </si>
  <si>
    <t>0140126</t>
  </si>
  <si>
    <t>ธ. ไทยพาณิชย์ จำกัด (มหาชน) สาขา เจริญกรุง ซอย 72</t>
  </si>
  <si>
    <t>0140127</t>
  </si>
  <si>
    <t>ธ. ไทยพาณิชย์ จำกัด (มหาชน) สาขา ซอยโชคชัย 4</t>
  </si>
  <si>
    <t>0140128</t>
  </si>
  <si>
    <t>ธ. ไทยพาณิชย์ จำกัด (มหาชน) สาขา พระราม5</t>
  </si>
  <si>
    <t>0140129</t>
  </si>
  <si>
    <t>ธ. ไทยพาณิชย์ จำกัด (มหาชน) สาขา ย่อยจตุจักร</t>
  </si>
  <si>
    <t>0140130</t>
  </si>
  <si>
    <t>ธ. ไทยพาณิชย์ จำกัด (มหาชน) สาขา ราชวัตร</t>
  </si>
  <si>
    <t>0140131</t>
  </si>
  <si>
    <t>ธ. ไทยพาณิชย์ จำกัด (มหาชน) สาขา ถนนกาญจนาภิเษก (บางแวก)</t>
  </si>
  <si>
    <t>0140132</t>
  </si>
  <si>
    <t>ธ. ไทยพาณิชย์ จำกัด (มหาชน) สาขา พระราม 2 (กม.7)</t>
  </si>
  <si>
    <t>0140133</t>
  </si>
  <si>
    <t>ธ. ไทยพาณิชย์ จำกัด (มหาชน) สาขา อ่อนนุช</t>
  </si>
  <si>
    <t>0140134</t>
  </si>
  <si>
    <t>ธ. ไทยพาณิชย์ จำกัด (มหาชน) สาขา ถนนประชาอุทิศ</t>
  </si>
  <si>
    <t>0140135</t>
  </si>
  <si>
    <t>ธ. ไทยพาณิชย์ จำกัด (มหาชน) สาขา ดาวคะนอง</t>
  </si>
  <si>
    <t>0140136</t>
  </si>
  <si>
    <t>ธ. ไทยพาณิชย์ จำกัด (มหาชน) สาขา ถนนรามคำแหง (สัมมากร)</t>
  </si>
  <si>
    <t>0140137</t>
  </si>
  <si>
    <t>ธ. ไทยพาณิชย์ จำกัด (มหาชน) สาขา ถนนสรรพาวุธ</t>
  </si>
  <si>
    <t>0140138</t>
  </si>
  <si>
    <t>ธ. ไทยพาณิชย์ จำกัด (มหาชน) สาขา สี่กั๊กเสาชิงช้า</t>
  </si>
  <si>
    <t>0140139</t>
  </si>
  <si>
    <t>ธ. ไทยพาณิชย์ จำกัด (มหาชน) สาขา เจริญกรุง ซอย 107</t>
  </si>
  <si>
    <t>0140140</t>
  </si>
  <si>
    <t>ธ. ไทยพาณิชย์ จำกัด (มหาชน) สาขา สี่แยกศรีวรา</t>
  </si>
  <si>
    <t>0140141</t>
  </si>
  <si>
    <t>ธ. ไทยพาณิชย์ จำกัด (มหาชน) สาขา เตาปูน</t>
  </si>
  <si>
    <t>0140142</t>
  </si>
  <si>
    <t>ธ. ไทยพาณิชย์ จำกัด (มหาชน) สาขา รามอินทรา กม.10</t>
  </si>
  <si>
    <t>0140143</t>
  </si>
  <si>
    <t>ธ. ไทยพาณิชย์ จำกัด (มหาชน) สาขา ถนนเสรีไทย (สวนสยาม)</t>
  </si>
  <si>
    <t>0140144</t>
  </si>
  <si>
    <t>ธ. ไทยพาณิชย์ จำกัด (มหาชน) สาขา ถนนดินแดง</t>
  </si>
  <si>
    <t>0140145</t>
  </si>
  <si>
    <t>ธ. ไทยพาณิชย์ จำกัด (มหาชน) สาขา สุขุมวิท ซอย 101/1</t>
  </si>
  <si>
    <t>0140146</t>
  </si>
  <si>
    <t>ธ. ไทยพาณิชย์ จำกัด (มหาชน) สาขา ลาดกระบัง</t>
  </si>
  <si>
    <t>0140147</t>
  </si>
  <si>
    <t>ธ. ไทยพาณิชย์ จำกัด (มหาชน) สาขา ถนนเอกชัย</t>
  </si>
  <si>
    <t>0140148</t>
  </si>
  <si>
    <t>ธ. ไทยพาณิชย์ จำกัด (มหาชน) สาขา ตลาดอำเภอบางกรวย</t>
  </si>
  <si>
    <t>0140149</t>
  </si>
  <si>
    <t>ธ. ไทยพาณิชย์ จำกัด (มหาชน) สาขา ถนนนวลจันทร์</t>
  </si>
  <si>
    <t>0140150</t>
  </si>
  <si>
    <t>ธ. ไทยพาณิชย์ จำกัด (มหาชน) สาขา พหลโยธิน ซอย 52</t>
  </si>
  <si>
    <t>0140151</t>
  </si>
  <si>
    <t>ธ. ไทยพาณิชย์ จำกัด (มหาชน) สาขา ถนนเฉลิมพระเกียรติ ร.9 (วัดตะกล่ำ)</t>
  </si>
  <si>
    <t>0140152</t>
  </si>
  <si>
    <t>ธ. ไทยพาณิชย์ จำกัด (มหาชน) สาขา มหาวิทยาลัยธุรกิจบัณฑิตย์</t>
  </si>
  <si>
    <t>0140153</t>
  </si>
  <si>
    <t>ธ. ไทยพาณิชย์ จำกัด (มหาชน) สาขา อาคารอับดุลราฮิม</t>
  </si>
  <si>
    <t>0140154</t>
  </si>
  <si>
    <t>ธ. ไทยพาณิชย์ จำกัด (มหาชน) สาขา รามคำแหง 2</t>
  </si>
  <si>
    <t>0140155</t>
  </si>
  <si>
    <t>ธ. ไทยพาณิชย์ จำกัด (มหาชน) สาขา  All Seasons Place (ถนนวิทยุ)</t>
  </si>
  <si>
    <t>0140156</t>
  </si>
  <si>
    <t>ธ. ไทยพาณิชย์ จำกัด (มหาชน) สาขา เซ็นทรัล พระราม 2</t>
  </si>
  <si>
    <t>0140157</t>
  </si>
  <si>
    <t>ธ. ไทยพาณิชย์ จำกัด (มหาชน) สาขา เซ็นทรัล ลาดพร้าว</t>
  </si>
  <si>
    <t>0140158</t>
  </si>
  <si>
    <t>ธ. ไทยพาณิชย์ จำกัด (มหาชน) สาขา เซนต์คาเบรียล</t>
  </si>
  <si>
    <t>0140159</t>
  </si>
  <si>
    <t>ธ. ไทยพาณิชย์ จำกัด (มหาชน) สาขา บิ๊กซี ราชดำริ</t>
  </si>
  <si>
    <t>0140160</t>
  </si>
  <si>
    <t>ธ. ไทยพาณิชย์ จำกัด (มหาชน) สาขา เดอะมอลล์ บางกะปิ</t>
  </si>
  <si>
    <t>0140161</t>
  </si>
  <si>
    <t>ธ. ไทยพาณิชย์ จำกัด (มหาชน) สาขา วัชรพล(รามอินทรา)</t>
  </si>
  <si>
    <t>0140162</t>
  </si>
  <si>
    <t>ธ. ไทยพาณิชย์ จำกัด (มหาชน) สาขา เดอะมอลล์ บางแค</t>
  </si>
  <si>
    <t>0140163</t>
  </si>
  <si>
    <t>ธ. ไทยพาณิชย์ จำกัด (มหาชน) สาขา วิภาวดีรังสิต (จักรพงษภูวนารถ)</t>
  </si>
  <si>
    <t>0140164</t>
  </si>
  <si>
    <t>ธ. ไทยพาณิชย์ จำกัด (มหาชน) สาขา ถนนศรีนครินทร์ (ซีคอนสแควร์)</t>
  </si>
  <si>
    <t>0140165</t>
  </si>
  <si>
    <t>ธ. ไทยพาณิชย์ จำกัด (มหาชน) สาขา เซ็นทรัล พระราม 3</t>
  </si>
  <si>
    <t>0140166</t>
  </si>
  <si>
    <t>ธ. ไทยพาณิชย์ จำกัด (มหาชน) สาขา ถนนรัตนโกสินทร์สมโภช (บ้านแมกไม้)</t>
  </si>
  <si>
    <t>0140167</t>
  </si>
  <si>
    <t>ธ. ไทยพาณิชย์ จำกัด (มหาชน) สาขา นิคมอุตสาหกรรมลาดกระบัง</t>
  </si>
  <si>
    <t>0140168</t>
  </si>
  <si>
    <t>ธ. ไทยพาณิชย์ จำกัด (มหาชน) สาขา  CP Tower (ถนนสีลม)</t>
  </si>
  <si>
    <t>0140169</t>
  </si>
  <si>
    <t>ธ. ไทยพาณิชย์ จำกัด (มหาชน) สาขา บิ๊กซี หัวหมาก</t>
  </si>
  <si>
    <t>0140170</t>
  </si>
  <si>
    <t>ธ. ไทยพาณิชย์ จำกัด (มหาชน) สาขา เดอะมอลล์ ท่าพระ</t>
  </si>
  <si>
    <t>0140171</t>
  </si>
  <si>
    <t>ธ. ไทยพาณิชย์ จำกัด (มหาชน) สาขา ถนนรามอินทรา (แฟชั่นไอส์แลนด์)</t>
  </si>
  <si>
    <t>0140172</t>
  </si>
  <si>
    <t>ธ. ไทยพาณิชย์ จำกัด (มหาชน) สาขา มาบุญครอง</t>
  </si>
  <si>
    <t>0140173</t>
  </si>
  <si>
    <t>ธ. ไทยพาณิชย์ จำกัด (มหาชน) สาขา เดอะมอลล์ 3 รามคำแหง</t>
  </si>
  <si>
    <t>0140174</t>
  </si>
  <si>
    <t>ธ. ไทยพาณิชย์ จำกัด (มหาชน) สาขา อาคารธนภูมิ (ถนนเพชรบุรีตัดใหม่)</t>
  </si>
  <si>
    <t>0140175</t>
  </si>
  <si>
    <t>ธ. ไทยพาณิชย์ จำกัด (มหาชน) สาขา หนึ่งพัน</t>
  </si>
  <si>
    <t>0140176</t>
  </si>
  <si>
    <t>ธ. ไทยพาณิชย์ จำกัด (มหาชน) สาขา เทสโก้ โลตัส พระราม 1</t>
  </si>
  <si>
    <t>0140177</t>
  </si>
  <si>
    <t>ธ. ไทยพาณิชย์ จำกัด (มหาชน) สาขา เทสโก้ โลตัส บางกะปิ</t>
  </si>
  <si>
    <t>0140178</t>
  </si>
  <si>
    <t>ธ. ไทยพาณิชย์ จำกัด (มหาชน) สาขา ย่อยสถานีรถไฟหัวลำโพง</t>
  </si>
  <si>
    <t>0140179</t>
  </si>
  <si>
    <t>ธ. ไทยพาณิชย์ จำกัด (มหาชน) สาขา วงเวียนโอเดี้ยน</t>
  </si>
  <si>
    <t>0140180</t>
  </si>
  <si>
    <t>ธ. ไทยพาณิชย์ จำกัด (มหาชน) สาขา ถนนกาญจนาภิเษก (ปตท.วงแหวนบางแค 2)</t>
  </si>
  <si>
    <t>0140181</t>
  </si>
  <si>
    <t>ธ. ไทยพาณิชย์ จำกัด (มหาชน) สาขา ตลาดยิ่งเจริญ</t>
  </si>
  <si>
    <t>0140182</t>
  </si>
  <si>
    <t>ธ. ไทยพาณิชย์ จำกัด (มหาชน) สาขา ถนนร่มเกล้า (รุ่งกิจ 7)</t>
  </si>
  <si>
    <t>0140183</t>
  </si>
  <si>
    <t>ธ. ไทยพาณิชย์ จำกัด (มหาชน) สาขา เซ็นทรัล ปิ่นเกล้า</t>
  </si>
  <si>
    <t>0140184</t>
  </si>
  <si>
    <t>ธ. ไทยพาณิชย์ จำกัด (มหาชน) สาขา เคหะร่มเกล้า</t>
  </si>
  <si>
    <t>0140185</t>
  </si>
  <si>
    <t>ธ. ไทยพาณิชย์ จำกัด (มหาชน) สาขา คู้บอน</t>
  </si>
  <si>
    <t>0140186</t>
  </si>
  <si>
    <t>ธ. ไทยพาณิชย์ จำกัด (มหาชน) สาขา เทสโก้ โลตัส พาต้า ปิ่นเกล้า</t>
  </si>
  <si>
    <t>0140187</t>
  </si>
  <si>
    <t>ธ. ไทยพาณิชย์ จำกัด (มหาชน) สาขา ถนนสายไหม (ตลาด เอ.ซี.)</t>
  </si>
  <si>
    <t>0140188</t>
  </si>
  <si>
    <t>ธ. ไทยพาณิชย์ จำกัด (มหาชน) สาขา ไทมส์ สแควร์</t>
  </si>
  <si>
    <t>0140189</t>
  </si>
  <si>
    <t>ธ. ไทยพาณิชย์ จำกัด (มหาชน) สาขา โบ๊เบ๊</t>
  </si>
  <si>
    <t>0140190</t>
  </si>
  <si>
    <t>ธ. ไทยพาณิชย์ จำกัด (มหาชน) สาขา ย่อยนานาสแควร์</t>
  </si>
  <si>
    <t>0140191</t>
  </si>
  <si>
    <t>ธ. ไทยพาณิชย์ จำกัด (มหาชน) สาขา โรงพยาบาลเซนต์หลุยส์</t>
  </si>
  <si>
    <t>0140192</t>
  </si>
  <si>
    <t>ธ. ไทยพาณิชย์ จำกัด (มหาชน) สาขา เทสโก้ โลตัส จรัญสนิทวงศ์</t>
  </si>
  <si>
    <t>0140193</t>
  </si>
  <si>
    <t>ธ. ไทยพาณิชย์ จำกัด (มหาชน) สาขา เทสโก้ โลตัส หนองจอก</t>
  </si>
  <si>
    <t>0140194</t>
  </si>
  <si>
    <t>ธ. ไทยพาณิชย์ จำกัด (มหาชน) สาขา อาคารศรีอยุธยา</t>
  </si>
  <si>
    <t>0140195</t>
  </si>
  <si>
    <t>ธ. ไทยพาณิชย์ จำกัด (มหาชน) สาขา ถนนทรงวาด</t>
  </si>
  <si>
    <t>0140196</t>
  </si>
  <si>
    <t>ธ. ไทยพาณิชย์ จำกัด (มหาชน) สาขา อาคารอินเตอร์เชนจ 21 (สุขุมวิท)</t>
  </si>
  <si>
    <t>0140197</t>
  </si>
  <si>
    <t>ธ. ไทยพาณิชย์ จำกัด (มหาชน) สาขา เทสโก้ โลตัส บางแค</t>
  </si>
  <si>
    <t>0140198</t>
  </si>
  <si>
    <t>ธ. ไทยพาณิชย์ จำกัด (มหาชน) สาขา ถนนแจ้งวัฒนะ (ทีโอที)</t>
  </si>
  <si>
    <t>0140199</t>
  </si>
  <si>
    <t>ธ. ไทยพาณิชย์ จำกัด (มหาชน) สาขา เดอะมอลล์ 4 รามคำแหง</t>
  </si>
  <si>
    <t>0140200</t>
  </si>
  <si>
    <t>ธ. ไทยพาณิชย์ จำกัด (มหาชน) สาขา ถนนลาดกระบัง (ตลาด 999)</t>
  </si>
  <si>
    <t>0140201</t>
  </si>
  <si>
    <t>ธ. ไทยพาณิชย์ จำกัด (มหาชน) สาขา ตลาดมีนบุรี</t>
  </si>
  <si>
    <t>0140202</t>
  </si>
  <si>
    <t>ธ. ไทยพาณิชย์ จำกัด (มหาชน) สาขา ไอที สแควร์ (หลักสี่)</t>
  </si>
  <si>
    <t>0140203</t>
  </si>
  <si>
    <t>ธ. ไทยพาณิชย์ จำกัด (มหาชน) สาขา อาคารยูไนเต็ด เซ็นเตอร์ (สีลม)</t>
  </si>
  <si>
    <t>0140204</t>
  </si>
  <si>
    <t>ธ. ไทยพาณิชย์ จำกัด (มหาชน) สาขา ซิตี้ รีสอร์ท สุขุมวิท 39</t>
  </si>
  <si>
    <t>0140205</t>
  </si>
  <si>
    <t>ธ. ไทยพาณิชย์ จำกัด (มหาชน) สาขา เซ็นทรัล เวิลด์ ทาวเวอร์</t>
  </si>
  <si>
    <t>0140206</t>
  </si>
  <si>
    <t>ธ. ไทยพาณิชย์ จำกัด (มหาชน) สาขา เซ็นทรัลพลาซา ลาดพร้าว</t>
  </si>
  <si>
    <t>0140207</t>
  </si>
  <si>
    <t>ธ. ไทยพาณิชย์ จำกัด (มหาชน) สาขา ซอยมหาดไทย</t>
  </si>
  <si>
    <t>0140208</t>
  </si>
  <si>
    <t>ธ. ไทยพาณิชย์ จำกัด (มหาชน) สาขา เซ็นจูรี่ เดอะมูฟวี่ พลาซ่า</t>
  </si>
  <si>
    <t>0140209</t>
  </si>
  <si>
    <t>ธ. ไทยพาณิชย์ จำกัด (มหาชน) สาขา อาคารธนิยะ (สีลม)</t>
  </si>
  <si>
    <t>0140210</t>
  </si>
  <si>
    <t>ธ. ไทยพาณิชย์ จำกัด (มหาชน) สาขา เดอะ แพลทินัม แฟชั่น มอลล์</t>
  </si>
  <si>
    <t>0140211</t>
  </si>
  <si>
    <t>ธ. ไทยพาณิชย์ จำกัด (มหาชน) สาขา หมู่บ้านนักกีฬาแหลมทอง (กรุงเทพกรีฑ</t>
  </si>
  <si>
    <t>0140212</t>
  </si>
  <si>
    <t>ธ. ไทยพาณิชย์ จำกัด (มหาชน) สาขา อาคารสวนพลู คอร์เนอร์</t>
  </si>
  <si>
    <t>0140213</t>
  </si>
  <si>
    <t>ธ. ไทยพาณิชย์ จำกัด (มหาชน) สาขา อาคารศรีวรจักร</t>
  </si>
  <si>
    <t>0140214</t>
  </si>
  <si>
    <t>ธ. ไทยพาณิชย์ จำกัด (มหาชน) สาขา สุรวงศ์ 3</t>
  </si>
  <si>
    <t>0140215</t>
  </si>
  <si>
    <t>ธ. ไทยพาณิชย์ จำกัด (มหาชน) สาขา เทสโก้ โลตัส พระราม 3</t>
  </si>
  <si>
    <t>0140216</t>
  </si>
  <si>
    <t>ธ. ไทยพาณิชย์ จำกัด (มหาชน) สาขา อาคารเพลินจิต เซ็นเตอร์</t>
  </si>
  <si>
    <t>0140217</t>
  </si>
  <si>
    <t>ธ. ไทยพาณิชย์ จำกัด (มหาชน) สาขา ตลาดบอง มาร์เช่</t>
  </si>
  <si>
    <t>0140218</t>
  </si>
  <si>
    <t>ธ. ไทยพาณิชย์ จำกัด (มหาชน) สาขา สยามพารากอน</t>
  </si>
  <si>
    <t>0140219</t>
  </si>
  <si>
    <t>ธ. ไทยพาณิชย์ จำกัด (มหาชน) สาขา เทสโก้ โลตัส พระราม 2</t>
  </si>
  <si>
    <t>0140220</t>
  </si>
  <si>
    <t>ธ. ไทยพาณิชย์ จำกัด (มหาชน) สาขา เทสโก้ โลตัส บางปะกอก</t>
  </si>
  <si>
    <t>0140221</t>
  </si>
  <si>
    <t>ธ. ไทยพาณิชย์ จำกัด (มหาชน) สาขา ซอยลาซาล</t>
  </si>
  <si>
    <t>0140222</t>
  </si>
  <si>
    <t>ธ. ไทยพาณิชย์ จำกัด (มหาชน) สำนักงานใหญ่ รัชโยธิน</t>
  </si>
  <si>
    <t>0140223</t>
  </si>
  <si>
    <t>ธ. ไทยพาณิชย์ จำกัด (มหาชน) สาขา ซีคอนสแควร์ 2</t>
  </si>
  <si>
    <t>0140224</t>
  </si>
  <si>
    <t>ธ. ไทยพาณิชย์ จำกัด (มหาชน) สาขา อิมพีเรียล เวิล์ด ลาดพร้าว</t>
  </si>
  <si>
    <t>0140225</t>
  </si>
  <si>
    <t>ธ. ไทยพาณิชย์ จำกัด (มหาชน) สาขา โรงพยาบาลหัวเฉียว (ยศเส)</t>
  </si>
  <si>
    <t>0140226</t>
  </si>
  <si>
    <t>ธ. ไทยพาณิชย์ จำกัด (มหาชน) สาขา แยกบางรัก</t>
  </si>
  <si>
    <t>0140227</t>
  </si>
  <si>
    <t>ธ. ไทยพาณิชย์ จำกัด (มหาชน) สาขา อาคารคิวเฮ้าส์ ลุมพินี</t>
  </si>
  <si>
    <t>0140228</t>
  </si>
  <si>
    <t>ธ. ไทยพาณิชย์ จำกัด (มหาชน) สาขา ซิตี้คอมเพล็กซ์ ประตูน้ำ</t>
  </si>
  <si>
    <t>0140229</t>
  </si>
  <si>
    <t>ธ. ไทยพาณิชย์ จำกัด (มหาชน) สาขา เทสโก้ โลตัส ลาดพร้าว</t>
  </si>
  <si>
    <t>0140230</t>
  </si>
  <si>
    <t>ธ. ไทยพาณิชย์ จำกัด (มหาชน) สาขา ย่อยท็อปส์ เยาวราช</t>
  </si>
  <si>
    <t>0140231</t>
  </si>
  <si>
    <t>ธ. ไทยพาณิชย์ จำกัด (มหาชน) สาขา ถนนประชาอุทิศ (เหม่งจ๋าย)</t>
  </si>
  <si>
    <t>0140232</t>
  </si>
  <si>
    <t>ธ. ไทยพาณิชย์ จำกัด (มหาชน) สาขา ซีคอน บางแค</t>
  </si>
  <si>
    <t>0140233</t>
  </si>
  <si>
    <t>ธ. ไทยพาณิชย์ จำกัด (มหาชน) สาขา ซอยลาดพร้าว 101 (วัดบึงทองหลาง)</t>
  </si>
  <si>
    <t>0140234</t>
  </si>
  <si>
    <t>ธ. ไทยพาณิชย์ จำกัด (มหาชน) สาขา อโศก ทาวเวอร์ส</t>
  </si>
  <si>
    <t>0140235</t>
  </si>
  <si>
    <t>ธ. ไทยพาณิชย์ จำกัด (มหาชน) สาขา มหาวิทยาลัยเกษตรศาสตร์ (บางเขน)</t>
  </si>
  <si>
    <t>0140236</t>
  </si>
  <si>
    <t>ธ. ไทยพาณิชย์ จำกัด (มหาชน) สาขา รองเมือง</t>
  </si>
  <si>
    <t>0140237</t>
  </si>
  <si>
    <t>ธ. ไทยพาณิชย์ จำกัด (มหาชน) สาขา มหาวิทยาลัยเทคโนโลยีพระจอมเกล้าธนบุ</t>
  </si>
  <si>
    <t>0140238</t>
  </si>
  <si>
    <t>ธ. ไทยพาณิชย์ จำกัด (มหาชน) สาขา ศุภาลัย แกรนด์ ทาวเวอร์ (พระราม 3)</t>
  </si>
  <si>
    <t>0140239</t>
  </si>
  <si>
    <t>ธ. ไทยพาณิชย์ จำกัด (มหาชน) สาขา บิ๊กซี พระราม 2</t>
  </si>
  <si>
    <t>0140240</t>
  </si>
  <si>
    <t>ธ. ไทยพาณิชย์ จำกัด (มหาชน) สาขา เทสโก้ โลตัส ฟอร์จูน ทาวน์</t>
  </si>
  <si>
    <t>0140241</t>
  </si>
  <si>
    <t>ธ. ไทยพาณิชย์ จำกัด (มหาชน) สาขา ย่อยถนนพัฒน์พงษ์ (สีลม)</t>
  </si>
  <si>
    <t>0140242</t>
  </si>
  <si>
    <t>ธ. ไทยพาณิชย์ จำกัด (มหาชน) สาขา ถนนพุทธมณฑลสาย 2</t>
  </si>
  <si>
    <t>0140243</t>
  </si>
  <si>
    <t>ธ. ไทยพาณิชย์ จำกัด (มหาชน) สาขา ย่อยมหาวิทยาลัยเทคโนโลยีมหานคร</t>
  </si>
  <si>
    <t>0140244</t>
  </si>
  <si>
    <t>ธ. ไทยพาณิชย์ จำกัด (มหาชน) สาขา โกลเด้นเพลส (ถนนประดิษฐ์มนูธรรม)</t>
  </si>
  <si>
    <t>0140245</t>
  </si>
  <si>
    <t>ธ. ไทยพาณิชย์ จำกัด (มหาชน) สาขา ปาโซ่ ทาวเวอร์</t>
  </si>
  <si>
    <t>0140246</t>
  </si>
  <si>
    <t>ธ. ไทยพาณิชย์ จำกัด (มหาชน) สาขา เอ็กเชน ทาวเวอร์</t>
  </si>
  <si>
    <t>0140247</t>
  </si>
  <si>
    <t>ธ. ไทยพาณิชย์ จำกัด (มหาชน) สาขา เซ็นทรัลเวิลด์</t>
  </si>
  <si>
    <t>0140248</t>
  </si>
  <si>
    <t>ธ. ไทยพาณิชย์ จำกัด (มหาชน) สาขา ถนนสรงประภา (ดอนเมือง)</t>
  </si>
  <si>
    <t>0140249</t>
  </si>
  <si>
    <t>ธ. ไทยพาณิชย์ จำกัด (มหาชน) สาขา อาคารเสริมมิตร ทาวเวอร์</t>
  </si>
  <si>
    <t>0140250</t>
  </si>
  <si>
    <t>ธ. ไทยพาณิชย์ จำกัด (มหาชน) สาขา เอกมัย พาวเวอร์ เซ็นเตอร์</t>
  </si>
  <si>
    <t>0140251</t>
  </si>
  <si>
    <t>ธ. ไทยพาณิชย์ จำกัด (มหาชน) สาขา อิตัลไทยทาวเวอร์(ถ.เพชรบุรีตัดใหม่)</t>
  </si>
  <si>
    <t>0140252</t>
  </si>
  <si>
    <t>ธ. ไทยพาณิชย์ จำกัด (มหาชน) สาขา ย่อยท็อปส์ ยูเนี่ยน มอลล์</t>
  </si>
  <si>
    <t>0140253</t>
  </si>
  <si>
    <t>ธ. ไทยพาณิชย์ จำกัด (มหาชน) สาขา ลาดพร้าว ซอย 71</t>
  </si>
  <si>
    <t>0140254</t>
  </si>
  <si>
    <t>ธ. ไทยพาณิชย์ จำกัด (มหาชน) สาขา โรงพยาบาลเวชศาสตร์เขตร้อน</t>
  </si>
  <si>
    <t>0140255</t>
  </si>
  <si>
    <t>ธ. ไทยพาณิชย์ จำกัด (มหาชน) สาขา หมู่บ้านดีเค (บางบอน)</t>
  </si>
  <si>
    <t>0140256</t>
  </si>
  <si>
    <t>ธ. ไทยพาณิชย์ จำกัด (มหาชน) สาขา ท็อปส์ เซ็นทรัล ลาดพร้าว</t>
  </si>
  <si>
    <t>0140257</t>
  </si>
  <si>
    <t>ธ. ไทยพาณิชย์ จำกัด (มหาชน) สาขา สวนจตุจักร</t>
  </si>
  <si>
    <t>0140258</t>
  </si>
  <si>
    <t>ธ. ไทยพาณิชย์ จำกัด (มหาชน) สาขา ตลาดใหม่ทุ่งครุ</t>
  </si>
  <si>
    <t>0140259</t>
  </si>
  <si>
    <t>ธ. ไทยพาณิชย์ จำกัด (มหาชน) สาขา อุดมสุข (ซอยสุขุมวิท 103)</t>
  </si>
  <si>
    <t>0140260</t>
  </si>
  <si>
    <t>ธ. ไทยพาณิชย์ จำกัด (มหาชน) สาขา ถนนบางขุนเทียน-ชายทะเล</t>
  </si>
  <si>
    <t>0140261</t>
  </si>
  <si>
    <t>ธ. ไทยพาณิชย์ จำกัด (มหาชน) สาขา บิ๊กซี ราษฎร์บูรณะ</t>
  </si>
  <si>
    <t>0140262</t>
  </si>
  <si>
    <t>ธ. ไทยพาณิชย์ จำกัด (มหาชน) สาขา ปากคลองตลาด 1</t>
  </si>
  <si>
    <t>0140263</t>
  </si>
  <si>
    <t>ธ. ไทยพาณิชย์ จำกัด (มหาชน) สาขา ตลาดศรีย่าน</t>
  </si>
  <si>
    <t>0140264</t>
  </si>
  <si>
    <t>ธ. ไทยพาณิชย์ จำกัด (มหาชน) สาขา เซ็นทรัลพลาซา ปิ่นเกล้า</t>
  </si>
  <si>
    <t>0140265</t>
  </si>
  <si>
    <t>ธ. ไทยพาณิชย์ จำกัด (มหาชน) สาขา โชคชัย 4 (เดอะเชลท์เธอร์ )</t>
  </si>
  <si>
    <t>0140266</t>
  </si>
  <si>
    <t>ธ. ไทยพาณิชย์ จำกัด (มหาชน) สาขา ตลาดเมืองใหม่บางพลี</t>
  </si>
  <si>
    <t>0140267</t>
  </si>
  <si>
    <t>ธ. ไทยพาณิชย์ จำกัด (มหาชน) สาขา ถนนเจริญกรุง (คลองถม)</t>
  </si>
  <si>
    <t>0140268</t>
  </si>
  <si>
    <t>ธ. ไทยพาณิชย์ จำกัด (มหาชน) สาขา ท็อปส์ สุขาภิบาล 3</t>
  </si>
  <si>
    <t>0140269</t>
  </si>
  <si>
    <t>ธ. ไทยพาณิชย์ จำกัด (มหาชน) สาขา บิ๊กซี รัตนาธิเบศร์</t>
  </si>
  <si>
    <t>0140270</t>
  </si>
  <si>
    <t>ธ. ไทยพาณิชย์ จำกัด (มหาชน) สาขา บิ๊กซี ลำลูกกา</t>
  </si>
  <si>
    <t>0140271</t>
  </si>
  <si>
    <t>ธ. ไทยพาณิชย์ จำกัด (มหาชน) สาขา เซ็นทรัล วงศ์สว่าง</t>
  </si>
  <si>
    <t>0140272</t>
  </si>
  <si>
    <t>ธ. ไทยพาณิชย์ จำกัด (มหาชน) สาขา ถนนพุทธมณฑลสาย 5</t>
  </si>
  <si>
    <t>0140273</t>
  </si>
  <si>
    <t>ธ. ไทยพาณิชย์ จำกัด (มหาชน) สาขา บิ๊กซี แจ้งวัฒนะ</t>
  </si>
  <si>
    <t>0140274</t>
  </si>
  <si>
    <t>ธ. ไทยพาณิชย์ จำกัด (มหาชน) สาขา อาคารซันทาวเวอร์ส (ถนนวิภาวดี-รังสิ</t>
  </si>
  <si>
    <t>0140275</t>
  </si>
  <si>
    <t>ธ. ไทยพาณิชย์ จำกัด (มหาชน) สาขา ซอยวัดด่านสำโรง</t>
  </si>
  <si>
    <t>0140276</t>
  </si>
  <si>
    <t>ธ. ไทยพาณิชย์ จำกัด (มหาชน) สาขา ถนนเลียบคลองสอง (ซาฟารีเวิล์ด)</t>
  </si>
  <si>
    <t>0140277</t>
  </si>
  <si>
    <t>ธ. ไทยพาณิชย์ จำกัด (มหาชน) สาขา เจ.เจ.มอลล์</t>
  </si>
  <si>
    <t>0140278</t>
  </si>
  <si>
    <t>ธ. ไทยพาณิชย์ จำกัด (มหาชน) สาขา เอสพละนาด</t>
  </si>
  <si>
    <t>0140279</t>
  </si>
  <si>
    <t>ธ. ไทยพาณิชย์ จำกัด (มหาชน) สาขา กรมการขนส่งทางบก</t>
  </si>
  <si>
    <t>0140280</t>
  </si>
  <si>
    <t>ธ. ไทยพาณิชย์ จำกัด (มหาชน) สาขา ศูนย์การแพทย์กาญจนาภิเษก</t>
  </si>
  <si>
    <t>0140281</t>
  </si>
  <si>
    <t>ธ. ไทยพาณิชย์ จำกัด (มหาชน) สาขา เดอะมอลล์ บางกะปิ 2</t>
  </si>
  <si>
    <t>0140282</t>
  </si>
  <si>
    <t>ธ. ไทยพาณิชย์ จำกัด (มหาชน) สาขา เทสโก้ โลตัส หลักสี่</t>
  </si>
  <si>
    <t>0140283</t>
  </si>
  <si>
    <t>ธ. ไทยพาณิชย์ จำกัด (มหาชน) สาขา มหาวิทยาลัยศรีนครินทรวิโรฒ องครักษ์</t>
  </si>
  <si>
    <t>0140284</t>
  </si>
  <si>
    <t>ธ. ไทยพาณิชย์ จำกัด (มหาชน) สาขา บัวทองสแควร์ (ถนนบางกรวย-ไทรน้อย)</t>
  </si>
  <si>
    <t>0140285</t>
  </si>
  <si>
    <t>ธ. ไทยพาณิชย์ จำกัด (มหาชน) สาขา ท่าน้ำพรานนก</t>
  </si>
  <si>
    <t>0140286</t>
  </si>
  <si>
    <t>ธ. ไทยพาณิชย์ จำกัด (มหาชน) สาขา บิ๊กซี ดาวคะนอง</t>
  </si>
  <si>
    <t>0140287</t>
  </si>
  <si>
    <t>ธ. ไทยพาณิชย์ จำกัด (มหาชน) สาขา ถนนเศรษฐกิจ 1 (กระทุ่มแบน)</t>
  </si>
  <si>
    <t>0140288</t>
  </si>
  <si>
    <t>ธ. ไทยพาณิชย์ จำกัด (มหาชน) สาขา สี่มุมเมือง (หมู่บ้านสีวลี)</t>
  </si>
  <si>
    <t>0140289</t>
  </si>
  <si>
    <t>ธ. ไทยพาณิชย์ จำกัด (มหาชน) สาขา มาบุญครอง 2</t>
  </si>
  <si>
    <t>0140290</t>
  </si>
  <si>
    <t>ธ. ไทยพาณิชย์ จำกัด (มหาชน) สาขา จอมทอง 19 (วัดสีสุก)</t>
  </si>
  <si>
    <t>0140291</t>
  </si>
  <si>
    <t>ธ. ไทยพาณิชย์ จำกัด (มหาชน) สาขา เทสโก้ โลตัส รังสิตคลอง 7</t>
  </si>
  <si>
    <t>0140292</t>
  </si>
  <si>
    <t>ธ. ไทยพาณิชย์ จำกัด (มหาชน) สาขา เซ็นทรัล รามอินทรา</t>
  </si>
  <si>
    <t>0140293</t>
  </si>
  <si>
    <t>ธ. ไทยพาณิชย์ จำกัด (มหาชน) สาขา ถนนเลียบคลองสาม (รังสิต-นครนายก)</t>
  </si>
  <si>
    <t>0140294</t>
  </si>
  <si>
    <t>ธ. ไทยพาณิชย์ จำกัด (มหาชน) สาขา ถนนเพชรบุรี ซอย 4</t>
  </si>
  <si>
    <t>0140295</t>
  </si>
  <si>
    <t>ธ. ไทยพาณิชย์ จำกัด (มหาชน) สาขา อาคารเอส วี ซิตี้ (พระราม 3)</t>
  </si>
  <si>
    <t>0140296</t>
  </si>
  <si>
    <t>ธ. ไทยพาณิชย์ จำกัด (มหาชน) สาขา ถนนวัดศรีวารีน้อย</t>
  </si>
  <si>
    <t>0140297</t>
  </si>
  <si>
    <t>ธ. ไทยพาณิชย์ จำกัด (มหาชน) สาขา ท่าอากาศยานสุวรรณภูมิ (เขตปลอดอากร)</t>
  </si>
  <si>
    <t>0140298</t>
  </si>
  <si>
    <t>ธ. ไทยพาณิชย์ จำกัด (มหาชน) สาขา บิ๊กซี สะพานใหม่ดอนเมือง</t>
  </si>
  <si>
    <t>0140299</t>
  </si>
  <si>
    <t>ธ. ไทยพาณิชย์ จำกัด (มหาชน) สาขา เจ-เวนิว (นวนคร)</t>
  </si>
  <si>
    <t>0140301</t>
  </si>
  <si>
    <t>ธ. ไทยพาณิชย์ จำกัด (มหาชน) สาขา ปทุมธานี</t>
  </si>
  <si>
    <t>0140302</t>
  </si>
  <si>
    <t>ธ. ไทยพาณิชย์ จำกัด (มหาชน) สาขา นนทบุรี</t>
  </si>
  <si>
    <t>0140303</t>
  </si>
  <si>
    <t>ธ. ไทยพาณิชย์ จำกัด (มหาชน) สาขา พระประแดง</t>
  </si>
  <si>
    <t>0140304</t>
  </si>
  <si>
    <t>ธ. ไทยพาณิชย์ จำกัด (มหาชน) สาขา สำโรง</t>
  </si>
  <si>
    <t>0140305</t>
  </si>
  <si>
    <t>ธ. ไทยพาณิชย์ จำกัด (มหาชน) สาขา ปากเกร็ด</t>
  </si>
  <si>
    <t>0140306</t>
  </si>
  <si>
    <t>ธ. ไทยพาณิชย์ จำกัด (มหาชน) สาขา บางใหญ่</t>
  </si>
  <si>
    <t>0140307</t>
  </si>
  <si>
    <t>ธ. ไทยพาณิชย์ จำกัด (มหาชน) สาขา คลอง 6 (ธัญบุรี)</t>
  </si>
  <si>
    <t>0140308</t>
  </si>
  <si>
    <t>ธ. ไทยพาณิชย์ จำกัด (มหาชน) สาขา เสนาสฤษดิ์เดช</t>
  </si>
  <si>
    <t>0140309</t>
  </si>
  <si>
    <t>ธ. ไทยพาณิชย์ จำกัด (มหาชน) สาขา อ้อมน้อย</t>
  </si>
  <si>
    <t>0140310</t>
  </si>
  <si>
    <t>ธ. ไทยพาณิชย์ จำกัด (มหาชน) สาขา นครชัยศรี</t>
  </si>
  <si>
    <t>0140311</t>
  </si>
  <si>
    <t>ธ. ไทยพาณิชย์ จำกัด (มหาชน) สาขา ลำลูกกา</t>
  </si>
  <si>
    <t>0140312</t>
  </si>
  <si>
    <t>ธ. ไทยพาณิชย์ จำกัด (มหาชน) สาขา กระทุ่มแบน</t>
  </si>
  <si>
    <t>0140313</t>
  </si>
  <si>
    <t>ธ. ไทยพาณิชย์ จำกัด (มหาชน) สาขา สนามบินน้ำ</t>
  </si>
  <si>
    <t>0140314</t>
  </si>
  <si>
    <t>ธ. ไทยพาณิชย์ จำกัด (มหาชน) สาขา คลองหลวง</t>
  </si>
  <si>
    <t>0140315</t>
  </si>
  <si>
    <t>ธ. ไทยพาณิชย์ จำกัด (มหาชน) สาขา สมุทรปราการ</t>
  </si>
  <si>
    <t>0140316</t>
  </si>
  <si>
    <t>ธ. ไทยพาณิชย์ จำกัด (มหาชน) สาขา ศาลายา</t>
  </si>
  <si>
    <t>0140317</t>
  </si>
  <si>
    <t>ธ. ไทยพาณิชย์ จำกัด (มหาชน) สาขา สามโคก</t>
  </si>
  <si>
    <t>0140318</t>
  </si>
  <si>
    <t>ธ. ไทยพาณิชย์ จำกัด (มหาชน) สาขา คลอง 10 (ธัญบุรี)</t>
  </si>
  <si>
    <t>0140319</t>
  </si>
  <si>
    <t>ธ. ไทยพาณิชย์ จำกัด (มหาชน) สาขา งามวงศ์วาน</t>
  </si>
  <si>
    <t>0140320</t>
  </si>
  <si>
    <t>ธ. ไทยพาณิชย์ จำกัด (มหาชน) สาขา เมืองใหม่บางพลี</t>
  </si>
  <si>
    <t>0140321</t>
  </si>
  <si>
    <t>ธ. ไทยพาณิชย์ จำกัด (มหาชน) สาขา อ้อมใหญ่</t>
  </si>
  <si>
    <t>0140322</t>
  </si>
  <si>
    <t>ธ. ไทยพาณิชย์ จำกัด (มหาชน) สาขา ไทรน้อย (นนทบุรี)</t>
  </si>
  <si>
    <t>0140323</t>
  </si>
  <si>
    <t>ธ. ไทยพาณิชย์ จำกัด (มหาชน) สาขา สะพานพระนั่งเกล้า</t>
  </si>
  <si>
    <t>0140324</t>
  </si>
  <si>
    <t>ธ. ไทยพาณิชย์ จำกัด (มหาชน) สาขา ถนนแจ้งวัฒนะ</t>
  </si>
  <si>
    <t>0140325</t>
  </si>
  <si>
    <t>ธ. ไทยพาณิชย์ จำกัด (มหาชน) สาขา สามพราน</t>
  </si>
  <si>
    <t>0140326</t>
  </si>
  <si>
    <t>ธ. ไทยพาณิชย์ จำกัด (มหาชน) สาขา หนองเสือ</t>
  </si>
  <si>
    <t>0140327</t>
  </si>
  <si>
    <t>ธ. ไทยพาณิชย์ จำกัด (มหาชน) สาขา เทพารักษ์</t>
  </si>
  <si>
    <t>0140328</t>
  </si>
  <si>
    <t>ธ. ไทยพาณิชย์ จำกัด (มหาชน) สาขา เมืองทองธานี</t>
  </si>
  <si>
    <t>0140329</t>
  </si>
  <si>
    <t>ธ. ไทยพาณิชย์ จำกัด (มหาชน) สาขา บางกะดี (ปทุมธานี)</t>
  </si>
  <si>
    <t>0140330</t>
  </si>
  <si>
    <t>ธ. ไทยพาณิชย์ จำกัด (มหาชน) สาขา คลอง 2 (ธัญบุรี)</t>
  </si>
  <si>
    <t>0140331</t>
  </si>
  <si>
    <t>ธ. ไทยพาณิชย์ จำกัด (มหาชน) สาขา บางนาทาวเวอร์</t>
  </si>
  <si>
    <t>0140332</t>
  </si>
  <si>
    <t>ธ. ไทยพาณิชย์ จำกัด (มหาชน) สาขา อิมพีเรียลเวิลด์ (สำโรง)</t>
  </si>
  <si>
    <t>0140333</t>
  </si>
  <si>
    <t>ธ. ไทยพาณิชย์ จำกัด (มหาชน) สาขา มหาวิทยาลัยมหิดล</t>
  </si>
  <si>
    <t>0140334</t>
  </si>
  <si>
    <t>ธ. ไทยพาณิชย์ จำกัด (มหาชน) สาขา ตลาดดวงแก้ว (ถนนติวานนท์)</t>
  </si>
  <si>
    <t>0140335</t>
  </si>
  <si>
    <t>ธ. ไทยพาณิชย์ จำกัด (มหาชน) สาขา ถนนสุขุมวิท (สมุทรปราการ)</t>
  </si>
  <si>
    <t>0140336</t>
  </si>
  <si>
    <t>ธ. ไทยพาณิชย์ จำกัด (มหาชน) สาขา ย่อยถนนติวานนท์(แคลาย)</t>
  </si>
  <si>
    <t>0140337</t>
  </si>
  <si>
    <t>ธ. ไทยพาณิชย์ จำกัด (มหาชน) สาขา ถนนศรีสมุทร (สมุทรปราการ)</t>
  </si>
  <si>
    <t>0140338</t>
  </si>
  <si>
    <t>ธ. ไทยพาณิชย์ จำกัด (มหาชน) สาขา บางปู (สมุทรปราการ)</t>
  </si>
  <si>
    <t>0140339</t>
  </si>
  <si>
    <t>ธ. ไทยพาณิชย์ จำกัด (มหาชน) สาขา บางบ่อ (สมุทรปราการ)</t>
  </si>
  <si>
    <t>0140340</t>
  </si>
  <si>
    <t>ธ. ไทยพาณิชย์ จำกัด (มหาชน) สาขา กระทรวงสาธารณสุข</t>
  </si>
  <si>
    <t>0140341</t>
  </si>
  <si>
    <t>ธ. ไทยพาณิชย์ จำกัด (มหาชน) สาขา ถนนนครเขื่อนขันธ์ (สมุทรปราการ)</t>
  </si>
  <si>
    <t>0140342</t>
  </si>
  <si>
    <t>ธ. ไทยพาณิชย์ จำกัด (มหาชน) สาขา ซอยวัดบัวขวัญ (นนทบุรี)</t>
  </si>
  <si>
    <t>0140343</t>
  </si>
  <si>
    <t>ธ. ไทยพาณิชย์ จำกัด (มหาชน) สาขา ถนนปู่เจ้าสมิงพราย</t>
  </si>
  <si>
    <t>0140344</t>
  </si>
  <si>
    <t>ธ. ไทยพาณิชย์ จำกัด (มหาชน) สาขา วัดศรีประวัติ (นนทบุรี)</t>
  </si>
  <si>
    <t>0140345</t>
  </si>
  <si>
    <t>ธ. ไทยพาณิชย์ จำกัด (มหาชน) สาขา ประตูน้ำพระอินทร์</t>
  </si>
  <si>
    <t>0140346</t>
  </si>
  <si>
    <t>ธ. ไทยพาณิชย์ จำกัด (มหาชน) สาขา ถนนเทพารักษ์ (อาคารมาลีรมย์)</t>
  </si>
  <si>
    <t>0140347</t>
  </si>
  <si>
    <t>ธ. ไทยพาณิชย์ จำกัด (มหาชน) สาขา ถนนกิ่งแก้ว (อ่อนนุช)</t>
  </si>
  <si>
    <t>0140348</t>
  </si>
  <si>
    <t>ธ. ไทยพาณิชย์ จำกัด (มหาชน) สาขา ถนนรัตนาธิเบศร์</t>
  </si>
  <si>
    <t>0140349</t>
  </si>
  <si>
    <t>ธ. ไทยพาณิชย์ จำกัด (มหาชน) สาขา รังสิต (ปทุมธานี)</t>
  </si>
  <si>
    <t>0140350</t>
  </si>
  <si>
    <t>ธ. ไทยพาณิชย์ จำกัด (มหาชน) สาขา ลาดหลุมแก้ว</t>
  </si>
  <si>
    <t>0140351</t>
  </si>
  <si>
    <t>ธ. ไทยพาณิชย์ จำกัด (มหาชน) สาขา คูคต (คลอง 2)</t>
  </si>
  <si>
    <t>0140352</t>
  </si>
  <si>
    <t>ธ. ไทยพาณิชย์ จำกัด (มหาชน) สาขา บางบัวทอง</t>
  </si>
  <si>
    <t>0140353</t>
  </si>
  <si>
    <t>ธ. ไทยพาณิชย์ จำกัด (มหาชน) สาขา ถนนศรีนครินทร์ (ซอยลาซาล)</t>
  </si>
  <si>
    <t>0140354</t>
  </si>
  <si>
    <t>ธ. ไทยพาณิชย์ จำกัด (มหาชน) สาขา ถนนนิมิตรใหม่</t>
  </si>
  <si>
    <t>0140355</t>
  </si>
  <si>
    <t>ธ. ไทยพาณิชย์ จำกัด (มหาชน) สาขา บางครุ (พระประแดง)</t>
  </si>
  <si>
    <t>0140356</t>
  </si>
  <si>
    <t>ธ. ไทยพาณิชย์ จำกัด (มหาชน) สาขา นิคมอุตสาหกรรมบางปู 2</t>
  </si>
  <si>
    <t>0140357</t>
  </si>
  <si>
    <t>ธ. ไทยพาณิชย์ จำกัด (มหาชน) สาขา เดอะมอลล์ งามวงศ์วาน</t>
  </si>
  <si>
    <t>0140358</t>
  </si>
  <si>
    <t>ธ. ไทยพาณิชย์ จำกัด (มหาชน) สาขา ย่อยเมเจอร์ซีนีเพล็กซ์นนทบุรี</t>
  </si>
  <si>
    <t>0140359</t>
  </si>
  <si>
    <t>ธ. ไทยพาณิชย์ จำกัด (มหาชน) สาขา สถาบัน เอไอที</t>
  </si>
  <si>
    <t>0140360</t>
  </si>
  <si>
    <t>ธ. ไทยพาณิชย์ จำกัด (มหาชน) สาขา ฟิวเจอร์ พาร์ค รังสิต</t>
  </si>
  <si>
    <t>0140361</t>
  </si>
  <si>
    <t>ธ. ไทยพาณิชย์ จำกัด (มหาชน) สาขา บิ๊กซี สมุทรปราการ</t>
  </si>
  <si>
    <t>0140362</t>
  </si>
  <si>
    <t>ธ. ไทยพาณิชย์ จำกัด (มหาชน) สาขา เทสโก้ โลตัส บางนา-ตราด</t>
  </si>
  <si>
    <t>0140363</t>
  </si>
  <si>
    <t>ธ. ไทยพาณิชย์ จำกัด (มหาชน) สาขา ย่อยเมเจอร์ซีนีเพล็กซ์รังสิต</t>
  </si>
  <si>
    <t>0140364</t>
  </si>
  <si>
    <t>ธ. ไทยพาณิชย์ จำกัด (มหาชน) สาขา เซียร์ รังสิต</t>
  </si>
  <si>
    <t>0140365</t>
  </si>
  <si>
    <t>ธ. ไทยพาณิชย์ จำกัด (มหาชน) สาขา เซ็นทรัลพลาซา รัตนาธิเบศร์</t>
  </si>
  <si>
    <t>0140366</t>
  </si>
  <si>
    <t>ธ. ไทยพาณิชย์ จำกัด (มหาชน) สาขา บิ๊กซี อ้อมใหญ่</t>
  </si>
  <si>
    <t>0140367</t>
  </si>
  <si>
    <t>ธ. ไทยพาณิชย์ จำกัด (มหาชน) สาขา BEEHIAVE เมืองทองธานี</t>
  </si>
  <si>
    <t>0140368</t>
  </si>
  <si>
    <t>ธ. ไทยพาณิชย์ จำกัด (มหาชน) สาขา เทสโก้ โลตัส รังสิต-นครนายก</t>
  </si>
  <si>
    <t>0140369</t>
  </si>
  <si>
    <t>ธ. ไทยพาณิชย์ จำกัด (มหาชน) สาขา บ้านฟ้าปิยรมย์</t>
  </si>
  <si>
    <t>0140370</t>
  </si>
  <si>
    <t>ธ. ไทยพาณิชย์ จำกัด (มหาชน) สาขา เทสโก้ โลตัส รังสิต</t>
  </si>
  <si>
    <t>0140371</t>
  </si>
  <si>
    <t>ธ. ไทยพาณิชย์ จำกัด (มหาชน) สาขา ไทยธานี (นวนคร-ปทุมธานี)</t>
  </si>
  <si>
    <t>0140372</t>
  </si>
  <si>
    <t>ธ. ไทยพาณิชย์ จำกัด (มหาชน) สาขา ตลาดพูนทรัพย์ (ปทุมธานี)</t>
  </si>
  <si>
    <t>0140373</t>
  </si>
  <si>
    <t>ธ. ไทยพาณิชย์ จำกัด (มหาชน) สาขา คาร์ฟูร์ สำโรง</t>
  </si>
  <si>
    <t>0140374</t>
  </si>
  <si>
    <t>ธ. ไทยพาณิชย์ จำกัด (มหาชน) สาขา ท่าน้ำนนทบุรี</t>
  </si>
  <si>
    <t>0140375</t>
  </si>
  <si>
    <t>ธ. ไทยพาณิชย์ จำกัด (มหาชน) สาขา โฮมโปร ราชพฤกษ์</t>
  </si>
  <si>
    <t>0140376</t>
  </si>
  <si>
    <t>ธ. ไทยพาณิชย์ จำกัด (มหาชน) สาขา บิ๊กซี แจ้งวัฒนะ 2</t>
  </si>
  <si>
    <t>0140377</t>
  </si>
  <si>
    <t>ธ. ไทยพาณิชย์ จำกัด (มหาชน) สาขา บิ๊กซี นวนคร</t>
  </si>
  <si>
    <t>0140378</t>
  </si>
  <si>
    <t>ธ. ไทยพาณิชย์ จำกัด (มหาชน) สาขา โฮมโปร ประชาชื่น</t>
  </si>
  <si>
    <t>0140379</t>
  </si>
  <si>
    <t>ธ. ไทยพาณิชย์ จำกัด (มหาชน) สาขา 333 แฟคทอรี่แลนด์ บางบัวทอง</t>
  </si>
  <si>
    <t>0140380</t>
  </si>
  <si>
    <t>ธ. ไทยพาณิชย์ จำกัด (มหาชน) สาขา โฮมโปร สุวรรณภูมิ</t>
  </si>
  <si>
    <t>0140381</t>
  </si>
  <si>
    <t>ธ. ไทยพาณิชย์ จำกัด (มหาชน) สาขา ท่าอิฐ (นนทบุรี)</t>
  </si>
  <si>
    <t>0140382</t>
  </si>
  <si>
    <t>ธ. ไทยพาณิชย์ จำกัด (มหาชน) สาขา บิ๊กซี ติวานนท์</t>
  </si>
  <si>
    <t>0140383</t>
  </si>
  <si>
    <t>ธ. ไทยพาณิชย์ จำกัด (มหาชน) สาขา ฟิวเจอร์ พาร์ค รังสิต 2</t>
  </si>
  <si>
    <t>0140384</t>
  </si>
  <si>
    <t>ธ. ไทยพาณิชย์ จำกัด (มหาชน) สาขา ถนนสามัคคี (นนทบุรี)</t>
  </si>
  <si>
    <t>0140385</t>
  </si>
  <si>
    <t>ธ. ไทยพาณิชย์ จำกัด (มหาชน) สาขา ตลาดไท</t>
  </si>
  <si>
    <t>0140386</t>
  </si>
  <si>
    <t>ธ. ไทยพาณิชย์ จำกัด (มหาชน) สาขา ถนนกาญจนาภิเษก (บ้านบัวทอง)</t>
  </si>
  <si>
    <t>0140387</t>
  </si>
  <si>
    <t>ธ. ไทยพาณิชย์ จำกัด (มหาชน) สาขา บางใหญ่ (วัดคงคา)</t>
  </si>
  <si>
    <t>0140388</t>
  </si>
  <si>
    <t>ธ. ไทยพาณิชย์ จำกัด (มหาชน) สาขา พันธุ์ทิพย์ พลาซ่า งามวงศ์วาน</t>
  </si>
  <si>
    <t>0140389</t>
  </si>
  <si>
    <t>ธ. ไทยพาณิชย์ จำกัด (มหาชน) สาขา บิ๊กซี รังสิต</t>
  </si>
  <si>
    <t>0140390</t>
  </si>
  <si>
    <t>ธ. ไทยพาณิชย์ จำกัด (มหาชน) สาขา เทพารักษ์ กม.16</t>
  </si>
  <si>
    <t>0140391</t>
  </si>
  <si>
    <t>ธ. ไทยพาณิชย์ จำกัด (มหาชน) สาขา ถนนพุทธมณฑลสาย 4</t>
  </si>
  <si>
    <t>0140392</t>
  </si>
  <si>
    <t>ธ. ไทยพาณิชย์ จำกัด (มหาชน) สาขา เทสโก้ โลตัส บ้านฟ้าลำลูกกา</t>
  </si>
  <si>
    <t>0140393</t>
  </si>
  <si>
    <t>ธ. ไทยพาณิชย์ จำกัด (มหาชน) สาขา ท่าอากาศยานสุวรรภูมิ 2 E</t>
  </si>
  <si>
    <t>0140394</t>
  </si>
  <si>
    <t>ธ. ไทยพาณิชย์ จำกัด (มหาชน) สาขา ท่าอากาศยานสุวรรณภูมิ 2 W</t>
  </si>
  <si>
    <t>0140395</t>
  </si>
  <si>
    <t>ธ. ไทยพาณิชย์ จำกัด (มหาชน) สาขา ท่าอากาศยานสุวรรณภูมิ 3 M</t>
  </si>
  <si>
    <t>0140396</t>
  </si>
  <si>
    <t>ธ. ไทยพาณิชย์ จำกัด (มหาชน) สาขา ท่าอากาศยานสุวรรณภูมิ 4 W</t>
  </si>
  <si>
    <t>0140397</t>
  </si>
  <si>
    <t>ธ. ไทยพาณิชย์ จำกัด (มหาชน) สาขา ท่าอากาศยานสุวรรณภูมิ 6 W</t>
  </si>
  <si>
    <t>0140398</t>
  </si>
  <si>
    <t>ธ. ไทยพาณิชย์ จำกัด (มหาชน) สาขา ท่าอากาศยานสุวรรณภูมิ (การบินไทย)</t>
  </si>
  <si>
    <t>0140399</t>
  </si>
  <si>
    <t>ธ. ไทยพาณิชย์ จำกัด (มหาชน) สาขา บิ๊กซี บางพลี</t>
  </si>
  <si>
    <t>0140400</t>
  </si>
  <si>
    <t>ธ. ไทยพาณิชย์ จำกัด (มหาชน) สาขา คาร์ฟูร์ รัตนาธิเบศร์</t>
  </si>
  <si>
    <t>0140401</t>
  </si>
  <si>
    <t>ธ. ไทยพาณิชย์ จำกัด (มหาชน) สาขา ตลาดเจ้าพระยา (บางใหญ่)</t>
  </si>
  <si>
    <t>0140402</t>
  </si>
  <si>
    <t>ธ. ไทยพาณิชย์ จำกัด (มหาชน) สาขา ถนนลาดปลาดุก(หมู่บ้านพฤกษา3)นนทบุรี</t>
  </si>
  <si>
    <t>0140403</t>
  </si>
  <si>
    <t>ธ. ไทยพาณิชย์ จำกัด (มหาชน) สาขา เทสโกโลตัส จันทบุรี</t>
  </si>
  <si>
    <t>0140404</t>
  </si>
  <si>
    <t>0140405</t>
  </si>
  <si>
    <t>ธ. ไทยพาณิชย์ จำกัด (มหาชน) สาขา บ่อทอง(ชลบุรี)</t>
  </si>
  <si>
    <t>0140406</t>
  </si>
  <si>
    <t>0140407</t>
  </si>
  <si>
    <t>ธ. ไทยพาณิชย์ จำกัด (มหาชน) สาขา ตลาดโรงโป๊ะ (ชลบุรี)</t>
  </si>
  <si>
    <t>0140408</t>
  </si>
  <si>
    <t>0140409</t>
  </si>
  <si>
    <t>0140412</t>
  </si>
  <si>
    <t>ธ. ไทยพาณิชย์ จำกัด (มหาชน) สาขา ดี.เอ็ม. นครปฐม</t>
  </si>
  <si>
    <t>0140414</t>
  </si>
  <si>
    <t>0140416</t>
  </si>
  <si>
    <t>0140417</t>
  </si>
  <si>
    <t>0140418</t>
  </si>
  <si>
    <t>0140420</t>
  </si>
  <si>
    <t>0140423</t>
  </si>
  <si>
    <t>0140425</t>
  </si>
  <si>
    <t>ธ. ไทยพาณิชย์ จำกัด (มหาชน) สาขา ดี.เอ็ม. สิงห์บุรี</t>
  </si>
  <si>
    <t>0140426</t>
  </si>
  <si>
    <t>0140429</t>
  </si>
  <si>
    <t>0140430</t>
  </si>
  <si>
    <t>ธ. ไทยพาณิชย์ จำกัด (มหาชน) สาขา ดี.เอ็ม. ชุมพร</t>
  </si>
  <si>
    <t>0140432</t>
  </si>
  <si>
    <t>ธ. ไทยพาณิชย์ จำกัด (มหาชน) สาขา จันดี (นครศรีธรรมราช)</t>
  </si>
  <si>
    <t>0140433</t>
  </si>
  <si>
    <t>0140436</t>
  </si>
  <si>
    <t>0140437</t>
  </si>
  <si>
    <t>ธ. ไทยพาณิชย์ จำกัด (มหาชน) สาขา ดี.เอ็ม. ภูเก็ต</t>
  </si>
  <si>
    <t>0140439</t>
  </si>
  <si>
    <t>ธ. ไทยพาณิชย์ จำกัด (มหาชน) สาขา ดี.เอ็ม. ระนอง</t>
  </si>
  <si>
    <t>0140441</t>
  </si>
  <si>
    <t>0140443</t>
  </si>
  <si>
    <t>0140444</t>
  </si>
  <si>
    <t>0140445</t>
  </si>
  <si>
    <t>ธ. ไทยพาณิชย์ จำกัด (มหาชน) สาขา ดี.เอ็ม. เกาะสมุย</t>
  </si>
  <si>
    <t>0140452</t>
  </si>
  <si>
    <t>ธ. ไทยพาณิชย์ จำกัด (มหาชน) สาขา ดี.เอ็ม. ชัยภูมิ</t>
  </si>
  <si>
    <t>0140454</t>
  </si>
  <si>
    <t>ธ. ไทยพาณิชย์ จำกัด (มหาชน) สาขา ดี.เอ็ม. นครราชสีมา</t>
  </si>
  <si>
    <t>0140456</t>
  </si>
  <si>
    <t>0140457</t>
  </si>
  <si>
    <t>0140458</t>
  </si>
  <si>
    <t>0140461</t>
  </si>
  <si>
    <t>ธ. ไทยพาณิชย์ จำกัด (มหาชน) สาขา ดี.เอ็ม. ศรีสะเกษ</t>
  </si>
  <si>
    <t>0140464</t>
  </si>
  <si>
    <t>ธ. ไทยพาณิชย์ จำกัด (มหาชน) สาขา ดี.เอ็ม. อุดรธานี</t>
  </si>
  <si>
    <t>0140465</t>
  </si>
  <si>
    <t>ธ. ไทยพาณิชย์ จำกัด (มหาชน) สาขา ดี.เอ็ม. อุบลราชธานี</t>
  </si>
  <si>
    <t>0140467</t>
  </si>
  <si>
    <t>0140468</t>
  </si>
  <si>
    <t>ธ. ไทยพาณิชย์ จำกัด (มหาชน) สาขา เทสโก้ โลตัส เพชรเกษม 81</t>
  </si>
  <si>
    <t>0140470</t>
  </si>
  <si>
    <t xml:space="preserve">ธ.ไทยพาณิชย์ จำกัด (มหาชน)/สาขาบิ๊กซี กำแพงเพชร </t>
  </si>
  <si>
    <t>0140471</t>
  </si>
  <si>
    <t>ธ. ไทยพาณิชย์ จำกัด (มหาชน) สาขา ดี.เอ็ม. ท่าแพ</t>
  </si>
  <si>
    <t>0140473</t>
  </si>
  <si>
    <t>ธ. ไทยพาณิชย์ จำกัด (มหาชน) สาขา ดี.เอ็ม. เชียงราย</t>
  </si>
  <si>
    <t>0140474</t>
  </si>
  <si>
    <t>ธ. ไทยพาณิชย์ จำกัด (มหาชน) สาขา ดี.เอ็ม. แม่สอด</t>
  </si>
  <si>
    <t>0140478</t>
  </si>
  <si>
    <t>ธ. ไทยพาณิชย์ จำกัด (มหาชน) สาขา ดี.เอ็ม. พิจิตร</t>
  </si>
  <si>
    <t>0140480</t>
  </si>
  <si>
    <t>0140484</t>
  </si>
  <si>
    <t>ธ. ไทยพาณิชย์ จำกัด (มหาชน) สาขา ดี.เอ็ม. สุโขทัย</t>
  </si>
  <si>
    <t>0140485</t>
  </si>
  <si>
    <t>ธ. ไทยพาณิชย์ จำกัด (มหาชน) สาขา ดี.เอ็ม. อุตรดิตถ์</t>
  </si>
  <si>
    <t>0140486</t>
  </si>
  <si>
    <t>0140487</t>
  </si>
  <si>
    <t>ธ. ไทยพาณิชย์ จำกัด (มหาชน) สาขา ดี.เอ็ม. พะเยา</t>
  </si>
  <si>
    <t>0140500</t>
  </si>
  <si>
    <t>ธ. ไทยพาณิชย์ จำกัด (มหาชน) สาขา เทสโก้ โลตัส บ้านบึง</t>
  </si>
  <si>
    <t>0140501</t>
  </si>
  <si>
    <t>ธ. ไทยพาณิชย์ จำกัด (มหาชน) สาขา ท่าแพ</t>
  </si>
  <si>
    <t>0140502</t>
  </si>
  <si>
    <t>ธ. ไทยพาณิชย์ จำกัด (มหาชน) สาขา ลำปาง</t>
  </si>
  <si>
    <t>0140503</t>
  </si>
  <si>
    <t>ธ. ไทยพาณิชย์ จำกัด (มหาชน) สาขา นครราชสีมา</t>
  </si>
  <si>
    <t>0140504</t>
  </si>
  <si>
    <t>ธ. ไทยพาณิชย์ จำกัด (มหาชน) สาขา เพชรบุรี</t>
  </si>
  <si>
    <t>0140505</t>
  </si>
  <si>
    <t>ธ. ไทยพาณิชย์ จำกัด (มหาชน) สาขา ชลบุรี</t>
  </si>
  <si>
    <t>0140506</t>
  </si>
  <si>
    <t>ธ. ไทยพาณิชย์ จำกัด (มหาชน) สาขา นครสวรรค์</t>
  </si>
  <si>
    <t>0140507</t>
  </si>
  <si>
    <t>ธ. ไทยพาณิชย์ จำกัด (มหาชน) สาขา เชียงราย</t>
  </si>
  <si>
    <t>0140508</t>
  </si>
  <si>
    <t>ธ. ไทยพาณิชย์ จำกัด (มหาชน) สาขา ยะลา</t>
  </si>
  <si>
    <t>0140509</t>
  </si>
  <si>
    <t>ธ. ไทยพาณิชย์ จำกัด (มหาชน) สาขา หาดใหญ่</t>
  </si>
  <si>
    <t>0140510</t>
  </si>
  <si>
    <t>ธ. ไทยพาณิชย์ จำกัด (มหาชน) สาขา อุดรธานี</t>
  </si>
  <si>
    <t>0140511</t>
  </si>
  <si>
    <t>ธ. ไทยพาณิชย์ จำกัด (มหาชน) สาขา ขอนแก่น</t>
  </si>
  <si>
    <t>0140512</t>
  </si>
  <si>
    <t>ธ. ไทยพาณิชย์ จำกัด (มหาชน) สาขา ตรัง</t>
  </si>
  <si>
    <t>0140513</t>
  </si>
  <si>
    <t>ธ. ไทยพาณิชย์ จำกัด (มหาชน) สาขา ทุ่งสง</t>
  </si>
  <si>
    <t>0140514</t>
  </si>
  <si>
    <t>ธ. ไทยพาณิชย์ จำกัด (มหาชน) สาขา จันทบุรี</t>
  </si>
  <si>
    <t>0140515</t>
  </si>
  <si>
    <t>ธ. ไทยพาณิชย์ จำกัด (มหาชน) สาขา สมุทรสงคราม</t>
  </si>
  <si>
    <t>0140516</t>
  </si>
  <si>
    <t>ธ. ไทยพาณิชย์ จำกัด (มหาชน) สาขา ฉะเชิงเทรา</t>
  </si>
  <si>
    <t>0140517</t>
  </si>
  <si>
    <t>ธ. ไทยพาณิชย์ จำกัด (มหาชน) สาขา ศรีเทพ</t>
  </si>
  <si>
    <t>0140518</t>
  </si>
  <si>
    <t>ธ. ไทยพาณิชย์ จำกัด (มหาชน) สาขา แพร่</t>
  </si>
  <si>
    <t>0140519</t>
  </si>
  <si>
    <t>ธ. ไทยพาณิชย์ จำกัด (มหาชน) สาขา นครปฐม</t>
  </si>
  <si>
    <t>0140520</t>
  </si>
  <si>
    <t>ธ. ไทยพาณิชย์ จำกัด (มหาชน) สาขา อำนาจเจริญ</t>
  </si>
  <si>
    <t>0140521</t>
  </si>
  <si>
    <t>ธ. ไทยพาณิชย์ จำกัด (มหาชน) สาขา จอมบึง</t>
  </si>
  <si>
    <t>0140522</t>
  </si>
  <si>
    <t>ธ. ไทยพาณิชย์ จำกัด (มหาชน) สาขา ดอนเจดีย์</t>
  </si>
  <si>
    <t>0140523</t>
  </si>
  <si>
    <t>ธ. ไทยพาณิชย์ จำกัด (มหาชน) สาขา ระยอง</t>
  </si>
  <si>
    <t>0140524</t>
  </si>
  <si>
    <t>ธ. ไทยพาณิชย์ จำกัด (มหาชน) สาขา ลูกแก</t>
  </si>
  <si>
    <t>0140525</t>
  </si>
  <si>
    <t>ธ. ไทยพาณิชย์ จำกัด (มหาชน) สาขา สิชล</t>
  </si>
  <si>
    <t>0140526</t>
  </si>
  <si>
    <t>ธ. ไทยพาณิชย์ จำกัด (มหาชน) สาขา สีคิ้ว</t>
  </si>
  <si>
    <t>0140527</t>
  </si>
  <si>
    <t>ธ. ไทยพาณิชย์ จำกัด (มหาชน) สาขา ศรีราชา</t>
  </si>
  <si>
    <t>0140528</t>
  </si>
  <si>
    <t>ธ. ไทยพาณิชย์ จำกัด (มหาชน) สาขา วังสะพุง</t>
  </si>
  <si>
    <t>0140529</t>
  </si>
  <si>
    <t>ธ. ไทยพาณิชย์ จำกัด (มหาชน) สาขา พนัสนิคม</t>
  </si>
  <si>
    <t>0140530</t>
  </si>
  <si>
    <t>ธ. ไทยพาณิชย์ จำกัด (มหาชน) สาขา อุบลราชธานี</t>
  </si>
  <si>
    <t>0140531</t>
  </si>
  <si>
    <t>ธ. ไทยพาณิชย์ จำกัด (มหาชน) สาขา โกสุมพิสัย</t>
  </si>
  <si>
    <t>0140532</t>
  </si>
  <si>
    <t>ธ. ไทยพาณิชย์ จำกัด (มหาชน) สาขา ประตูเชียงใหม่</t>
  </si>
  <si>
    <t>0140533</t>
  </si>
  <si>
    <t>ธ. ไทยพาณิชย์ จำกัด (มหาชน) สาขา ตลาดย่านยาว</t>
  </si>
  <si>
    <t>0140534</t>
  </si>
  <si>
    <t>ธ. ไทยพาณิชย์ จำกัด (มหาชน) สาขา จัตุรัส</t>
  </si>
  <si>
    <t>0140535</t>
  </si>
  <si>
    <t>ธ. ไทยพาณิชย์ จำกัด (มหาชน) สาขา พัทยา</t>
  </si>
  <si>
    <t>0140536</t>
  </si>
  <si>
    <t>ธ. ไทยพาณิชย์ จำกัด (มหาชน) สาขา สุโขทัย</t>
  </si>
  <si>
    <t>0140537</t>
  </si>
  <si>
    <t>ธ. ไทยพาณิชย์ จำกัด (มหาชน) สาขา ภูเก็ต</t>
  </si>
  <si>
    <t>0140538</t>
  </si>
  <si>
    <t>ธ. ไทยพาณิชย์ จำกัด (มหาชน) สาขา หนองบัวลำภู</t>
  </si>
  <si>
    <t>0140539</t>
  </si>
  <si>
    <t>ธ. ไทยพาณิชย์ จำกัด (มหาชน) สาขา จอมทอง</t>
  </si>
  <si>
    <t>0140540</t>
  </si>
  <si>
    <t>ธ. ไทยพาณิชย์ จำกัด (มหาชน) สาขา ดำเนินสะดวก</t>
  </si>
  <si>
    <t>0140541</t>
  </si>
  <si>
    <t>ธ. ไทยพาณิชย์ จำกัด (มหาชน) สาขา ไชยา</t>
  </si>
  <si>
    <t>0140542</t>
  </si>
  <si>
    <t>ธ. ไทยพาณิชย์ จำกัด (มหาชน) สาขา ทานพอ</t>
  </si>
  <si>
    <t>0140543</t>
  </si>
  <si>
    <t>ธ. ไทยพาณิชย์ จำกัด (มหาชน) สาขา ตลาดเขต</t>
  </si>
  <si>
    <t>0140544</t>
  </si>
  <si>
    <t>ธ. ไทยพาณิชย์ จำกัด (มหาชน) สาขา ภาชี</t>
  </si>
  <si>
    <t>0140545</t>
  </si>
  <si>
    <t>ธ. ไทยพาณิชย์ จำกัด (มหาชน) สาขา เวียงป่าเป้า</t>
  </si>
  <si>
    <t>0140546</t>
  </si>
  <si>
    <t>ธ. ไทยพาณิชย์ จำกัด (มหาชน) สาขา เสลภูมิ</t>
  </si>
  <si>
    <t>0140547</t>
  </si>
  <si>
    <t>ธ. ไทยพาณิชย์ จำกัด (มหาชน) สาขา สกลนคร</t>
  </si>
  <si>
    <t>0140548</t>
  </si>
  <si>
    <t>ธ. ไทยพาณิชย์ จำกัด (มหาชน) สาขา วัดสิงห์</t>
  </si>
  <si>
    <t>0140549</t>
  </si>
  <si>
    <t>ธ. ไทยพาณิชย์ จำกัด (มหาชน) สาขา ตลาดวโรรส</t>
  </si>
  <si>
    <t>0140550</t>
  </si>
  <si>
    <t>ธ. ไทยพาณิชย์ จำกัด (มหาชน) สาขา ประตูช้างเผือก</t>
  </si>
  <si>
    <t>0140551</t>
  </si>
  <si>
    <t>ธ. ไทยพาณิชย์ จำกัด (มหาชน) สาขา มหาวิทยาลัยขอนแก่น</t>
  </si>
  <si>
    <t>0140552</t>
  </si>
  <si>
    <t>ธ. ไทยพาณิชย์ จำกัด (มหาชน) สาขา สุราษฎร์ธานี</t>
  </si>
  <si>
    <t>0140553</t>
  </si>
  <si>
    <t>ธ. ไทยพาณิชย์ จำกัด (มหาชน) สาขา นครศรีธรรมราช</t>
  </si>
  <si>
    <t>0140554</t>
  </si>
  <si>
    <t>ธ. ไทยพาณิชย์ จำกัด (มหาชน) สาขา สงขลา</t>
  </si>
  <si>
    <t>0140555</t>
  </si>
  <si>
    <t>ธ. ไทยพาณิชย์ จำกัด (มหาชน) สาขา หล่มสัก</t>
  </si>
  <si>
    <t>0140556</t>
  </si>
  <si>
    <t>ธ. ไทยพาณิชย์ จำกัด (มหาชน) สาขา สวรรคโลก</t>
  </si>
  <si>
    <t>0140557</t>
  </si>
  <si>
    <t>ธ. ไทยพาณิชย์ จำกัด (มหาชน) สาขา ศรีสะเกษ</t>
  </si>
  <si>
    <t>0140558</t>
  </si>
  <si>
    <t>ธ. ไทยพาณิชย์ จำกัด (มหาชน) สาขา อุทัยธานี</t>
  </si>
  <si>
    <t>0140559</t>
  </si>
  <si>
    <t>ธ. ไทยพาณิชย์ จำกัด (มหาชน) สาขา สุรินทร์</t>
  </si>
  <si>
    <t>0140560</t>
  </si>
  <si>
    <t>ธ. ไทยพาณิชย์ จำกัด (มหาชน) สาขา สิงห์บุรี</t>
  </si>
  <si>
    <t>0140561</t>
  </si>
  <si>
    <t>ธ. ไทยพาณิชย์ จำกัด (มหาชน) สาขา ยโสธร</t>
  </si>
  <si>
    <t>0140562</t>
  </si>
  <si>
    <t>ธ. ไทยพาณิชย์ จำกัด (มหาชน) สาขา ร้อยเอ็ด</t>
  </si>
  <si>
    <t>0140563</t>
  </si>
  <si>
    <t>ธ. ไทยพาณิชย์ จำกัด (มหาชน) สาขา สระบุรี</t>
  </si>
  <si>
    <t>0140564</t>
  </si>
  <si>
    <t>ธ. ไทยพาณิชย์ จำกัด (มหาชน) สาขา นาเฉลียง</t>
  </si>
  <si>
    <t>0140565</t>
  </si>
  <si>
    <t>ธ. ไทยพาณิชย์ จำกัด (มหาชน) สาขา มหาวิทยาลัยสงขลานครินทร์</t>
  </si>
  <si>
    <t>0140566</t>
  </si>
  <si>
    <t>ธ. ไทยพาณิชย์ จำกัด (มหาชน) สาขา คณะแพทยศาสตร์เชียงใหม่</t>
  </si>
  <si>
    <t>0140567</t>
  </si>
  <si>
    <t>ธ. ไทยพาณิชย์ จำกัด (มหาชน) สาขา บ้านนา</t>
  </si>
  <si>
    <t>0140568</t>
  </si>
  <si>
    <t>ธ. ไทยพาณิชย์ จำกัด (มหาชน) สาขา ปากน้ำหลังสวน</t>
  </si>
  <si>
    <t>0140569</t>
  </si>
  <si>
    <t>ธ. ไทยพาณิชย์ จำกัด (มหาชน) สาขา พิษณุโลก</t>
  </si>
  <si>
    <t>0140570</t>
  </si>
  <si>
    <t>ธ. ไทยพาณิชย์ จำกัด (มหาชน) สาขา สมุทรสาคร</t>
  </si>
  <si>
    <t>0140571</t>
  </si>
  <si>
    <t>ธ. ไทยพาณิชย์ จำกัด (มหาชน) สาขา ราชบุรี</t>
  </si>
  <si>
    <t>0140572</t>
  </si>
  <si>
    <t>ธ. ไทยพาณิชย์ จำกัด (มหาชน) สาขา กระบี่</t>
  </si>
  <si>
    <t>0140573</t>
  </si>
  <si>
    <t>ธ. ไทยพาณิชย์ จำกัด (มหาชน) สาขา แม่สอด</t>
  </si>
  <si>
    <t>0140574</t>
  </si>
  <si>
    <t>ธ. ไทยพาณิชย์ จำกัด (มหาชน) สาขา บางปะอิน</t>
  </si>
  <si>
    <t>0140575</t>
  </si>
  <si>
    <t>ธ. ไทยพาณิชย์ จำกัด (มหาชน) สาขา อยุธยา</t>
  </si>
  <si>
    <t>0140576</t>
  </si>
  <si>
    <t>ธ. ไทยพาณิชย์ จำกัด (มหาชน) สาขา หลักห้า</t>
  </si>
  <si>
    <t>0140577</t>
  </si>
  <si>
    <t>ธ. ไทยพาณิชย์ จำกัด (มหาชน) สาขา คลอง 16</t>
  </si>
  <si>
    <t>0140578</t>
  </si>
  <si>
    <t>ธ. ไทยพาณิชย์ จำกัด (มหาชน) สาขา กาฬสินธุ์</t>
  </si>
  <si>
    <t>0140579</t>
  </si>
  <si>
    <t>ธ. ไทยพาณิชย์ จำกัด (มหาชน) สาขา ลพบุรี</t>
  </si>
  <si>
    <t>0140580</t>
  </si>
  <si>
    <t>ธ. ไทยพาณิชย์ จำกัด (มหาชน) สาขา ถนนมุขมนตรี (นครราชสีมา)</t>
  </si>
  <si>
    <t>0140581</t>
  </si>
  <si>
    <t>ธ. ไทยพาณิชย์ จำกัด (มหาชน) สาขา ระนอง</t>
  </si>
  <si>
    <t>0140582</t>
  </si>
  <si>
    <t>ธ. ไทยพาณิชย์ จำกัด (มหาชน) สาขา บางปลาสร้อย (ชลบุรี)</t>
  </si>
  <si>
    <t>0140583</t>
  </si>
  <si>
    <t>ธ. ไทยพาณิชย์ จำกัด (มหาชน) สาขา วารินชำราบ</t>
  </si>
  <si>
    <t>0140584</t>
  </si>
  <si>
    <t>ธ. ไทยพาณิชย์ จำกัด (มหาชน) สาขา ลำพูน (ป่าเห็ว)</t>
  </si>
  <si>
    <t>0140585</t>
  </si>
  <si>
    <t>ธ. ไทยพาณิชย์ จำกัด (มหาชน) สาขา กำแพงเพชร</t>
  </si>
  <si>
    <t>0140586</t>
  </si>
  <si>
    <t>ธ. ไทยพาณิชย์ จำกัด (มหาชน) สาขา ปาดังเบซาร์</t>
  </si>
  <si>
    <t>0140587</t>
  </si>
  <si>
    <t>ธ. ไทยพาณิชย์ จำกัด (มหาชน) สาขา ถนนโพศรี (อุดรธานี)</t>
  </si>
  <si>
    <t>0140588</t>
  </si>
  <si>
    <t>ธ. ไทยพาณิชย์ จำกัด (มหาชน) สาขา ปราจีนบุรี</t>
  </si>
  <si>
    <t>0140589</t>
  </si>
  <si>
    <t>ธ. ไทยพาณิชย์ จำกัด (มหาชน) สาขา ท่าโขลง</t>
  </si>
  <si>
    <t>0140590</t>
  </si>
  <si>
    <t>ธ. ไทยพาณิชย์ จำกัด (มหาชน) สาขา หาดใหญ่ใน</t>
  </si>
  <si>
    <t>0140591</t>
  </si>
  <si>
    <t>ธ. ไทยพาณิชย์ จำกัด (มหาชน) สาขา สุพรรณบุรี</t>
  </si>
  <si>
    <t>0140592</t>
  </si>
  <si>
    <t>ธ. ไทยพาณิชย์ จำกัด (มหาชน) สาขา ศรีมหาโพธิ</t>
  </si>
  <si>
    <t>0140593</t>
  </si>
  <si>
    <t>ธ. ไทยพาณิชย์ จำกัด (มหาชน) สาขา รัตนบุรี (สุรินทร์)</t>
  </si>
  <si>
    <t>0140594</t>
  </si>
  <si>
    <t>ธ. ไทยพาณิชย์ จำกัด (มหาชน) สาขา อุตรดิตถ์</t>
  </si>
  <si>
    <t>0140595</t>
  </si>
  <si>
    <t>ธ. ไทยพาณิชย์ จำกัด (มหาชน) สาขา บางแพ (ราชบุรี)</t>
  </si>
  <si>
    <t>0140596</t>
  </si>
  <si>
    <t>ธ. ไทยพาณิชย์ จำกัด (มหาชน) สาขา แม่โจ้</t>
  </si>
  <si>
    <t>0140597</t>
  </si>
  <si>
    <t>ธ. ไทยพาณิชย์ จำกัด (มหาชน) สาขา เพชรบูรณ์</t>
  </si>
  <si>
    <t>0140598</t>
  </si>
  <si>
    <t>ธ. ไทยพาณิชย์ จำกัด (มหาชน) สาขา ท่าฉลอม</t>
  </si>
  <si>
    <t>0140599</t>
  </si>
  <si>
    <t>ธ. ไทยพาณิชย์ จำกัด (มหาชน) สาขา สรรพยา(ชัยนาท)</t>
  </si>
  <si>
    <t>0140600</t>
  </si>
  <si>
    <t>ธ. ไทยพาณิชย์ จำกัด (มหาชน) สาขา ชัยภูมิ</t>
  </si>
  <si>
    <t>0140601</t>
  </si>
  <si>
    <t>ธ. ไทยพาณิชย์ จำกัด (มหาชน) สาขา ป่าตอง (ภูเก็ต)</t>
  </si>
  <si>
    <t>0140602</t>
  </si>
  <si>
    <t>ธ. ไทยพาณิชย์ จำกัด (มหาชน) สาขา ห้วยแถลง (นครราชสีมา)</t>
  </si>
  <si>
    <t>0140603</t>
  </si>
  <si>
    <t>ธ. ไทยพาณิชย์ จำกัด (มหาชน) สาขา บุรีรัมย์</t>
  </si>
  <si>
    <t>0140604</t>
  </si>
  <si>
    <t>ธ. ไทยพาณิชย์ จำกัด (มหาชน) สาขา นครพนม</t>
  </si>
  <si>
    <t>0140605</t>
  </si>
  <si>
    <t>ธ. ไทยพาณิชย์ จำกัด (มหาชน) สาขา องครักษ์(นครนายก)</t>
  </si>
  <si>
    <t>0140606</t>
  </si>
  <si>
    <t>ธ. ไทยพาณิชย์ จำกัด (มหาชน) สาขา ท่าเรือ (อยุธยา)</t>
  </si>
  <si>
    <t>0140607</t>
  </si>
  <si>
    <t>ธ. ไทยพาณิชย์ จำกัด (มหาชน) สาขา กาญจนบุรี</t>
  </si>
  <si>
    <t>0140608</t>
  </si>
  <si>
    <t>ธ. ไทยพาณิชย์ จำกัด (มหาชน) สาขา มหาสารคาม</t>
  </si>
  <si>
    <t>0140609</t>
  </si>
  <si>
    <t>ธ. ไทยพาณิชย์ จำกัด (มหาชน) สาขา ปัตตานี</t>
  </si>
  <si>
    <t>0140610</t>
  </si>
  <si>
    <t>ธ. ไทยพาณิชย์ จำกัด (มหาชน) สาขา ยางตลาด (กาฬสินธุ์)</t>
  </si>
  <si>
    <t>0140611</t>
  </si>
  <si>
    <t>ธ. ไทยพาณิชย์ จำกัด (มหาชน) สาขา บ้านโป่ง (ราชบุรี)</t>
  </si>
  <si>
    <t>0140612</t>
  </si>
  <si>
    <t>ธ. ไทยพาณิชย์ จำกัด (มหาชน) สาขา ปราณบุรี (ประจวบคีรีขันธ์)</t>
  </si>
  <si>
    <t>0140613</t>
  </si>
  <si>
    <t>ธ. ไทยพาณิชย์ จำกัด (มหาชน) สาขา สะพานเดชาติวงศ์ (นครสวรรค์)</t>
  </si>
  <si>
    <t>0140614</t>
  </si>
  <si>
    <t>ธ. ไทยพาณิชย์ จำกัด (มหาชน) สาขา โคกสำโรง (ลพบุรี)</t>
  </si>
  <si>
    <t>0140615</t>
  </si>
  <si>
    <t>ธ. ไทยพาณิชย์ จำกัด (มหาชน) สาขา ชัยนาท</t>
  </si>
  <si>
    <t>0140616</t>
  </si>
  <si>
    <t>ธ. ไทยพาณิชย์ จำกัด (มหาชน) สาขา บางมูลนาก</t>
  </si>
  <si>
    <t>0140617</t>
  </si>
  <si>
    <t>ธ. ไทยพาณิชย์ จำกัด (มหาชน) สาขา สตูล</t>
  </si>
  <si>
    <t>0140618</t>
  </si>
  <si>
    <t>ธ. ไทยพาณิชย์ จำกัด (มหาชน) สาขา ลำนารายณ์</t>
  </si>
  <si>
    <t>0140619</t>
  </si>
  <si>
    <t>ธ. ไทยพาณิชย์ จำกัด (มหาชน) สาขา บ้านบึง</t>
  </si>
  <si>
    <t>0140620</t>
  </si>
  <si>
    <t>ธ. ไทยพาณิชย์ จำกัด (มหาชน) สาขา ตะพานหิน</t>
  </si>
  <si>
    <t>0140621</t>
  </si>
  <si>
    <t>ธ. ไทยพาณิชย์ จำกัด (มหาชน) สาขา ขนอม</t>
  </si>
  <si>
    <t>0140622</t>
  </si>
  <si>
    <t>ธ. ไทยพาณิชย์ จำกัด (มหาชน) สาขา ปากช่อง (นครราชสีมา)</t>
  </si>
  <si>
    <t>0140623</t>
  </si>
  <si>
    <t>ธ. ไทยพาณิชย์ จำกัด (มหาชน) สาขา เกาะสมุย</t>
  </si>
  <si>
    <t>0140624</t>
  </si>
  <si>
    <t>ธ. ไทยพาณิชย์ จำกัด (มหาชน) สาขา หนองคาย</t>
  </si>
  <si>
    <t>0140625</t>
  </si>
  <si>
    <t>ธ. ไทยพาณิชย์ จำกัด (มหาชน) สาขา ตราด</t>
  </si>
  <si>
    <t>0140626</t>
  </si>
  <si>
    <t>ธ. ไทยพาณิชย์ จำกัด (มหาชน) สาขา จอมเทียน</t>
  </si>
  <si>
    <t>0140627</t>
  </si>
  <si>
    <t>ธ. ไทยพาณิชย์ จำกัด (มหาชน) สาขา อ่างทอง</t>
  </si>
  <si>
    <t>0140628</t>
  </si>
  <si>
    <t>ธ. ไทยพาณิชย์ จำกัด (มหาชน) สาขา เพ็ญ</t>
  </si>
  <si>
    <t>0140629</t>
  </si>
  <si>
    <t>ธ. ไทยพาณิชย์ จำกัด (มหาชน) สาขา เวียงชัย</t>
  </si>
  <si>
    <t>0140630</t>
  </si>
  <si>
    <t>ธ. ไทยพาณิชย์ จำกัด (มหาชน) สาขา ละแม</t>
  </si>
  <si>
    <t>0140631</t>
  </si>
  <si>
    <t>ธ. ไทยพาณิชย์ จำกัด (มหาชน) สาขา คลองใหญ่</t>
  </si>
  <si>
    <t>0140632</t>
  </si>
  <si>
    <t>ธ. ไทยพาณิชย์ จำกัด (มหาชน) สาขา เก้าเลี้ยว</t>
  </si>
  <si>
    <t>0140633</t>
  </si>
  <si>
    <t>ธ. ไทยพาณิชย์ จำกัด (มหาชน) สาขา ถนนเจ้าฟ้า (ภูเก็ต)</t>
  </si>
  <si>
    <t>0140634</t>
  </si>
  <si>
    <t>ธ. ไทยพาณิชย์ จำกัด (มหาชน) สาขา แกลง</t>
  </si>
  <si>
    <t>0140635</t>
  </si>
  <si>
    <t>ธ. ไทยพาณิชย์ จำกัด (มหาชน) สาขา บางพระ</t>
  </si>
  <si>
    <t>0140636</t>
  </si>
  <si>
    <t>ธ. ไทยพาณิชย์ จำกัด (มหาชน) สาขา แม่สาย</t>
  </si>
  <si>
    <t>0140637</t>
  </si>
  <si>
    <t>ธ. ไทยพาณิชย์ จำกัด (มหาชน) สาขา บ้านเขว้า</t>
  </si>
  <si>
    <t>0140638</t>
  </si>
  <si>
    <t>ธ. ไทยพาณิชย์ จำกัด (มหาชน) สาขา ย่อยร้องกวาง</t>
  </si>
  <si>
    <t>0140639</t>
  </si>
  <si>
    <t>ธ. ไทยพาณิชย์ จำกัด (มหาชน) สาขา เชียงแสน</t>
  </si>
  <si>
    <t>0140640</t>
  </si>
  <si>
    <t>ธ. ไทยพาณิชย์ จำกัด (มหาชน) สาขา บางแสน</t>
  </si>
  <si>
    <t>0140641</t>
  </si>
  <si>
    <t>ธ. ไทยพาณิชย์ จำกัด (มหาชน) สาขา ชนบท</t>
  </si>
  <si>
    <t>0140642</t>
  </si>
  <si>
    <t>ธ. ไทยพาณิชย์ จำกัด (มหาชน) สาขา นาเกลือ</t>
  </si>
  <si>
    <t>0140643</t>
  </si>
  <si>
    <t>ธ. ไทยพาณิชย์ จำกัด (มหาชน) สาขา ย่อยหนองจิก</t>
  </si>
  <si>
    <t>0140644</t>
  </si>
  <si>
    <t>ธ. ไทยพาณิชย์ จำกัด (มหาชน) สาขา มาบตาพุด</t>
  </si>
  <si>
    <t>0140645</t>
  </si>
  <si>
    <t>ธ. ไทยพาณิชย์ จำกัด (มหาชน) สาขา ไชโย</t>
  </si>
  <si>
    <t>0140646</t>
  </si>
  <si>
    <t>ธ. ไทยพาณิชย์ จำกัด (มหาชน) สาขา โนนสะอาด</t>
  </si>
  <si>
    <t>0140647</t>
  </si>
  <si>
    <t>ธ. ไทยพาณิชย์ จำกัด (มหาชน) สาขา ชุมแพ</t>
  </si>
  <si>
    <t>0140648</t>
  </si>
  <si>
    <t>ธ. ไทยพาณิชย์ จำกัด (มหาชน) สาขา เลย</t>
  </si>
  <si>
    <t>0140649</t>
  </si>
  <si>
    <t>ธ. ไทยพาณิชย์ จำกัด (มหาชน) สาขา พระประโทน (นครปฐม)</t>
  </si>
  <si>
    <t>0140650</t>
  </si>
  <si>
    <t>ธ. ไทยพาณิชย์ จำกัด (มหาชน) สาขา พิจิตร</t>
  </si>
  <si>
    <t>0140651</t>
  </si>
  <si>
    <t>ธ. ไทยพาณิชย์ จำกัด (มหาชน) สาขา ย่อยบ้านโรงโป๊ะ(ชลบุรี)</t>
  </si>
  <si>
    <t>0140652</t>
  </si>
  <si>
    <t>ธ. ไทยพาณิชย์ จำกัด (มหาชน) สาขา มุกดาหาร</t>
  </si>
  <si>
    <t>0140653</t>
  </si>
  <si>
    <t>ธ. ไทยพาณิชย์ จำกัด (มหาชน) สาขา แหลมฉบัง</t>
  </si>
  <si>
    <t>0140654</t>
  </si>
  <si>
    <t>ธ. ไทยพาณิชย์ จำกัด (มหาชน) สาขา ชุมพร</t>
  </si>
  <si>
    <t>0140655</t>
  </si>
  <si>
    <t>ธ. ไทยพาณิชย์ จำกัด (มหาชน) สาขา นราธิวาส</t>
  </si>
  <si>
    <t>0140656</t>
  </si>
  <si>
    <t>ธ. ไทยพาณิชย์ จำกัด (มหาชน) สาขา สัตหีบ</t>
  </si>
  <si>
    <t>0140657</t>
  </si>
  <si>
    <t>ธ. ไทยพาณิชย์ จำกัด (มหาชน) สาขา เกาะพะงัน</t>
  </si>
  <si>
    <t>0140658</t>
  </si>
  <si>
    <t>ธ. ไทยพาณิชย์ จำกัด (มหาชน) สาขา พัทลุง</t>
  </si>
  <si>
    <t>0140659</t>
  </si>
  <si>
    <t>ธ. ไทยพาณิชย์ จำกัด (มหาชน) สาขา นครนายก</t>
  </si>
  <si>
    <t>0140660</t>
  </si>
  <si>
    <t>ธ. ไทยพาณิชย์ จำกัด (มหาชน) สาขา ถนนเมืองสมุทร (เชียงใหม่)</t>
  </si>
  <si>
    <t>0140661</t>
  </si>
  <si>
    <t>ธ. ไทยพาณิชย์ จำกัด (มหาชน) สาขา ทุ่งเสี้ยว (สันป่าตอง)</t>
  </si>
  <si>
    <t>0140662</t>
  </si>
  <si>
    <t>ธ. ไทยพาณิชย์ จำกัด (มหาชน) สาขา สุไหงโก-ลก</t>
  </si>
  <si>
    <t>0140663</t>
  </si>
  <si>
    <t>ธ. ไทยพาณิชย์ จำกัด (มหาชน) สาขา ถนนท่ามะนาว (ลำนารายณ์)</t>
  </si>
  <si>
    <t>0140664</t>
  </si>
  <si>
    <t>ธ. ไทยพาณิชย์ จำกัด (มหาชน) สาขา สี่แยกสันกำแพง (หนองป่าครั่ง)</t>
  </si>
  <si>
    <t>0140665</t>
  </si>
  <si>
    <t>ธ. ไทยพาณิชย์ จำกัด (มหาชน) สาขา ปักธงชัย</t>
  </si>
  <si>
    <t>0140666</t>
  </si>
  <si>
    <t>ธ. ไทยพาณิชย์ จำกัด (มหาชน) สาขา ถนนมิตรภาพ (นครราชสีมา)</t>
  </si>
  <si>
    <t>0140667</t>
  </si>
  <si>
    <t>ธ. ไทยพาณิชย์ จำกัด (มหาชน) สาขา มหาวิทยาลัยเชียงใหม่</t>
  </si>
  <si>
    <t>0140668</t>
  </si>
  <si>
    <t>ธ. ไทยพาณิชย์ จำกัด (มหาชน) สาขา ปากพนัง</t>
  </si>
  <si>
    <t>0140669</t>
  </si>
  <si>
    <t>ธ. ไทยพาณิชย์ จำกัด (มหาชน) สาขา พัทยาสาย 2</t>
  </si>
  <si>
    <t>0140670</t>
  </si>
  <si>
    <t>ธ. ไทยพาณิชย์ จำกัด (มหาชน) สาขา บ้านสร้าง</t>
  </si>
  <si>
    <t>0140671</t>
  </si>
  <si>
    <t>ธ. ไทยพาณิชย์ จำกัด (มหาชน) สาขา ย่อยหาดป่าตอง</t>
  </si>
  <si>
    <t>0140672</t>
  </si>
  <si>
    <t>ธ. ไทยพาณิชย์ จำกัด (มหาชน) สาขา ตลาดบ่อบัว (ฉะเชิงเทรา)</t>
  </si>
  <si>
    <t>0140673</t>
  </si>
  <si>
    <t>ธ. ไทยพาณิชย์ จำกัด (มหาชน) สาขา ประตูท่าแพ</t>
  </si>
  <si>
    <t>0140674</t>
  </si>
  <si>
    <t>ธ. ไทยพาณิชย์ จำกัด (มหาชน) สาขา ด่านมะขามเตี้ย</t>
  </si>
  <si>
    <t>0140675</t>
  </si>
  <si>
    <t>ธ. ไทยพาณิชย์ จำกัด (มหาชน) สาขา ท่าหลวง (ลพบุรี)</t>
  </si>
  <si>
    <t>0140676</t>
  </si>
  <si>
    <t>ธ. ไทยพาณิชย์ จำกัด (มหาชน) สาขา หนองแค</t>
  </si>
  <si>
    <t>0140677</t>
  </si>
  <si>
    <t>ธ. ไทยพาณิชย์ จำกัด (มหาชน) สาขา บ้านดู่ (เชียงราย)</t>
  </si>
  <si>
    <t>0140678</t>
  </si>
  <si>
    <t>ธ. ไทยพาณิชย์ จำกัด (มหาชน) สาขา สองพี่น้อง</t>
  </si>
  <si>
    <t>0140679</t>
  </si>
  <si>
    <t>ธ. ไทยพาณิชย์ จำกัด (มหาชน) สาขา สังขละบุรี</t>
  </si>
  <si>
    <t>0140680</t>
  </si>
  <si>
    <t>ธ. ไทยพาณิชย์ จำกัด (มหาชน) สาขา ปากบาง (พรหมบุรี)</t>
  </si>
  <si>
    <t>0140681</t>
  </si>
  <si>
    <t>ธ. ไทยพาณิชย์ จำกัด (มหาชน) สาขา สี่แยกสนามบินเชียงใหม่</t>
  </si>
  <si>
    <t>0140682</t>
  </si>
  <si>
    <t>ธ. ไทยพาณิชย์ จำกัด (มหาชน) สาขา ฝาง</t>
  </si>
  <si>
    <t>0140683</t>
  </si>
  <si>
    <t>ธ. ไทยพาณิชย์ จำกัด (มหาชน) สาขา ด่านช้าง (สุพรรณบุรี)</t>
  </si>
  <si>
    <t>0140684</t>
  </si>
  <si>
    <t>ธ. ไทยพาณิชย์ จำกัด (มหาชน) สาขา ย่อยตลาดบางปะอิน</t>
  </si>
  <si>
    <t>0140685</t>
  </si>
  <si>
    <t>ธ. ไทยพาณิชย์ จำกัด (มหาชน) สาขา หนองหิน (ภูกระดึง)</t>
  </si>
  <si>
    <t>0140686</t>
  </si>
  <si>
    <t>ธ. ไทยพาณิชย์ จำกัด (มหาชน) สาขา บางปะกง</t>
  </si>
  <si>
    <t>0140687</t>
  </si>
  <si>
    <t>ธ. ไทยพาณิชย์ จำกัด (มหาชน) สาขา แก่งคอย</t>
  </si>
  <si>
    <t>0140688</t>
  </si>
  <si>
    <t>ธ. ไทยพาณิชย์ จำกัด (มหาชน) สาขา นิคมอุตสาหกรรมสหพัฒนพิบูล(ชลบุรี)</t>
  </si>
  <si>
    <t>0140689</t>
  </si>
  <si>
    <t>ธ. ไทยพาณิชย์ จำกัด (มหาชน) สาขา มหาชนะชัย</t>
  </si>
  <si>
    <t>0140690</t>
  </si>
  <si>
    <t>ธ. ไทยพาณิชย์ จำกัด (มหาชน) สาขา ถนนรัถการ (หาดใหญ่)</t>
  </si>
  <si>
    <t>0140691</t>
  </si>
  <si>
    <t>ธ. ไทยพาณิชย์ จำกัด (มหาชน) สาขา สามแยกสำโรง (สงขลา)</t>
  </si>
  <si>
    <t>0140692</t>
  </si>
  <si>
    <t>ธ. ไทยพาณิชย์ จำกัด (มหาชน) สาขา กบินทร์บุรี</t>
  </si>
  <si>
    <t>0140693</t>
  </si>
  <si>
    <t>ธ. ไทยพาณิชย์ จำกัด (มหาชน) สาขา โพธาราม</t>
  </si>
  <si>
    <t>0140694</t>
  </si>
  <si>
    <t>ธ. ไทยพาณิชย์ จำกัด (มหาชน) สาขา วงเวียนสระแก้ว (ลพบุรี)</t>
  </si>
  <si>
    <t>0140695</t>
  </si>
  <si>
    <t>ธ. ไทยพาณิชย์ จำกัด (มหาชน) สาขา ย่อยถนนพันเรือง(สิงห์บุรี)</t>
  </si>
  <si>
    <t>0140696</t>
  </si>
  <si>
    <t>ธ. ไทยพาณิชย์ จำกัด (มหาชน) สาขา พนมสารคาม</t>
  </si>
  <si>
    <t>0140697</t>
  </si>
  <si>
    <t>ธ. ไทยพาณิชย์ จำกัด (มหาชน) สาขา สบปราบ</t>
  </si>
  <si>
    <t>0140698</t>
  </si>
  <si>
    <t>ธ. ไทยพาณิชย์ จำกัด (มหาชน) สาขา ท่ามะเขือ (คลองขลุง)</t>
  </si>
  <si>
    <t>0140699</t>
  </si>
  <si>
    <t>ธ. ไทยพาณิชย์ จำกัด (มหาชน) สาขา ประจวบคีรีขันธ์</t>
  </si>
  <si>
    <t>0140700</t>
  </si>
  <si>
    <t>ธ. ไทยพาณิชย์ จำกัด (มหาชน) สาขา บางคล้า</t>
  </si>
  <si>
    <t>0140701</t>
  </si>
  <si>
    <t>ธ. ไทยพาณิชย์ จำกัด (มหาชน) สาขา พัฒนานิคม (ลพบุรี)</t>
  </si>
  <si>
    <t>0140702</t>
  </si>
  <si>
    <t>ธ. ไทยพาณิชย์ จำกัด (มหาชน) สาขา นาก่วม (ลำปาง)</t>
  </si>
  <si>
    <t>0140703</t>
  </si>
  <si>
    <t>ธ. ไทยพาณิชย์ จำกัด (มหาชน) สาขา ซอยสาครพิทักษ์ (ชลบุรี)</t>
  </si>
  <si>
    <t>0140704</t>
  </si>
  <si>
    <t>ธ. ไทยพาณิชย์ จำกัด (มหาชน) สาขา สงขลานครินทร์ (ปัตตานี)</t>
  </si>
  <si>
    <t>0140705</t>
  </si>
  <si>
    <t>ธ. ไทยพาณิชย์ จำกัด (มหาชน) สาขา บ้านค่าย (ชัยภูมิ)</t>
  </si>
  <si>
    <t>0140706</t>
  </si>
  <si>
    <t>ธ. ไทยพาณิชย์ จำกัด (มหาชน) สาขา เชิงทะเล (ภูเก็ต)</t>
  </si>
  <si>
    <t>0140707</t>
  </si>
  <si>
    <t>ธ. ไทยพาณิชย์ จำกัด (มหาชน) สาขา มหาวิทยาลัยเทคโนโลยีสุรนารี</t>
  </si>
  <si>
    <t>0140708</t>
  </si>
  <si>
    <t>ธ. ไทยพาณิชย์ จำกัด (มหาชน) สาขา ท่ายาง (เพชรบุรี)</t>
  </si>
  <si>
    <t>0140709</t>
  </si>
  <si>
    <t>ธ. ไทยพาณิชย์ จำกัด (มหาชน) สาขา ชะอำ</t>
  </si>
  <si>
    <t>0140710</t>
  </si>
  <si>
    <t>ธ. ไทยพาณิชย์ จำกัด (มหาชน) สาขา จอหอ</t>
  </si>
  <si>
    <t>0140711</t>
  </si>
  <si>
    <t>ธ. ไทยพาณิชย์ จำกัด (มหาชน) สาขา ตลาดหัวอิฐ (นครศรีธรรมราช)</t>
  </si>
  <si>
    <t>0140712</t>
  </si>
  <si>
    <t>ธ. ไทยพาณิชย์ จำกัด (มหาชน) สาขา อู่ทอง</t>
  </si>
  <si>
    <t>0140713</t>
  </si>
  <si>
    <t>ธ. ไทยพาณิชย์ จำกัด (มหาชน) สาขา ท่าทราย (สมุทรสาคร)</t>
  </si>
  <si>
    <t>0140714</t>
  </si>
  <si>
    <t>ธ. ไทยพาณิชย์ จำกัด (มหาชน) สาขา ถนนโชตนา (เชียงใหม่)</t>
  </si>
  <si>
    <t>0140715</t>
  </si>
  <si>
    <t>ธ. ไทยพาณิชย์ จำกัด (มหาชน) สาขา สามเหลี่ยมทองคำ</t>
  </si>
  <si>
    <t>0140716</t>
  </si>
  <si>
    <t>ธ. ไทยพาณิชย์ จำกัด (มหาชน) สาขา ทุ่งโฮ้ง (แพร่)</t>
  </si>
  <si>
    <t>0140717</t>
  </si>
  <si>
    <t>ธ. ไทยพาณิชย์ จำกัด (มหาชน) สาขา ย่อยทับเที่ยง(ตรัง)</t>
  </si>
  <si>
    <t>0140718</t>
  </si>
  <si>
    <t>ธ. ไทยพาณิชย์ จำกัด (มหาชน) สาขา ถนนตรีรัตน์ (จันทบุรี)</t>
  </si>
  <si>
    <t>0140719</t>
  </si>
  <si>
    <t>ธ. ไทยพาณิชย์ จำกัด (มหาชน) สาขา อรัญประเทศ</t>
  </si>
  <si>
    <t>0140720</t>
  </si>
  <si>
    <t>ธ. ไทยพาณิชย์ จำกัด (มหาชน) สาขา พรหมคีรี (นครศรีธรรมราช)</t>
  </si>
  <si>
    <t>0140721</t>
  </si>
  <si>
    <t>ธ. ไทยพาณิชย์ จำกัด (มหาชน) สาขา ถนนทหาร (อุดรธานี)</t>
  </si>
  <si>
    <t>0140722</t>
  </si>
  <si>
    <t>ธ. ไทยพาณิชย์ จำกัด (มหาชน) สาขา บางสะพาน</t>
  </si>
  <si>
    <t>0140723</t>
  </si>
  <si>
    <t>ธ. ไทยพาณิชย์ จำกัด (มหาชน) สาขา ย่อยริมเมย(แม่สอด)</t>
  </si>
  <si>
    <t>0140724</t>
  </si>
  <si>
    <t>ธ. ไทยพาณิชย์ จำกัด (มหาชน) สาขา บ้านอำเภอ (สัตหีบ)</t>
  </si>
  <si>
    <t>0140725</t>
  </si>
  <si>
    <t>ธ. ไทยพาณิชย์ จำกัด (มหาชน) สาขา หนองบุญมาก (นครราชสีมา)</t>
  </si>
  <si>
    <t>0140726</t>
  </si>
  <si>
    <t>ธ. ไทยพาณิชย์ จำกัด (มหาชน) สาขา ถนนพิชัยรณรงค์สงคราม (สระบุรี)</t>
  </si>
  <si>
    <t>0140727</t>
  </si>
  <si>
    <t>ธ. ไทยพาณิชย์ จำกัด (มหาชน) สาขา บ้านพรุ (หาดใหญ่)</t>
  </si>
  <si>
    <t>0140728</t>
  </si>
  <si>
    <t>ธ. ไทยพาณิชย์ จำกัด (มหาชน) สาขา หินกอง (สระบุรี)</t>
  </si>
  <si>
    <t>0140729</t>
  </si>
  <si>
    <t>ธ. ไทยพาณิชย์ จำกัด (มหาชน) สาขา สี่แยกมะลิวัลย์ (ขอนแก่น)</t>
  </si>
  <si>
    <t>0140730</t>
  </si>
  <si>
    <t>ธ. ไทยพาณิชย์ จำกัด (มหาชน) สาขา ห้าแยกโคกมะตูม (พิษณุโลก)</t>
  </si>
  <si>
    <t>0140731</t>
  </si>
  <si>
    <t>ธ. ไทยพาณิชย์ จำกัด (มหาชน) สาขา โรงพยาบาลแมคคอร์มิค (เชียงใหม่)</t>
  </si>
  <si>
    <t>0140732</t>
  </si>
  <si>
    <t>ธ. ไทยพาณิชย์ จำกัด (มหาชน) สาขา น่าน</t>
  </si>
  <si>
    <t>0140733</t>
  </si>
  <si>
    <t>ธ. ไทยพาณิชย์ จำกัด (มหาชน) สาขา ตาคลี</t>
  </si>
  <si>
    <t>0140734</t>
  </si>
  <si>
    <t>ธ. ไทยพาณิชย์ จำกัด (มหาชน) สาขา สันป่าตอง (เชียงใหม่)</t>
  </si>
  <si>
    <t>0140735</t>
  </si>
  <si>
    <t>ธ. ไทยพาณิชย์ จำกัด (มหาชน) สาขา กมลาไสย (กาฬสินธุ์)</t>
  </si>
  <si>
    <t>0140736</t>
  </si>
  <si>
    <t>ธ. ไทยพาณิชย์ จำกัด (มหาชน) สาขา แม่วาง(เชียงใหม่)</t>
  </si>
  <si>
    <t>0140737</t>
  </si>
  <si>
    <t>ธ. ไทยพาณิชย์ จำกัด (มหาชน) สาขา ห้าแยกฉลอง (ภูเก็ต)</t>
  </si>
  <si>
    <t>0140738</t>
  </si>
  <si>
    <t>ธ. ไทยพาณิชย์ จำกัด (มหาชน) สาขา สระแก้ว</t>
  </si>
  <si>
    <t>0140739</t>
  </si>
  <si>
    <t>ธ. ไทยพาณิชย์ จำกัด (มหาชน) สาขา วังน้อย</t>
  </si>
  <si>
    <t>0140740</t>
  </si>
  <si>
    <t>ธ. ไทยพาณิชย์ จำกัด (มหาชน) สาขา กันทรลักษ์ (ศรีสะเกษ)</t>
  </si>
  <si>
    <t>0140741</t>
  </si>
  <si>
    <t>ธ. ไทยพาณิชย์ จำกัด (มหาชน) สาขา คลองรั้ง (ศรีมหาโพธิ)</t>
  </si>
  <si>
    <t>0140742</t>
  </si>
  <si>
    <t>ธ. ไทยพาณิชย์ จำกัด (มหาชน) สาขา ย่อยเขาฉกรรจ์(สระแก้ว)</t>
  </si>
  <si>
    <t>0140743</t>
  </si>
  <si>
    <t>ธ. ไทยพาณิชย์ จำกัด (มหาชน) สาขา น้ำพอง</t>
  </si>
  <si>
    <t>0140744</t>
  </si>
  <si>
    <t>ธ. ไทยพาณิชย์ จำกัด (มหาชน) สาขา ตาก</t>
  </si>
  <si>
    <t>0140745</t>
  </si>
  <si>
    <t>ธ. ไทยพาณิชย์ จำกัด (มหาชน) สาขา ถนนเจริญราษฎร์ (ลำพูน)</t>
  </si>
  <si>
    <t>0140746</t>
  </si>
  <si>
    <t>ธ. ไทยพาณิชย์ จำกัด (มหาชน) สาขา เชียงของ</t>
  </si>
  <si>
    <t>0140747</t>
  </si>
  <si>
    <t>ธ. ไทยพาณิชย์ จำกัด (มหาชน) สาขา สี่แยกแม่กรณ์ (เชียงราย)</t>
  </si>
  <si>
    <t>0140748</t>
  </si>
  <si>
    <t>ธ. ไทยพาณิชย์ จำกัด (มหาชน) สาขา สหัสขันธ์ (กาฬสินธุ์)</t>
  </si>
  <si>
    <t>0140749</t>
  </si>
  <si>
    <t>ธ. ไทยพาณิชย์ จำกัด (มหาชน) สาขา บ้านไผ่</t>
  </si>
  <si>
    <t>0140750</t>
  </si>
  <si>
    <t>ธ. ไทยพาณิชย์ จำกัด (มหาชน) สาขา สี่แยกหัวถนน (นครศรีธรรมราช)</t>
  </si>
  <si>
    <t>0140751</t>
  </si>
  <si>
    <t>ธ. ไทยพาณิชย์ จำกัด (มหาชน) สาขา ถนนกาญจนวิถี (สุราษฎร์ธานี)</t>
  </si>
  <si>
    <t>0140752</t>
  </si>
  <si>
    <t>ธ. ไทยพาณิชย์ จำกัด (มหาชน) สาขา ธาตุพนม</t>
  </si>
  <si>
    <t>0140753</t>
  </si>
  <si>
    <t>ธ. ไทยพาณิชย์ จำกัด (มหาชน) สาขา ท่าเรือพระแท่น</t>
  </si>
  <si>
    <t>0140754</t>
  </si>
  <si>
    <t>ธ. ไทยพาณิชย์ จำกัด (มหาชน) สาขา กุดบาก (สกลนคร)</t>
  </si>
  <si>
    <t>0140755</t>
  </si>
  <si>
    <t>ธ. ไทยพาณิชย์ จำกัด (มหาชน) สาขา คอนสาร(ชัยภูมิ)</t>
  </si>
  <si>
    <t>0140756</t>
  </si>
  <si>
    <t>ธ. ไทยพาณิชย์ จำกัด (มหาชน) สาขา ทรายมูล(ยโสธร)</t>
  </si>
  <si>
    <t>0140757</t>
  </si>
  <si>
    <t>ธ. ไทยพาณิชย์ จำกัด (มหาชน) สาขา บึงบูรพ์ (ศรีสะเกษ)</t>
  </si>
  <si>
    <t>0140758</t>
  </si>
  <si>
    <t>ธ. ไทยพาณิชย์ จำกัด (มหาชน) สาขา ภูเรือ (เลย)</t>
  </si>
  <si>
    <t>0140759</t>
  </si>
  <si>
    <t>ธ. ไทยพาณิชย์ จำกัด (มหาชน) สาขา แสนตุ้ง (ตราด)</t>
  </si>
  <si>
    <t>0140760</t>
  </si>
  <si>
    <t>ธ. ไทยพาณิชย์ จำกัด (มหาชน) สาขา เขาวัง (เพชรบุรี)</t>
  </si>
  <si>
    <t>0140761</t>
  </si>
  <si>
    <t>ธ. ไทยพาณิชย์ จำกัด (มหาชน) สาขา นาหว้า (นครพนม)</t>
  </si>
  <si>
    <t>0140762</t>
  </si>
  <si>
    <t>ธ. ไทยพาณิชย์ จำกัด (มหาชน) สาขา ถนนราษฎร์ยินดี (หาดใหญ่)</t>
  </si>
  <si>
    <t>0140763</t>
  </si>
  <si>
    <t>ธ. ไทยพาณิชย์ จำกัด (มหาชน) สาขา นาเชือก (มหาสารคาม)</t>
  </si>
  <si>
    <t>0140764</t>
  </si>
  <si>
    <t>ธ. ไทยพาณิชย์ จำกัด (มหาชน) สาขา ถนนทรงพล (นครปฐม)</t>
  </si>
  <si>
    <t>0140765</t>
  </si>
  <si>
    <t>ธ. ไทยพาณิชย์ จำกัด (มหาชน) สาขา วิหารแดง</t>
  </si>
  <si>
    <t>0140766</t>
  </si>
  <si>
    <t>ธ. ไทยพาณิชย์ จำกัด (มหาชน) สาขา หัวหิน</t>
  </si>
  <si>
    <t>0140767</t>
  </si>
  <si>
    <t>ธ. ไทยพาณิชย์ จำกัด (มหาชน) สาขา บรรพตพิสัย</t>
  </si>
  <si>
    <t>0140768</t>
  </si>
  <si>
    <t>ธ. ไทยพาณิชย์ จำกัด (มหาชน) สาขา ย่อยถนนห้วยแก้ว(เชียงใหม่)</t>
  </si>
  <si>
    <t>0140769</t>
  </si>
  <si>
    <t>ธ. ไทยพาณิชย์ จำกัด (มหาชน) สาขา กำแพงแสน (มหาวิทยาลัยเกษตรศาสตร์)</t>
  </si>
  <si>
    <t>0140770</t>
  </si>
  <si>
    <t>ธ. ไทยพาณิชย์ จำกัด (มหาชน) สาขา เสนา (อยุธยา)</t>
  </si>
  <si>
    <t>0140771</t>
  </si>
  <si>
    <t>ธ. ไทยพาณิชย์ จำกัด (มหาชน) สาขา พลิ้ว (จันทบุรี)</t>
  </si>
  <si>
    <t>0140772</t>
  </si>
  <si>
    <t>ธ. ไทยพาณิชย์ จำกัด (มหาชน) สาขา ย่อยโรจนะ</t>
  </si>
  <si>
    <t>0140773</t>
  </si>
  <si>
    <t>ธ. ไทยพาณิชย์ จำกัด (มหาชน) สาขา นางรอง</t>
  </si>
  <si>
    <t>0140774</t>
  </si>
  <si>
    <t>ธ. ไทยพาณิชย์ จำกัด (มหาชน) สาขา ถนนศรีสุริยวงศ์ (ราชบุรี)</t>
  </si>
  <si>
    <t>0140775</t>
  </si>
  <si>
    <t>ธ. ไทยพาณิชย์ จำกัด (มหาชน) สาขา สุวรรณภูมิ</t>
  </si>
  <si>
    <t>0140776</t>
  </si>
  <si>
    <t>ธ. ไทยพาณิชย์ จำกัด (มหาชน) สาขา บ้านฉาง</t>
  </si>
  <si>
    <t>0140778</t>
  </si>
  <si>
    <t>ธ. ไทยพาณิชย์ จำกัด (มหาชน) สาขา ถนนพระยาสัจจา (ชลบุรี)</t>
  </si>
  <si>
    <t>0140779</t>
  </si>
  <si>
    <t>ธ. ไทยพาณิชย์ จำกัด (มหาชน) สาขา นิคมอุตสาหกรรมราชบุรี</t>
  </si>
  <si>
    <t>0140780</t>
  </si>
  <si>
    <t>ธ. ไทยพาณิชย์ จำกัด (มหาชน) สาขา บางเลน (นครปฐม)</t>
  </si>
  <si>
    <t>0140781</t>
  </si>
  <si>
    <t>ธ. ไทยพาณิชย์ จำกัด (มหาชน) สาขา พะเยา</t>
  </si>
  <si>
    <t>0140782</t>
  </si>
  <si>
    <t>ธ. ไทยพาณิชย์ จำกัด (มหาชน) สาขา ถนนโรจนะ (อยุธยา)</t>
  </si>
  <si>
    <t>0140783</t>
  </si>
  <si>
    <t>ธ. ไทยพาณิชย์ จำกัด (มหาชน) สาขา คลองแงะ (สงขลา)</t>
  </si>
  <si>
    <t>0140784</t>
  </si>
  <si>
    <t>ธ. ไทยพาณิชย์ จำกัด (มหาชน) สาขา พานทอง</t>
  </si>
  <si>
    <t>0140785</t>
  </si>
  <si>
    <t>ธ. ไทยพาณิชย์ จำกัด (มหาชน) สาขา ท่าชนะ</t>
  </si>
  <si>
    <t>0140786</t>
  </si>
  <si>
    <t>ธ. ไทยพาณิชย์ จำกัด (มหาชน) สาขา สี่แยกเกาะกลอย</t>
  </si>
  <si>
    <t>0140787</t>
  </si>
  <si>
    <t>ธ. ไทยพาณิชย์ จำกัด (มหาชน) สาขา เวียงสระ</t>
  </si>
  <si>
    <t>0140788</t>
  </si>
  <si>
    <t>ธ. ไทยพาณิชย์ จำกัด (มหาชน) สาขา โคกกลอย (พังงา)</t>
  </si>
  <si>
    <t>0140789</t>
  </si>
  <si>
    <t>ธ. ไทยพาณิชย์ จำกัด (มหาชน) สาขา พระพุทธบาท (สระบุรี)</t>
  </si>
  <si>
    <t>0140790</t>
  </si>
  <si>
    <t>ธ. ไทยพาณิชย์ จำกัด (มหาชน) สาขา หัวทะเล (นครราชสีมา)</t>
  </si>
  <si>
    <t>0140791</t>
  </si>
  <si>
    <t>ธ. ไทยพาณิชย์ จำกัด (มหาชน) สาขา เฉวง</t>
  </si>
  <si>
    <t>0140792</t>
  </si>
  <si>
    <t>ธ. ไทยพาณิชย์ จำกัด (มหาชน) สาขา เมืองพล</t>
  </si>
  <si>
    <t>0140793</t>
  </si>
  <si>
    <t>ธ. ไทยพาณิชย์ จำกัด (มหาชน) สาขา ศูนย์คอมเพล็กซ์ มหาวิทยาลัยขอนแก่น</t>
  </si>
  <si>
    <t>0140794</t>
  </si>
  <si>
    <t>ธ. ไทยพาณิชย์ จำกัด (มหาชน) สาขา เกาะพีพี (กระบี่)</t>
  </si>
  <si>
    <t>0140795</t>
  </si>
  <si>
    <t>ธ. ไทยพาณิชย์ จำกัด (มหาชน) สาขา บิ๊กซี (ภูเก็ต)</t>
  </si>
  <si>
    <t>0140796</t>
  </si>
  <si>
    <t>ธ. ไทยพาณิชย์ จำกัด (มหาชน) สาขา นิคมอุตสาหกรรมอมตะนคร</t>
  </si>
  <si>
    <t>0140797</t>
  </si>
  <si>
    <t>ธ. ไทยพาณิชย์ จำกัด (มหาชน) สาขา เกาะลันตา (กระบี่)</t>
  </si>
  <si>
    <t>0140798</t>
  </si>
  <si>
    <t>ธ. ไทยพาณิชย์ จำกัด (มหาชน) สาขา หาดกะรน (ภูเก็ต)</t>
  </si>
  <si>
    <t>0140799</t>
  </si>
  <si>
    <t>ธ. ไทยพาณิชย์ จำกัด (มหาชน) สาขา นิคมอุตสาหกรรมภาคเหนือ (ลำพูน)</t>
  </si>
  <si>
    <t>0140800</t>
  </si>
  <si>
    <t>ธ. ไทยพาณิชย์ จำกัด (มหาชน) สาขา บิ๊กซี นครราชสีมา</t>
  </si>
  <si>
    <t>0140801</t>
  </si>
  <si>
    <t>ธ. ไทยพาณิชย์ จำกัด (มหาชน) สาขา อ่าวพระนาง (กระบี่)</t>
  </si>
  <si>
    <t>0140802</t>
  </si>
  <si>
    <t>ธ. ไทยพาณิชย์ จำกัด (มหาชน) สาขา มหาวิทยาลัยพายัพ (เชียงใหม่)</t>
  </si>
  <si>
    <t>0140803</t>
  </si>
  <si>
    <t>ธ. ไทยพาณิชย์ จำกัด (มหาชน) สาขา กะตะ (ภูเก็ต)</t>
  </si>
  <si>
    <t>0140804</t>
  </si>
  <si>
    <t>ธ. ไทยพาณิชย์ จำกัด (มหาชน) สาขา ถนนทวีวงศ์ (ป่าตอง)</t>
  </si>
  <si>
    <t>0140805</t>
  </si>
  <si>
    <t>ธ. ไทยพาณิชย์ จำกัด (มหาชน) สาขา สามกอง (ภูเก็ต)</t>
  </si>
  <si>
    <t>0140806</t>
  </si>
  <si>
    <t>ธ. ไทยพาณิชย์ จำกัด (มหาชน) สาขา เขาหลัก (พังงา)</t>
  </si>
  <si>
    <t>0140807</t>
  </si>
  <si>
    <t>ธ. ไทยพาณิชย์ จำกัด (มหาชน) สาขา สวนไอเพลส แหลมฉบัง</t>
  </si>
  <si>
    <t>0140808</t>
  </si>
  <si>
    <t>ธ. ไทยพาณิชย์ จำกัด (มหาชน) สาขา บิ๊กซี ขอนแก่น</t>
  </si>
  <si>
    <t>0140809</t>
  </si>
  <si>
    <t>ธ. ไทยพาณิชย์ จำกัด (มหาชน) สาขา หาดละไม (เกาะสมุย)</t>
  </si>
  <si>
    <t>0140810</t>
  </si>
  <si>
    <t>ธ. ไทยพาณิชย์ จำกัด (มหาชน) สาขา ตลาดบ่อผุด (เกาะสมุย)</t>
  </si>
  <si>
    <t>0140811</t>
  </si>
  <si>
    <t>ธ. ไทยพาณิชย์ จำกัด (มหาชน) สาขา บิ๊กซี สุราษฎร์ธานี</t>
  </si>
  <si>
    <t>0140812</t>
  </si>
  <si>
    <t>ธ. ไทยพาณิชย์ จำกัด (มหาชน) สาขา ย่อยนิคมอุตสาหกรรมไฮเทค</t>
  </si>
  <si>
    <t>0140813</t>
  </si>
  <si>
    <t>ธ. ไทยพาณิชย์ จำกัด (มหาชน) สาขา เดอะมอลล์ นครราชสีมา</t>
  </si>
  <si>
    <t>0140814</t>
  </si>
  <si>
    <t>ธ. ไทยพาณิชย์ จำกัด (มหาชน) สาขา โรบินสัน ศรีราชา</t>
  </si>
  <si>
    <t>0140815</t>
  </si>
  <si>
    <t>ธ. ไทยพาณิชย์ จำกัด (มหาชน) สาขา แพชชั่น ระยอง</t>
  </si>
  <si>
    <t>0140816</t>
  </si>
  <si>
    <t>ธ. ไทยพาณิชย์ จำกัด (มหาชน) สาขา เซ็นทรัลแอร์พอร์ต เชียงใหม่</t>
  </si>
  <si>
    <t>0140817</t>
  </si>
  <si>
    <t>ธ. ไทยพาณิชย์ จำกัด (มหาชน) สาขา เซ็นทรัล ภูเก็ต เฟสติวัล</t>
  </si>
  <si>
    <t>0140818</t>
  </si>
  <si>
    <t>ธ. ไทยพาณิชย์ จำกัด (มหาชน) สาขา ตึกคอม ศรีราชา</t>
  </si>
  <si>
    <t>0140819</t>
  </si>
  <si>
    <t>ธ. ไทยพาณิชย์ จำกัด (มหาชน) สาขา นิคมอุตสาหกรรมเวลโกรว์</t>
  </si>
  <si>
    <t>0140820</t>
  </si>
  <si>
    <t>ธ. ไทยพาณิชย์ จำกัด (มหาชน) สาขา อยุธยาพาร์ค</t>
  </si>
  <si>
    <t>0140821</t>
  </si>
  <si>
    <t>ธ. ไทยพาณิชย์ จำกัด (มหาชน) สาขา มหาวิทยาลัยราชภัฏเชียงใหม่</t>
  </si>
  <si>
    <t>0140822</t>
  </si>
  <si>
    <t>ธ. ไทยพาณิชย์ จำกัด (มหาชน) สาขา เกาะช้าง (ตราด)</t>
  </si>
  <si>
    <t>0140823</t>
  </si>
  <si>
    <t>ธ. ไทยพาณิชย์ จำกัด (มหาชน) สาขา ถนนพังงา (ภูเก็ต)</t>
  </si>
  <si>
    <t>0140824</t>
  </si>
  <si>
    <t>ธ. ไทยพาณิชย์ จำกัด (มหาชน) สาขา ถนนเทพกระษัตรี (ภูเก็ต)</t>
  </si>
  <si>
    <t>0140825</t>
  </si>
  <si>
    <t>ธ. ไทยพาณิชย์ จำกัด (มหาชน) สาขา ถลาง (ภูเก็ต)</t>
  </si>
  <si>
    <t>0140826</t>
  </si>
  <si>
    <t>ธ. ไทยพาณิชย์ จำกัด (มหาชน) สาขา กมลา (ภูเก็ต)</t>
  </si>
  <si>
    <t>0140827</t>
  </si>
  <si>
    <t>ธ. ไทยพาณิชย์ จำกัด (มหาชน) สาขา บ้านแม่น้ำ (เกาะสมุย)</t>
  </si>
  <si>
    <t>0140828</t>
  </si>
  <si>
    <t>ธ. ไทยพาณิชย์ จำกัด (มหาชน) สาขา หาดริ้น (เกาะพะงัน)</t>
  </si>
  <si>
    <t>0140829</t>
  </si>
  <si>
    <t>ธ. ไทยพาณิชย์ จำกัด (มหาชน) สาขา บิ๊กซี อุดรธานี</t>
  </si>
  <si>
    <t>0140830</t>
  </si>
  <si>
    <t>ธ. ไทยพาณิชย์ จำกัด (มหาชน) สาขา บิ๊กซี นครปฐม</t>
  </si>
  <si>
    <t>0140831</t>
  </si>
  <si>
    <t>ธ. ไทยพาณิชย์ จำกัด (มหาชน) สาขา นิคมอุตสาหกรรมโรจนะ</t>
  </si>
  <si>
    <t>0140832</t>
  </si>
  <si>
    <t>ธ. ไทยพาณิชย์ จำกัด (มหาชน) สาขา บ่อวิน (ชลบุรี)</t>
  </si>
  <si>
    <t>0140833</t>
  </si>
  <si>
    <t>ธ. ไทยพาณิชย์ จำกัด (มหาชน) สาขา ซอยบัวขาว (พัทยา)</t>
  </si>
  <si>
    <t>0140834</t>
  </si>
  <si>
    <t>ธ. ไทยพาณิชย์ จำกัด (มหาชน) สาขา ถนนเทพประสิทธิ์ (พัทยากลาง)</t>
  </si>
  <si>
    <t>0140835</t>
  </si>
  <si>
    <t>ธ. ไทยพาณิชย์ จำกัด (มหาชน) สาขา ตึกคอม พัทยา</t>
  </si>
  <si>
    <t>0140836</t>
  </si>
  <si>
    <t>ธ. ไทยพาณิชย์ จำกัด (มหาชน) สาขา เฉวง 2 (เกาะสมุย)</t>
  </si>
  <si>
    <t>0140837</t>
  </si>
  <si>
    <t>ธ. ไทยพาณิชย์ จำกัด (มหาชน) สาขา ถนนทวีราษฎร์ภักดี (เฉวง)</t>
  </si>
  <si>
    <t>0140838</t>
  </si>
  <si>
    <t>ธ. ไทยพาณิชย์ จำกัด (มหาชน) สาขา นิคมอุตสาหกรรมสมุทรสาคร</t>
  </si>
  <si>
    <t>0140839</t>
  </si>
  <si>
    <t>ธ. ไทยพาณิชย์ จำกัด (มหาชน) สาขา ถนนนิมมานเหมินท์ (เชียงใหม่)</t>
  </si>
  <si>
    <t>0140840</t>
  </si>
  <si>
    <t>ธ. ไทยพาณิชย์ จำกัด (มหาชน) สาขา ถนนช้างคลาน (เชียงใหม่)</t>
  </si>
  <si>
    <t>0140841</t>
  </si>
  <si>
    <t>ธ. ไทยพาณิชย์ จำกัด (มหาชน) สาขา สันกำแพง (เชียงใหม่)</t>
  </si>
  <si>
    <t>0140842</t>
  </si>
  <si>
    <t>ธ. ไทยพาณิชย์ จำกัด (มหาชน) สาขา บิ๊กซี เชียงใหม่</t>
  </si>
  <si>
    <t>0140843</t>
  </si>
  <si>
    <t>ธ. ไทยพาณิชย์ จำกัด (มหาชน) สาขา มีโชค (เชียงใหม่)</t>
  </si>
  <si>
    <t>0140844</t>
  </si>
  <si>
    <t>ธ. ไทยพาณิชย์ จำกัด (มหาชน) สาขา บ่อสร้าง (เชียงใหม่)</t>
  </si>
  <si>
    <t>0140845</t>
  </si>
  <si>
    <t>ธ. ไทยพาณิชย์ จำกัด (มหาชน) สาขา แม่ฮ่องสอน</t>
  </si>
  <si>
    <t>0140846</t>
  </si>
  <si>
    <t>ธ. ไทยพาณิชย์ จำกัด (มหาชน) สาขา โรบินสัน ราชบุรี</t>
  </si>
  <si>
    <t>0140847</t>
  </si>
  <si>
    <t>ธ. ไทยพาณิชย์ จำกัด (มหาชน) สาขา ย่อยเจเจฮ๊อบบี้มาร์เก็ต(เชียงใหม่)</t>
  </si>
  <si>
    <t>0140848</t>
  </si>
  <si>
    <t>ธ. ไทยพาณิชย์ จำกัด (มหาชน) สาขา บิ๊กซี ลพบุรี</t>
  </si>
  <si>
    <t>0140849</t>
  </si>
  <si>
    <t>ธ. ไทยพาณิชย์ จำกัด (มหาชน) สาขา นิคมอุตสาหกรรม 304 (ปราจีนบุรี)</t>
  </si>
  <si>
    <t>0140850</t>
  </si>
  <si>
    <t>ธ. ไทยพาณิชย์ จำกัด (มหาชน) สาขา บิ๊กซี หาดใหญ่</t>
  </si>
  <si>
    <t>0140851</t>
  </si>
  <si>
    <t>ธ. ไทยพาณิชย์ จำกัด (มหาชน) สาขา ย่อยบ้านถวาย (เชียงใหม่)</t>
  </si>
  <si>
    <t>0140852</t>
  </si>
  <si>
    <t>ธ. ไทยพาณิชย์ จำกัด (มหาชน) สาขา สี่แยกหนองหอย (เชียงใหม่)</t>
  </si>
  <si>
    <t>0140853</t>
  </si>
  <si>
    <t>ธ. ไทยพาณิชย์ จำกัด (มหาชน) สาขา แม่ริม (เชียงใหม่)</t>
  </si>
  <si>
    <t>0140854</t>
  </si>
  <si>
    <t>ธ. ไทยพาณิชย์ จำกัด (มหาชน) สาขา โรบินสัน จันทบุรี</t>
  </si>
  <si>
    <t>0140855</t>
  </si>
  <si>
    <t>ธ. ไทยพาณิชย์ จำกัด (มหาชน) สาขา ถนนเลียบชายหาดจอมเทียน (โค้งดงตาล)</t>
  </si>
  <si>
    <t>0140856</t>
  </si>
  <si>
    <t>ธ. ไทยพาณิชย์ จำกัด (มหาชน) สาขา วงศ์อำมาตย์ (นาเกลือ ซอย 18)</t>
  </si>
  <si>
    <t>0140857</t>
  </si>
  <si>
    <t>ธ. ไทยพาณิชย์ จำกัด (มหาชน) สาขา มหาวิทยาลัยสงขลานครินทร์ (ภูเก็ต)</t>
  </si>
  <si>
    <t>0140858</t>
  </si>
  <si>
    <t>ธ. ไทยพาณิชย์ จำกัด (มหาชน) สาขา พังงา</t>
  </si>
  <si>
    <t>0140859</t>
  </si>
  <si>
    <t>ธ. ไทยพาณิชย์ จำกัด (มหาชน) สาขา เซ็นทรัลพลาซา (อุดรธานี)</t>
  </si>
  <si>
    <t>0140860</t>
  </si>
  <si>
    <t>ธ. ไทยพาณิชย์ จำกัด (มหาชน) สาขา ตลาดโรงเกลือ (อรัญประเทศ)</t>
  </si>
  <si>
    <t>0140861</t>
  </si>
  <si>
    <t>ธ. ไทยพาณิชย์ จำกัด (มหาชน) สาขา ย่อยถนนเฉลิมพระเกียรติ (พัทยา)</t>
  </si>
  <si>
    <t>0140862</t>
  </si>
  <si>
    <t>ธ. ไทยพาณิชย์ จำกัด (มหาชน) สาขา ซอยเนินพลับหวาน (พัทยา)</t>
  </si>
  <si>
    <t>0140863</t>
  </si>
  <si>
    <t>ธ. ไทยพาณิชย์ จำกัด (มหาชน) สาขา บิ๊กซี พัทยาใต้</t>
  </si>
  <si>
    <t>0140864</t>
  </si>
  <si>
    <t>ธ. ไทยพาณิชย์ จำกัด (มหาชน) สาขา ละงู (สตูล)</t>
  </si>
  <si>
    <t>0140865</t>
  </si>
  <si>
    <t>ธ. ไทยพาณิชย์ จำกัด (มหาชน) สาขา โรบินสัน หาดใหญ่</t>
  </si>
  <si>
    <t>0140866</t>
  </si>
  <si>
    <t>ธ. ไทยพาณิชย์ จำกัด (มหาชน) สาขา โรบินสัน นครศรีธรรมราช</t>
  </si>
  <si>
    <t>0140867</t>
  </si>
  <si>
    <t>ธ. ไทยพาณิชย์ จำกัด (มหาชน) สาขา ถนนนาใน (ป่าตอง)</t>
  </si>
  <si>
    <t>0140868</t>
  </si>
  <si>
    <t>ธ. ไทยพาณิชย์ จำกัด (มหาชน) สาขา กาดสวนแก้ว (เชียงใหม่)</t>
  </si>
  <si>
    <t>0140869</t>
  </si>
  <si>
    <t>ธ. ไทยพาณิชย์ จำกัด (มหาชน) สาขา มหาวิทยาลัยอุบลราชธานี</t>
  </si>
  <si>
    <t>0140870</t>
  </si>
  <si>
    <t>ธ. ไทยพาณิชย์ จำกัด (มหาชน) สาขา นิคมอุตสาหกรรมอมตะซิตี้ (ระยอง)</t>
  </si>
  <si>
    <t>0140871</t>
  </si>
  <si>
    <t>ธ. ไทยพาณิชย์ จำกัด (มหาชน) สาขา ตลาดหนองมน (ชลบุรี)</t>
  </si>
  <si>
    <t>0140872</t>
  </si>
  <si>
    <t>ธ. ไทยพาณิชย์ จำกัด (มหาชน) สาขา เทสโก้ โลตัส นครศรีธรรมราช</t>
  </si>
  <si>
    <t>0140873</t>
  </si>
  <si>
    <t>ธ. ไทยพาณิชย์ จำกัด (มหาชน) สาขา ถนนบรมไตรโลกนารถ (พิษณุโลก)</t>
  </si>
  <si>
    <t>0140874</t>
  </si>
  <si>
    <t>ธ. ไทยพาณิชย์ จำกัด (มหาชน) สาขา ตลาดสันทราย (เชียงใหม่)</t>
  </si>
  <si>
    <t>0140875</t>
  </si>
  <si>
    <t>ธ. ไทยพาณิชย์ จำกัด (มหาชน) สาขา ถนนบุญวาทย์ (ลำปาง)</t>
  </si>
  <si>
    <t>0140876</t>
  </si>
  <si>
    <t>ธ. ไทยพาณิชย์ จำกัด (มหาชน) สาขา ประตูชัย (ลำปาง)</t>
  </si>
  <si>
    <t>0140877</t>
  </si>
  <si>
    <t>ธ. ไทยพาณิชย์ จำกัด (มหาชน) สาขา นิคมอุตสาหกรรม ไอ แอล (สระบุรี)</t>
  </si>
  <si>
    <t>0140878</t>
  </si>
  <si>
    <t>ธ. ไทยพาณิชย์ จำกัด (มหาชน) สาขา เกาะเต่า (สุราษฎร์ธานี)</t>
  </si>
  <si>
    <t>0140879</t>
  </si>
  <si>
    <t>ธ. ไทยพาณิชย์ จำกัด (มหาชน) สาขา ตลาดสมเพชร (เชียงใหม่)</t>
  </si>
  <si>
    <t>0140880</t>
  </si>
  <si>
    <t>ธ. ไทยพาณิชย์ จำกัด (มหาชน) สาขา บิ๊กซี ลำปาง</t>
  </si>
  <si>
    <t>0140881</t>
  </si>
  <si>
    <t>ธ. ไทยพาณิชย์ จำกัด (มหาชน) สาขา แฟรี่แลนด์ (นครสวรรค์)</t>
  </si>
  <si>
    <t>0140882</t>
  </si>
  <si>
    <t>ธ. ไทยพาณิชย์ จำกัด (มหาชน) สาขา ตลาดมหาชัย</t>
  </si>
  <si>
    <t>0140883</t>
  </si>
  <si>
    <t>ธ. ไทยพาณิชย์ จำกัด (มหาชน) สาขา ถนนเศรษฐกิจ 1 (สมุทรสาคร)</t>
  </si>
  <si>
    <t>0140884</t>
  </si>
  <si>
    <t>ธ. ไทยพาณิชย์ จำกัด (มหาชน) สาขา บิ๊กซี เพชรบุรี</t>
  </si>
  <si>
    <t>0140885</t>
  </si>
  <si>
    <t>ธ. ไทยพาณิชย์ จำกัด (มหาชน) สาขา เทสโก้ โลตัส ภูเก็ต</t>
  </si>
  <si>
    <t>0140886</t>
  </si>
  <si>
    <t>ธ. ไทยพาณิชย์ จำกัด (มหาชน) สาขา ภูเก็ต โบ๊ทลากูน</t>
  </si>
  <si>
    <t>0140887</t>
  </si>
  <si>
    <t>ธ. ไทยพาณิชย์ จำกัด (มหาชน) สาขา อัศวรรณ ช้อปปิ้ง คอมเพล็กซ์ หนองคาย</t>
  </si>
  <si>
    <t>0140891</t>
  </si>
  <si>
    <t>ธ. ไทยพาณิชย์ จำกัด (มหาชน) สาขา มหาวิทยาลัยพะเยา</t>
  </si>
  <si>
    <t>0140892</t>
  </si>
  <si>
    <t>ธ. ไทยพาณิชย์ จำกัด (มหาชน) สาขา เทสโก้ โลตัส เชียงใหม่-กาดคำเที่ยง</t>
  </si>
  <si>
    <t>0140893</t>
  </si>
  <si>
    <t>ธ. ไทยพาณิชย์ จำกัด (มหาชน) สาขา บ้านไทย-จังโหลน (สงขลา)</t>
  </si>
  <si>
    <t>0140894</t>
  </si>
  <si>
    <t>ธ. ไทยพาณิชย์ จำกัด (มหาชน) สาขา นิคมอุตสาหกรรมอีสเทิร์น ซีบอร์ด (ระ</t>
  </si>
  <si>
    <t>0140895</t>
  </si>
  <si>
    <t>ธ. ไทยพาณิชย์ จำกัด (มหาชน) สาขา สิริบรรณช้อปปิ้งเซ็นเตอร์ (ตรัง)</t>
  </si>
  <si>
    <t>0140896</t>
  </si>
  <si>
    <t>ธ. ไทยพาณิชย์ จำกัด (มหาชน) สาขา ช่องเม็ก (อุบลราชธานี)</t>
  </si>
  <si>
    <t>0140897</t>
  </si>
  <si>
    <t>ธ. ไทยพาณิชย์ จำกัด (มหาชน) สาขา ถนนเจ้าฟ้า 2 (ภูเก็ต)</t>
  </si>
  <si>
    <t>0140898</t>
  </si>
  <si>
    <t>ธ. ไทยพาณิชย์ จำกัด (มหาชน) สาขา บ้านนาสาร (สุราษฎร์ธานี)</t>
  </si>
  <si>
    <t>0140899</t>
  </si>
  <si>
    <t>ธ. ไทยพาณิชย์ จำกัด (มหาชน) สาขา เทสโก้ โลตัส สุรินทร์พลาซ่า</t>
  </si>
  <si>
    <t>0140900</t>
  </si>
  <si>
    <t>ธ. ไทยพาณิชย์ จำกัด (มหาชน) สาขา สำนักงานตัวแทนนิวยอร์ค</t>
  </si>
  <si>
    <t>0140901</t>
  </si>
  <si>
    <t>ธ. ไทยพาณิชย์ จำกัด (มหาชน) สาขา ฮ่องกง(RLB)</t>
  </si>
  <si>
    <t>0140902</t>
  </si>
  <si>
    <t>ธ. ไทยพาณิชย์ จำกัด (มหาชน) สาขา ลอนดอน</t>
  </si>
  <si>
    <t>0140903</t>
  </si>
  <si>
    <t>ธ. ไทยพาณิชย์ จำกัด (มหาชน) สาขา สำนักงานผู้แทนแองเจลิส</t>
  </si>
  <si>
    <t>0140904</t>
  </si>
  <si>
    <t>ธ. ไทยพาณิชย์ จำกัด (มหาชน) สาขา ชิคาโก</t>
  </si>
  <si>
    <t>0140905</t>
  </si>
  <si>
    <t>ธ. ไทยพาณิชย์ จำกัด (มหาชน) สาขา นครเวียงจันทน์</t>
  </si>
  <si>
    <t>0140906</t>
  </si>
  <si>
    <t>ธ. ไทยพาณิชย์ จำกัด (มหาชน) สาขา สิงคโปร์</t>
  </si>
  <si>
    <t>0140907</t>
  </si>
  <si>
    <t>ธ. ไทยพาณิชย์ จำกัด (มหาชน) สาขา มุมไบ</t>
  </si>
  <si>
    <t>0140909</t>
  </si>
  <si>
    <t>ธ. ไทยพาณิชย์ จำกัด (มหาชน) สาขา สำนักงานผู้แทนย่างกุ้ง</t>
  </si>
  <si>
    <t>0140910</t>
  </si>
  <si>
    <t>ธ. ไทยพาณิชย์ จำกัด (มหาชน) สาขา สำนักงานผู้แทน กรุงปักกิ่ง</t>
  </si>
  <si>
    <t>0140911</t>
  </si>
  <si>
    <t>ธ. ไทยพาณิชย์ จำกัด (มหาชน) สาขา หมู่เกาะเคย์แมน</t>
  </si>
  <si>
    <t>0140912</t>
  </si>
  <si>
    <t>ธ. ไทยพาณิชย์ จำกัด (มหาชน) สาขา นครโฮจิมินห์</t>
  </si>
  <si>
    <t>0140915</t>
  </si>
  <si>
    <t>ธ. ไทยพาณิชย์ จำกัด (มหาชน) สาขา ตลาดบ้านดู่ (อุบลราชธานี)</t>
  </si>
  <si>
    <t>0140916</t>
  </si>
  <si>
    <t>ธ. ไทยพาณิชย์ จำกัด (มหาชน) สาขา เดชอุดม (อุบลราชธานี)</t>
  </si>
  <si>
    <t>0140917</t>
  </si>
  <si>
    <t>ธ. ไทยพาณิชย์ จำกัด (มหาชน) สาขา สุนีย์ทาวเวอร์ (อุบลราชธานี)</t>
  </si>
  <si>
    <t>0140918</t>
  </si>
  <si>
    <t>ธ. ไทยพาณิชย์ จำกัด (มหาชน) สาขา ตลาดดอนหัวฬ่อ (อมตะนคร-ชลบุรี)</t>
  </si>
  <si>
    <t>0140919</t>
  </si>
  <si>
    <t>ธ. ไทยพาณิชย์ จำกัด (มหาชน) สาขา ตลาดฉัตรไชย (หัวหิน)</t>
  </si>
  <si>
    <t>0140920</t>
  </si>
  <si>
    <t>ธ. ไทยพาณิชย์ จำกัด (มหาชน) สาขา ปากน้ำ (ชุมพร)</t>
  </si>
  <si>
    <t>0140921</t>
  </si>
  <si>
    <t>ธ. ไทยพาณิชย์ จำกัด (มหาชน) สาขา บิ๊กซี เชียงราย</t>
  </si>
  <si>
    <t>0140922</t>
  </si>
  <si>
    <t>ธ. ไทยพาณิชย์ จำกัด (มหาชน) สาขา แม่จัน (เชียงราย)</t>
  </si>
  <si>
    <t>0140923</t>
  </si>
  <si>
    <t>ธ. ไทยพาณิชย์ จำกัด (มหาชน) สาขา เทสโก้ โลตัส ขอนแก่น</t>
  </si>
  <si>
    <t>0140924</t>
  </si>
  <si>
    <t>ธ. ไทยพาณิชย์ จำกัด (มหาชน) สาขา มาบอำมฤต (ชุมพร)</t>
  </si>
  <si>
    <t>0140925</t>
  </si>
  <si>
    <t>ธ. ไทยพาณิชย์ จำกัด (มหาชน) สาขา ถนนเดชานุชิต (แม่ฟ้าหลวง-หัวหิน)</t>
  </si>
  <si>
    <t>0140926</t>
  </si>
  <si>
    <t>ธ. ไทยพาณิชย์ จำกัด (มหาชน) สาขา ย่อยดอนโมง(ขอนแก่น)</t>
  </si>
  <si>
    <t>0140927</t>
  </si>
  <si>
    <t>ธ. ไทยพาณิชย์ จำกัด (มหาชน) สาขา หัวหิน มาร์เก็ต วิลเลจ</t>
  </si>
  <si>
    <t>0140928</t>
  </si>
  <si>
    <t>ธ. ไทยพาณิชย์ จำกัด (มหาชน) สาขา บิ๊กซี ลาดพร้าว 2</t>
  </si>
  <si>
    <t>0140929</t>
  </si>
  <si>
    <t>ธ. ไทยพาณิชย์ จำกัด (มหาชน) สาขา โพธิ์แจ้ (สมุทรสาคร)</t>
  </si>
  <si>
    <t>0140930</t>
  </si>
  <si>
    <t>ธ. ไทยพาณิชย์ จำกัด (มหาชน) สาขา สว่างแดนดิน (สกลนคร)</t>
  </si>
  <si>
    <t>0140931</t>
  </si>
  <si>
    <t>ธ. ไทยพาณิชย์ จำกัด (มหาชน) สาขา สี่แยกแสงเพชร (สุราษฎร์ธานี)</t>
  </si>
  <si>
    <t>0140932</t>
  </si>
  <si>
    <t>ธ. ไทยพาณิชย์ จำกัด (มหาชน) สาขา ทุ่งลุง (สงขลา)</t>
  </si>
  <si>
    <t>0140933</t>
  </si>
  <si>
    <t>ธ. ไทยพาณิชย์ จำกัด (มหาชน) สาขา ย่อยเฉวง 3 (เกาะสมุย)</t>
  </si>
  <si>
    <t>0140934</t>
  </si>
  <si>
    <t>ธ. ไทยพาณิชย์ จำกัด (มหาชน) สาขา เซ็นทรัลพลาซา มารีนา พัทยา</t>
  </si>
  <si>
    <t>0140935</t>
  </si>
  <si>
    <t>ธ. ไทยพาณิชย์ จำกัด (มหาชน) สาขา ตึกคอม ขอนแก่น</t>
  </si>
  <si>
    <t>0140936</t>
  </si>
  <si>
    <t>ธ. ไทยพาณิชย์ จำกัด (มหาชน) สาขา บิ๊กซี แพร่</t>
  </si>
  <si>
    <t>0140937</t>
  </si>
  <si>
    <t>ธ. ไทยพาณิชย์ จำกัด (มหาชน) สาขา เทสโก้ โลตัส ท็อปแลนด์ พิษณุโลก</t>
  </si>
  <si>
    <t>0140938</t>
  </si>
  <si>
    <t>ธ. ไทยพาณิชย์ จำกัด (มหาชน) สาขา บิ๊กซี อุบลราชธานี</t>
  </si>
  <si>
    <t>0140939</t>
  </si>
  <si>
    <t>ธ. ไทยพาณิชย์ จำกัด (มหาชน) สาขา เทสโก้ โลตัส พิษณุโลก</t>
  </si>
  <si>
    <t>0140940</t>
  </si>
  <si>
    <t>ธ. ไทยพาณิชย์ จำกัด (มหาชน) สาขา บิ๊กซี ราชบุรี</t>
  </si>
  <si>
    <t>0140941</t>
  </si>
  <si>
    <t>ธ. ไทยพาณิชย์ จำกัด (มหาชน) สาขา เทสโก้ โลตัส หางดง (เชียงใหม่)</t>
  </si>
  <si>
    <t>0140942</t>
  </si>
  <si>
    <t>ธ. ไทยพาณิชย์ จำกัด (มหาชน) สาขา เทสโก้ โลตัส แก่งคอย (สระบุรี)</t>
  </si>
  <si>
    <t>0140943</t>
  </si>
  <si>
    <t>ธ. ไทยพาณิชย์ จำกัด (มหาชน) สาขา บิ๊กซี ฉะเชิงเทรา</t>
  </si>
  <si>
    <t>0140944</t>
  </si>
  <si>
    <t>ธ. ไทยพาณิชย์ จำกัด (มหาชน) สาขา เทสโก้ โลตัส สุพรรณบุรี</t>
  </si>
  <si>
    <t>0140945</t>
  </si>
  <si>
    <t>ธ. ไทยพาณิชย์ จำกัด (มหาชน) สาขา พุนพิน (สุราษฎร์ธานี)</t>
  </si>
  <si>
    <t>0140946</t>
  </si>
  <si>
    <t>ธ. ไทยพาณิชย์ จำกัด (มหาชน) สาขา บิ๊กซี ระยอง</t>
  </si>
  <si>
    <t>0140947</t>
  </si>
  <si>
    <t>ธ. ไทยพาณิชย์ จำกัด (มหาชน) สาขา เสริมไทย พลาซ่า (มหาสารคาม)</t>
  </si>
  <si>
    <t>0140948</t>
  </si>
  <si>
    <t>ธ. ไทยพาณิชย์ จำกัด (มหาชน) สาขา สะพานพระพุทธเลิศหล้า (สมุทรสงคราม)</t>
  </si>
  <si>
    <t>0140949</t>
  </si>
  <si>
    <t>ธ. ไทยพาณิชย์ จำกัด (มหาชน) สาขา ย่านตาขาว (ตรัง)</t>
  </si>
  <si>
    <t>0140950</t>
  </si>
  <si>
    <t>ธ. ไทยพาณิชย์ จำกัด (มหาชน) สาขา กิจการวิเทศธนกิจ</t>
  </si>
  <si>
    <t>0140957</t>
  </si>
  <si>
    <t>ธ. ไทยพาณิชย์ จำกัด (มหาชน) สาขา บิ๊กซี เอ็กซ์ตร้า หาดใหญ่</t>
  </si>
  <si>
    <t>0140958</t>
  </si>
  <si>
    <t>ธ. ไทยพาณิชย์ จำกัด (มหาชน) สาขา บ้านโพธิ์ (ฉะเชิงเทรา)</t>
  </si>
  <si>
    <t>0140959</t>
  </si>
  <si>
    <t>ธ. ไทยพาณิชย์ จำกัด (มหาชน) สาขา ปราสาท (สุรินทร์)</t>
  </si>
  <si>
    <t>0140962</t>
  </si>
  <si>
    <t>ธ. ไทยพาณิชย์ จำกัด (มหาชน) สาขา เทสโก้ โลตัส บ้านแพ้ว</t>
  </si>
  <si>
    <t>0140963</t>
  </si>
  <si>
    <t>ธ. ไทยพาณิชย์ จำกัด (มหาชน) สาขา นิคมอุตสาหกรรมอมตะนคร 2</t>
  </si>
  <si>
    <t>0140964</t>
  </si>
  <si>
    <t>ธ. ไทยพาณิชย์ จำกัด (มหาชน) สาขา ถนนหน้าเมือง (ขอนแก่น)</t>
  </si>
  <si>
    <t>0140965</t>
  </si>
  <si>
    <t>ธ. ไทยพาณิชย์ จำกัด (มหาชน) สาขา  ฮาร์เบอร์ พัทยา</t>
  </si>
  <si>
    <t>0140966</t>
  </si>
  <si>
    <t>ธ. ไทยพาณิชย์ จำกัด (มหาชน) สาขา จังซีลอน ภูเก็ต</t>
  </si>
  <si>
    <t>0140967</t>
  </si>
  <si>
    <t>ธ. ไทยพาณิชย์ จำกัด (มหาชน) สาขา บิ๊กซี ปราจีนบุรี</t>
  </si>
  <si>
    <t>0140968</t>
  </si>
  <si>
    <t>ธ. ไทยพาณิชย์ จำกัด (มหาชน) สาขา ตลาดใหม่ (ชลบุรี)</t>
  </si>
  <si>
    <t>0140969</t>
  </si>
  <si>
    <t>ธ. ไทยพาณิชย์ จำกัด (มหาชน) สาขา เขาตาโล (พัทยา)</t>
  </si>
  <si>
    <t>0140970</t>
  </si>
  <si>
    <t>ธ. ไทยพาณิชย์ จำกัด (มหาชน) สาขา สนามกีฬา (ตรัง)</t>
  </si>
  <si>
    <t>0140971</t>
  </si>
  <si>
    <t>ธ. ไทยพาณิชย์ จำกัด (มหาชน) สาขา นิคมอุตสาหกรรมบางปะอิน</t>
  </si>
  <si>
    <t>0140972</t>
  </si>
  <si>
    <t>ธ. ไทยพาณิชย์ จำกัด (มหาชน) สาขา สามชุก (สุพรรณบุรี)</t>
  </si>
  <si>
    <t>0140973</t>
  </si>
  <si>
    <t>ธ. ไทยพาณิชย์ จำกัด (มหาชน) สาขา สะเดา (สงขลา)</t>
  </si>
  <si>
    <t>0140974</t>
  </si>
  <si>
    <t>ธ. ไทยพาณิชย์ จำกัด (มหาชน) สาขา เทสโก้ โลตัส สุราษฎร์ธานี</t>
  </si>
  <si>
    <t>0140975</t>
  </si>
  <si>
    <t>ธ. ไทยพาณิชย์ จำกัด (มหาชน) สาขา เทสโก้ โลตัส กาญจนบุรี</t>
  </si>
  <si>
    <t>0140976</t>
  </si>
  <si>
    <t>ธ. ไทยพาณิชย์ จำกัด (มหาชน) สาขา บิ๊กซี เพชรบูรณ์</t>
  </si>
  <si>
    <t>0140991</t>
  </si>
  <si>
    <t>ธ. ไทยพาณิชย์ จำกัด (มหาชน) สาขา ตลาดสดสะพาน 4 (ระยอง)</t>
  </si>
  <si>
    <t>0140992</t>
  </si>
  <si>
    <t>ธ. ไทยพาณิชย์ จำกัด (มหาชน) สาขา บิ๊กซี นครศรีธรรมราช</t>
  </si>
  <si>
    <t>0140993</t>
  </si>
  <si>
    <t>ธ. ไทยพาณิชย์ จำกัด (มหาชน) สาขา โรบินสัน โอเชี่ยน ภูเก็ต</t>
  </si>
  <si>
    <t>0140994</t>
  </si>
  <si>
    <t>ธ. ไทยพาณิชย์ จำกัด (มหาชน) สาขา บัวใหญ่ (นครราชสีมา)</t>
  </si>
  <si>
    <t>0140995</t>
  </si>
  <si>
    <t>ธ. ไทยพาณิชย์ จำกัด (มหาชน) สาขา สตึก (บุรีรัมย์)</t>
  </si>
  <si>
    <t>0140996</t>
  </si>
  <si>
    <t>ธ. ไทยพาณิชย์ จำกัด (มหาชน) สาขา บิ๊กซี ลำพูน</t>
  </si>
  <si>
    <t>0140997</t>
  </si>
  <si>
    <t>ธ. ไทยพาณิชย์ จำกัด (มหาชน) สาขา เทสโก้ โลตัส ท่าศาลา</t>
  </si>
  <si>
    <t>0140999</t>
  </si>
  <si>
    <t>0141074</t>
  </si>
  <si>
    <t>0145011</t>
  </si>
  <si>
    <t>ธ. ไทยพาณิชย์ จำกัด (มหาชน) สาขา เทสโก้ โลตัส บ้านโป่ง</t>
  </si>
  <si>
    <t>0145012</t>
  </si>
  <si>
    <t>ธ. ไทยพาณิชย์ จำกัด (มหาชน) สาขา บ้านตาขุน (สุราษฎร์ธานี)</t>
  </si>
  <si>
    <t>0145013</t>
  </si>
  <si>
    <t>ธ. ไทยพาณิชย์ จำกัด (มหาชน) สาขา สี่แยกเกษตร</t>
  </si>
  <si>
    <t>0145014</t>
  </si>
  <si>
    <t>ธ. ไทยพาณิชย์ จำกัด (มหาชน) สาขา ตลาดกำแพงแสน (นครปฐม)</t>
  </si>
  <si>
    <t>0145015</t>
  </si>
  <si>
    <t>ธ. ไทยพาณิชย์ จำกัด (มหาชน) สาขา เทสโก้ โลตัส นครราชสีมา</t>
  </si>
  <si>
    <t>0145016</t>
  </si>
  <si>
    <t>ธ. ไทยพาณิชย์ จำกัด (มหาชน) สาขา นิคมอุตสาหกรรมปิ่นทอง</t>
  </si>
  <si>
    <t>0145017</t>
  </si>
  <si>
    <t>ธ. ไทยพาณิชย์ จำกัด (มหาชน) สาขา เทสโก้ โลตัส ซิตี้พาร์ค บางพลี</t>
  </si>
  <si>
    <t>0145018</t>
  </si>
  <si>
    <t>ธ. ไทยพาณิชย์ จำกัด (มหาชน) สาขา ท่าบ่อ (หนองคาย)</t>
  </si>
  <si>
    <t>0145019</t>
  </si>
  <si>
    <t>0145020</t>
  </si>
  <si>
    <t>ธ. ไทยพาณิชย์ จำกัด (มหาชน) สาขา อาคารไทยศรี (สะพานตากสิน)</t>
  </si>
  <si>
    <t>0145021</t>
  </si>
  <si>
    <t>ธ. ไทยพาณิชย์ จำกัด (มหาชน) สาขา วงแหวน เซ็นเตอร์ (ถนนกาญจนาภิเษก)</t>
  </si>
  <si>
    <t>0145022</t>
  </si>
  <si>
    <t>ธ. ไทยพาณิชย์ จำกัด (มหาชน) สาขา เทสโก้ โลตัส บ้านผือ</t>
  </si>
  <si>
    <t>0145023</t>
  </si>
  <si>
    <t>ธ. ไทยพาณิชย์ จำกัด (มหาชน) สาขา กุมภวาปี (อุดรธานี)</t>
  </si>
  <si>
    <t>0145024</t>
  </si>
  <si>
    <t>ธ. ไทยพาณิชย์ จำกัด (มหาชน) สาขา ม.ราชภัฏบ้านสมเด็จเจ้าพระยา</t>
  </si>
  <si>
    <t>0145025</t>
  </si>
  <si>
    <t>ธ. ไทยพาณิชย์ จำกัด (มหาชน) สาขา แอมโปมอลล์ (อยุธยา)</t>
  </si>
  <si>
    <t>0145026</t>
  </si>
  <si>
    <t>ธ. ไทยพาณิชย์ จำกัด (มหาชน) สาขา เขาพนม (กระบี่)</t>
  </si>
  <si>
    <t>0145027</t>
  </si>
  <si>
    <t>0145028</t>
  </si>
  <si>
    <t>ธ. ไทยพาณิชย์ จำกัด (มหาชน) สาขา เชียงคำ (พะเยา)</t>
  </si>
  <si>
    <t>0145029</t>
  </si>
  <si>
    <t>ธ. ไทยพาณิชย์ จำกัด (มหาชน) สาขา บิ๊กซี เกาะสมุย</t>
  </si>
  <si>
    <t>0145030</t>
  </si>
  <si>
    <t>ธ. ไทยพาณิชย์ จำกัด (มหาชน) สาขา อาคารสิริภิญโญ (ถนนศรีอยุธยา)</t>
  </si>
  <si>
    <t>0145031</t>
  </si>
  <si>
    <t>ธ. ไทยพาณิชย์ จำกัด (มหาชน) สาขา สำนักพระราชวัง (สนามเสือป่า)</t>
  </si>
  <si>
    <t>0145032</t>
  </si>
  <si>
    <t>ธ. ไทยพาณิชย์ จำกัด (มหาชน) สาขา เทสโก้ โลตัส แม่สอด</t>
  </si>
  <si>
    <t>0145033</t>
  </si>
  <si>
    <t>ธ. ไทยพาณิชย์ จำกัด (มหาชน) สาขา บิ๊กซี หางดง</t>
  </si>
  <si>
    <t>0145034</t>
  </si>
  <si>
    <t>ธ. ไทยพาณิชย์ จำกัด (มหาชน) สาขา พาน (เชียงราย)</t>
  </si>
  <si>
    <t>0145035</t>
  </si>
  <si>
    <t>ธ. ไทยพาณิชย์ จำกัด (มหาชน) สาขา แฮปปี้ พลาซ่า (พิจิตร)</t>
  </si>
  <si>
    <t>0145036</t>
  </si>
  <si>
    <t>ธ. ไทยพาณิชย์ จำกัด (มหาชน) สาขา เทสโก้ โลตัส อุบลราชธานี</t>
  </si>
  <si>
    <t>0145037</t>
  </si>
  <si>
    <t>ธ. ไทยพาณิชย์ จำกัด (มหาชน) สาขา บิ๊กซี รัชดาภิเษก</t>
  </si>
  <si>
    <t>0145038</t>
  </si>
  <si>
    <t>ธ. ไทยพาณิชย์ จำกัด (มหาชน) สาขา เดอะ คริสตัล พาร์ค (ถนนประดิษฐ์มนูธ</t>
  </si>
  <si>
    <t>0145039</t>
  </si>
  <si>
    <t>ธ. ไทยพาณิชย์ จำกัด (มหาชน) สาขา  GREEN PLACE (ซอยวัดไผ่เงิน)</t>
  </si>
  <si>
    <t>0145040</t>
  </si>
  <si>
    <t>ธ. ไทยพาณิชย์ จำกัด (มหาชน) สาขา สำเพ็ง</t>
  </si>
  <si>
    <t>0145041</t>
  </si>
  <si>
    <t>ธ. ไทยพาณิชย์ จำกัด (มหาชน) สาขา ราไวย์ (ภูเก็ต)</t>
  </si>
  <si>
    <t>0145042</t>
  </si>
  <si>
    <t>ธ. ไทยพาณิชย์ จำกัด (มหาชน) สาขา เทสโก้ โลตัส กระบี่</t>
  </si>
  <si>
    <t>0145043</t>
  </si>
  <si>
    <t>ธ. ไทยพาณิชย์ จำกัด (มหาชน) สาขา โรงพยาบาลสุราษฎร์ธานี</t>
  </si>
  <si>
    <t>0145044</t>
  </si>
  <si>
    <t>ธ. ไทยพาณิชย์ จำกัด (มหาชน) สาขา ฟรายเดย์ (อุตรดิตถ์)</t>
  </si>
  <si>
    <t>0145045</t>
  </si>
  <si>
    <t>ธ. ไทยพาณิชย์ จำกัด (มหาชน) สาขา บิ๊กซี บุรีรัมย์</t>
  </si>
  <si>
    <t>0145046</t>
  </si>
  <si>
    <t>ธ. ไทยพาณิชย์ จำกัด (มหาชน) สาขา บิ๊กซี ชลบุรี</t>
  </si>
  <si>
    <t>0145047</t>
  </si>
  <si>
    <t>ธ. ไทยพาณิชย์ จำกัด (มหาชน) สาขา เทสโก้ โลตัส ชลบุรี</t>
  </si>
  <si>
    <t>0145048</t>
  </si>
  <si>
    <t>ธ. ไทยพาณิชย์ จำกัด (มหาชน) สาขา เทสโก้ โลตัส บางปู</t>
  </si>
  <si>
    <t>0145049</t>
  </si>
  <si>
    <t>ธ. ไทยพาณิชย์ จำกัด (มหาชน) สาขา เทสโก้ โลตัส บ้านเพ (ระยอง)</t>
  </si>
  <si>
    <t>0145050</t>
  </si>
  <si>
    <t>ธ. ไทยพาณิชย์ จำกัด (มหาชน) สาขา เทสโก้ มอลล์ นิชดาธานี</t>
  </si>
  <si>
    <t>0145051</t>
  </si>
  <si>
    <t>ธ. ไทยพาณิชย์ จำกัด (มหาชน) สาขา เทสโก้ โลตัส สุขาภิบาล 1</t>
  </si>
  <si>
    <t>0145052</t>
  </si>
  <si>
    <t>ธ. ไทยพาณิชย์ จำกัด (มหาชน) สาขา บิ๊กซี ศรีนครินทร์</t>
  </si>
  <si>
    <t>0145053</t>
  </si>
  <si>
    <t>ธ. ไทยพาณิชย์ จำกัด (มหาชน) สาขา คาร์ฟูร์ พระราม 2</t>
  </si>
  <si>
    <t>0145054</t>
  </si>
  <si>
    <t>ธ. ไทยพาณิชย์ จำกัด (มหาชน) สาขา เทสโก้ โลตัส ปากช่อง</t>
  </si>
  <si>
    <t>0145055</t>
  </si>
  <si>
    <t>ธ. ไทยพาณิชย์ จำกัด (มหาชน) สาขา บิ๊กซี สุขาภิบาล 3</t>
  </si>
  <si>
    <t>0145056</t>
  </si>
  <si>
    <t>ธ. ไทยพาณิชย์ จำกัด (มหาชน) สาขา เทสโก้ โลตัส วังหิน</t>
  </si>
  <si>
    <t>0145057</t>
  </si>
  <si>
    <t>ธ. ไทยพาณิชย์ จำกัด (มหาชน) สาขา บิ๊กซี พระราม 4</t>
  </si>
  <si>
    <t>0145058</t>
  </si>
  <si>
    <t>ธ. ไทยพาณิชย์ จำกัด (มหาชน) สาขา บิ๊กซี ศรีสะเกษ</t>
  </si>
  <si>
    <t>0145059</t>
  </si>
  <si>
    <t>ธ. ไทยพาณิชย์ จำกัด (มหาชน) สาขา ย่อยเทสโก้ โลตัส ประชาชื่น</t>
  </si>
  <si>
    <t>0145060</t>
  </si>
  <si>
    <t>ธ. ไทยพาณิชย์ จำกัด (มหาชน) สาขา ย่อย เทสโก้ โลตัส ปิ่นเกล้า</t>
  </si>
  <si>
    <t>0145061</t>
  </si>
  <si>
    <t>ธ. ไทยพาณิชย์ จำกัด (มหาชน) สาขา บิ๊กซี สุขสวัสดิ์</t>
  </si>
  <si>
    <t>0145062</t>
  </si>
  <si>
    <t>ธ. ไทยพาณิชย์ จำกัด (มหาชน) สาขา เทสโก้ โลตัส ศาลายา</t>
  </si>
  <si>
    <t>0145063</t>
  </si>
  <si>
    <t>0145064</t>
  </si>
  <si>
    <t>ธ. ไทยพาณิชย์ จำกัด (มหาชน) สาขา ฮาร์เบอร์มอลล์(แหลมฉบัง)</t>
  </si>
  <si>
    <t>0145065</t>
  </si>
  <si>
    <t>ธ. ไทยพาณิชย์ จำกัด (มหาชน) สาขา เดอะคอมพาวด์ (ถนนพระยาสุเรนทร์)</t>
  </si>
  <si>
    <t>0145066</t>
  </si>
  <si>
    <t>ธ. ไทยพาณิชย์ จำกัด (มหาชน) สาขา คาร์ฟูร์ อ่อนนุช</t>
  </si>
  <si>
    <t>0145067</t>
  </si>
  <si>
    <t>ธ. ไทยพาณิชย์ จำกัด (มหาชน) สาขา คาร์ฟูร์ บางบอน</t>
  </si>
  <si>
    <t>0145068</t>
  </si>
  <si>
    <t>ธ. ไทยพาณิชย์ จำกัด (มหาชน) สาขา บิ๊กซี รังสิต คลอง 3</t>
  </si>
  <si>
    <t>0145069</t>
  </si>
  <si>
    <t>ธ. ไทยพาณิชย์ จำกัด (มหาชน) สาขา เทสโก้ โลตัส บ้านฉาง</t>
  </si>
  <si>
    <t>0145070</t>
  </si>
  <si>
    <t>ธ. ไทยพาณิชย์ จำกัด (มหาชน) สาขา เอ็นมาร์ค พลาซ่า (บางกะปิ)</t>
  </si>
  <si>
    <t>0145071</t>
  </si>
  <si>
    <t>ธ. ไทยพาณิชย์ จำกัด (มหาชน) สาขา บิ๊กซี สวนหลวง</t>
  </si>
  <si>
    <t>0145072</t>
  </si>
  <si>
    <t>ธ. ไทยพาณิชย์ จำกัด (มหาชน) สาขา มหาชัยเมืองใหม่ (สมุทรสาคร)</t>
  </si>
  <si>
    <t>0145073</t>
  </si>
  <si>
    <t>ธ. ไทยพาณิชย์ จำกัด (มหาชน) สาขา เจ อเวนิว ทองหล่อ</t>
  </si>
  <si>
    <t>0145074</t>
  </si>
  <si>
    <t>ธ. ไทยพาณิชย์ จำกัด (มหาชน) สาขา บิ๊กซี อยุธยา</t>
  </si>
  <si>
    <t>0145075</t>
  </si>
  <si>
    <t>ธ. ไทยพาณิชย์ จำกัด (มหาชน) สาขา ท็อปส์ มาร์เก็ตเพลส สีลม</t>
  </si>
  <si>
    <t>0145076</t>
  </si>
  <si>
    <t>ธ. ไทยพาณิชย์ จำกัด (มหาชน) สาขา เมืองทองธานีซิตี้เซ็นเตอร์ 2</t>
  </si>
  <si>
    <t>0145077</t>
  </si>
  <si>
    <t>ธ. ไทยพาณิชย์ จำกัด (มหาชน) สาขา บิ๊กซี ยโสธร</t>
  </si>
  <si>
    <t>0145078</t>
  </si>
  <si>
    <t>ธ. ไทยพาณิชย์ จำกัด (มหาชน) สาขา คาร์ฟูร์ ร่มเกล้า</t>
  </si>
  <si>
    <t>0145079</t>
  </si>
  <si>
    <t>ธ. ไทยพาณิชย์ จำกัด (มหาชน) สาขา เทสโก้ โลตัส กำแพงแสน</t>
  </si>
  <si>
    <t>0145080</t>
  </si>
  <si>
    <t>ธ. ไทยพาณิชย์ จำกัด (มหาชน) สาขา ศูนย์การค้าเดอะพาซิโอ (ลาดกระบัง)</t>
  </si>
  <si>
    <t>0145081</t>
  </si>
  <si>
    <t>ธ. ไทยพาณิชย์ จำกัด (มหาชน) สาขา เทสโก้ โลตัส ระนอง</t>
  </si>
  <si>
    <t>0145082</t>
  </si>
  <si>
    <t>ธ. ไทยพาณิชย์ จำกัด (มหาชน) สาขา บางน้ำเปรี้ยว (ฉะเชิงเทรา)</t>
  </si>
  <si>
    <t>0145083</t>
  </si>
  <si>
    <t>ธ. ไทยพาณิชย์ จำกัด (มหาชน) บางระจัน (สิงห์บุรี)</t>
  </si>
  <si>
    <t>0145084</t>
  </si>
  <si>
    <t>ธ. ไทยพาณิชย์ จำกัด (มหาชน) สาขา บิ๊กซี หนองจอก</t>
  </si>
  <si>
    <t>0145085</t>
  </si>
  <si>
    <t>ธ. ไทยพาณิชย์ จำกัด (มหาชน) สาขา เทสโก้ โลตัส สามชุก</t>
  </si>
  <si>
    <t>0145086</t>
  </si>
  <si>
    <t>ธ. ไทยพาณิชย์ จำกัด (มหาชน) สาขา จัตุรัสจามจุรี</t>
  </si>
  <si>
    <t>0145087</t>
  </si>
  <si>
    <t>ธ. ไทยพาณิชย์ จำกัด (มหาชน) สาขา คาร์ฟูร์ เพชรเกษม</t>
  </si>
  <si>
    <t>0145088</t>
  </si>
  <si>
    <t>ธ. ไทยพาณิชย์ จำกัด (มหาชน) สาขา ไอเพลส (นิคมอุตสาหกรรมลาดกระบัง)</t>
  </si>
  <si>
    <t>0145089</t>
  </si>
  <si>
    <t>ธ. ไทยพาณิชย์ จำกัด (มหาชน) สาขา บิ๊กซี บางใหญ่</t>
  </si>
  <si>
    <t>0145090</t>
  </si>
  <si>
    <t>ธ. ไทยพาณิชย์ จำกัด (มหาชน) สาขา อเวนิว รัชโยธิน</t>
  </si>
  <si>
    <t>0145091</t>
  </si>
  <si>
    <t>ธ. ไทยพาณิชย์ จำกัด (มหาชน) สาขา ไชน่าเวิลด์ (วังบูรพา)</t>
  </si>
  <si>
    <t>0145092</t>
  </si>
  <si>
    <t>ธ. ไทยพาณิชย์ จำกัด (มหาชน) สาขา เซ็นทรัล ชิดลม</t>
  </si>
  <si>
    <t>0145093</t>
  </si>
  <si>
    <t>ธ. ไทยพาณิชย์ จำกัด (มหาชน) สาขา เทสโก้ โลตัส หลังสวน</t>
  </si>
  <si>
    <t>0145094</t>
  </si>
  <si>
    <t>ธ. ไทยพาณิชย์ จำกัด (มหาชน) สาขา เทสโก้ โลตัส เสนา</t>
  </si>
  <si>
    <t>0145095</t>
  </si>
  <si>
    <t>ธ. ไทยพาณิชย์ จำกัด (มหาชน) สาขา บิ๊กซี บ้านโป่ง</t>
  </si>
  <si>
    <t>0145096</t>
  </si>
  <si>
    <t>ธ. ไทยพาณิชย์ จำกัด (มหาชน) สาขา บิ๊กซี สุโขทัย</t>
  </si>
  <si>
    <t>0145097</t>
  </si>
  <si>
    <t>ธ. ไทยพาณิชย์ จำกัด (มหาชน) สาขา เทสโก้ โลตัส เพชรบูรณ์</t>
  </si>
  <si>
    <t>0145098</t>
  </si>
  <si>
    <t>ธ. ไทยพาณิชย์ จำกัด (มหาชน) สาขา บิ๊กซี ชัยภูมิ</t>
  </si>
  <si>
    <t>0145099</t>
  </si>
  <si>
    <t>ธ. ไทยพาณิชย์ จำกัด (มหาชน) สาขา เทสโก้ โลตัส สิงห์บุรี</t>
  </si>
  <si>
    <t>0145100</t>
  </si>
  <si>
    <t>ธ. ไทยพาณิชย์ จำกัด (มหาชน) สาขา  แห่งอนาคต</t>
  </si>
  <si>
    <t>0145101</t>
  </si>
  <si>
    <t>ธ. ไทยพาณิชย์ จำกัด (มหาชน) สาขา บิ๊กซี นาดี อุดรธานี</t>
  </si>
  <si>
    <t>0145102</t>
  </si>
  <si>
    <t>ธ. ไทยพาณิชย์ จำกัด (มหาชน) สาขา บิ๊กซี เชียงใหม่ 2</t>
  </si>
  <si>
    <t>0145103</t>
  </si>
  <si>
    <t>ธ. ไทยพาณิชย์ จำกัด (มหาชน) สาขา เทสโก้ โลตัส ขุขันธ์ (ศรีสะเกษ)</t>
  </si>
  <si>
    <t>0145104</t>
  </si>
  <si>
    <t>ธ. ไทยพาณิชย์ จำกัด (มหาชน) สาขา บิ๊กซี กระบี่</t>
  </si>
  <si>
    <t>0145105</t>
  </si>
  <si>
    <t>ธ. ไทยพาณิชย์ จำกัด (มหาชน) สาขา โรบินสัน ชลบุรี</t>
  </si>
  <si>
    <t>0145106</t>
  </si>
  <si>
    <t>ธ. ไทยพาณิชย์ จำกัด (มหาชน) สาขา สี่แยกท่าเรือ (ภูเก็ต)</t>
  </si>
  <si>
    <t>0145107</t>
  </si>
  <si>
    <t>ธ. ไทยพาณิชย์ จำกัด (มหาชน) สาขา เทสโก้ โลตัส หาดใหญ่</t>
  </si>
  <si>
    <t>0145108</t>
  </si>
  <si>
    <t>ธ. ไทยพาณิชย์ จำกัด (มหาชน) สาขา ถนนนิพัทธ์สงเคราะห์ 1 (หาดใหญ่)</t>
  </si>
  <si>
    <t>0145109</t>
  </si>
  <si>
    <t>0145110</t>
  </si>
  <si>
    <t>ธ. ไทยพาณิชย์ จำกัด (มหาชน) สาขา ตลาดบางแค</t>
  </si>
  <si>
    <t>0145111</t>
  </si>
  <si>
    <t>ธ. ไทยพาณิชย์ จำกัด (มหาชน) สาขา บิ๊กซี สุวินทวงศ์</t>
  </si>
  <si>
    <t>0145112</t>
  </si>
  <si>
    <t>ธ. ไทยพาณิชย์ จำกัด (มหาชน) สาขา ศูนย์ราชการฯ แจ้งวัฒนะ (อาคารB)</t>
  </si>
  <si>
    <t>0145113</t>
  </si>
  <si>
    <t>ธ. ไทยพาณิชย์ จำกัด (มหาชน) สาขา เทสโก้ โลตัส แจ้งวัฒนะ</t>
  </si>
  <si>
    <t>0145114</t>
  </si>
  <si>
    <t>ธ. ไทยพาณิชย์ จำกัด (มหาชน) สาขา เทสโก้ โลตัส ศรีสะเกษ</t>
  </si>
  <si>
    <t>0145115</t>
  </si>
  <si>
    <t>ธ. ไทยพาณิชย์ จำกัด (มหาชน) สาขา คาร์ฟูร์ รังสิต</t>
  </si>
  <si>
    <t>0145116</t>
  </si>
  <si>
    <t>ธ. ไทยพาณิชย์ จำกัด (มหาชน) สาขา จุฬาลงกรณ์มหาวิทยาลัย</t>
  </si>
  <si>
    <t>0145117</t>
  </si>
  <si>
    <t>ธ. ไทยพาณิชย์ จำกัด (มหาชน) สาขา บิ๊กซี รังสิตคลอง 6</t>
  </si>
  <si>
    <t>0145118</t>
  </si>
  <si>
    <t>ธ. ไทยพาณิชย์ จำกัด (มหาชน) สาขา ท๊อปส์ มาร์เก็ต เพลส อุดมสุข</t>
  </si>
  <si>
    <t>0145119</t>
  </si>
  <si>
    <t>ธ. ไทยพาณิชย์ จำกัด (มหาชน) สาขา ศูนย์ราชการฯ แจ้งวัฒนะ (อาคารA)</t>
  </si>
  <si>
    <t>0145120</t>
  </si>
  <si>
    <t>0145121</t>
  </si>
  <si>
    <t>ธ. ไทยพาณิชย์ จำกัด (มหาชน) สาขา เทสโก้ โลตัส พัทยาใต้</t>
  </si>
  <si>
    <t>0145122</t>
  </si>
  <si>
    <t>ธ. ไทยพาณิชย์ จำกัด (มหาชน) สาขา เทสโก้ โลตัส เจ้าฟ้า</t>
  </si>
  <si>
    <t>0145123</t>
  </si>
  <si>
    <t>ธ. ไทยพาณิชย์ จำกัด (มหาชน) สาขา เทสโก้ โลตัส อุทุมพรพิสัย</t>
  </si>
  <si>
    <t>0145124</t>
  </si>
  <si>
    <t>ธ. ไทยพาณิชย์ จำกัด (มหาชน) สาขา เทสโก้ โลตัส ปราณบุรี</t>
  </si>
  <si>
    <t>0145125</t>
  </si>
  <si>
    <t>ธ. ไทยพาณิชย์ จำกัด (มหาชน) สาขา เทสโก้ โลตัส ทุ่งสง</t>
  </si>
  <si>
    <t>0145126</t>
  </si>
  <si>
    <t>ธ. ไทยพาณิชย์ จำกัด (มหาชน) สาขา เทสโก้ โลตัส ทาวน์ อิน ทาวน์</t>
  </si>
  <si>
    <t>0145127</t>
  </si>
  <si>
    <t>ธ. ไทยพาณิชย์ จำกัด (มหาชน) สาขา เทสโก้ โลตัส ราไวย์</t>
  </si>
  <si>
    <t>0145128</t>
  </si>
  <si>
    <t>ธ. ไทยพาณิชย์ จำกัด (มหาชน) สาขา เยส บางพลี</t>
  </si>
  <si>
    <t>0145129</t>
  </si>
  <si>
    <t>ธ. ไทยพาณิชย์ จำกัด (มหาชน) สาขา เทสโก้ โลตัส ศรีนครินทร์</t>
  </si>
  <si>
    <t>0145130</t>
  </si>
  <si>
    <t>ธ. ไทยพาณิชย์ จำกัด (มหาชน) สาขา เทสโก้ โลตัส รัตนาธิเบศร์</t>
  </si>
  <si>
    <t>0145131</t>
  </si>
  <si>
    <t>ธ. ไทยพาณิชย์ จำกัด (มหาชน) สาขา เทสโก้ โลตัส พัทลุง</t>
  </si>
  <si>
    <t>0145132</t>
  </si>
  <si>
    <t>ธ. ไทยพาณิชย์ จำกัด (มหาชน) สาขา บิ๊กซี สระแก้ว</t>
  </si>
  <si>
    <t>0145133</t>
  </si>
  <si>
    <t>ธ. ไทยพาณิชย์ จำกัด (มหาชน) สาขา บิ๊กซี วารินชำราบ</t>
  </si>
  <si>
    <t>0145134</t>
  </si>
  <si>
    <t>ธ. ไทยพาณิชย์ จำกัด (มหาชน) สาขา โฮมเวิร์ค ภูเก็ต</t>
  </si>
  <si>
    <t>0145135</t>
  </si>
  <si>
    <t>ธ. ไทยพาณิชย์ จำกัด (มหาชน) สาขา บิ๊กซี พัทยากลาง</t>
  </si>
  <si>
    <t>0145136</t>
  </si>
  <si>
    <t>ธ. ไทยพาณิชย์ จำกัด (มหาชน) สาขา บิ๊กซี สุขาภิบาล 5</t>
  </si>
  <si>
    <t>0145137</t>
  </si>
  <si>
    <t>ธ. ไทยพาณิชย์ จำกัด (มหาชน) สาขา บิ๊กซีมหาสารคาม</t>
  </si>
  <si>
    <t>0145138</t>
  </si>
  <si>
    <t>ธ. ไทยพาณิชย์ จำกัด (มหาชน) สาขา บิ๊กซี นครสวรรค์ (วี-สแควร์)</t>
  </si>
  <si>
    <t>0145139</t>
  </si>
  <si>
    <t>ธ. ไทยพาณิชย์ จำกัด (มหาชน) สาขา เซ็นทรัลพลาซา แจ้งวัฒนะ</t>
  </si>
  <si>
    <t>0145140</t>
  </si>
  <si>
    <t>ธ. ไทยพาณิชย์ จำกัด (มหาชน) สาขา ตลาดแพรกษา</t>
  </si>
  <si>
    <t>0145141</t>
  </si>
  <si>
    <t>ธ. ไทยพาณิชย์ จำกัด (มหาชน) สาขา ท่าม่วง (กาญจนบุรี)</t>
  </si>
  <si>
    <t>0145142</t>
  </si>
  <si>
    <t>ธ. ไทยพาณิชย์ จำกัด (มหาชน) สาขา คาร์ฟูร์ รามอินทรา</t>
  </si>
  <si>
    <t>0145143</t>
  </si>
  <si>
    <t>ธ. ไทยพาณิชย์ จำกัด (มหาชน) สาขา เซ็นทรัลเฟสติวัล พัทยา บีช</t>
  </si>
  <si>
    <t>0145144</t>
  </si>
  <si>
    <t>ธ. ไทยพาณิชย์ จำกัด (มหาชน) สาขา เทสโก้ โลตัส พระราม 4</t>
  </si>
  <si>
    <t>0145145</t>
  </si>
  <si>
    <t>ธ. ไทยพาณิชย์ จำกัด (มหาชน) สาขา คาร์ฟู  ลพบุรี</t>
  </si>
  <si>
    <t>0145146</t>
  </si>
  <si>
    <t>ธ. ไทยพาณิชย์ จำกัด (มหาชน) สาขา  THE STREET (ถนนรัชดาภิเษก)</t>
  </si>
  <si>
    <t>0145147</t>
  </si>
  <si>
    <t>ธ. ไทยพาณิชย์ จำกัด (มหาชน) สาขา เทสโก้โลตัสนวนคร</t>
  </si>
  <si>
    <t>0145148</t>
  </si>
  <si>
    <t>ธ. ไทยพาณิชย์ จำกัด (มหาชน) สาขา คาร์ฟูร์ หางดง</t>
  </si>
  <si>
    <t>0145149</t>
  </si>
  <si>
    <t>ธ. ไทยพาณิชย์ จำกัด (มหาชน) สาขา อาคารลิเบอร์ตี้ สแควร์ (สีลม)</t>
  </si>
  <si>
    <t>0145150</t>
  </si>
  <si>
    <t>ธ. ไทยพาณิชย์ จำกัด (มหาชน) สาขา ถนนรามอินทรา (แฟชั่นไอส์แลนด์ 2)</t>
  </si>
  <si>
    <t>0145151</t>
  </si>
  <si>
    <t>ธ. ไทยพาณิชย์ จำกัด (มหาชน) สาขา บิ๊กซี ประชาอุทิศ 90</t>
  </si>
  <si>
    <t>0145152</t>
  </si>
  <si>
    <t>ธ. ไทยพาณิชย์ จำกัด (มหาชน) สาขา บิ๊กซี สายไหม</t>
  </si>
  <si>
    <t>0145153</t>
  </si>
  <si>
    <t>ธ. ไทยพาณิชย์ จำกัด (มหาชน) สาขา บิ๊กซี เอ็กซ์ตร้า สุขาภิบาล 3</t>
  </si>
  <si>
    <t>0145154</t>
  </si>
  <si>
    <t>ธ. ไทยพาณิชย์ จำกัด (มหาชน) สาขา เซ็นทรัลพลาซา ชลบุรี</t>
  </si>
  <si>
    <t>0145155</t>
  </si>
  <si>
    <t>ธ. ไทยพาณิชย์ จำกัด (มหาชน) สาขา นวมินทร์ ซิตี้ อเวนิว</t>
  </si>
  <si>
    <t>0145156</t>
  </si>
  <si>
    <t>ธ. ไทยพาณิชย์ จำกัด (มหาชน) สาขา บ้านแอนด์บียอน ราชพฤกษ์</t>
  </si>
  <si>
    <t>0145157</t>
  </si>
  <si>
    <t>ธ. ไทยพาณิชย์ จำกัด (มหาชน) สาขา ถนนสวนผัก (ตลาดกรุงนนท์)</t>
  </si>
  <si>
    <t>0145158</t>
  </si>
  <si>
    <t>ธ. ไทยพาณิชย์ จำกัด (มหาชน) สาขา นาทวี (สงขลา)</t>
  </si>
  <si>
    <t>0145159</t>
  </si>
  <si>
    <t>ธ. ไทยพาณิชย์ จำกัด (มหาชน) สาขา บิ๊กซี ลำลูกกา 2 (คลอง 4)</t>
  </si>
  <si>
    <t>0145160</t>
  </si>
  <si>
    <t>ธ. ไทยพาณิชย์ จำกัด (มหาชน) สาขา เทสโก้ โลตัส ลำลูกกา (คลอง 2)</t>
  </si>
  <si>
    <t>0145161</t>
  </si>
  <si>
    <t>ธ. ไทยพาณิชย์ จำกัด (มหาชน) สาขา เทสโก้ โลตัส สกลนคร</t>
  </si>
  <si>
    <t>0145162</t>
  </si>
  <si>
    <t>ธ. ไทยพาณิชย์ จำกัด (มหาชน) สาขา เทสโก้ โลตัส สามพราน</t>
  </si>
  <si>
    <t>0145163</t>
  </si>
  <si>
    <t>ธ. ไทยพาณิชย์ จำกัด (มหาชน) สาขา เซ็นทรัลพลาซา ขอนแก่น</t>
  </si>
  <si>
    <t>0145164</t>
  </si>
  <si>
    <t>ธ. ไทยพาณิชย์ จำกัด (มหาชน) สาขา เทสโก้ โลตัส ระยอง</t>
  </si>
  <si>
    <t>0145165</t>
  </si>
  <si>
    <t>ธ. ไทยพาณิชย์ จำกัด (มหาชน) สาขา ถนนอัสสัมชัญศรีราชา</t>
  </si>
  <si>
    <t>0145166</t>
  </si>
  <si>
    <t>ธ. ไทยพาณิชย์ จำกัด (มหาชน) สาขา โรบินสัน ตรัง</t>
  </si>
  <si>
    <t>0145167</t>
  </si>
  <si>
    <t>ธ. ไทยพาณิชย์ จำกัด (มหาชน) สาขา ซอยวัดบุญสัมพันธ์ (พัทยา)</t>
  </si>
  <si>
    <t>0145168</t>
  </si>
  <si>
    <t>ธ. ไทยพาณิชย์ จำกัด (มหาชน) สาขา เทสโก้ โลตัส พนมสารคาม</t>
  </si>
  <si>
    <t>0145169</t>
  </si>
  <si>
    <t>ธ. ไทยพาณิชย์ จำกัด (มหาชน) สาขา เทสโก้ โลตัส พัทยาเหนือ</t>
  </si>
  <si>
    <t>0145170</t>
  </si>
  <si>
    <t>ธ. ไทยพาณิชย์ จำกัด (มหาชน) สาขา เพชรเกษม อเวนิว</t>
  </si>
  <si>
    <t>0145171</t>
  </si>
  <si>
    <t>ธ. ไทยพาณิชย์ จำกัด (มหาชน) สาขา เทสโก้ โลตัส จันทบุรี</t>
  </si>
  <si>
    <t>0145172</t>
  </si>
  <si>
    <t>ธ. ไทยพาณิชย์ จำกัด (มหาชน) สาขา เทสโก้ โลตัส อมตะนคร</t>
  </si>
  <si>
    <t>0145173</t>
  </si>
  <si>
    <t>ธ. ไทยพาณิชย์ จำกัด (มหาชน) สาขา เทสโก้ โลตัส นครปฐม</t>
  </si>
  <si>
    <t>0145174</t>
  </si>
  <si>
    <t>ธ. ไทยพาณิชย์ จำกัด (มหาชน) สาขา เทสโก้ โลตัส สมุย ละไม</t>
  </si>
  <si>
    <t>0145175</t>
  </si>
  <si>
    <t>ธ. ไทยพาณิชย์ จำกัด (มหาชน) สาขา แหลมทอง บางแสน</t>
  </si>
  <si>
    <t>0145176</t>
  </si>
  <si>
    <t>ธ. ไทยพาณิชย์ จำกัด (มหาชน) สาขา ถนนพระราม 2 กม.13 (พันท้ายนรสิงห์)</t>
  </si>
  <si>
    <t>0145177</t>
  </si>
  <si>
    <t>ธ. ไทยพาณิชย์ จำกัด (มหาชน) สาขา ตลาดหนามแดง (เทพารักษ์)</t>
  </si>
  <si>
    <t>0145178</t>
  </si>
  <si>
    <t>ธ. ไทยพาณิชย์ จำกัด (มหาชน) สาขา ตลาดสุวินทวงศ์ พลาซ่า (ฉะเชิงเทรา)</t>
  </si>
  <si>
    <t>0145179</t>
  </si>
  <si>
    <t>ธ. ไทยพาณิชย์ จำกัด (มหาชน) สาขา สี่แยกทศกัณฐ์</t>
  </si>
  <si>
    <t>0145180</t>
  </si>
  <si>
    <t>ธ. ไทยพาณิชย์ จำกัด (มหาชน) สาขา สุพรีม คอมเพล็กซ์</t>
  </si>
  <si>
    <t>0145181</t>
  </si>
  <si>
    <t>ธ. ไทยพาณิชย์ จำกัด (มหาชน) สาขา หาดสุรินทร์ (ภูเก็ต)</t>
  </si>
  <si>
    <t>0145182</t>
  </si>
  <si>
    <t>ธ. ไทยพาณิชย์ จำกัด (มหาชน) สาขา สามแยกหมี (ตรัง)</t>
  </si>
  <si>
    <t>0145183</t>
  </si>
  <si>
    <t>ธ. ไทยพาณิชย์ จำกัด (มหาชน) สาขา กระนวน (ขอนแก่น)</t>
  </si>
  <si>
    <t>0145184</t>
  </si>
  <si>
    <t>ธ. ไทยพาณิชย์ จำกัด (มหาชน) สาขา บิ๊กซี หทัยราษฎร์</t>
  </si>
  <si>
    <t>0145185</t>
  </si>
  <si>
    <t>ธ. ไทยพาณิชย์ จำกัด (มหาชน) สาขา เทสโก้ โลตัส นาดี อุดรธานี</t>
  </si>
  <si>
    <t>0145186</t>
  </si>
  <si>
    <t>ธ. ไทยพาณิชย์ จำกัด (มหาชน) สาขา เทสโก้ โลตัส อรัญประเทศ</t>
  </si>
  <si>
    <t>0145187</t>
  </si>
  <si>
    <t>ธ. ไทยพาณิชย์ จำกัด (มหาชน) สาขา อยุธยาพาร์ค 2</t>
  </si>
  <si>
    <t>0145188</t>
  </si>
  <si>
    <t>ธ. ไทยพาณิชย์ จำกัด (มหาชน) สาขา อาร์ เอส ยู ทาวเวอร์ (สุขุมวิท 31)</t>
  </si>
  <si>
    <t>0145189</t>
  </si>
  <si>
    <t>ธ. ไทยพาณิชย์ จำกัด (มหาชน) สาขา เซ็นทรัลพลาซา บางนา</t>
  </si>
  <si>
    <t>0145190</t>
  </si>
  <si>
    <t>ธ. ไทยพาณิชย์ จำกัด (มหาชน) สาขา ศูนย์เอนเนอร์ยี่คอมเพล็กซ์</t>
  </si>
  <si>
    <t>0145191</t>
  </si>
  <si>
    <t>ธ. ไทยพาณิชย์ จำกัด (มหาชน) สาขา บิ๊กซี ชุมพร</t>
  </si>
  <si>
    <t>0145192</t>
  </si>
  <si>
    <t>ธ. ไทยพาณิชย์ จำกัด (มหาชน) สาขา เทสโก้ โลตัส สตูล</t>
  </si>
  <si>
    <t>0145193</t>
  </si>
  <si>
    <t>ธ. ไทยพาณิชย์ จำกัด (มหาชน) สาขา มหาวิทยาลัยรังสิต</t>
  </si>
  <si>
    <t>0145194</t>
  </si>
  <si>
    <t>ธ. ไทยพาณิชย์ จำกัด (มหาชน) สาขา สอยดาว (จันทบุรี)</t>
  </si>
  <si>
    <t>0145195</t>
  </si>
  <si>
    <t>ธ. ไทยพาณิชย์ จำกัด (มหาชน) สาขา ด่านขุนทด (นครราชสีมาป</t>
  </si>
  <si>
    <t>0145196</t>
  </si>
  <si>
    <t>ธ. ไทยพาณิชย์ จำกัด (มหาชน) สาขา เทสโก้ โลตัส บ่อวิน</t>
  </si>
  <si>
    <t>0145197</t>
  </si>
  <si>
    <t>ธ. ไทยพาณิชย์ จำกัด (มหาชน) สาขา ห้วยยอด (ตรัง)</t>
  </si>
  <si>
    <t>0145198</t>
  </si>
  <si>
    <t>ธ. ไทยพาณิชย์ จำกัด (มหาชน) สาขา ถนนประชาสงเคราะห์</t>
  </si>
  <si>
    <t>0145199</t>
  </si>
  <si>
    <t>ธ. ไทยพาณิชย์ จำกัด (มหาชน) สาขา สามร้อยยอด (ประจวบคีรีขันธ์)</t>
  </si>
  <si>
    <t>0145200</t>
  </si>
  <si>
    <t>ธ. ไทยพาณิชย์ จำกัด (มหาชน) สาขา คริสตัล ดีไซน์ เซ็นเตอร์</t>
  </si>
  <si>
    <t>0145201</t>
  </si>
  <si>
    <t>ธ. ไทยพาณิชย์ จำกัด (มหาชน) สาขา ตลาดนานาเจริญ (ถนนเสมาฟ้าคราม)</t>
  </si>
  <si>
    <t>0145202</t>
  </si>
  <si>
    <t>ธ. ไทยพาณิชย์ จำกัด (มหาชน) สาขา บางเดื่อ (ปทุมธานี)</t>
  </si>
  <si>
    <t>0145203</t>
  </si>
  <si>
    <t>ธ. ไทยพาณิชย์ จำกัด (มหาชน) สาขา เหนือคลอง (กระบี่)</t>
  </si>
  <si>
    <t>0145204</t>
  </si>
  <si>
    <t>ธ. ไทยพาณิชย์ จำกัด (มหาชน) สาขา ตลาดเทศบาลตราด</t>
  </si>
  <si>
    <t>0145205</t>
  </si>
  <si>
    <t>ธ. ไทยพาณิชย์ จำกัด (มหาชน) สาขา เซ็นทรัลพลาซา เชียงราย</t>
  </si>
  <si>
    <t>0145206</t>
  </si>
  <si>
    <t>ธ. ไทยพาณิชย์ จำกัด (มหาชน) สาขา บิ๊กซี มหาชัย</t>
  </si>
  <si>
    <t>0145207</t>
  </si>
  <si>
    <t>ธ. ไทยพาณิชย์ จำกัด (มหาชน) สาขา ภูเขียว (ชัยภูมิ)</t>
  </si>
  <si>
    <t>0145208</t>
  </si>
  <si>
    <t>ธ. ไทยพาณิชย์ จำกัด (มหาชน) สาขา ทุ่งใหญ่ (นครศรีธรรมราช)</t>
  </si>
  <si>
    <t>0145209</t>
  </si>
  <si>
    <t>ธ. ไทยพาณิชย์ จำกัด (มหาชน) สาขา บึงสามพัน (เพชรบูรณ์)</t>
  </si>
  <si>
    <t>0145210</t>
  </si>
  <si>
    <t>ธ. ไทยพาณิชย์ จำกัด (มหาชน) สาขา บิ๊กซี เคหะร่มเกล้า</t>
  </si>
  <si>
    <t>0145211</t>
  </si>
  <si>
    <t>ธ. ไทยพาณิชย์ จำกัด (มหาชน) สาขา แม่ขรี (พัทลุง)</t>
  </si>
  <si>
    <t>0145212</t>
  </si>
  <si>
    <t>ธ. ไทยพาณิชย์ จำกัด (มหาชน) สาขา กุฉินารายณ์ (กาฬสินธุ์)</t>
  </si>
  <si>
    <t>0145213</t>
  </si>
  <si>
    <t>ธ. ไทยพาณิชย์ จำกัด (มหาชน) สาขา เทสโก้ โลตัส ประจวบคีรีขันธ์</t>
  </si>
  <si>
    <t>0145214</t>
  </si>
  <si>
    <t>ธ. ไทยพาณิชย์ จำกัด (มหาชน) สาขาศูนย์ฯสมเด็จพระเทพรัตน์-รพ.รามาธิบดี</t>
  </si>
  <si>
    <t>0145215</t>
  </si>
  <si>
    <t>ธ. ไทยพาณิชย์ จำกัด (มหาชน) สาขา ถนนเพชรเกษม (หัวหิน 2)</t>
  </si>
  <si>
    <t>0145216</t>
  </si>
  <si>
    <t>ธ. ไทยพาณิชย์ จำกัด (มหาชน) สาขา เทสโก้ โลตัส ชุมแพ</t>
  </si>
  <si>
    <t>0145217</t>
  </si>
  <si>
    <t>ธ. ไทยพาณิชย์ จำกัด (มหาชน) สาขา พังโคน (สกลนคร)</t>
  </si>
  <si>
    <t>0145218</t>
  </si>
  <si>
    <t>ธ. ไทยพาณิชย์ จำกัด (มหาชน) สาขา ลำทับ (กระบี่)</t>
  </si>
  <si>
    <t>0145219</t>
  </si>
  <si>
    <t>ธ. ไทยพาณิชย์ จำกัด (มหาชน) สาขา แก้งคร้อ (ชัยภูมิ)</t>
  </si>
  <si>
    <t>0145220</t>
  </si>
  <si>
    <t>ธ. ไทยพาณิชย์ จำกัด (มหาชน) สาขา ถนนบางขันธ์-คลองหลวง(วัดพระธรรมกาย)</t>
  </si>
  <si>
    <t>0145221</t>
  </si>
  <si>
    <t>ธ. ไทยพาณิชย์ จำกัด (มหาชน) สาขา ตลาดศาลายา</t>
  </si>
  <si>
    <t>0145222</t>
  </si>
  <si>
    <t>ธ. ไทยพาณิชย์ จำกัด (มหาชน) สาขา ท่าแซะ (ชุมพร)</t>
  </si>
  <si>
    <t>0145223</t>
  </si>
  <si>
    <t>ธ. ไทยพาณิชย์ จำกัด (มหาชน) สาขา โพนพิสัย (หนองคาย)</t>
  </si>
  <si>
    <t>0145224</t>
  </si>
  <si>
    <t>ธ. ไทยพาณิชย์ จำกัด (มหาชน) สาขา อัมพวา (สมุทรสงคราม)</t>
  </si>
  <si>
    <t>0145225</t>
  </si>
  <si>
    <t>ธ. ไทยพาณิชย์ จำกัด (มหาชน) สาขา สังขะ (สุรินทร์)</t>
  </si>
  <si>
    <t>0145226</t>
  </si>
  <si>
    <t>ธ. ไทยพาณิชย์ จำกัด (มหาชน) สาขา พิมาย (นครราชสีมา)</t>
  </si>
  <si>
    <t>0145227</t>
  </si>
  <si>
    <t>ธ. ไทยพาณิชย์ จำกัด (มหาชน) สาขา เทสโก้ โลตัส ชุมพร</t>
  </si>
  <si>
    <t>0145228</t>
  </si>
  <si>
    <t>ธ. ไทยพาณิชย์ จำกัด (มหาชน) สาขา เทสโก้ โลตัส กระทุ่มแบน</t>
  </si>
  <si>
    <t>0145229</t>
  </si>
  <si>
    <t>ธ. ไทยพาณิชย์ จำกัด (มหาชน) สาขา เทสโก้ โลตัส สุขาภิบาล 3</t>
  </si>
  <si>
    <t>0145230</t>
  </si>
  <si>
    <t>ธ. ไทยพาณิชย์ จำกัด (มหาชน) สาขา เทสโก้ โลตัส กัลปพฤกษ์</t>
  </si>
  <si>
    <t>0145231</t>
  </si>
  <si>
    <t>ธ. ไทยพาณิชย์ จำกัด (มหาชน) สาขา เทสโก้ โลตัส เลย</t>
  </si>
  <si>
    <t>0145232</t>
  </si>
  <si>
    <t>ธ. ไทยพาณิชย์ จำกัด (มหาชน) สาขา บิ๊กซี อำนาจเจริญ</t>
  </si>
  <si>
    <t>0145233</t>
  </si>
  <si>
    <t>ธ. ไทยพาณิชย์ จำกัด (มหาชน) สาขา บิ๊กซี กำแพงเพชร</t>
  </si>
  <si>
    <t>0145234</t>
  </si>
  <si>
    <t>ธ. ไทยพาณิชย์ จำกัด (มหาชน) สาขา พระแสง (สุราษฎร์ธานี)</t>
  </si>
  <si>
    <t>0145235</t>
  </si>
  <si>
    <t>ธ. ไทยพาณิชย์ จำกัด (มหาชน) สาขา คลินิกศูนย์แพทย์พัฒนา</t>
  </si>
  <si>
    <t>0145236</t>
  </si>
  <si>
    <t>ธ. ไทยพาณิชย์ จำกัด (มหาชน) สาขา สำนักงานอธิการบดี ม.ขอนแก่น</t>
  </si>
  <si>
    <t>0145237</t>
  </si>
  <si>
    <t>ธ. ไทยพาณิชย์ จำกัด (มหาชน) สาขา เทสโก้ โลตัส กาฬสินธุ์</t>
  </si>
  <si>
    <t>0145238</t>
  </si>
  <si>
    <t>ธ. ไทยพาณิชย์ จำกัด (มหาชน) สาขา เทสโก้ โลตัส บางบัวทอง</t>
  </si>
  <si>
    <t>0145239</t>
  </si>
  <si>
    <t>ธ. ไทยพาณิชย์ จำกัด (มหาชน) สาขา ถนนลาดปลาดุก (หมู่บ้านพฤกษา 3)</t>
  </si>
  <si>
    <t>0145240</t>
  </si>
  <si>
    <t>ธ. ไทยพาณิชย์ จำกัด (มหาชน) สาขา เซ็นเตอร์ วัน ช้อปปิ้ง พลาซ่า</t>
  </si>
  <si>
    <t>0145241</t>
  </si>
  <si>
    <t>ธ. ไทยพาณิชย์ จำกัด (มหาชน) สาขา ปาร์คพลาซ่า (พัฒนาการ 20)</t>
  </si>
  <si>
    <t>0145242</t>
  </si>
  <si>
    <t>ธ. ไทยพาณิชย์ จำกัด (มหาชน) สาขา สี่แยกกะทู้ (ภูเก็ต)</t>
  </si>
  <si>
    <t>0145243</t>
  </si>
  <si>
    <t>ธ. ไทยพาณิชย์ จำกัด (มหาชน) สาขา วังม่วง (สระบุรึ)</t>
  </si>
  <si>
    <t>0145244</t>
  </si>
  <si>
    <t>ธ. ไทยพาณิชย์ จำกัด (มหาชน) สาขา เทิง (เชียงราย)</t>
  </si>
  <si>
    <t>0145245</t>
  </si>
  <si>
    <t>ธ. ไทยพาณิชย์ จำกัด (มหาชน) สาขา วังน้ำเย็น (สระแก้ว)</t>
  </si>
  <si>
    <t>0145246</t>
  </si>
  <si>
    <t>ธ. ไทยพาณิชย์ จำกัด (มหาชน) สาขา บ้านดุง (อุดรธานี)</t>
  </si>
  <si>
    <t>0145247</t>
  </si>
  <si>
    <t>ธ. ไทยพาณิชย์ จำกัด (มหาชน) สาขา วาปีปทุม (มหาสารคาม)</t>
  </si>
  <si>
    <t>0145248</t>
  </si>
  <si>
    <t>ธ. ไทยพาณิชย์ จำกัด (มหาชน) สาขา ซอยสยามคันทรีคลับ (พัทยา)</t>
  </si>
  <si>
    <t>0145249</t>
  </si>
  <si>
    <t>ธ. ไทยพาณิชย์ จำกัด (มหาชน) สาขา ถนนสะแกงาม (พระราม 2)</t>
  </si>
  <si>
    <t>0145250</t>
  </si>
  <si>
    <t>ธ. ไทยพาณิชย์ จำกัด (มหาชน) สาขา เทสโก้ โลตัส สุขุมวิท 50</t>
  </si>
  <si>
    <t>0145251</t>
  </si>
  <si>
    <t>ธ. ไทยพาณิชย์ จำกัด (มหาชน) สาขา ท่าขอนยาง (มหาวิทยาลัยมหาสารคาม)</t>
  </si>
  <si>
    <t>0145252</t>
  </si>
  <si>
    <t>ธ. ไทยพาณิชย์ จำกัด (มหาชน) สาขา สะพานปลา (ระนอง)</t>
  </si>
  <si>
    <t>0145253</t>
  </si>
  <si>
    <t>ธ. ไทยพาณิชย์ จำกัด (มหาชน) สาขา ปัว (น่าน)</t>
  </si>
  <si>
    <t>0145254</t>
  </si>
  <si>
    <t>ธ. ไทยพาณิชย์ จำกัด (มหาชน) สาขา หลังสวน (ชุมพร)</t>
  </si>
  <si>
    <t>0145255</t>
  </si>
  <si>
    <t>ธ. ไทยพาณิชย์ จำกัด (มหาชน) สาขา ตลาดอุดมสุข (กบินทร์บุรี)</t>
  </si>
  <si>
    <t>0145256</t>
  </si>
  <si>
    <t>ธ. ไทยพาณิชย์ จำกัด (มหาชน) สาขา ปากท่อ (ราชบุรี)</t>
  </si>
  <si>
    <t>0145257</t>
  </si>
  <si>
    <t>ธ. ไทยพาณิชย์ จำกัด (มหาชน) สาขา บ่อทอง (ชลบุรี)</t>
  </si>
  <si>
    <t>0145258</t>
  </si>
  <si>
    <t>ธ. ไทยพาณิชย์ จำกัด (มหาชน) สาขา ตลาดสะพานแดง (รังสิตคลอง 1)</t>
  </si>
  <si>
    <t>0145259</t>
  </si>
  <si>
    <t>ธ. ไทยพาณิชย์ จำกัด (มหาชน) สาขา เทสโก้ โลตัส ตราด</t>
  </si>
  <si>
    <t>0145260</t>
  </si>
  <si>
    <t>ธ. ไทยพาณิชย์ จำกัด (มหาชน) สาขา เดอะเซอร์เคิล ราชพฤกษ์</t>
  </si>
  <si>
    <t>0145261</t>
  </si>
  <si>
    <t>ธ. ไทยพาณิชย์ จำกัด (มหาชน) สาขา ทุ่งยาว (ตรัง)</t>
  </si>
  <si>
    <t>0145262</t>
  </si>
  <si>
    <t>ธ. ไทยพาณิชย์ จำกัด (มหาชน) สาขา ศรีบุญเรือง (หนองบัวลำภู)</t>
  </si>
  <si>
    <t>0145263</t>
  </si>
  <si>
    <t>ธ. ไทยพาณิชย์ จำกัด (มหาชน) สาขา เกาะคา (ลำปาง)</t>
  </si>
  <si>
    <t>0145264</t>
  </si>
  <si>
    <t>ธ. ไทยพาณิชย์ จำกัด (มหาชน) สาขา ประจันตคาม (ปราจีนบุรี)</t>
  </si>
  <si>
    <t>0145265</t>
  </si>
  <si>
    <t>ธ. ไทยพาณิชย์ จำกัด (มหาชน) สาขา เทสโก้ โลตัส หาดใหญ่ใน</t>
  </si>
  <si>
    <t>0145266</t>
  </si>
  <si>
    <t>ธ. ไทยพาณิชย์ จำกัด (มหาชน) สาขา สลกบาตร (กำแพงเพชร)</t>
  </si>
  <si>
    <t>0145267</t>
  </si>
  <si>
    <t>ธ. ไทยพาณิชย์ จำกัด (มหาชน) สาขา บ้านแหลม (เพชรบุรี)</t>
  </si>
  <si>
    <t>0145268</t>
  </si>
  <si>
    <t>ธ. ไทยพาณิชย์ จำกัด (มหาชน) สาขา ทับสะแก (ประจวบคีรีขันธ์)</t>
  </si>
  <si>
    <t>0145269</t>
  </si>
  <si>
    <t>ธ. ไทยพาณิชย์ จำกัด (มหาชน) สาขา บึงกาฬ</t>
  </si>
  <si>
    <t>0145270</t>
  </si>
  <si>
    <t>ธ. ไทยพาณิชย์ จำกัด (มหาชน) สาขา วอเตอร์เกท พาวิลเลี่ยน</t>
  </si>
  <si>
    <t>0145271</t>
  </si>
  <si>
    <t>ธ. ไทยพาณิชย์ จำกัด (มหาชน) สาขา เคียนซา (สุราษฎร์ธานี)</t>
  </si>
  <si>
    <t>0145272</t>
  </si>
  <si>
    <t>ธ. ไทยพาณิชย์ จำกัด (มหาชน) สาขา เชียงดาว (เชียงใหม่)</t>
  </si>
  <si>
    <t>0145273</t>
  </si>
  <si>
    <t>ธ. ไทยพาณิชย์ จำกัด (มหาชน) สาขา ชะอวด (นครศรีธรรมราช)</t>
  </si>
  <si>
    <t>0145274</t>
  </si>
  <si>
    <t>ธ. ไทยพาณิชย์ จำกัด (มหาชน) สาขา ครบุรี (นครราชสีมา)</t>
  </si>
  <si>
    <t>0145275</t>
  </si>
  <si>
    <t>ธ. ไทยพาณิชย์ จำกัด (มหาชน) สาขา คลองท่อม (กระบี่)</t>
  </si>
  <si>
    <t>0145276</t>
  </si>
  <si>
    <t>ธ. ไทยพาณิชย์ จำกัด (มหาชน) สาขา เซ็นทรัลพลาซา พิษณุโลก</t>
  </si>
  <si>
    <t>0145277</t>
  </si>
  <si>
    <t>ธ. ไทยพาณิชย์ จำกัด (มหาชน) สาขา เทสโก้ โลตัส ตาก</t>
  </si>
  <si>
    <t>0145278</t>
  </si>
  <si>
    <t>ธ. ไทยพาณิชย์ จำกัด (มหาชน) สาขา เทสโก้ โลตัส ถลาง (ภูเก็ต)</t>
  </si>
  <si>
    <t>0145279</t>
  </si>
  <si>
    <t>ธ. ไทยพาณิชย์ จำกัด (มหาชน) สาขา เทสโก้ โลตัส โคราช 2</t>
  </si>
  <si>
    <t>0145280</t>
  </si>
  <si>
    <t>ธ. ไทยพาณิชย์ จำกัด (มหาชน) สาขา เทอร์มินอล 21</t>
  </si>
  <si>
    <t>0145281</t>
  </si>
  <si>
    <t>ธ. ไทยพาณิชย์ จำกัด (มหาชน) สาขา หันคา (ชัยนาท)</t>
  </si>
  <si>
    <t>0145282</t>
  </si>
  <si>
    <t>ธ. ไทยพาณิชย์ จำกัด (มหาชน) สาขา เดอะวอล์ค ราชพฤกษ์</t>
  </si>
  <si>
    <t>0145283</t>
  </si>
  <si>
    <t>ธ. ไทยพาณิชย์ จำกัด (มหาชน) สาขา ตลาดบางศรีเมือง</t>
  </si>
  <si>
    <t>0145284</t>
  </si>
  <si>
    <t>ธ. ไทยพาณิชย์ จำกัด (มหาชน) สาขา ดอนยายหอม (นครปฐม)</t>
  </si>
  <si>
    <t>0145285</t>
  </si>
  <si>
    <t>ธ. ไทยพาณิชย์ จำกัด (มหาชน) สาขา ตลาดสระทอง (ร้อยเอ็ด)</t>
  </si>
  <si>
    <t>0145286</t>
  </si>
  <si>
    <t>ธ. ไทยพาณิชย์ จำกัด (มหาชน) สาขา สถาบันบัณฑิตศึกษาจุฬาภรณ์</t>
  </si>
  <si>
    <t>0145287</t>
  </si>
  <si>
    <t>ธ. ไทยพาณิชย์ จำกัด (มหาชน) สาขา ตลาดนาเกลือ (พัทยา)</t>
  </si>
  <si>
    <t>0145288</t>
  </si>
  <si>
    <t>ธ. ไทยพาณิชย์ จำกัด (มหาชน) สาขา ถนนสุขุมวิท-พัทยากลาง</t>
  </si>
  <si>
    <t>0145289</t>
  </si>
  <si>
    <t>ธ. ไทยพาณิชย์ จำกัด (มหาชน) สาขา ร่อนพิบูลย์ (นครศรีธรรมราช)</t>
  </si>
  <si>
    <t>0145290</t>
  </si>
  <si>
    <t>ธ. ไทยพาณิชย์ จำกัด (มหาชน) สาขา อาคารสาทร สแควร์</t>
  </si>
  <si>
    <t>0145291</t>
  </si>
  <si>
    <t>ธ. ไทยพาณิชย์ จำกัด (มหาชน) สาขา ขุขันธ์ (ศรีสะเกษ)</t>
  </si>
  <si>
    <t>0145292</t>
  </si>
  <si>
    <t>ธ. ไทยพาณิชย์ จำกัด (มหาชน) สาขา อ่าวลึก (กระบี่)</t>
  </si>
  <si>
    <t>0145293</t>
  </si>
  <si>
    <t>ธ. ไทยพาณิชย์ จำกัด (มหาชน) สาขา นิคมพัฒนา (ระยอง)</t>
  </si>
  <si>
    <t>0145294</t>
  </si>
  <si>
    <t>ธ. ไทยพาณิชย์ จำกัด (มหาชน) สาขา เทสโก้ โลตัส ท่ายาง (เพชรบุรี)</t>
  </si>
  <si>
    <t>0145295</t>
  </si>
  <si>
    <t>ธ. ไทยพาณิชย์ จำกัด (มหาชน) สาขา เทสโก้ โลตัส ขอนแก่น 2</t>
  </si>
  <si>
    <t>0145296</t>
  </si>
  <si>
    <t>ธ. ไทยพาณิชย์ จำกัด (มหาชน) สาขา ตึกคอม ชลบุรี</t>
  </si>
  <si>
    <t>0145297</t>
  </si>
  <si>
    <t>ธ. ไทยพาณิชย์ จำกัด (มหาชน) สาขา เพียวเพลส ราชพฤกษ์</t>
  </si>
  <si>
    <t>0145298</t>
  </si>
  <si>
    <t>ธ. ไทยพาณิชย์ จำกัด (มหาชน) สาขา เอเชียทีค เดอะริเวอร์ฟร้อนท์</t>
  </si>
  <si>
    <t>0145299</t>
  </si>
  <si>
    <t>ธ. ไทยพาณิชย์ จำกัด (มหาชน) สาขา ศรีประจันต์ (สุพรรณบุรี)</t>
  </si>
  <si>
    <t>0145300</t>
  </si>
  <si>
    <t>ธ. ไทยพาณิชย์ จำกัด (มหาชน) สาขา เซ็นทรัลพลาซา แกรนด์ พระราม 9</t>
  </si>
  <si>
    <t>0145301</t>
  </si>
  <si>
    <t>ธ. ไทยพาณิชย์ จำกัด (มหาชน) สาขา บิ๊กซี จันทบุรี</t>
  </si>
  <si>
    <t>0145302</t>
  </si>
  <si>
    <t>ธ. ไทยพาณิชย์ จำกัด (มหาชน) สาขา อุทุมพรพิสัย (ศรีสะเกษ)</t>
  </si>
  <si>
    <t>0145303</t>
  </si>
  <si>
    <t>ธ. ไทยพาณิชย์ จำกัด (มหาชน) สาขา ถนนศรีภูวนารถ (หาดใหญ่)</t>
  </si>
  <si>
    <t>0145304</t>
  </si>
  <si>
    <t>ธ. ไทยพาณิชย์ จำกัด (มหาชน) สาขา ลาดยาว (นครสวรรค์)</t>
  </si>
  <si>
    <t>0145305</t>
  </si>
  <si>
    <t>ธ. ไทยพาณิชย์ จำกัด (มหาชน) สาขา โรงพยาบาลศิริราช ปิยมหาราชการุณย์</t>
  </si>
  <si>
    <t>0145306</t>
  </si>
  <si>
    <t>ธ. ไทยพาณิชย์ จำกัด (มหาชน) สาขา เทสโก้ โลตัส ปราจีนบุรี</t>
  </si>
  <si>
    <t>0145307</t>
  </si>
  <si>
    <t>ธ. ไทยพาณิชย์ จำกัด (มหาชน) สาขา เถิน (ลำปาง)</t>
  </si>
  <si>
    <t>0145308</t>
  </si>
  <si>
    <t>ธ. ไทยพาณิชย์ จำกัด (มหาชน) สาขา ตลาดศรีเมือง (ราชบุรี)</t>
  </si>
  <si>
    <t>0145309</t>
  </si>
  <si>
    <t>ธ. ไทยพาณิชย์ จำกัด (มหาชน) สาขา ซี.เค.พลาซ่า (ระยอง)</t>
  </si>
  <si>
    <t>0145310</t>
  </si>
  <si>
    <t>ธ. ไทยพาณิชย์ จำกัด (มหาชน) สาขา MEGA BANGNA</t>
  </si>
  <si>
    <t>0145311</t>
  </si>
  <si>
    <t>ธ. ไทยพาณิชย์ จำกัด (มหาชน) สาขา เทสโก้ โลตัส หนองบัวลำภู</t>
  </si>
  <si>
    <t>0145312</t>
  </si>
  <si>
    <t>ธ. ไทยพาณิชย์ จำกัด (มหาชน) สาขา นครไทย (พิษณุโลก)</t>
  </si>
  <si>
    <t>0145313</t>
  </si>
  <si>
    <t>ธ. ไทยพาณิชย์ จำกัด (มหาชน) สาขา น้ำโสม (อุดรธานี)</t>
  </si>
  <si>
    <t>0145314</t>
  </si>
  <si>
    <t>ธ. ไทยพาณิชย์ จำกัด (มหาชน) สาขา บ้านแพง (นครพนม)</t>
  </si>
  <si>
    <t>0145315</t>
  </si>
  <si>
    <t>ธ. ไทยพาณิชย์ จำกัด (มหาชน) สาขา ด่านซ้าย (เลย)</t>
  </si>
  <si>
    <t>0145316</t>
  </si>
  <si>
    <t>ธ. ไทยพาณิชย์ จำกัด (มหาชน) สาขา โรบินสัน สุพรรณบุรี</t>
  </si>
  <si>
    <t>0145317</t>
  </si>
  <si>
    <t>ธ. ไทยพาณิชย์ จำกัด (มหาชน) สาขา หัวไทร (นครศรีธรรมราช)</t>
  </si>
  <si>
    <t>0145318</t>
  </si>
  <si>
    <t>ธ. ไทยพาณิชย์ จำกัด (มหาชน) สาขา ประโคนชัย (บุรีรัมย์)</t>
  </si>
  <si>
    <t>0145319</t>
  </si>
  <si>
    <t>ธ. ไทยพาณิชย์ จำกัด (มหาชน) สาขา ลำปลายมาศ (บุรีรัมย์)</t>
  </si>
  <si>
    <t>0145320</t>
  </si>
  <si>
    <t>ธ. ไทยพาณิชย์ จำกัด (มหาชน) สาขา ธัญญะ ช็อปปิ้ง พาร์ค (ศรีนครินทร์)</t>
  </si>
  <si>
    <t>0145321</t>
  </si>
  <si>
    <t>ธ. ไทยพาณิชย์ จำกัด (มหาชน) สาขา คีรีรัฐนิคม (สุราษฎร์ธานี)</t>
  </si>
  <si>
    <t>0145322</t>
  </si>
  <si>
    <t>ธ. ไทยพาณิชย์ จำกัด (มหาชน) สาขา พอร์โต้ ชิโน่ (พระราม 2)</t>
  </si>
  <si>
    <t>0145323</t>
  </si>
  <si>
    <t>ธ. ไทยพาณิชย์ จำกัด (มหาชน) สาขา มหาวิทยาลัยทักษิณ (พัทลุง)</t>
  </si>
  <si>
    <t>0145324</t>
  </si>
  <si>
    <t>ธ. ไทยพาณิชย์ จำกัด (มหาชน) สาขา เขาปีบ (ชุมพร)</t>
  </si>
  <si>
    <t>0145325</t>
  </si>
  <si>
    <t>ธ. ไทยพาณิชย์ จำกัด (มหาชน) สาขา ตลาดไท 2</t>
  </si>
  <si>
    <t>0145326</t>
  </si>
  <si>
    <t>ธ. ไทยพาณิชย์ จำกัด (มหาชน) สาขา เทสโก้ โลตัส บ้านบึง-แกลง</t>
  </si>
  <si>
    <t>0145327</t>
  </si>
  <si>
    <t>ธ. ไทยพาณิชย์ จำกัด (มหาชน) สาขา กาญจนดิษฐ์ (สุราษฎร์ธานี)</t>
  </si>
  <si>
    <t>0145328</t>
  </si>
  <si>
    <t>ธ. ไทยพาณิชย์ จำกัด (มหาชน) สาขา ตึกคอม แลนด์มาร์ค อุดรธานี</t>
  </si>
  <si>
    <t>0145329</t>
  </si>
  <si>
    <t>ธ. ไทยพาณิชย์ จำกัด (มหาชน) สาขา รัษฎา (ตรัง)</t>
  </si>
  <si>
    <t>0145330</t>
  </si>
  <si>
    <t>ธ. ไทยพาณิชย์ จำกัด (มหาชน) สาขา สามแยกบางบอน</t>
  </si>
  <si>
    <t>0145331</t>
  </si>
  <si>
    <t>ธ. ไทยพาณิชย์ จำกัด (มหาชน) สาขา ศูนย์การค้าเกตเวย์ เอกมัย</t>
  </si>
  <si>
    <t>0145332</t>
  </si>
  <si>
    <t>ธ. ไทยพาณิชย์ จำกัด (มหาชน) สาขา บิ๊กซี เลย</t>
  </si>
  <si>
    <t>0145333</t>
  </si>
  <si>
    <t>ธ. ไทยพาณิชย์ จำกัด (มหาชน) สาขา เทสโก้ โลตัส รามอินทรา</t>
  </si>
  <si>
    <t>0145334</t>
  </si>
  <si>
    <t>ธ. ไทยพาณิชย์ จำกัด (มหาชน) สาขา รัตภูมิ (สงขลา)</t>
  </si>
  <si>
    <t>0145335</t>
  </si>
  <si>
    <t>ธ. ไทยพาณิชย์ จำกัด (มหาชน) สาขา บิ๊กซี มุกดาหาร</t>
  </si>
  <si>
    <t>0145336</t>
  </si>
  <si>
    <t>ธ. ไทยพาณิชย์ จำกัด (มหาชน) สาขา เซ็นทรัลพลาซา สุราษฎร์ธานี</t>
  </si>
  <si>
    <t>0145337</t>
  </si>
  <si>
    <t>ธ. ไทยพาณิชย์ จำกัด (มหาชน) สาขา เทสโก้ โลตัส สระบุรี</t>
  </si>
  <si>
    <t>0145338</t>
  </si>
  <si>
    <t>ธ. ไทยพาณิชย์ จำกัด (มหาชน) อาคารบ.ผลิตไฟฟ้าราชบุรีโฮลฯ(งามวงศ์วาน)</t>
  </si>
  <si>
    <t>0145339</t>
  </si>
  <si>
    <t>ธ. ไทยพาณิชย์ จำกัด (มหาชน) สาขา สมเด็จ (กาฬสินธุ์)</t>
  </si>
  <si>
    <t>0145340</t>
  </si>
  <si>
    <t>ธ. ไทยพาณิชย์ จำกัด (มหาชน) สาขา ศูนย์การค้าสีลม คอมเพล็กซ์</t>
  </si>
  <si>
    <t>0145341</t>
  </si>
  <si>
    <t>ธ. ไทยพาณิชย์ จำกัด (มหาชน) สาขา รอยัลพารากอน</t>
  </si>
  <si>
    <t>0145342</t>
  </si>
  <si>
    <t>ธ. ไทยพาณิชย์ จำกัด (มหาชน) สาขา เทสโก้ โลตัส นครอินทร์</t>
  </si>
  <si>
    <t>0145343</t>
  </si>
  <si>
    <t>ธ. ไทยพาณิชย์ จำกัด (มหาชน) สาขา เซ็นทรัลพลาซา ลำปาง</t>
  </si>
  <si>
    <t>0145344</t>
  </si>
  <si>
    <t>ธ. ไทยพาณิชย์ จำกัด (มหาชน) สาขา แม็กซ์แวลู พัฒนาการ</t>
  </si>
  <si>
    <t>0145345</t>
  </si>
  <si>
    <t>ธ. ไทยพาณิชย์ จำกัด (มหาชน) สาขา อุทยานการอาชีพชัยพัฒนา (นครปฐม)</t>
  </si>
  <si>
    <t>0145346</t>
  </si>
  <si>
    <t>ธ. ไทยพาณิชย์ จำกัด (มหาชน) สาขา เทสโก้ โลตัส สะเดา</t>
  </si>
  <si>
    <t>0145347</t>
  </si>
  <si>
    <t>ธ. ไทยพาณิชย์ จำกัด (มหาชน) สาขา เสนาเฟสท์ (เจริญนคร)</t>
  </si>
  <si>
    <t>0145348</t>
  </si>
  <si>
    <t>ธ. ไทยพาณิชย์ จำกัด (มหาชน) สาขา บิ๊กซี นครสวรรค์ 2</t>
  </si>
  <si>
    <t>0145349</t>
  </si>
  <si>
    <t>ธ. ไทยพาณิชย์ จำกัด (มหาชน) สาขา เทสโก้ โลตัส ท่าทอง พิษณุโลก</t>
  </si>
  <si>
    <t>0145350</t>
  </si>
  <si>
    <t>ธ. ไทยพาณิชย์ จำกัด (มหาชน) สาขา ถนนเตชะวนิช (ปูนซิเมนต์ไทย)</t>
  </si>
  <si>
    <t>0145351</t>
  </si>
  <si>
    <t>ธ. ไทยพาณิชย์ จำกัด (มหาชน) สาขา พรอมเมนาดาเชียงใหม่</t>
  </si>
  <si>
    <t>0145352</t>
  </si>
  <si>
    <t>ธ. ไทยพาณิชย์ จำกัด (มหาชน) สาขา โรงพยาบาลจุฬาลงกรณ์ (อาคาร ภปร.)</t>
  </si>
  <si>
    <t>0145353</t>
  </si>
  <si>
    <t>ธ. ไทยพาณิชย์ จำกัด (มหาชน) สาขา วัดไร่ขิง (สามพราน)</t>
  </si>
  <si>
    <t>0145354</t>
  </si>
  <si>
    <t>ธ. ไทยพาณิชย์ จำกัด (มหาชน) สาขา เสริมไทย คอมเพล็กซ์ (มหาสารคาม)</t>
  </si>
  <si>
    <t>0145355</t>
  </si>
  <si>
    <t>ธ. ไทยพาณิชย์ จำกัด (มหาชน) สาขา เดอะ เวเนเซีย หัวหิน</t>
  </si>
  <si>
    <t>0145356</t>
  </si>
  <si>
    <t>ธ. ไทยพาณิชย์ จำกัด (มหาชน) สาขา บิ๊กซี ร้อยเอ็ด</t>
  </si>
  <si>
    <t>0145357</t>
  </si>
  <si>
    <t>ธ. ไทยพาณิชย์ จำกัด (มหาชน) สาขา เทสโก้ โลตัส แม่สอด (ถนนสายเอเชีย)</t>
  </si>
  <si>
    <t>0145358</t>
  </si>
  <si>
    <t>ธ. ไทยพาณิชย์ จำกัด (มหาชน) สาขา เทสโก้ โลตัส พัฒนาการ</t>
  </si>
  <si>
    <t>0145359</t>
  </si>
  <si>
    <t>ธ. ไทยพาณิชย์ จำกัด (มหาชน) สาขา โรบินสัน กาญจนบุรี</t>
  </si>
  <si>
    <t>0145360</t>
  </si>
  <si>
    <t>ธ. ไทยพาณิชย์ จำกัด (มหาชน) สาขา มหาวิทยาลัยรามคำแหง (หัวหมาก)</t>
  </si>
  <si>
    <t>0145361</t>
  </si>
  <si>
    <t>ธ. ไทยพาณิชย์ จำกัด (มหาชน) สาขา อิมพีเรียลเวิลด์ สำโรง 2</t>
  </si>
  <si>
    <t>0145362</t>
  </si>
  <si>
    <t>ธ. ไทยพาณิชย์ จำกัด (มหาชน) สาขา เทสโก้ โลตัส นครสวรรค์</t>
  </si>
  <si>
    <t>0145363</t>
  </si>
  <si>
    <t>ธ. ไทยพาณิชย์ จำกัด (มหาชน) สาขา เซ็นทรัลพลาซา อุบลราชธานี</t>
  </si>
  <si>
    <t>0145364</t>
  </si>
  <si>
    <t>ธ. ไทยพาณิชย์ จำกัด (มหาชน) สาขา บิ๊กซี อ่างทอง</t>
  </si>
  <si>
    <t>0145365</t>
  </si>
  <si>
    <t>ธ. ไทยพาณิชย์ จำกัด (มหาชน) สาขา โรบินสัน สกลนคร</t>
  </si>
  <si>
    <t>0145366</t>
  </si>
  <si>
    <t>ธ. ไทยพาณิชย์ จำกัด (มหาชน) สาขา บิ๊กซี กาฬสินธุ์</t>
  </si>
  <si>
    <t>0145367</t>
  </si>
  <si>
    <t>ธ. ไทยพาณิชย์ จำกัด (มหาชน) สาขา โรงพยาบาลธรรมศาสตร์เฉลิมพระเกียรติ</t>
  </si>
  <si>
    <t>0145368</t>
  </si>
  <si>
    <t>ธ. ไทยพาณิชย์ จำกัด (มหาชน) สาขา เทสโก้ โลตัส สมุทรสงคราม</t>
  </si>
  <si>
    <t>0145369</t>
  </si>
  <si>
    <t>ธ. ไทยพาณิชย์ จำกัด (มหาชน) สาขา ตลาดเซฟวัน (นครราชสีมา)</t>
  </si>
  <si>
    <t>0145370</t>
  </si>
  <si>
    <t>ธ. ไทยพาณิชย์ จำกัด (มหาชน) สาขา  The Ninth Towers Grand Rama 9</t>
  </si>
  <si>
    <t>0145371</t>
  </si>
  <si>
    <t>ธ. ไทยพาณิชย์ จำกัด (มหาชน) สาขา พยัคฆภูมิพิสัย (มหาสารคาม)</t>
  </si>
  <si>
    <t>0145372</t>
  </si>
  <si>
    <t>ธ. ไทยพาณิชย์ จำกัด (มหาชน) สาขา เซ็นทรัลเฟสติวัล เชียงใหม่</t>
  </si>
  <si>
    <t>0145373</t>
  </si>
  <si>
    <t>ธ. ไทยพาณิชย์ จำกัด (มหาชน) สาขา เซ็นทรัลเฟสติวัล หาดใหญ่</t>
  </si>
  <si>
    <t>0145374</t>
  </si>
  <si>
    <t>ธ. ไทยพาณิชย์ จำกัด (มหาชน) สาขา เชียงคาน (เลย)</t>
  </si>
  <si>
    <t>0145375</t>
  </si>
  <si>
    <t>ธ. ไทยพาณิชย์ จำกัด (มหาชน) สาขา บิ๊กซี สมุทรสงคราม</t>
  </si>
  <si>
    <t>0145376</t>
  </si>
  <si>
    <t>ธ. ไทยพาณิชย์ จำกัด (มหาชน) สาขา เทสโก้ โลตัส รวมโชค (เชียงใหม่)</t>
  </si>
  <si>
    <t>0145377</t>
  </si>
  <si>
    <t>ธ. ไทยพาณิชย์ จำกัด (มหาชน) สาขา บิ๊กซี สุพรรณบุรี</t>
  </si>
  <si>
    <t>0145378</t>
  </si>
  <si>
    <t>ธ. ไทยพาณิชย์ จำกัด (มหาชน) สาขา เทสโก้ โลตัส อุดรธานี</t>
  </si>
  <si>
    <t>0145379</t>
  </si>
  <si>
    <t>ธ. ไทยพาณิชย์ จำกัด (มหาชน) สาขา หนองบัวแดง (ชัยภูมิ)</t>
  </si>
  <si>
    <t>0145380</t>
  </si>
  <si>
    <t>ธ. ไทยพาณิชย์ จำกัด (มหาชน) สาขา ศูนย์การค้าเดอะพาซิโอ ทาวน์ (สุขาภิ</t>
  </si>
  <si>
    <t>0145381</t>
  </si>
  <si>
    <t>ธ. ไทยพาณิชย์ จำกัด (มหาชน) สาขา เทสโก้ โลตัส แกลง (ระยอง)</t>
  </si>
  <si>
    <t>0145382</t>
  </si>
  <si>
    <t>ธ. ไทยพาณิชย์ จำกัด (มหาชน) สาขา โรบินสัน สระบุรี</t>
  </si>
  <si>
    <t>0145383</t>
  </si>
  <si>
    <t>ธ. ไทยพาณิชย์ จำกัด (มหาชน) สาขา บิ๊กซี ตรัง</t>
  </si>
  <si>
    <t>0145384</t>
  </si>
  <si>
    <t>ธ. ไทยพาณิชย์ จำกัด (มหาชน) สาขา โรบินสัน สุรินทร์</t>
  </si>
  <si>
    <t>0145385</t>
  </si>
  <si>
    <t>ธ. ไทยพาณิชย์ จำกัด (มหาชน) สาขา บิ๊กซี พิษณุโลก</t>
  </si>
  <si>
    <t>0145386</t>
  </si>
  <si>
    <t>ธ. ไทยพาณิชย์ จำกัด (มหาชน) สาขา เทอร์มินอล 21 โคราช</t>
  </si>
  <si>
    <t>0145387</t>
  </si>
  <si>
    <t>ธ. ไทยพาณิชย์ จำกัด (มหาชน) สาขา เทสโก้ โลตัส สงขลา</t>
  </si>
  <si>
    <t>0145388</t>
  </si>
  <si>
    <t>ธ. ไทยพาณิชย์ จำกัด (มหาชน) สาขา เทสโก้ โลตัส ฉลอง (ภูเก็ต)</t>
  </si>
  <si>
    <t>0145389</t>
  </si>
  <si>
    <t>ธ. ไทยพาณิชย์ จำกัด (มหาชน) สาขา ตลาดบูรพาซิตี้ (บางวัว)</t>
  </si>
  <si>
    <t>0145390</t>
  </si>
  <si>
    <t>ธ. ไทยพาณิชย์ จำกัด (มหาชน) สาขา เซ็นทรัล เอ็มบาสซี</t>
  </si>
  <si>
    <t>0145391</t>
  </si>
  <si>
    <t>ธ. ไทยพาณิชย์ จำกัด (มหาชน) สาขา ถนนพระราม 2 (วัดเกตุมดีศรีวราราม)</t>
  </si>
  <si>
    <t>0145392</t>
  </si>
  <si>
    <t>ธ. ไทยพาณิชย์ จำกัด (มหาชน) สาขา เทสโก้ โลตัส โรจนะ (อยุธยา)</t>
  </si>
  <si>
    <t>0145393</t>
  </si>
  <si>
    <t>ธ. ไทยพาณิชย์ จำกัด (มหาชน) สาขา เทสโก้ โลตัส ตรัง</t>
  </si>
  <si>
    <t>0145394</t>
  </si>
  <si>
    <t>ธ. ไทยพาณิชย์ จำกัด (มหาชน) สาขา เทสโก้ โลตัส เดอะวอล์ค (นครสวรรค์)</t>
  </si>
  <si>
    <t>0145395</t>
  </si>
  <si>
    <t>ธ. ไทยพาณิชย์ จำกัด (มหาชน) สาขา เซ็นทรัลเฟสติวัล สมุย</t>
  </si>
  <si>
    <t>0145396</t>
  </si>
  <si>
    <t>ธ. ไทยพาณิชย์ จำกัด (มหาชน) สาขา บิ๊กซี กาญจนบุรี</t>
  </si>
  <si>
    <t>0145397</t>
  </si>
  <si>
    <t>ธ. ไทยพาณิชย์ จำกัด (มหาชน) สาขา มหาวิทยาลัยราชภัฏธนบุรี</t>
  </si>
  <si>
    <t>0145398</t>
  </si>
  <si>
    <t>ธ. ไทยพาณิชย์ จำกัด (มหาชน) สาขา บิ๊กซี นครพนม</t>
  </si>
  <si>
    <t>0145399</t>
  </si>
  <si>
    <t>ธ. ไทยพาณิชย์ จำกัด (มหาชน) สาขา บิ๊กซี ศรีมหาโพธิ</t>
  </si>
  <si>
    <t>0145400</t>
  </si>
  <si>
    <t>ธ. ไทยพาณิชย์ จำกัด (มหาชน) สาขา ถนนรามอินทรา (เดอะพรอมานาด)</t>
  </si>
  <si>
    <t>0145401</t>
  </si>
  <si>
    <t>ธ. ไทยพาณิชย์ จำกัด (มหาชน) สาขา กระบุรี (ระนอง)</t>
  </si>
  <si>
    <t>0145402</t>
  </si>
  <si>
    <t>ธ. ไทยพาณิชย์ จำกัด (มหาชน) สาขา เทสโก้ โลตัส นครนายก</t>
  </si>
  <si>
    <t>0145403</t>
  </si>
  <si>
    <t>ธ. ไทยพาณิชย์ จำกัด (มหาชน) สาขา เซ็นทรัลพลาซา ศาลายา</t>
  </si>
  <si>
    <t>0145404</t>
  </si>
  <si>
    <t>ธ. ไทยพาณิชย์ จำกัด (มหาชน) สาขา แม่แตง (เชียงใหม่)</t>
  </si>
  <si>
    <t>0145405</t>
  </si>
  <si>
    <t>ธ. ไทยพาณิชย์ จำกัด (มหาชน) สาขา ชนแดน (เพชรบูรณ์)</t>
  </si>
  <si>
    <t>0145406</t>
  </si>
  <si>
    <t>ธ. ไทยพาณิชย์ จำกัด (มหาชน) สาขา โรบินสัน ปราจีนบุรี</t>
  </si>
  <si>
    <t>0145407</t>
  </si>
  <si>
    <t>ธ. ไทยพาณิชย์ จำกัด (มหาชน) สาขา บ้านหมี่ (ลพบุรี)</t>
  </si>
  <si>
    <t>0145408</t>
  </si>
  <si>
    <t>ธ. ไทยพาณิชย์ จำกัด (มหาชน) สาขา โรบินสัน ร้อยเอ็ด</t>
  </si>
  <si>
    <t>0145409</t>
  </si>
  <si>
    <t>ธ. ไทยพาณิชย์ จำกัด (มหาชน) สาขา เทสโก้ โลตัส บางใหญ่</t>
  </si>
  <si>
    <t>0145410</t>
  </si>
  <si>
    <t>ธ. ไทยพาณิชย์ จำกัด (มหาชน) สาขา สำเพ็ง 2 (ถนนกัลปพฤกษ์)</t>
  </si>
  <si>
    <t>0145411</t>
  </si>
  <si>
    <t>ธ. ไทยพาณิชย์ จำกัด (มหาชน) สาขา  AIA CAPITAL CENTER (ถนนรัชดาภิเษก)</t>
  </si>
  <si>
    <t>0145412</t>
  </si>
  <si>
    <t>ธ. ไทยพาณิชย์ จำกัด (มหาชน) สาขา เทสโก้ โลตัส สมุทรสาคร</t>
  </si>
  <si>
    <t>0145413</t>
  </si>
  <si>
    <t>ธ. ไทยพาณิชย์ จำกัด (มหาชน) สาขา สวี (ชุมพร)</t>
  </si>
  <si>
    <t>0145414</t>
  </si>
  <si>
    <t>ธ. ไทยพาณิชย์ จำกัด (มหาชน) สาขา โรบินสัน ฉะเชิงเทรา</t>
  </si>
  <si>
    <t>0145415</t>
  </si>
  <si>
    <t>ธ. ไทยพาณิชย์ จำกัด (มหาชน) สาขา มหาวิทยาลัยธรรมศาสตร์ ศูนย์รังสิต</t>
  </si>
  <si>
    <t>0145416</t>
  </si>
  <si>
    <t>ธ. ไทยพาณิชย์ จำกัด (มหาชน) สาขา แม่สาย 2</t>
  </si>
  <si>
    <t>0145417</t>
  </si>
  <si>
    <t>ธ. ไทยพาณิชย์ จำกัด (มหาชน) สาขา เทสโก้ โลตัส บางเลน (นครปฐม)</t>
  </si>
  <si>
    <t>0145418</t>
  </si>
  <si>
    <t>ธ. ไทยพาณิชย์ จำกัด (มหาชน) สาขา โรบินสัน สมุทรปราการ</t>
  </si>
  <si>
    <t>0145419</t>
  </si>
  <si>
    <t>ธ. ไทยพาณิชย์ จำกัด (มหาชน) สาขา เดอะคริสตัล ราชพฤกษ์</t>
  </si>
  <si>
    <t>0145420</t>
  </si>
  <si>
    <t>ธ. ไทยพาณิชย์ จำกัด (มหาชน) สาขา เดอะคริสตัล พีทีที</t>
  </si>
  <si>
    <t>0145421</t>
  </si>
  <si>
    <t>ธ. ไทยพาณิชย์ จำกัด (มหาชน) สาขา สี่แยกชะอำ (เพชรบุรี)</t>
  </si>
  <si>
    <t>0145422</t>
  </si>
  <si>
    <t>ธ. ไทยพาณิชย์ จำกัด (มหาชน) สาขา โรบินสัน มุกดาหาร</t>
  </si>
  <si>
    <t>0145423</t>
  </si>
  <si>
    <t>ธ. ไทยพาณิชย์ จำกัด (มหาชน) สาขา อัศวรรณช้อปปิ้งคอมเพล็กซ์2(หนองคาย)</t>
  </si>
  <si>
    <t>0145424</t>
  </si>
  <si>
    <t>ธ. ไทยพาณิชย์ จำกัด (มหาชน) สาขา เทสโก้ โลตัส คลองหลวง</t>
  </si>
  <si>
    <t>0145425</t>
  </si>
  <si>
    <t>ธ. ไทยพาณิชย์ จำกัด (มหาชน) สาขา โรงพยาบาลมหาราชนครเชียงใหม่</t>
  </si>
  <si>
    <t>0145426</t>
  </si>
  <si>
    <t>ธ. ไทยพาณิชย์ จำกัด (มหาชน) สาขา  U-Place Grand Rama 9</t>
  </si>
  <si>
    <t>0145427</t>
  </si>
  <si>
    <t>ธ. ไทยพาณิชย์ จำกัด (มหาชน) สาขา BluPort Hua Hin</t>
  </si>
  <si>
    <t>0145428</t>
  </si>
  <si>
    <t>ธ. ไทยพาณิชย์ จำกัด (มหาชน) สาขา เด่นห้า (เชียงราย)</t>
  </si>
  <si>
    <t>0145429</t>
  </si>
  <si>
    <t>ธ. ไทยพาณิชย์ จำกัด (มหาชน) สาขา เดิมบางนางบวช (สุพรรณบุรี)</t>
  </si>
  <si>
    <t>0145430</t>
  </si>
  <si>
    <t>ธ. ไทยพาณิชย์ จำกัด (มหาชน) สาขา เอ็มควอเทียร์</t>
  </si>
  <si>
    <t>0145431</t>
  </si>
  <si>
    <t>ธ. ไทยพาณิชย์ จำกัด (มหาชน) สาขา ปะทิว (ชุมพร)</t>
  </si>
  <si>
    <t>0145432</t>
  </si>
  <si>
    <t>ธ. ไทยพาณิชย์ จำกัด (มหาชน) สาขา โรงพยาบาลกรุงเทพ เชียงใหม่</t>
  </si>
  <si>
    <t>0145433</t>
  </si>
  <si>
    <t>ธ. ไทยพาณิชย์ จำกัด (มหาชน) สาขา เซ็นทรัลพลาซา ระยอง</t>
  </si>
  <si>
    <t>0145434</t>
  </si>
  <si>
    <t>ธ. ไทยพาณิชย์ จำกัด (มหาชน) สาขา ตระการพืชผล (อุบลราชธานี)</t>
  </si>
  <si>
    <t>0145435</t>
  </si>
  <si>
    <t>ธ. ไทยพาณิชย์ จำกัด (มหาชน) สาขา โรบินสัน บุรีรัมย์</t>
  </si>
  <si>
    <t>0145436</t>
  </si>
  <si>
    <t>ธ. ไทยพาณิชย์ จำกัด (มหาชน) สาขา นิคมอุตสาหกรรมสินสาคร (สมุทรสาคร)</t>
  </si>
  <si>
    <t>0145437</t>
  </si>
  <si>
    <t>ธ. ไทยพาณิชย์ จำกัด (มหาชน) สาขา ท่าตะโก (นครสวรรค์)</t>
  </si>
  <si>
    <t>0145438</t>
  </si>
  <si>
    <t>ธ. ไทยพาณิชย์ จำกัด (มหาชน) สาขา บิ๊กซี น่าน</t>
  </si>
  <si>
    <t>0145439</t>
  </si>
  <si>
    <t>ธ. ไทยพาณิชย์ จำกัด (มหาชน) สาขา ม.ศรีนครินทรวิโรฒประสานมิตร</t>
  </si>
  <si>
    <t>0145440</t>
  </si>
  <si>
    <t>ธ. ไทยพาณิชย์ จำกัด (มหาชน) สาขา ศูนย์การค้าเพลินนารี่ (ถนนวัชรพล)</t>
  </si>
  <si>
    <t>0145441</t>
  </si>
  <si>
    <t>ธ. ไทยพาณิชย์ จำกัด (มหาชน) สาขา ไชยปราการ (เชียงใหม่)</t>
  </si>
  <si>
    <t>0145442</t>
  </si>
  <si>
    <t>ธ. ไทยพาณิชย์ จำกัด (มหาชน) สาขา เทสโก้ โลตัส ปราสาท (สุรินทร์)</t>
  </si>
  <si>
    <t>0145443</t>
  </si>
  <si>
    <t>ธ. ไทยพาณิชย์ จำกัด (มหาชน) สาขา โรบินสัน ศรีสมาน</t>
  </si>
  <si>
    <t>0145444</t>
  </si>
  <si>
    <t>ธ. ไทยพาณิชย์ จำกัด (มหาชน) สาขา ตลาดมหาชัย 2</t>
  </si>
  <si>
    <t>0145445</t>
  </si>
  <si>
    <t>ธ. ไทยพาณิชย์ จำกัด (มหาชน) สาขา บ้านไร่ (อุทัยธานี)</t>
  </si>
  <si>
    <t>0145446</t>
  </si>
  <si>
    <t>ธ. ไทยพาณิชย์ จำกัด (มหาชน) สาขา สยามพลาซ่า (นครปฐม)</t>
  </si>
  <si>
    <t>0145447</t>
  </si>
  <si>
    <t>ธ. ไทยพาณิชย์ จำกัด (มหาชน) สาขา โรบินสัน เพชรบุรี</t>
  </si>
  <si>
    <t>0145448</t>
  </si>
  <si>
    <t>ธ. ไทยพาณิชย์ จำกัด (มหาชน) สาขา โรบินสัน แม่สอด</t>
  </si>
  <si>
    <t>0145449</t>
  </si>
  <si>
    <t>ธ. ไทยพาณิชย์ จำกัด (มหาชน) สาขา โอเชี่ยนช้อปปิ้งมอลล์ ชุมพร</t>
  </si>
  <si>
    <t>0145450</t>
  </si>
  <si>
    <t>ธ. ไทยพาณิชย์ จำกัด (มหาชน) สาขา เดอะพาซิโอ พาร์ค (ถนนกาญจนาภิเษก)</t>
  </si>
  <si>
    <t>0145451</t>
  </si>
  <si>
    <t>ธ. ไทยพาณิชย์ จำกัด (มหาชน) สาขา ท่าอากาศยานดอนเมือง (TERMINAL 2)</t>
  </si>
  <si>
    <t>0145452</t>
  </si>
  <si>
    <t>ธ. ไทยพาณิชย์ จำกัด (มหาชน) สาขา  HABITO (อ่อนนุช)</t>
  </si>
  <si>
    <t>0145453</t>
  </si>
  <si>
    <t>ธ. ไทยพาณิชย์ จำกัด (มหาชน) สาขา  G Tower Grand Rama 9</t>
  </si>
  <si>
    <t>0145454</t>
  </si>
  <si>
    <t>ธ. ไทยพาณิชย์ จำกัด (มหาชน) สาขา เซ็นทรัล นครศรีธรรมราช</t>
  </si>
  <si>
    <t>0145455</t>
  </si>
  <si>
    <t>ธ. ไทยพาณิชย์ จำกัด (มหาชน) สาขา  FYI CENTER (ถนนพระราม 4)</t>
  </si>
  <si>
    <t>0145456</t>
  </si>
  <si>
    <t>ธ. ไทยพาณิชย์ จำกัด (มหาชน) สาขา โรบินสัน ลพบุรี</t>
  </si>
  <si>
    <t>0145457</t>
  </si>
  <si>
    <t>ธ. ไทยพาณิชย์ จำกัด (มหาชน) สาขา เทสโก้ โลตัส ปทุมธานี</t>
  </si>
  <si>
    <t>0145458</t>
  </si>
  <si>
    <t>ธ. ไทยพาณิชย์ จำกัด (มหาชน) สาขา  PEARL BANGKOK</t>
  </si>
  <si>
    <t>0145459</t>
  </si>
  <si>
    <t>ธ. ไทยพาณิชย์ จำกัด (มหาชน) สาขา โรบินสัน กำแพงเพชร</t>
  </si>
  <si>
    <t>0145460</t>
  </si>
  <si>
    <t>ธ. ไทยพาณิชย์ จำกัด (มหาชน) สาขา เซ็นทรัลพลาซา เวสต์เกต</t>
  </si>
  <si>
    <t>0145467</t>
  </si>
  <si>
    <t>ธ. ไทยพาณิชย์ จำกัด (มหาชน) สาขา เทสโก้ โลตัส ยโสธร</t>
  </si>
  <si>
    <t>0145468</t>
  </si>
  <si>
    <t>ธ. ไทยพาณิชย์ จำกัด (มหาชน) สาขา โรงพยาบาลกรุงเทพ (ซอยศูนย์วิจัย)</t>
  </si>
  <si>
    <t>0145469</t>
  </si>
  <si>
    <t>ธ. ไทยพาณิชย์ จำกัด (มหาชน) สาขา มหาวิทยาลัยเกษตรศาสตร์ ศรีราชา</t>
  </si>
  <si>
    <t>0145470</t>
  </si>
  <si>
    <t>ธ. ไทยพาณิชย์ จำกัด (มหาชน) สาขา เซ็นทรัลเฟสติวัล อีสต์วิลล์</t>
  </si>
  <si>
    <t>0145471</t>
  </si>
  <si>
    <t>ธ. ไทยพาณิชย์ จำกัด (มหาชน) สาขา เซ็นทรัลพลาซา นครราชสีมา</t>
  </si>
  <si>
    <t>0145472</t>
  </si>
  <si>
    <t>ธ. ไทยพาณิชย์ จำกัด (มหาชน) สาขา โรงพยาบาลรามาธิบดีจักรีนฤบดินทร์</t>
  </si>
  <si>
    <t>0145473</t>
  </si>
  <si>
    <t>ธ. ไทยพาณิชย์ จำกัด (มหาชน) สาขา มหาวิทยาลัยบูรพา</t>
  </si>
  <si>
    <t>0145474</t>
  </si>
  <si>
    <t>ธ. ไทยพาณิชย์ จำกัด (มหาชน) สาขา ท่าอากาศยานภูเก็ต</t>
  </si>
  <si>
    <t>0145475</t>
  </si>
  <si>
    <t>ธ. ไทยพาณิชย์ จำกัด (มหาชน) สาขา เทอร์มินอล 21 พัทยา</t>
  </si>
  <si>
    <t>0145480</t>
  </si>
  <si>
    <t>ธ. ไทยพาณิชย์ จำกัด (มหาชน) สาขา ICONSIAM  (เจริญนคร)</t>
  </si>
  <si>
    <t>0145481</t>
  </si>
  <si>
    <t>ธ. ไทยพาณิชย์ จำกัด (มหาชน) สาขา เซ็นทรัลพลาซา มหาชัย</t>
  </si>
  <si>
    <t>0145490</t>
  </si>
  <si>
    <t>ธ. ไทยพาณิชย์ จำกัด (มหาชน) สาขา พระที่นั่งอัมพรสถาน</t>
  </si>
  <si>
    <t>0145504</t>
  </si>
  <si>
    <t>ธ. ไทยพาณิชย์ จำกัด (มหาชน) สาขา SCB EXPRESS @เดอะเรสแอเรียประชาชื่น</t>
  </si>
  <si>
    <t>0145507</t>
  </si>
  <si>
    <t>ธ. ไทยพาณิชย์ จำกัด (มหาชน) สาขา SCB EXPRESS @ เทสโก้โลตัสบางนา-ตราด</t>
  </si>
  <si>
    <t>0145508</t>
  </si>
  <si>
    <t>ธ. ไทยพาณิชย์ จำกัด (มหาชน) สาขา SCB EXPRESS @ สิงห์ คอมเพล็กซ์</t>
  </si>
  <si>
    <t>0145681</t>
  </si>
  <si>
    <t>ธ. ไทยพาณิชย์ จำกัด (มหาชน) สาขา SCB Service Center เซ็นทรัลเวิลด์</t>
  </si>
  <si>
    <t>0145683</t>
  </si>
  <si>
    <t>0145701</t>
  </si>
  <si>
    <t>ธ. ไทยพาณิชย์ จำกัด (มหาชน) สาขา Central PlazaNakhonRatchasima</t>
  </si>
  <si>
    <t>0145702</t>
  </si>
  <si>
    <t>ธ. ไทยพาณิชย์ จำกัด (มหาชน) สาขา SCB Investment Center-Central World</t>
  </si>
  <si>
    <t>0145703</t>
  </si>
  <si>
    <t>ธ. ไทยพาณิชย์ จำกัด (มหาชน) สาขา ศูนย์ฯ เซ็นทรัลพลาซาขอนแก่น</t>
  </si>
  <si>
    <t>0145704</t>
  </si>
  <si>
    <t>ธ. ไทยพาณิชย์ จำกัด (มหาชน) สาขา ศูนย์ฯ เซ็นทรัลพลาซาพระราม2</t>
  </si>
  <si>
    <t>0145712</t>
  </si>
  <si>
    <t>ธ. ไทยพาณิชย์ จำกัด (มหาชน) สาขา SCB Investment Center-Seacon Square</t>
  </si>
  <si>
    <t>0145713</t>
  </si>
  <si>
    <t>ธ. ไทยพาณิชย์ จำกัด (มหาชน) สาขา Ministry of Public Health</t>
  </si>
  <si>
    <t>0145714</t>
  </si>
  <si>
    <t>ธ. ไทยพาณิชย์ จำกัด (มหาชน) สาขา SCB InvestmentCenter CentralEmbassy</t>
  </si>
  <si>
    <t>0145715</t>
  </si>
  <si>
    <t>ธ. ไทยพาณิชย์ จำกัด (มหาชน) สาขา SCBInvestmentCenter-CentralPhraram3</t>
  </si>
  <si>
    <t>0145716</t>
  </si>
  <si>
    <t>ธ. ไทยพาณิชย์ จำกัด (มหาชน) สาขา SCB InvestmentCentralPhuketFloresta</t>
  </si>
  <si>
    <t>0145730</t>
  </si>
  <si>
    <t>ธ. ไทยพาณิชย์ จำกัด (มหาชน) สาขา SCB Investment Center – ICONSIAM</t>
  </si>
  <si>
    <t>0145742</t>
  </si>
  <si>
    <t>ธ. ไทยพาณิชย์ จำกัด (มหาชน) สาขา Sasin School Of Management</t>
  </si>
  <si>
    <t>0145851</t>
  </si>
  <si>
    <t>ธ. ไทยพาณิชย์ จำกัด (มหาชน) ศูนย์SME สาขา เซ็นทรัลเวิลด์</t>
  </si>
  <si>
    <t>0145852</t>
  </si>
  <si>
    <t>ธ. ไทยพาณิชย์ จำกัด (มหาชน) ศูนย์SME สาขา สยามสแควร์</t>
  </si>
  <si>
    <t>0145853</t>
  </si>
  <si>
    <t>ธ. ไทยพาณิชย์ จำกัด (มหาชน) สาขา ศูนย์ธุรกิจเอสเอ็มอี สำเพ็ง</t>
  </si>
  <si>
    <t>0145854</t>
  </si>
  <si>
    <t>ธ. ไทยพาณิชย์ จำกัด (มหาชน) ศูนย์SME สาขา เซ็นทรัลเฟสติวัลอีสต์วิลล์</t>
  </si>
  <si>
    <t>0145865</t>
  </si>
  <si>
    <t>ธ. ไทยพาณิชย์ จำกัด (มหาชน) สาขา ศูนย์ธุรกิจเอสเอ็มอี แม่สาย 2</t>
  </si>
  <si>
    <t>0145866</t>
  </si>
  <si>
    <t>ธ. ไทยพาณิชย์ จำกัด (มหาชน) สาขา ศูนย์ธุรกิจเอสเอ็มอีตลาดหนองมน</t>
  </si>
  <si>
    <t>0146701</t>
  </si>
  <si>
    <t>ธ. ไทยพาณิชย์ จำกัด (มหาชน) สาขา เดอะมอลล์ รามคำแหง (301)</t>
  </si>
  <si>
    <t>0146702</t>
  </si>
  <si>
    <t>ธ. ไทยพาณิชย์ จำกัด (มหาชน) สาขา เดอะมอลล์ รามคำแหง (302)</t>
  </si>
  <si>
    <t>0146703</t>
  </si>
  <si>
    <t>ธ. ไทยพาณิชย์ จำกัด (มหาชน) สาขา เดอะมอลล์ รามคำแหง (303)</t>
  </si>
  <si>
    <t>0146704</t>
  </si>
  <si>
    <t>ธ. ไทยพาณิชย์ จำกัด (มหาชน) สาขา เดอะมอลล์ ท่าพระ (501)</t>
  </si>
  <si>
    <t>0146705</t>
  </si>
  <si>
    <t>ธ. ไทยพาณิชย์ จำกัด (มหาชน) สาขา เดอะมอลล์ ท่าพระ (502)</t>
  </si>
  <si>
    <t>0146706</t>
  </si>
  <si>
    <t>ธ. ไทยพาณิชย์ จำกัด (มหาชน) สาขา เดอะมอลล์ ท่าพระ (503)</t>
  </si>
  <si>
    <t>0146707</t>
  </si>
  <si>
    <t>ธ. ไทยพาณิชย์ จำกัด (มหาชน) สาขา เดอะมอลล์ ท่าพระ (504)</t>
  </si>
  <si>
    <t>0146708</t>
  </si>
  <si>
    <t>ธ. ไทยพาณิชย์ จำกัด (มหาชน) สาขา เดอะมอลล์ ท่าพระ (505)</t>
  </si>
  <si>
    <t>0146709</t>
  </si>
  <si>
    <t>ธ. ไทยพาณิชย์ จำกัด (มหาชน) สาขา เดอะมอลล์ ท่าพระ (506)</t>
  </si>
  <si>
    <t>0146710</t>
  </si>
  <si>
    <t>ธ. ไทยพาณิชย์ จำกัด (มหาชน) สาขา เดอะมอลล์ ท่าพระ (507)</t>
  </si>
  <si>
    <t>0146711</t>
  </si>
  <si>
    <t>ธ. ไทยพาณิชย์ จำกัด (มหาชน) สาขา เดอะมอลล์ งามวงศ์วาน (601)</t>
  </si>
  <si>
    <t>0146712</t>
  </si>
  <si>
    <t>ธ. ไทยพาณิชย์ จำกัด (มหาชน) สาขา เดอะมอลล์ งามวงศ์วาน (602)</t>
  </si>
  <si>
    <t>0146713</t>
  </si>
  <si>
    <t>ธ. ไทยพาณิชย์ จำกัด (มหาชน) สาขา เดอะมอลล์ งามวงศ์วาน (603)</t>
  </si>
  <si>
    <t>0146714</t>
  </si>
  <si>
    <t>ธ. ไทยพาณิชย์ จำกัด (มหาชน) สาขา เดอะมอลล์ งามวงศ์วาน (604)</t>
  </si>
  <si>
    <t>0146715</t>
  </si>
  <si>
    <t>ธ. ไทยพาณิชย์ จำกัด (มหาชน) สาขา เดอะมอลล์ งามวงศ์วาน (605)</t>
  </si>
  <si>
    <t>0146716</t>
  </si>
  <si>
    <t>ธ. ไทยพาณิชย์ จำกัด (มหาชน) สาขา เดอะมอลล์ งามวงศ์วาน (606)</t>
  </si>
  <si>
    <t>0146717</t>
  </si>
  <si>
    <t>ธ. ไทยพาณิชย์ จำกัด (มหาชน) สาขา เดอะมอลล์ งามวงศ์วาน (607)</t>
  </si>
  <si>
    <t>0146718</t>
  </si>
  <si>
    <t>ธ. ไทยพาณิชย์ จำกัด (มหาชน) สาขา เดอะมอลล์ บางแค (701)</t>
  </si>
  <si>
    <t>0146719</t>
  </si>
  <si>
    <t>ธ. ไทยพาณิชย์ จำกัด (มหาชน) สาขา เดอะมอลล์ บางแค (702)</t>
  </si>
  <si>
    <t>0146720</t>
  </si>
  <si>
    <t>ธ. ไทยพาณิชย์ จำกัด (มหาชน) สาขา เดอะมอลล์ บางแค (703)</t>
  </si>
  <si>
    <t>0146721</t>
  </si>
  <si>
    <t>ธ. ไทยพาณิชย์ จำกัด (มหาชน) สาขา เดอะมอลล์ บางแค (704)</t>
  </si>
  <si>
    <t>0146722</t>
  </si>
  <si>
    <t>ธ. ไทยพาณิชย์ จำกัด (มหาชน) สาขา เดอะมอลล์ บางแค (705)</t>
  </si>
  <si>
    <t>0146723</t>
  </si>
  <si>
    <t>ธ. ไทยพาณิชย์ จำกัด (มหาชน) สาขา เดอะมอลล์ บางแค (706)</t>
  </si>
  <si>
    <t>0146724</t>
  </si>
  <si>
    <t>ธ. ไทยพาณิชย์ จำกัด (มหาชน) สาขา เดอะมอลล์ บางกะปิ (801)</t>
  </si>
  <si>
    <t>0146725</t>
  </si>
  <si>
    <t>ธ. ไทยพาณิชย์ จำกัด (มหาชน) สาขา เดอะมอลล์ บางกะปิ (802)</t>
  </si>
  <si>
    <t>0146726</t>
  </si>
  <si>
    <t>ธ. ไทยพาณิชย์ จำกัด (มหาชน) สาขา เดอะมอลล์ บางกะปิ (803)</t>
  </si>
  <si>
    <t>0146727</t>
  </si>
  <si>
    <t>ธ. ไทยพาณิชย์ จำกัด (มหาชน) สาขา เดอะมอลล์ บางกะปิ (804)</t>
  </si>
  <si>
    <t>0146728</t>
  </si>
  <si>
    <t>ธ. ไทยพาณิชย์ จำกัด (มหาชน) สาขา เดอะมอลล์ บางกะปิ (805)</t>
  </si>
  <si>
    <t>0146729</t>
  </si>
  <si>
    <t>ธ. ไทยพาณิชย์ จำกัด (มหาชน) สาขา เดอะมอลล์ บางกะปิ (806)</t>
  </si>
  <si>
    <t>0146730</t>
  </si>
  <si>
    <t>ธ. ไทยพาณิชย์ จำกัด (มหาชน) สาขา เดอะมอลล์ นครราชสีมา (1001)</t>
  </si>
  <si>
    <t>0146731</t>
  </si>
  <si>
    <t>ธ. ไทยพาณิชย์ จำกัด (มหาชน) สาขา เดอะมอลล์ นครราชสีมา (1002)</t>
  </si>
  <si>
    <t>0146732</t>
  </si>
  <si>
    <t>ธ. ไทยพาณิชย์ จำกัด (มหาชน) สาขา เดอะมอลล์ นครราชสีมา (1003)</t>
  </si>
  <si>
    <t>0146733</t>
  </si>
  <si>
    <t>ธ. ไทยพาณิชย์ จำกัด (มหาชน) สาขา เดอะมอลล์ นครราชสีมา (1004)</t>
  </si>
  <si>
    <t>0146734</t>
  </si>
  <si>
    <t>ธ. ไทยพาณิชย์ จำกัด (มหาชน) สาขา เดอะมอลล์ นครราชสีมา (1005)</t>
  </si>
  <si>
    <t>0146735</t>
  </si>
  <si>
    <t>ธ. ไทยพาณิชย์ จำกัด (มหาชน) สาขา เดอะมอลล์ นครราชสีมา (1006)</t>
  </si>
  <si>
    <t>0146736</t>
  </si>
  <si>
    <t>ธ. ไทยพาณิชย์ จำกัด (มหาชน) สาขา ดิ เอ็มโพเรียม (901)</t>
  </si>
  <si>
    <t>0146737</t>
  </si>
  <si>
    <t>ธ. ไทยพาณิชย์ จำกัด (มหาชน) สาขา ดิ เอ็มโพเรียม (902)</t>
  </si>
  <si>
    <t>0146738</t>
  </si>
  <si>
    <t>ธ. ไทยพาณิชย์ จำกัด (มหาชน) สาขา ดิ เอ็มโพเรียม (903)</t>
  </si>
  <si>
    <t>0146739</t>
  </si>
  <si>
    <t>ธ. ไทยพาณิชย์ จำกัด (มหาชน) สาขา ดิ เอ็มควอร์เทียร์ (1201)</t>
  </si>
  <si>
    <t>0146740</t>
  </si>
  <si>
    <t>ธ. ไทยพาณิชย์ จำกัด (มหาชน) สาขา ดิ เอ็มควอร์เทียร์ (1202)</t>
  </si>
  <si>
    <t>0146741</t>
  </si>
  <si>
    <t>ธ. ไทยพาณิชย์ จำกัด (มหาชน) สาขา ดิ เอ็มควอร์เทียร์ (1203)</t>
  </si>
  <si>
    <t>0146742</t>
  </si>
  <si>
    <t>ธ. ไทยพาณิชย์ จำกัด (มหาชน) สาขา ดิ เอ็มควอร์เทียร์ (1204)</t>
  </si>
  <si>
    <t>0146743</t>
  </si>
  <si>
    <t>ธ. ไทยพาณิชย์ จำกัด (มหาชน) สาขา ดิ เอ็มควอร์เทียร์ (1205)</t>
  </si>
  <si>
    <t>0146744</t>
  </si>
  <si>
    <t>ธ. ไทยพาณิชย์ จำกัด (มหาชน) สาขา พารากอน (1101)</t>
  </si>
  <si>
    <t>0146745</t>
  </si>
  <si>
    <t>ธ. ไทยพาณิชย์ จำกัด (มหาชน) สาขา พารากอน (1102)</t>
  </si>
  <si>
    <t>0146746</t>
  </si>
  <si>
    <t>ธ. ไทยพาณิชย์ จำกัด (มหาชน) สาขา พารากอน (1103)</t>
  </si>
  <si>
    <t>0146747</t>
  </si>
  <si>
    <t>ธ. ไทยพาณิชย์ จำกัด (มหาชน) สาขา พารากอน (1104)</t>
  </si>
  <si>
    <t>0146748</t>
  </si>
  <si>
    <t>ธ. ไทยพาณิชย์ จำกัด (มหาชน) สาขา พารากอน (1105)</t>
  </si>
  <si>
    <t>0146749</t>
  </si>
  <si>
    <t>ธ. ไทยพาณิชย์ จำกัด (มหาชน) สาขา พารากอน (1106)</t>
  </si>
  <si>
    <t>0146750</t>
  </si>
  <si>
    <t>ธ. ไทยพาณิชย์ จำกัด (มหาชน) สาขา พารากอน (1107)</t>
  </si>
  <si>
    <t>0146751</t>
  </si>
  <si>
    <t>ธ. ไทยพาณิชย์ จำกัด (มหาชน) สาขา บลูพอร์ต หัวหิน (1401)</t>
  </si>
  <si>
    <t>0146752</t>
  </si>
  <si>
    <t>ธ. ไทยพาณิชย์ จำกัด (มหาชน) สาขา บลูพอร์ต หัวหิน (1402)</t>
  </si>
  <si>
    <t>0146753</t>
  </si>
  <si>
    <t>ธ. ไทยพาณิชย์ จำกัด (มหาชน) สาขา บลูพอร์ต หัวหิน (1403)</t>
  </si>
  <si>
    <t>0146754</t>
  </si>
  <si>
    <t>ธ. ไทยพาณิชย์ จำกัด (มหาชน) กูร์เมต์มาเก็ต สาขา พรอมานาด (1301)</t>
  </si>
  <si>
    <t>0146755</t>
  </si>
  <si>
    <t>ธ. ไทยพาณิชย์ จำกัด (มหาชน) จุดให้บริการ-กูร์เมต์มาเก็ต สาขา ซีดีซี</t>
  </si>
  <si>
    <t>0146756</t>
  </si>
  <si>
    <t>ธ. ไทยพาณิชย์ จำกัด (มหาชน) กูร์เมต์มาเก็ต สาขา เทอมินัล 21 (1601)</t>
  </si>
  <si>
    <t>0146757</t>
  </si>
  <si>
    <t>ธ. ไทยพาณิชย์ จำกัด (มหาชน) กูร์เมต์มาเก็ต สาขา เอ็มอาร์ที ลาดพร้าว</t>
  </si>
  <si>
    <t>0146842</t>
  </si>
  <si>
    <t>ธ. ไทยพาณิชย์ จำกัด (มหาชน) สาขา  คิง เพาเวอร์ รางน้ำ</t>
  </si>
  <si>
    <t>0150060</t>
  </si>
  <si>
    <t>ธ. นครหลวงไทย จำกัด (มหาชน) สาขา โชคชัย 4</t>
  </si>
  <si>
    <t>0150304</t>
  </si>
  <si>
    <t>ธ. นครหลวงไทย จำกัด (มหาชน สาขา ตรัง</t>
  </si>
  <si>
    <t>0170001</t>
  </si>
  <si>
    <t>ธ. ซิตี้แบงก์ สาขา กรุงเทพมหานคร</t>
  </si>
  <si>
    <t>0170002</t>
  </si>
  <si>
    <t>ธ. ซิตี้แบงก์ เอ็น.เอ. สาขา เดอะคริสตัล</t>
  </si>
  <si>
    <t>0170003</t>
  </si>
  <si>
    <t>ธ. ซิตี้แบงก์ เอ็น.เอ. สาขา เซ็นทรัลเวิลด์</t>
  </si>
  <si>
    <t>0170100</t>
  </si>
  <si>
    <t>ธ. ซิตี้แบงก์ เอ็น.เอ. สาขา กรุงเทพฯ กิจการวิเทศธนกิจ</t>
  </si>
  <si>
    <t>0170150</t>
  </si>
  <si>
    <t>ธ. ซิตี้แบงก์ เอ็น.เอ. สาขา สำนักงานวิเทศธนกิจระยอง</t>
  </si>
  <si>
    <t>0170151</t>
  </si>
  <si>
    <t>ธ. ซิตี้แบงก์ เอ็น.เอ. สาขา สำนักงานวิเทศธนกิจ สาขา สงขลา</t>
  </si>
  <si>
    <t>0180001</t>
  </si>
  <si>
    <t>ธ. ซูมิโตโม มิตซุย แบงกิ้ง คอร์ปอเรชั่น สาขา กรุงเทพฯ</t>
  </si>
  <si>
    <t>0180002</t>
  </si>
  <si>
    <t>ธ. ซูมิโตโม มิตซุย แบงกิ้ง คอร์ปอเรชั่น สาขา ย่อยราชวงศ์</t>
  </si>
  <si>
    <t>0180003</t>
  </si>
  <si>
    <t>ธ. ซูมิโตโม มิตซุย แบงกิ้ง คอร์ปอเรชั่น สาขา กรุงเทพฯ กิจการวิเทศธนกิจ</t>
  </si>
  <si>
    <t>0180004</t>
  </si>
  <si>
    <t>ธ. ซูมิโตโม มิตซุย แบงกิ้ง คอร์ปอเรชั่น สาขา สำนักงานวิเทศธนกิจ สาขา ชลบุรี</t>
  </si>
  <si>
    <t>0180005</t>
  </si>
  <si>
    <t>ธ. ซูมิโตโม มิตซุย แบงกิ้ง คอร์ปอเรชั่น สาขา สนง.วิเทศธนกิจ สาขาพระนครศรีอยุธยา</t>
  </si>
  <si>
    <t>0180102</t>
  </si>
  <si>
    <t>ธ. ซูมิโตโม มิตซุย แบงกิ้ง คอร์ปอเรชั่น สาขา ชลบุรี</t>
  </si>
  <si>
    <t>0200001</t>
  </si>
  <si>
    <t>ธ. สแตนดาร์ดชาร์เตอร์ด (ไทย) จำกัด (มหาชน) สำนักงานใหญ่</t>
  </si>
  <si>
    <t>0200002</t>
  </si>
  <si>
    <t>ธ. สแตนดาร์ดชาร์เตอร์ด (ไทย) จำกัด (มหาชน) สาขา ท่าดินแดง</t>
  </si>
  <si>
    <t>0200003</t>
  </si>
  <si>
    <t>ธ. สแตนดาร์ดชาร์เตอร์ด (ไทย) จำกัด (มหาชน) สาขา โคกสำโรง</t>
  </si>
  <si>
    <t>0200004</t>
  </si>
  <si>
    <t>ธ. สแตนดาร์ดชาร์เตอร์ด (ไทย) จำกัด (มหาชน) สาขา ปู่เจ้าสมิงพราย</t>
  </si>
  <si>
    <t>0200005</t>
  </si>
  <si>
    <t>ธ. สแตนดาร์ดชาร์เตอร์ด (ไทย) จำกัด (มหาชน) สาขา สำเพ็ง</t>
  </si>
  <si>
    <t>0200006</t>
  </si>
  <si>
    <t>ธ. สแตนดาร์ดชาร์เตอร์ด (ไทย) จำกัด (มหาชน) สาขา ดาวคะนอง</t>
  </si>
  <si>
    <t>0200007</t>
  </si>
  <si>
    <t>ธ. สแตนดาร์ดชาร์เตอร์ด (ไทย) จำกัด (มหาชน) สาขา นครราชสีมา</t>
  </si>
  <si>
    <t>0200008</t>
  </si>
  <si>
    <t>ธ. สแตนดาร์ดชาร์เตอร์ด (ไทย) จำกัด (มหาชน) สาขา ประดิพัทธ์</t>
  </si>
  <si>
    <t>0200009</t>
  </si>
  <si>
    <t>ธ. สแตนดาร์ดชาร์เตอร์ด (ไทย) จำกัด (มหาชน) สาขา บางรัก</t>
  </si>
  <si>
    <t>0200010</t>
  </si>
  <si>
    <t>ธ. สแตนดาร์ดชาร์เตอร์ด (ไทย) จำกัด (มหาชน) สาขา สุขุมวิท71</t>
  </si>
  <si>
    <t>0200011</t>
  </si>
  <si>
    <t>ธ. สแตนดาร์ดชาร์เตอร์ด (ไทย) จำกัด (มหาชน) สาขา ชลบุรี</t>
  </si>
  <si>
    <t>0200012</t>
  </si>
  <si>
    <t>ธ. สแตนดาร์ดชาร์เตอร์ด (ไทย) จำกัด (มหาชน) สาขา ปากช่อง</t>
  </si>
  <si>
    <t>0200013</t>
  </si>
  <si>
    <t>ธ. สแตนดาร์ดชาร์เตอร์ด (ไทย) จำกัด (มหาชน) สาขา มหานาค</t>
  </si>
  <si>
    <t>0200014</t>
  </si>
  <si>
    <t>ธ. สแตนดาร์ดชาร์เตอร์ด (ไทย) จำกัด (มหาชน) สาขา บางแค</t>
  </si>
  <si>
    <t>0200015</t>
  </si>
  <si>
    <t>ธ. สแตนดาร์ดชาร์เตอร์ด (ไทย) จำกัด (มหาชน) สาขา ขอนแก่น</t>
  </si>
  <si>
    <t>0200016</t>
  </si>
  <si>
    <t>ธ. สแตนดาร์ดชาร์เตอร์ด (ไทย) จำกัด (มหาชน) สาขา สุรวงศ์</t>
  </si>
  <si>
    <t>0200017</t>
  </si>
  <si>
    <t>ธ. สแตนดาร์ดชาร์เตอร์ด (ไทย) จำกัด (มหาชน) สาขา พระราม4</t>
  </si>
  <si>
    <t>0200018</t>
  </si>
  <si>
    <t>ธ. สแตนดาร์ดชาร์เตอร์ด (ไทย) จำกัด (มหาชน) สาขา จารุเมือง</t>
  </si>
  <si>
    <t>0200019</t>
  </si>
  <si>
    <t>ธ. สแตนดาร์ดชาร์เตอร์ด (ไทย) จำกัด (มหาชน) สาขา สาธุประดิษฐ์</t>
  </si>
  <si>
    <t>0200020</t>
  </si>
  <si>
    <t>ธ. สแตนดาร์ดชาร์เตอร์ด (ไทย) จำกัด (มหาชน) สาขา อุดรธานี</t>
  </si>
  <si>
    <t>0200021</t>
  </si>
  <si>
    <t>ธ. สแตนดาร์ดชาร์เตอร์ด (ไทย) จำกัด (มหาชน) สาขา คลองเตย</t>
  </si>
  <si>
    <t>0200022</t>
  </si>
  <si>
    <t>ธ. สแตนดาร์ดชาร์เตอร์ด (ไทย) จำกัด (มหาชน) สาขา บางลำพู</t>
  </si>
  <si>
    <t>0200023</t>
  </si>
  <si>
    <t>ธ. สแตนดาร์ดชาร์เตอร์ด (ไทย) จำกัด (มหาชน) สาขา วงเวียนใหญ่</t>
  </si>
  <si>
    <t>0200024</t>
  </si>
  <si>
    <t>ธ. สแตนดาร์ดชาร์เตอร์ด (ไทย) จำกัด (มหาชน) สาขา สะพานใหม่ดอนเมือง</t>
  </si>
  <si>
    <t>0200025</t>
  </si>
  <si>
    <t>ธ. สแตนดาร์ดชาร์เตอร์ด (ไทย) จำกัด (มหาชน) สาขา นครปฐม</t>
  </si>
  <si>
    <t>0200026</t>
  </si>
  <si>
    <t>ธ. สแตนดาร์ดชาร์เตอร์ด (ไทย) จำกัด (มหาชน) สาขา เจริญกรุง</t>
  </si>
  <si>
    <t>0200027</t>
  </si>
  <si>
    <t>ธ. สแตนดาร์ดชาร์เตอร์ด (ไทย) จำกัด (มหาชน) สาขา ลาดพร้าว</t>
  </si>
  <si>
    <t>0200028</t>
  </si>
  <si>
    <t>ธ. สแตนดาร์ดชาร์เตอร์ด (ไทย) จำกัด (มหาชน) สาขา ประตูน้ำ</t>
  </si>
  <si>
    <t>0200029</t>
  </si>
  <si>
    <t>ธ. สแตนดาร์ดชาร์เตอร์ด (ไทย) จำกัด (มหาชน) สาขา เชียงใหม่</t>
  </si>
  <si>
    <t>0200030</t>
  </si>
  <si>
    <t>ธ. สแตนดาร์ดชาร์เตอร์ด (ไทย) จำกัด (มหาชน) สาขา ย่อยบ้านห้วย</t>
  </si>
  <si>
    <t>0200031</t>
  </si>
  <si>
    <t>ธ. สแตนดาร์ดชาร์เตอร์ด (ไทย) จำกัด (มหาชน) สาขา หนองม่วง</t>
  </si>
  <si>
    <t>0200032</t>
  </si>
  <si>
    <t>ธ. สแตนดาร์ดชาร์เตอร์ด (ไทย) จำกัด (มหาชน) สาขา เซ็นทรัลแจ้งวัฒนะ</t>
  </si>
  <si>
    <t>0200033</t>
  </si>
  <si>
    <t>ธ. สแตนดาร์ดชาร์เตอร์ด (ไทย) จำกัด (มหาชน) สาขา จันทบุรี</t>
  </si>
  <si>
    <t>0200034</t>
  </si>
  <si>
    <t>ธ. สแตนดาร์ดชาร์เตอร์ด (ไทย) จำกัด (มหาชน) สาขา พระปิ่นเกล้า</t>
  </si>
  <si>
    <t>0200035</t>
  </si>
  <si>
    <t>ธ. สแตนดาร์ดชาร์เตอร์ด (ไทย) จำกัด (มหาชน) สาขา เจริญนคร</t>
  </si>
  <si>
    <t>0200036</t>
  </si>
  <si>
    <t>ธ. สแตนดาร์ดชาร์เตอร์ด (ไทย) จำกัด (มหาชน) สาขา งามวงศ์วาน</t>
  </si>
  <si>
    <t>0200037</t>
  </si>
  <si>
    <t>ธ. สแตนดาร์ดชาร์เตอร์ด (ไทย) จำกัด (มหาชน) สาขา โบ๊เบ๊</t>
  </si>
  <si>
    <t>0200038</t>
  </si>
  <si>
    <t>ธ. สแตนดาร์ดชาร์เตอร์ด (ไทย) จำกัด (มหาชน) สาขา ศรีนครินทร์</t>
  </si>
  <si>
    <t>0200039</t>
  </si>
  <si>
    <t>ธ. สแตนดาร์ดชาร์เตอร์ด (ไทย) จำกัด (มหาชน) สาขา ย่อยจอมพล</t>
  </si>
  <si>
    <t>0200040</t>
  </si>
  <si>
    <t>ธ. สแตนดาร์ดชาร์เตอร์ด (ไทย) จำกัด (มหาชน) สาขา นานาเหนือ</t>
  </si>
  <si>
    <t>0200041</t>
  </si>
  <si>
    <t>ธ. สแตนดาร์ดชาร์เตอร์ด (ไทย) จำกัด (มหาชน) สาขา ระยอง</t>
  </si>
  <si>
    <t>0200042</t>
  </si>
  <si>
    <t>ธ. สแตนดาร์ดชาร์เตอร์ด (ไทย) จำกัด (มหาชน) สาขา รังสิต</t>
  </si>
  <si>
    <t>0200043</t>
  </si>
  <si>
    <t>ธ. สแตนดาร์ดชาร์เตอร์ด (ไทย) จำกัด (มหาชน) สาขา พาหุรัด</t>
  </si>
  <si>
    <t>0200044</t>
  </si>
  <si>
    <t>ธ. สแตนดาร์ดชาร์เตอร์ด (ไทย) จำกัด (มหาชน) สาขา ฉะเชิงเทรา</t>
  </si>
  <si>
    <t>0200045</t>
  </si>
  <si>
    <t>ธ. สแตนดาร์ดชาร์เตอร์ด (ไทย) จำกัด (มหาชน) สาขา บางเขน</t>
  </si>
  <si>
    <t>0200046</t>
  </si>
  <si>
    <t>ธ. สแตนดาร์ดชาร์เตอร์ด (ไทย) จำกัด (มหาชน) สาขา สำโรง</t>
  </si>
  <si>
    <t>0200047</t>
  </si>
  <si>
    <t>ธ. สแตนดาร์ดชาร์เตอร์ด (ไทย) จำกัด (มหาชน) สาขา สมุทรสาคร</t>
  </si>
  <si>
    <t>0200048</t>
  </si>
  <si>
    <t>ธ. สแตนดาร์ดชาร์เตอร์ด (ไทย) จำกัด (มหาชน) สาขา ศรีราชา</t>
  </si>
  <si>
    <t>0200049</t>
  </si>
  <si>
    <t>ธ. สแตนดาร์ดชาร์เตอร์ด (ไทย) จำกัด (มหาชน) สาขา อุดมสุข</t>
  </si>
  <si>
    <t>0200050</t>
  </si>
  <si>
    <t>ธ. สแตนดาร์ดชาร์เตอร์ด (ไทย) จำกัด (มหาชน) สาขา หาดใหญ่</t>
  </si>
  <si>
    <t>0200051</t>
  </si>
  <si>
    <t>ธ. สแตนดาร์ดชาร์เตอร์ด (ไทย) จำกัด (มหาชน) สาขา อ่อนนุช</t>
  </si>
  <si>
    <t>0200052</t>
  </si>
  <si>
    <t>ธ. สแตนดาร์ดชาร์เตอร์ด (ไทย) จำกัด (มหาชน) สาขา รัชดาภิเษก</t>
  </si>
  <si>
    <t>0200053</t>
  </si>
  <si>
    <t>ธ. สแตนดาร์ดชาร์เตอร์ด (ไทย) จำกัด (มหาชน) สาขา สุขุมวิท24</t>
  </si>
  <si>
    <t>0200054</t>
  </si>
  <si>
    <t>ธ. สแตนดาร์ดชาร์เตอร์ด (ไทย) จำกัด (มหาชน) สาขา ทองหล่อ</t>
  </si>
  <si>
    <t>0200055</t>
  </si>
  <si>
    <t>ธ. สแตนดาร์ดชาร์เตอร์ด (ไทย) จำกัด (มหาชน) สาขา พิษณุโลก</t>
  </si>
  <si>
    <t>0200056</t>
  </si>
  <si>
    <t>ธ. สแตนดาร์ดชาร์เตอร์ด (ไทย) จำกัด (มหาชน) สาขา ฟิวเจอร์พาร์ครังสิต</t>
  </si>
  <si>
    <t>0200057</t>
  </si>
  <si>
    <t>ธ. สแตนดาร์ดชาร์เตอร์ด (ไทย) จำกัด (มหาชน) สาขา บางบอน</t>
  </si>
  <si>
    <t>0200058</t>
  </si>
  <si>
    <t>ธ. สแตนดาร์ดชาร์เตอร์ด (ไทย) จำกัด (มหาชน) สาขา ย่อยมหาวิทยาลัยสยาม</t>
  </si>
  <si>
    <t>0200059</t>
  </si>
  <si>
    <t>ธ. สแตนดาร์ดชาร์เตอร์ด (ไทย) จำกัด (มหาชน) สาขา ติวานนท์</t>
  </si>
  <si>
    <t>0200060</t>
  </si>
  <si>
    <t>ธ. สแตนดาร์ดชาร์เตอร์ด (ไทย) จำกัด (มหาชน) สาขา ปากเกร็ด</t>
  </si>
  <si>
    <t>0200061</t>
  </si>
  <si>
    <t>ธ. สแตนดาร์ดชาร์เตอร์ด (ไทย) จำกัด (มหาชน) สาขา หนองแขม</t>
  </si>
  <si>
    <t>0200062</t>
  </si>
  <si>
    <t>ธ. สแตนดาร์ดชาร์เตอร์ด (ไทย) จำกัด (มหาชน) สาขา อุบลราชธานี</t>
  </si>
  <si>
    <t>0200063</t>
  </si>
  <si>
    <t>ธ. สแตนดาร์ดชาร์เตอร์ด (ไทย) จำกัด (มหาชน) สาขา กาญจนบุรี</t>
  </si>
  <si>
    <t>0200064</t>
  </si>
  <si>
    <t>ธ. สแตนดาร์ดชาร์เตอร์ด (ไทย) จำกัด (มหาชน) สาขา สมุทรปราการ</t>
  </si>
  <si>
    <t>0200065</t>
  </si>
  <si>
    <t>ธ. สแตนดาร์ดชาร์เตอร์ด (ไทย) จำกัด (มหาชน) สาขา ขามทะเลสอ</t>
  </si>
  <si>
    <t>0200066</t>
  </si>
  <si>
    <t>ธ. สแตนดาร์ดชาร์เตอร์ด (ไทย) จำกัด (มหาชน) สาขา พัฒนาการ</t>
  </si>
  <si>
    <t>0200067</t>
  </si>
  <si>
    <t>ธ. สแตนดาร์ดชาร์เตอร์ด (ไทย) จำกัด (มหาชน) สาขา กุดจับ</t>
  </si>
  <si>
    <t>0200068</t>
  </si>
  <si>
    <t>ธ. สแตนดาร์ดชาร์เตอร์ด (ไทย) จำกัด (มหาชน) สาขา รามอินทรา</t>
  </si>
  <si>
    <t>0200069</t>
  </si>
  <si>
    <t>ธ. สแตนดาร์ดชาร์เตอร์ด (ไทย) จำกัด (มหาชน) สาขา ห้างโลตัส สุขุมวิท 50</t>
  </si>
  <si>
    <t>0200070</t>
  </si>
  <si>
    <t>ธ. สแตนดาร์ดชาร์เตอร์ด (ไทย) จำกัด (มหาชน) สาขา ย่อยห้างโลตัสหลักสี่</t>
  </si>
  <si>
    <t>0200071</t>
  </si>
  <si>
    <t>ธ. สแตนดาร์ดชาร์เตอร์ด (ไทย) จำกัด (มหาชน) สาขา ห้างโลตัส รัตนาธิเบศร์</t>
  </si>
  <si>
    <t>0200072</t>
  </si>
  <si>
    <t>ธ. สแตนดาร์ดชาร์เตอร์ด (ไทย) จำกัด (มหาชน) สาขา ย่อยห้างโลตัส พระราม 3</t>
  </si>
  <si>
    <t>0200073</t>
  </si>
  <si>
    <t>ธ. สแตนดาร์ดชาร์เตอร์ด (ไทย) จำกัด (มหาชน) สาขา เดอะมอลล์ 3 รามคำแหง</t>
  </si>
  <si>
    <t>0200074</t>
  </si>
  <si>
    <t>ธ. สแตนดาร์ดชาร์เตอร์ด (ไทย) จำกัด (มหาชน) สาขา ย่อยเทสโก้โลตัสประชาชื่น</t>
  </si>
  <si>
    <t>0200075</t>
  </si>
  <si>
    <t>ธ. สแตนดาร์ดชาร์เตอร์ด (ไทย) จำกัด (มหาชน) สาขา เทสโก้โลตัส ซีคอนสแควร์</t>
  </si>
  <si>
    <t>0200076</t>
  </si>
  <si>
    <t>ธ. สแตนดาร์ดชาร์เตอร์ด (ไทย) จำกัด (มหาชน) สาขา ย่อยเทสโก้โลตัสบางกะปิ</t>
  </si>
  <si>
    <t>0200077</t>
  </si>
  <si>
    <t>ธ. สแตนดาร์ดชาร์เตอร์ด (ไทย) จำกัด (มหาชน) สาขา สีลม</t>
  </si>
  <si>
    <t>0200078</t>
  </si>
  <si>
    <t>0200079</t>
  </si>
  <si>
    <t>ธ. สแตนดาร์ดชาร์เตอร์ด (ไทย) จำกัด (มหาชน) สาขา รัชโยธิน</t>
  </si>
  <si>
    <t>0200080</t>
  </si>
  <si>
    <t>ธ. สแตนดาร์ดชาร์เตอร์ด (ไทย) จำกัด (มหาชน) สาขา ศรีวรา</t>
  </si>
  <si>
    <t>0200081</t>
  </si>
  <si>
    <t>ธ. สแตนดาร์ดชาร์เตอร์ด (ไทย) จำกัด (มหาชน) สาขา สุขุมวิท 20</t>
  </si>
  <si>
    <t>0200082</t>
  </si>
  <si>
    <t>ธ. สแตนดาร์ดชาร์เตอร์ด (ไทย) จำกัด (มหาชน) สาขา เซ็นทรัลบางนา</t>
  </si>
  <si>
    <t>0200083</t>
  </si>
  <si>
    <t>0200084</t>
  </si>
  <si>
    <t>ธ. สแตนดาร์ดชาร์เตอร์ด (ไทย) จำกัด (มหาชน) สาขา เซ็นทรัลเวิลด์</t>
  </si>
  <si>
    <t>0200085</t>
  </si>
  <si>
    <t>ธ. สแตนดาร์ดชาร์เตอร์ด (ไทย) จำกัด (มหาชน) สาขา สีลม ซอย 6</t>
  </si>
  <si>
    <t>0200101</t>
  </si>
  <si>
    <t>ธ. สแตนดาร์ดชาร์เตอร์ด (ไทย) จำกัด (มหาชน) สาขา สถาบันธุรกิจ</t>
  </si>
  <si>
    <t>0200501</t>
  </si>
  <si>
    <t>ธ. สแตนดาร์ดชาร์เตอร์ด (ไทย) จำกัด (มหาชน) สาขา เกาะเคย์แมน</t>
  </si>
  <si>
    <t>0220001</t>
  </si>
  <si>
    <t>ธ. ซีไอเอ็มบี ไทย จำกัด (มหาชน) สาขา เยาวราช</t>
  </si>
  <si>
    <t>0220002</t>
  </si>
  <si>
    <t>ธ. ซีไอเอ็มบี ไทย จำกัด (มหาชน) สาขา ราชวงศ์</t>
  </si>
  <si>
    <t>0220003</t>
  </si>
  <si>
    <t>ธ. ซีไอเอ็มบี ไทย จำกัด (มหาชน) สาขา ประตูน้ำ</t>
  </si>
  <si>
    <t>0220004</t>
  </si>
  <si>
    <t>ธ. ซีไอเอ็มบี ไทย จำกัด (มหาชน) สาขา ธนบุรี</t>
  </si>
  <si>
    <t>0220005</t>
  </si>
  <si>
    <t>ธ. ซีไอเอ็มบี ไทย จำกัด (มหาชน) สาขา ท่าเตียน</t>
  </si>
  <si>
    <t>0220006</t>
  </si>
  <si>
    <t>ธ. ซีไอเอ็มบี ไทย จำกัด (มหาชน) สาขา บางรัก</t>
  </si>
  <si>
    <t>0220007</t>
  </si>
  <si>
    <t>ธ. ซีไอเอ็มบี ไทย จำกัด (มหาชน) สาขา มหานาค</t>
  </si>
  <si>
    <t>0220008</t>
  </si>
  <si>
    <t>ธ. ซีไอเอ็มบี ไทย จำกัด (มหาชน) สาขา แยกอโศก-สุขุมวิท</t>
  </si>
  <si>
    <t>0220009</t>
  </si>
  <si>
    <t>ธ. ซีไอเอ็มบี ไทย จำกัด (มหาชน) สาขา ชลบุรี</t>
  </si>
  <si>
    <t>0220010</t>
  </si>
  <si>
    <t>ธ. ซีไอเอ็มบี ไทย จำกัด (มหาชน) สาขา บางโพ</t>
  </si>
  <si>
    <t>0220011</t>
  </si>
  <si>
    <t>ธ. ซีไอเอ็มบี ไทย จำกัด (มหาชน) สาขา ยมราช</t>
  </si>
  <si>
    <t>0220012</t>
  </si>
  <si>
    <t>ธ. ซีไอเอ็มบี ไทย จำกัด (มหาชน) สาขา ภูเก็ต</t>
  </si>
  <si>
    <t>0220013</t>
  </si>
  <si>
    <t>ธ. ซีไอเอ็มบี ไทย จำกัด (มหาชน) สาขา ขอนแก่น</t>
  </si>
  <si>
    <t>0220014</t>
  </si>
  <si>
    <t>ธ. ซีไอเอ็มบี ไทย จำกัด (มหาชน) สาขา แก่งคอย</t>
  </si>
  <si>
    <t>0220015</t>
  </si>
  <si>
    <t>ธ. ซีไอเอ็มบี ไทย จำกัด (มหาชน) สาขา เซ็นต์หลุยส์</t>
  </si>
  <si>
    <t>0220016</t>
  </si>
  <si>
    <t>ธ. ซีไอเอ็มบี ไทย จำกัด (มหาชน) สาขา จรัลสนิทวงศ์</t>
  </si>
  <si>
    <t>0220017</t>
  </si>
  <si>
    <t>ธ. ซีไอเอ็มบี ไทย จำกัด (มหาชน) สาขา บางละมุง</t>
  </si>
  <si>
    <t>0220018</t>
  </si>
  <si>
    <t>ธ. ซีไอเอ็มบี ไทย จำกัด (มหาชน) สาขา สีคิ้ว</t>
  </si>
  <si>
    <t>0220019</t>
  </si>
  <si>
    <t>ธ. ซีไอเอ็มบี ไทย จำกัด (มหาชน) สาขา พหลโยธิน</t>
  </si>
  <si>
    <t>0220020</t>
  </si>
  <si>
    <t>ธ. ซีไอเอ็มบี ไทย จำกัด (มหาชน) สาขา พยุหะคีรี</t>
  </si>
  <si>
    <t>0220021</t>
  </si>
  <si>
    <t>ธ. ซีไอเอ็มบี ไทย จำกัด (มหาชน) สาขา ราษฎร์บูรณะ</t>
  </si>
  <si>
    <t>0220022</t>
  </si>
  <si>
    <t>ธ. ซีไอเอ็มบี ไทย จำกัด (มหาชน) สาขา เดิมบางนางบวช</t>
  </si>
  <si>
    <t>0220023</t>
  </si>
  <si>
    <t>ธ. ซีไอเอ็มบี ไทย จำกัด (มหาชน) สาขา อ่างทอง</t>
  </si>
  <si>
    <t>0220024</t>
  </si>
  <si>
    <t>ธ. ซีไอเอ็มบี ไทย จำกัด (มหาชน) สาขา ลุมพินี</t>
  </si>
  <si>
    <t>0220025</t>
  </si>
  <si>
    <t>ธ. ซีไอเอ็มบี ไทย จำกัด (มหาชน) สาขา กุมภวาปีอุดรธานี</t>
  </si>
  <si>
    <t>0220026</t>
  </si>
  <si>
    <t>ธ. ซีไอเอ็มบี ไทย จำกัด (มหาชน) สาขา สงขลา</t>
  </si>
  <si>
    <t>0220027</t>
  </si>
  <si>
    <t>ธ. ซีไอเอ็มบี ไทย จำกัด (มหาชน) สาขา ลูกแก</t>
  </si>
  <si>
    <t>0220028</t>
  </si>
  <si>
    <t>ธ. ซีไอเอ็มบี ไทย จำกัด (มหาชน) สาขา เพชรบุรี</t>
  </si>
  <si>
    <t>0220029</t>
  </si>
  <si>
    <t>ธ. ซีไอเอ็มบี ไทย จำกัด (มหาชน) สาขา สกลนคร</t>
  </si>
  <si>
    <t>0220030</t>
  </si>
  <si>
    <t>ธ. ซีไอเอ็มบี ไทย จำกัด (มหาชน) สาขา มหาสารคาม</t>
  </si>
  <si>
    <t>0220031</t>
  </si>
  <si>
    <t>ธ. ซีไอเอ็มบี ไทย จำกัด (มหาชน) สาขา เทเวศร์</t>
  </si>
  <si>
    <t>0220032</t>
  </si>
  <si>
    <t>ธ. ซีไอเอ็มบี ไทย จำกัด (มหาชน) สาขา หนองแขม</t>
  </si>
  <si>
    <t>0220033</t>
  </si>
  <si>
    <t>ธ. ซีไอเอ็มบี ไทย จำกัด (มหาชน) สาขา วัดไทร</t>
  </si>
  <si>
    <t>0220034</t>
  </si>
  <si>
    <t>ธ. ซีไอเอ็มบี ไทย จำกัด (มหาชน) สาขา สลกบาตรกำแพงเพชร</t>
  </si>
  <si>
    <t>0220035</t>
  </si>
  <si>
    <t>ธ. ซีไอเอ็มบี ไทย จำกัด (มหาชน) สาขา เชียงใหม่</t>
  </si>
  <si>
    <t>0220036</t>
  </si>
  <si>
    <t>ธ. ซีไอเอ็มบี ไทย จำกัด (มหาชน) สาขา ปราณบุรี</t>
  </si>
  <si>
    <t>0220037</t>
  </si>
  <si>
    <t>ธ. ซีไอเอ็มบี ไทย จำกัด (มหาชน) สาขา หนองฉางอุทัยธานี</t>
  </si>
  <si>
    <t>0220038</t>
  </si>
  <si>
    <t>ธ. ซีไอเอ็มบี ไทย จำกัด (มหาชน) สาขา หินกอง</t>
  </si>
  <si>
    <t>0220039</t>
  </si>
  <si>
    <t>ธ. ซีไอเอ็มบี ไทย จำกัด (มหาชน) สาขา พยัคฆภูมิพิสัยมหาสารคาม</t>
  </si>
  <si>
    <t>0220040</t>
  </si>
  <si>
    <t>ธ. ซีไอเอ็มบี ไทย จำกัด (มหาชน) สาขา ศรีสัชนาลัย</t>
  </si>
  <si>
    <t>0220041</t>
  </si>
  <si>
    <t>ธ. ซีไอเอ็มบี ไทย จำกัด (มหาชน) สาขา ดอนเจดีย์</t>
  </si>
  <si>
    <t>0220042</t>
  </si>
  <si>
    <t>ธ. ซีไอเอ็มบี ไทย จำกัด (มหาชน) สาขา พิบูลมังสาหารอุบลราชธานี</t>
  </si>
  <si>
    <t>0220043</t>
  </si>
  <si>
    <t>ธ. ซีไอเอ็มบี ไทย จำกัด (มหาชน) สาขา สว่างแดนดินสกลนคร</t>
  </si>
  <si>
    <t>0220044</t>
  </si>
  <si>
    <t>ธ. ซีไอเอ็มบี ไทย จำกัด (มหาชน) สาขา หาดใหญ่</t>
  </si>
  <si>
    <t>0220045</t>
  </si>
  <si>
    <t>ธ. ซีไอเอ็มบี ไทย จำกัด (มหาชน) สาขา ห้วยขวาง</t>
  </si>
  <si>
    <t>0220046</t>
  </si>
  <si>
    <t>ธ. ซีไอเอ็มบี ไทย จำกัด (มหาชน) สาขา สุรินทร์</t>
  </si>
  <si>
    <t>0220047</t>
  </si>
  <si>
    <t>ธ. ซีไอเอ็มบี ไทย จำกัด (มหาชน) สาขา ไชยา</t>
  </si>
  <si>
    <t>0220048</t>
  </si>
  <si>
    <t>ธ. ซีไอเอ็มบี ไทย จำกัด (มหาชน) สาขา อ่าวอุดม</t>
  </si>
  <si>
    <t>0220049</t>
  </si>
  <si>
    <t>ธ. ซีไอเอ็มบี ไทย จำกัด (มหาชน) สาขา จัตุรัสชัยภูมิ</t>
  </si>
  <si>
    <t>0220050</t>
  </si>
  <si>
    <t>ธ. ซีไอเอ็มบี ไทย จำกัด (มหาชน) สาขา บ้านแหลม</t>
  </si>
  <si>
    <t>0220051</t>
  </si>
  <si>
    <t>ธ. ซีไอเอ็มบี ไทย จำกัด (มหาชน) สาขา บ้านแพ้ว</t>
  </si>
  <si>
    <t>0220052</t>
  </si>
  <si>
    <t>ธ. ซีไอเอ็มบี ไทย จำกัด (มหาชน) สาขา โพธาราม</t>
  </si>
  <si>
    <t>0220053</t>
  </si>
  <si>
    <t>ธ. ซีไอเอ็มบี ไทย จำกัด (มหาชน) สาขา มโนรมย์</t>
  </si>
  <si>
    <t>0220054</t>
  </si>
  <si>
    <t>ธ. ซีไอเอ็มบี ไทย จำกัด (มหาชน) สาขา อุทุมพรพิสัยศรีสะเกษ</t>
  </si>
  <si>
    <t>0220055</t>
  </si>
  <si>
    <t>ธ. ซีไอเอ็มบี ไทย จำกัด (มหาชน) สาขา บิ๊กซี บางพลี</t>
  </si>
  <si>
    <t>0220056</t>
  </si>
  <si>
    <t>ธ. ซีไอเอ็มบี ไทย จำกัด (มหาชน) สาขา สระแก้ว</t>
  </si>
  <si>
    <t>0220057</t>
  </si>
  <si>
    <t>ธ. ซีไอเอ็มบี ไทย จำกัด (มหาชน) สาขา พิชัยอุตรดิตถ์</t>
  </si>
  <si>
    <t>0220058</t>
  </si>
  <si>
    <t>ธ. ซีไอเอ็มบี ไทย จำกัด (มหาชน) สาขา ระยอง</t>
  </si>
  <si>
    <t>0220059</t>
  </si>
  <si>
    <t>ธ. ซีไอเอ็มบี ไทย จำกัด (มหาชน) สาขา นครปฐม</t>
  </si>
  <si>
    <t>0220060</t>
  </si>
  <si>
    <t>ธ. ซีไอเอ็มบี ไทย จำกัด (มหาชน) สาขา อุบลราชธานี</t>
  </si>
  <si>
    <t>0220061</t>
  </si>
  <si>
    <t>ธ. ซีไอเอ็มบี ไทย จำกัด (มหาชน) สาขา ชุมพร</t>
  </si>
  <si>
    <t>0220062</t>
  </si>
  <si>
    <t>ธ. ซีไอเอ็มบี ไทย จำกัด (มหาชน) สาขา บางพลัด</t>
  </si>
  <si>
    <t>0220063</t>
  </si>
  <si>
    <t>ธ. ซีไอเอ็มบี ไทย จำกัด (มหาชน) สาขา อุดรธานี</t>
  </si>
  <si>
    <t>0220064</t>
  </si>
  <si>
    <t>ธ. ซีไอเอ็มบี ไทย จำกัด (มหาชน) สาขา ลาดพร้าว</t>
  </si>
  <si>
    <t>0220065</t>
  </si>
  <si>
    <t>ธ. ซีไอเอ็มบี ไทย จำกัด (มหาชน) สาขา บางเขน</t>
  </si>
  <si>
    <t>0220066</t>
  </si>
  <si>
    <t>ธ. ซีไอเอ็มบี ไทย จำกัด (มหาชน) สาขา ซีคอน บางแค</t>
  </si>
  <si>
    <t>0220067</t>
  </si>
  <si>
    <t>ธ. ซีไอเอ็มบี ไทย จำกัด (มหาชน) สาขา พะเยา</t>
  </si>
  <si>
    <t>0220068</t>
  </si>
  <si>
    <t>ธ. ซีไอเอ็มบี ไทย จำกัด (มหาชน) สาขา สมุทรสงคราม</t>
  </si>
  <si>
    <t>0220069</t>
  </si>
  <si>
    <t>ธ. ซีไอเอ็มบี ไทย จำกัด (มหาชน) สาขา กระนวนขอนแก่น</t>
  </si>
  <si>
    <t>0220070</t>
  </si>
  <si>
    <t>ธ. ซีไอเอ็มบี ไทย จำกัด (มหาชน) สาขา หัวหมาก</t>
  </si>
  <si>
    <t>0220071</t>
  </si>
  <si>
    <t>ธ. ซีไอเอ็มบี ไทย จำกัด (มหาชน) สาขา บุคคโล</t>
  </si>
  <si>
    <t>0220072</t>
  </si>
  <si>
    <t>ธ. ซีไอเอ็มบี ไทย จำกัด (มหาชน) สาขา นครสวรรค์</t>
  </si>
  <si>
    <t>0220073</t>
  </si>
  <si>
    <t>ธ. ซีไอเอ็มบี ไทย จำกัด (มหาชน) สาขา ติวานนท์</t>
  </si>
  <si>
    <t>0220074</t>
  </si>
  <si>
    <t>ธ. ซีไอเอ็มบี ไทย จำกัด (มหาชน) สาขา นครราชสีมา</t>
  </si>
  <si>
    <t>0220075</t>
  </si>
  <si>
    <t>ธ. ซีไอเอ็มบี ไทย จำกัด (มหาชน) สาขา พิษณุโลก</t>
  </si>
  <si>
    <t>0220076</t>
  </si>
  <si>
    <t>ธ. ซีไอเอ็มบี ไทย จำกัด (มหาชน) สาขา บางนา</t>
  </si>
  <si>
    <t>0220077</t>
  </si>
  <si>
    <t>ธ. ซีไอเอ็มบี ไทย จำกัด (มหาชน) สาขา สุราษฎร์ธานี</t>
  </si>
  <si>
    <t>0220078</t>
  </si>
  <si>
    <t>ธ. ซีไอเอ็มบี ไทย จำกัด (มหาชน) สาขา ยานนาวา</t>
  </si>
  <si>
    <t>0220079</t>
  </si>
  <si>
    <t>ธ. ซีไอเอ็มบี ไทย จำกัด (มหาชน) สาขา สาธุประดิษฐ์</t>
  </si>
  <si>
    <t>0220080</t>
  </si>
  <si>
    <t>ธ. ซีไอเอ็มบี ไทย จำกัด (มหาชน) สาขา กล้วยน้ำไท</t>
  </si>
  <si>
    <t>0220081</t>
  </si>
  <si>
    <t>ธ. ซีไอเอ็มบี ไทย จำกัด (มหาชน) สาขา ทองหล่อ</t>
  </si>
  <si>
    <t>0220082</t>
  </si>
  <si>
    <t>ธ. ซีไอเอ็มบี ไทย จำกัด (มหาชน) สาขา ปากคลองตลาด</t>
  </si>
  <si>
    <t>0220083</t>
  </si>
  <si>
    <t>ธ. ซีไอเอ็มบี ไทย จำกัด (มหาชน) สาขา ราชดำเนิน (ถนนดินสอ)</t>
  </si>
  <si>
    <t>0220084</t>
  </si>
  <si>
    <t>ธ. ซีไอเอ็มบี ไทย จำกัด (มหาชน) สาขา ดอนเมือง</t>
  </si>
  <si>
    <t>0220085</t>
  </si>
  <si>
    <t>ธ. ซีไอเอ็มบี ไทย จำกัด (มหาชน) สาขา เชียงราย</t>
  </si>
  <si>
    <t>0220086</t>
  </si>
  <si>
    <t>ธ. ซีไอเอ็มบี ไทย จำกัด (มหาชน) สาขา บางยี่ขัน</t>
  </si>
  <si>
    <t>0220087</t>
  </si>
  <si>
    <t>ธ. ซีไอเอ็มบี ไทย จำกัด (มหาชน) สาขา หนองคาย</t>
  </si>
  <si>
    <t>0220088</t>
  </si>
  <si>
    <t>ธ. ซีไอเอ็มบี ไทย จำกัด (มหาชน) สาขา ย่อยท่าแพ</t>
  </si>
  <si>
    <t>0220089</t>
  </si>
  <si>
    <t>ธ. ซีไอเอ็มบี ไทย จำกัด (มหาชน) สาขา ปู่เจ้าสมิงพราย</t>
  </si>
  <si>
    <t>0220090</t>
  </si>
  <si>
    <t>ธ. ซีไอเอ็มบี ไทย จำกัด (มหาชน) สาขา พรานนก</t>
  </si>
  <si>
    <t>0220091</t>
  </si>
  <si>
    <t>ธ. ซีไอเอ็มบี ไทย จำกัด (มหาชน) สาขา สุขสวัสดิ์</t>
  </si>
  <si>
    <t>0220092</t>
  </si>
  <si>
    <t>ธ. ซีไอเอ็มบี ไทย จำกัด (มหาชน) สาขา ย่อยสุรนารี</t>
  </si>
  <si>
    <t>0220093</t>
  </si>
  <si>
    <t>ธ. ซีไอเอ็มบี ไทย จำกัด (มหาชน) สาขา ย่อยถนนวิเชียรชมสงขลา</t>
  </si>
  <si>
    <t>0220094</t>
  </si>
  <si>
    <t>ธ. ซีไอเอ็มบี ไทย จำกัด (มหาชน) สาขา ย่อยพัทยา</t>
  </si>
  <si>
    <t>0220095</t>
  </si>
  <si>
    <t>ธ. ซีไอเอ็มบี ไทย จำกัด (มหาชน) สาขา รังสิต</t>
  </si>
  <si>
    <t>0220096</t>
  </si>
  <si>
    <t>ธ. ซีไอเอ็มบี ไทย จำกัด (มหาชน) สาขา กระบี่</t>
  </si>
  <si>
    <t>0220097</t>
  </si>
  <si>
    <t>ธ. ซีไอเอ็มบี ไทย จำกัด (มหาชน) สาขา ย่อยห้วยแก้ว</t>
  </si>
  <si>
    <t>0220098</t>
  </si>
  <si>
    <t>ธ. ซีไอเอ็มบี ไทย จำกัด (มหาชน) สาขา บางบอน</t>
  </si>
  <si>
    <t>0220099</t>
  </si>
  <si>
    <t>ธ. ซีไอเอ็มบี ไทย จำกัด (มหาชน) สาขา ย่อยถนนระนอง</t>
  </si>
  <si>
    <t>0220100</t>
  </si>
  <si>
    <t>ธ. ซีไอเอ็มบี ไทย จำกัด (มหาชน) สาขา สำเพ็ง</t>
  </si>
  <si>
    <t>0220101</t>
  </si>
  <si>
    <t>ธ. ซีไอเอ็มบี ไทย จำกัด (มหาชน) สาขา ย่อยจุลดิศสงขลา</t>
  </si>
  <si>
    <t>0220102</t>
  </si>
  <si>
    <t>ธ. ซีไอเอ็มบี ไทย จำกัด (มหาชน) สาขา วรจักร</t>
  </si>
  <si>
    <t>0220103</t>
  </si>
  <si>
    <t>ธ. ซีไอเอ็มบี ไทย จำกัด (มหาชน) สาขา พาราไดซ์ พาร์ค ศรีนครินทร์</t>
  </si>
  <si>
    <t>0220104</t>
  </si>
  <si>
    <t>ธ. ซีไอเอ็มบี ไทย จำกัด (มหาชน) สาขา แจ้งวัฒนะ</t>
  </si>
  <si>
    <t>0220105</t>
  </si>
  <si>
    <t>ธ. ซีไอเอ็มบี ไทย จำกัด (มหาชน) สาขา ย่อยบ้านสวน</t>
  </si>
  <si>
    <t>0220106</t>
  </si>
  <si>
    <t>ธ. ซีไอเอ็มบี ไทย จำกัด (มหาชน) สาขา สีลม</t>
  </si>
  <si>
    <t>0220107</t>
  </si>
  <si>
    <t>ธ. ซีไอเอ็มบี ไทย จำกัด (มหาชน) สาขา ถนนจันทน์</t>
  </si>
  <si>
    <t>0220108</t>
  </si>
  <si>
    <t>ธ. ซีไอเอ็มบี ไทย จำกัด (มหาชน) สาขา เดอะมอลล์บางแค</t>
  </si>
  <si>
    <t>0220109</t>
  </si>
  <si>
    <t>ธ. ซีไอเอ็มบี ไทย จำกัด (มหาชน) สาขา รามอินทรา</t>
  </si>
  <si>
    <t>0220110</t>
  </si>
  <si>
    <t>ธ. ซีไอเอ็มบี ไทย จำกัด (มหาชน) สาขา บางนา - ตราด</t>
  </si>
  <si>
    <t>0220111</t>
  </si>
  <si>
    <t>ธ. ซีไอเอ็มบี ไทย จำกัด (มหาชน) สาขา สมุทรปราการ</t>
  </si>
  <si>
    <t>0220112</t>
  </si>
  <si>
    <t>ธ. ซีไอเอ็มบี ไทย จำกัด (มหาชน) สาขา นาหม่อม</t>
  </si>
  <si>
    <t>0220113</t>
  </si>
  <si>
    <t>ธ. ซีไอเอ็มบี ไทย จำกัด (มหาชน) สาขา บิ๊กซี หัวหมาก</t>
  </si>
  <si>
    <t>0220114</t>
  </si>
  <si>
    <t>ธ. ซีไอเอ็มบี ไทย จำกัด (มหาชน) สาขา ย่อยเนินมะปราง</t>
  </si>
  <si>
    <t>0220115</t>
  </si>
  <si>
    <t>ธ. ซีไอเอ็มบี ไทย จำกัด (มหาชน) สาขา งามวงศ์วาน</t>
  </si>
  <si>
    <t>0220116</t>
  </si>
  <si>
    <t>ธ. ซีไอเอ็มบี ไทย จำกัด (มหาชน) สาขา สีลม คอมเพล็กซ์</t>
  </si>
  <si>
    <t>0220117</t>
  </si>
  <si>
    <t>ธ. ซีไอเอ็มบี ไทย จำกัด (มหาชน) สาขา เซ็นทรัล แอร์พอร์ต เชียงใหม่</t>
  </si>
  <si>
    <t>0220118</t>
  </si>
  <si>
    <t>ธ. ซีไอเอ็มบี ไทย จำกัด (มหาชน) สาขา เซ็นทรัล พลาซา แกรนด์ พระราม 9</t>
  </si>
  <si>
    <t>0220119</t>
  </si>
  <si>
    <t>ธ. ซีไอเอ็มบี ไทย จำกัด (มหาชน) สาขา เซ็นทรัลพลาซ่า พระราม2</t>
  </si>
  <si>
    <t>0220120</t>
  </si>
  <si>
    <t>ธ. ซีไอเอ็มบี ไทย จำกัด (มหาชน) สาขา สยามสแควร์</t>
  </si>
  <si>
    <t>0220121</t>
  </si>
  <si>
    <t>ธ. ซีไอเอ็มบี ไทย จำกัด (มหาชน) สาขา ฉะเชิงเทรา</t>
  </si>
  <si>
    <t>0220122</t>
  </si>
  <si>
    <t>ธ. ซีไอเอ็มบี ไทย จำกัด (มหาชน) สาขา ถนนติลกอุทิศ 1</t>
  </si>
  <si>
    <t>0220123</t>
  </si>
  <si>
    <t>ธ. ซีไอเอ็มบี ไทย จำกัด (มหาชน) สาขา สมุทรสาคร</t>
  </si>
  <si>
    <t>0220124</t>
  </si>
  <si>
    <t>ธ. ซีไอเอ็มบี ไทย จำกัด (มหาชน) สาขา แปซิฟิค พาร์ค ศรีราชา</t>
  </si>
  <si>
    <t>0220125</t>
  </si>
  <si>
    <t>ธ. ซีไอเอ็มบี ไทย จำกัด (มหาชน) สาขา ถนนพัทยาสาย 3</t>
  </si>
  <si>
    <t>0220126</t>
  </si>
  <si>
    <t>ธ. ซีไอเอ็มบี ไทย จำกัด (มหาชน) สาขา ถนนช้างคลาน</t>
  </si>
  <si>
    <t>0220127</t>
  </si>
  <si>
    <t>ธ. ซีไอเอ็มบี ไทย จำกัด (มหาชน) สาขา เดอะมอลล์ ท่าพระ</t>
  </si>
  <si>
    <t>0220128</t>
  </si>
  <si>
    <t>ธ. ซีไอเอ็มบี ไทย จำกัด (มหาชน) สาขา เซ็นทรัล เฟสติวัล ภูเก็ต</t>
  </si>
  <si>
    <t>0220129</t>
  </si>
  <si>
    <t>ธ. ซีไอเอ็มบี ไทย จำกัด (มหาชน) สาขา เอ็มไพร์ ทาวเวอร์</t>
  </si>
  <si>
    <t>0220130</t>
  </si>
  <si>
    <t>ธ. ซีไอเอ็มบี ไทย จำกัด (มหาชน) สาขา ศูนย์ธุรกิจฯนิคมฯอมตะนคร</t>
  </si>
  <si>
    <t>0220131</t>
  </si>
  <si>
    <t>ธ. ซีไอเอ็มบี ไทย จำกัด (มหาชน) สาขา สระบุรี</t>
  </si>
  <si>
    <t>0220132</t>
  </si>
  <si>
    <t>ธ. ซีไอเอ็มบี ไทย จำกัด (มหาชน) สาขา อ้อมน้อย</t>
  </si>
  <si>
    <t>0220133</t>
  </si>
  <si>
    <t>ธ. ซีไอเอ็มบี ไทย จำกัด (มหาชน) สาขา ตลาดวงศกร</t>
  </si>
  <si>
    <t>0220134</t>
  </si>
  <si>
    <t>ธ. ซีไอเอ็มบี ไทย จำกัด (มหาชน) สาขา อิมพีเรียล เวิลด์ สำโรง</t>
  </si>
  <si>
    <t>0220135</t>
  </si>
  <si>
    <t>ธ. ซีไอเอ็มบี ไทย จำกัด (มหาชน) สาขา แฟชั่น ไอส์แลนด์</t>
  </si>
  <si>
    <t>0220136</t>
  </si>
  <si>
    <t>ธ. ซีไอเอ็มบี ไทย จำกัด (มหาชน) สาขา ด่านนอก สะเดา</t>
  </si>
  <si>
    <t>0220137</t>
  </si>
  <si>
    <t>ธ. ซีไอเอ็มบี ไทย จำกัด (มหาชน) สาขา ตลาดไท</t>
  </si>
  <si>
    <t>0220138</t>
  </si>
  <si>
    <t>ธ. ซีไอเอ็มบี ไทย จำกัด (มหาชน) สาขา ซันทาวเวอร์</t>
  </si>
  <si>
    <t>0220139</t>
  </si>
  <si>
    <t>ธ. ซีไอเอ็มบี ไทย จำกัด (มหาชน) สาขา บางใหญ่</t>
  </si>
  <si>
    <t>0220140</t>
  </si>
  <si>
    <t>ธ. ซีไอเอ็มบี ไทย จำกัด (มหาชน) สาขา ฟอร์จูนทาวน์</t>
  </si>
  <si>
    <t>0220141</t>
  </si>
  <si>
    <t>ธ. ซีไอเอ็มบี ไทย จำกัด (มหาชน) สาขา จักรวรรดิ</t>
  </si>
  <si>
    <t>0220142</t>
  </si>
  <si>
    <t>ธ. ซีไอเอ็มบี ไทย จำกัด (มหาชน) สาขา เซียร์ รังสิต</t>
  </si>
  <si>
    <t>0220143</t>
  </si>
  <si>
    <t>ธ. ซีไอเอ็มบี ไทย จำกัด (มหาชน) สาขา เค.เอส.แอล.ทาวเวอร์ ถนนศรีอยุธยา</t>
  </si>
  <si>
    <t>0220144</t>
  </si>
  <si>
    <t>ธ. ซีไอเอ็มบี ไทย จำกัด (มหาชน) สาขา เมืองทองธานี</t>
  </si>
  <si>
    <t>0220145</t>
  </si>
  <si>
    <t>ธ. ซีไอเอ็มบี ไทย จำกัด (มหาชน) สาขา ลาดกระบัง</t>
  </si>
  <si>
    <t>0220146</t>
  </si>
  <si>
    <t>ธ. ซีไอเอ็มบี ไทย จำกัด (มหาชน) สาขา พระนครศรีอยุธยา</t>
  </si>
  <si>
    <t>0220147</t>
  </si>
  <si>
    <t>ธ. ซีไอเอ็มบี ไทย จำกัด (มหาชน) สาขา สีลมเซ็นเตอร์</t>
  </si>
  <si>
    <t>0220148</t>
  </si>
  <si>
    <t>ธ. ซีไอเอ็มบี ไทย จำกัด (มหาชน) สาขา หัวหิน</t>
  </si>
  <si>
    <t>0220149</t>
  </si>
  <si>
    <t>ธ. ซีไอเอ็มบี ไทย จำกัด (มหาชน) สาขา เซ็นทรัล พลาซา พระราม 3</t>
  </si>
  <si>
    <t>0220150</t>
  </si>
  <si>
    <t>ธ. ซีไอเอ็มบี ไทย จำกัด (มหาชน) สาขา เซ็นทรัล ซิตี้ บางนา</t>
  </si>
  <si>
    <t>0220151</t>
  </si>
  <si>
    <t>ธ. ซีไอเอ็มบี ไทย จำกัด (มหาชน) สาขา เซ็นทรัล ปิ่นเกล้า</t>
  </si>
  <si>
    <t>0220152</t>
  </si>
  <si>
    <t>ธ. ซีไอเอ็มบี ไทย จำกัด (มหาชน) สาขา ศรีย่าน</t>
  </si>
  <si>
    <t>0220153</t>
  </si>
  <si>
    <t>ธ. ซีไอเอ็มบี ไทย จำกัด (มหาชน) สาขา หนองมน</t>
  </si>
  <si>
    <t>0220154</t>
  </si>
  <si>
    <t>ธ. ซีไอเอ็มบี ไทย จำกัด (มหาชน) สาขา พระประแดง</t>
  </si>
  <si>
    <t>0220155</t>
  </si>
  <si>
    <t>ธ. ซีไอเอ็มบี ไทย จำกัด (มหาชน) สาขา บางลำพู</t>
  </si>
  <si>
    <t>0220156</t>
  </si>
  <si>
    <t>ธ. ซีไอเอ็มบี ไทย จำกัด (มหาชน) สาขา สวนอุตสาหกรรมสหพัฒน์ ศรีราชา</t>
  </si>
  <si>
    <t>0220157</t>
  </si>
  <si>
    <t>ธ. ซีไอเอ็มบี ไทย จำกัด (มหาชน) สาขา อิมพีเรียล เวิลด์ ลาดพร้าว</t>
  </si>
  <si>
    <t>0220158</t>
  </si>
  <si>
    <t>ธ. ซีไอเอ็มบี ไทย จำกัด (มหาชน) สาขา ตลาดยิ่งเจริญ</t>
  </si>
  <si>
    <t>0220159</t>
  </si>
  <si>
    <t>ธ. ซีไอเอ็มบี ไทย จำกัด (มหาชน) สาขา ไอที สแควร์</t>
  </si>
  <si>
    <t>0220160</t>
  </si>
  <si>
    <t>ธ. ซีไอเอ็มบี ไทย จำกัด (มหาชน) สาขา กาญจนบุรี</t>
  </si>
  <si>
    <t>0220161</t>
  </si>
  <si>
    <t>ธ. ซีไอเอ็มบี ไทย จำกัด (มหาชน) สาขา ฟิวเจอร์ พาร์ค รังสิต</t>
  </si>
  <si>
    <t>0220162</t>
  </si>
  <si>
    <t>ธ. ซีไอเอ็มบี ไทย จำกัด (มหาชน) สาขา จันทบุรี</t>
  </si>
  <si>
    <t>0220163</t>
  </si>
  <si>
    <t>ธ. ซีไอเอ็มบี ไทย จำกัด (มหาชน) สาขา ราชบุรี</t>
  </si>
  <si>
    <t>0220164</t>
  </si>
  <si>
    <t>ธ. ซีไอเอ็มบี ไทย จำกัด (มหาชน) สาขา วงศ์สว่าง ทาวน์ เซ็นเตอร์</t>
  </si>
  <si>
    <t>0220165</t>
  </si>
  <si>
    <t>0220166</t>
  </si>
  <si>
    <t>ธ. ซีไอเอ็มบี ไทย จำกัด (มหาชน) สาขา บุรีรัมย์</t>
  </si>
  <si>
    <t>0220167</t>
  </si>
  <si>
    <t>ธ. ซีไอเอ็มบี ไทย จำกัด (มหาชน) สาขา เดอะมอลล์ บางกะปิ</t>
  </si>
  <si>
    <t>0220168</t>
  </si>
  <si>
    <t>ธ. ซีไอเอ็มบี ไทย จำกัด (มหาชน) สาขา มาบุญครองเซ็นเตอร์</t>
  </si>
  <si>
    <t>0220169</t>
  </si>
  <si>
    <t>ธ. ซีไอเอ็มบี ไทย จำกัด (มหาชน) สาขา บิ๊กซี นวนคร</t>
  </si>
  <si>
    <t>0220170</t>
  </si>
  <si>
    <t>ธ. ซีไอเอ็มบี ไทย จำกัด (มหาชน) สาขา ถนนรัตนาธิเบศร์</t>
  </si>
  <si>
    <t>0220171</t>
  </si>
  <si>
    <t>ธ. ซีไอเอ็มบี ไทย จำกัด (มหาชน) สาขา ถนนสายลวด สมุทรปราการ</t>
  </si>
  <si>
    <t>0220172</t>
  </si>
  <si>
    <t>0220173</t>
  </si>
  <si>
    <t>ธ. ซีไอเอ็มบี ไทย จำกัด (มหาชน) สาขา เอกมัย พาวเวอร์ เซ็นเตอร์</t>
  </si>
  <si>
    <t>0220174</t>
  </si>
  <si>
    <t>ธ. ซีไอเอ็มบี ไทย จำกัด (มหาชน) สาขา มีนบุรี</t>
  </si>
  <si>
    <t>0220175</t>
  </si>
  <si>
    <t>ธ. ซีไอเอ็มบี ไทย จำกัด (มหาชน) สาขา ถนนศุภสารรังสรรค์ หาดใหญ่</t>
  </si>
  <si>
    <t>0220176</t>
  </si>
  <si>
    <t>ธ. ซีไอเอ็มบี ไทย จำกัด (มหาชน) สาขา ถนนเพชรเกษม หาดใหญ่</t>
  </si>
  <si>
    <t>0220177</t>
  </si>
  <si>
    <t>ธ. ซีไอเอ็มบี ไทย จำกัด (มหาชน) สาขา แม่สาย</t>
  </si>
  <si>
    <t>0220178</t>
  </si>
  <si>
    <t>ธ. ซีไอเอ็มบี ไทย จำกัด (มหาชน) สาขา ลำปาง</t>
  </si>
  <si>
    <t>0220179</t>
  </si>
  <si>
    <t>ธ. ซีไอเอ็มบี ไทย จำกัด (มหาชน) สาขา นครศรีธรรมราช</t>
  </si>
  <si>
    <t>0220180</t>
  </si>
  <si>
    <t>ธ. ซีไอเอ็มบี ไทย จำกัด (มหาชน) สาขา ปากเกร็ด</t>
  </si>
  <si>
    <t>0220181</t>
  </si>
  <si>
    <t>ธ. ซีไอเอ็มบี ไทย จำกัด (มหาชน) สาขา อ่อนนุช</t>
  </si>
  <si>
    <t>0220182</t>
  </si>
  <si>
    <t>ธ. ซีไอเอ็มบี ไทย จำกัด (มหาชน) สาขา วังหิน</t>
  </si>
  <si>
    <t>0220183</t>
  </si>
  <si>
    <t>ธ. ซีไอเอ็มบี ไทย จำกัด (มหาชน) สาขา ถนนสุเทพ</t>
  </si>
  <si>
    <t>0220184</t>
  </si>
  <si>
    <t>ธ. ซีไอเอ็มบี ไทย จำกัด (มหาชน) สาขา สุพรรณบุรี</t>
  </si>
  <si>
    <t>0220185</t>
  </si>
  <si>
    <t>ธ. ซีไอเอ็มบี ไทย จำกัด (มหาชน) สาขา ถนนเทพารักษ์</t>
  </si>
  <si>
    <t>0220186</t>
  </si>
  <si>
    <t>ธ. ซีไอเอ็มบี ไทย จำกัด (มหาชน) สาขา ป่าตอง</t>
  </si>
  <si>
    <t>0220187</t>
  </si>
  <si>
    <t>ธ. ซีไอเอ็มบี ไทย จำกัด (มหาชน) สาขา โลตัส ขอนแก่น</t>
  </si>
  <si>
    <t>0220188</t>
  </si>
  <si>
    <t>ธ. ซีไอเอ็มบี ไทย จำกัด (มหาชน) สาขา อมอรินี่ รามอินทรา</t>
  </si>
  <si>
    <t>0220189</t>
  </si>
  <si>
    <t>ธ. ซีไอเอ็มบี ไทย จำกัด (มหาชน) สาขา ถนนพระตำหนัก พัทยา</t>
  </si>
  <si>
    <t>0220190</t>
  </si>
  <si>
    <t>ธ. ซีไอเอ็มบี ไทย จำกัด (มหาชน) สาขา เซ็นจูรี่ พลาซ่า</t>
  </si>
  <si>
    <t>0220191</t>
  </si>
  <si>
    <t>ธ. ซีไอเอ็มบี ไทย จำกัด (มหาชน) สาขา ถนนเลียบหาดพัทยา</t>
  </si>
  <si>
    <t>0220192</t>
  </si>
  <si>
    <t>ธ. ซีไอเอ็มบี ไทย จำกัด (มหาชน) สาขา เกาะสมุย</t>
  </si>
  <si>
    <t>0220193</t>
  </si>
  <si>
    <t>ธ. ซีไอเอ็มบี ไทย จำกัด (มหาชน) สาขา หาดเฉวง</t>
  </si>
  <si>
    <t>0220194</t>
  </si>
  <si>
    <t>ธ. ซีไอเอ็มบี ไทย จำกัด (มหาชน) สาขา วอลล์สตรีท ทาวเวอร์</t>
  </si>
  <si>
    <t>0220195</t>
  </si>
  <si>
    <t>ธ. ซีไอเอ็มบี ไทย จำกัด (มหาชน) สาขา กะรน</t>
  </si>
  <si>
    <t>0220196</t>
  </si>
  <si>
    <t>ธ. ซีไอเอ็มบี ไทย จำกัด (มหาชน) สาขา จอมเทียน</t>
  </si>
  <si>
    <t>0220197</t>
  </si>
  <si>
    <t>ธ. ซีไอเอ็มบี ไทย จำกัด (มหาชน) สาขา ทุ่งสง</t>
  </si>
  <si>
    <t>0220198</t>
  </si>
  <si>
    <t>ธ. ซีไอเอ็มบี ไทย จำกัด (มหาชน) สาขา อ่าวนาง กระบี่</t>
  </si>
  <si>
    <t>0220199</t>
  </si>
  <si>
    <t>ธ. ซีไอเอ็มบี ไทย จำกัด (มหาชน) สาขา สำนักงานใหญ่</t>
  </si>
  <si>
    <t>0220200</t>
  </si>
  <si>
    <t>ธ. ซีไอเอ็มบี ไทย จำกัด (มหาชน) สาขา ตึกคอม ชลบุรี</t>
  </si>
  <si>
    <t>0220201</t>
  </si>
  <si>
    <t>ธ. ซีไอเอ็มบี ไทย จำกัด (มหาชน) สาขา เมกาบางนา</t>
  </si>
  <si>
    <t>0220202</t>
  </si>
  <si>
    <t>ธ. ซีไอเอ็มบี ไทย จำกัด (มหาชน) สาขา อเวนิว รัชโยธิน</t>
  </si>
  <si>
    <t>0220203</t>
  </si>
  <si>
    <t>ธ. ซีไอเอ็มบี ไทย จำกัด (มหาชน) สาขา แพลทินัม ประตูน้ำ</t>
  </si>
  <si>
    <t>0220204</t>
  </si>
  <si>
    <t>ธ. ซีไอเอ็มบี ไทย จำกัด (มหาชน) สาขา ถลาง ภูเก็ต</t>
  </si>
  <si>
    <t>0220205</t>
  </si>
  <si>
    <t>ธ. ซีไอเอ็มบี ไทย จำกัด (มหาชน) สาขา เดอะมอลล์ นครราชสีมา</t>
  </si>
  <si>
    <t>0220206</t>
  </si>
  <si>
    <t>ธ. ซีไอเอ็มบี ไทย จำกัด (มหาชน) สาขา เสนา เฟสท์ เจริญนคร</t>
  </si>
  <si>
    <t>0220207</t>
  </si>
  <si>
    <t>ธ. ซีไอเอ็มบี ไทย จำกัด (มหาชน) สาขา ตึกคอม แลนด์มาร์ค อุดรธานี</t>
  </si>
  <si>
    <t>0220208</t>
  </si>
  <si>
    <t>ธ. ซีไอเอ็มบี ไทย จำกัด (มหาชน) สาขา สยามพารากอน</t>
  </si>
  <si>
    <t>0220209</t>
  </si>
  <si>
    <t>ธ. ซีไอเอ็มบี ไทย จำกัด (มหาชน) สาขา แม่สอด</t>
  </si>
  <si>
    <t>0220210</t>
  </si>
  <si>
    <t>ธ. ซีไอเอ็มบี ไทย จำกัด (มหาชน) สาขา มีโชค</t>
  </si>
  <si>
    <t>0220211</t>
  </si>
  <si>
    <t>ธ. ซีไอเอ็มบี ไทย จำกัด (มหาชน) สาขา ศูนย์ธุรกิจทุ่งสง</t>
  </si>
  <si>
    <t>0220212</t>
  </si>
  <si>
    <t>ธ. ซีไอเอ็มบี ไทย จำกัด (มหาชน) สาขา ย่อยสีตบุตร</t>
  </si>
  <si>
    <t>0220213</t>
  </si>
  <si>
    <t>ธ. ซีไอเอ็มบี ไทย จำกัด (มหาชน) สาขา ย่อยราชพฤกษ์</t>
  </si>
  <si>
    <t>0220214</t>
  </si>
  <si>
    <t>ธ. ซีไอเอ็มบี ไทย จำกัด (มหาชน) สาขา ย่อยถนนศุขประยูร</t>
  </si>
  <si>
    <t>0220220</t>
  </si>
  <si>
    <t>ธ. ซีไอเอ็มบี ไทย จำกัด (มหาชน) สาขา สยามพารากอน ซีนีเพล็กซ์</t>
  </si>
  <si>
    <t>0220700</t>
  </si>
  <si>
    <t>ธ. ซีไอเอ็มบี ไทย จำกัด (มหาชน) สาขา เวียงจันทน์</t>
  </si>
  <si>
    <t>0220809</t>
  </si>
  <si>
    <t>ธ. ซีไอเอ็มบี ไทย จำกัด (มหาชน) สาขา สำนักเพชรบุรีตัดใหม่</t>
  </si>
  <si>
    <t>0220900</t>
  </si>
  <si>
    <t>ธ. ซีไอเอ็มบี ไทย จำกัด (มหาชน) สาขา เพชรบุรีตัดใหม่</t>
  </si>
  <si>
    <t>0230001</t>
  </si>
  <si>
    <t>ธ. อาร์ เอช บี แบงค์ เบอร์แฮด จำกัด สำนักงานกรุงเทพ</t>
  </si>
  <si>
    <t>0230002</t>
  </si>
  <si>
    <t>ธ. อาร์ เอช บี จำกัด สาขา ศรีราชา</t>
  </si>
  <si>
    <t>0230003</t>
  </si>
  <si>
    <t>ธ. อาร์ เอช บี จำกัด สาขา อยุธยา</t>
  </si>
  <si>
    <t>0240001</t>
  </si>
  <si>
    <t>ธ. ยูโอบี จำกัด (มหาชน) สาขา สี่พระยา</t>
  </si>
  <si>
    <t>0240002</t>
  </si>
  <si>
    <t>ธ. ยูโอบี จำกัด (มหาชน) สาขา พาหุรัด</t>
  </si>
  <si>
    <t>0240003</t>
  </si>
  <si>
    <t>ธ. ยูโอบี จำกัด (มหาชน) สาขา ทรงวาด</t>
  </si>
  <si>
    <t>0240004</t>
  </si>
  <si>
    <t>ธ. ยูโอบี จำกัด (มหาชน) สาขา เมอร์คิวรี่ วิลล์ ชิดลม</t>
  </si>
  <si>
    <t>0240005</t>
  </si>
  <si>
    <t>ธ. ยูโอบี จำกัด (มหาชน) สาขา บรรทัดทอง</t>
  </si>
  <si>
    <t>0240006</t>
  </si>
  <si>
    <t>ธ. ยูโอบี จำกัด (มหาชน) สาขา ชลบุรี</t>
  </si>
  <si>
    <t>0240007</t>
  </si>
  <si>
    <t>ธ. ยูโอบี จำกัด (มหาชน) สาขา นครราชสีมา</t>
  </si>
  <si>
    <t>0240008</t>
  </si>
  <si>
    <t>ธ. ยูโอบี จำกัด (มหาชน) สาขา นครศรีธรรมราช</t>
  </si>
  <si>
    <t>0240009</t>
  </si>
  <si>
    <t>ธ. ยูโอบี จำกัด (มหาชน) สาขา ปากพนัง</t>
  </si>
  <si>
    <t>0240010</t>
  </si>
  <si>
    <t>ธ. ยูโอบี จำกัด (มหาชน) สาขา หาดใหญ่</t>
  </si>
  <si>
    <t>0240011</t>
  </si>
  <si>
    <t>ธ. ยูโอบี จำกัด (มหาชน) สาขา ยะลา</t>
  </si>
  <si>
    <t>0240012</t>
  </si>
  <si>
    <t>ธ. ยูโอบี จำกัด (มหาชน) สาขา บ้านบึง</t>
  </si>
  <si>
    <t>0240013</t>
  </si>
  <si>
    <t>ธ. ยูโอบี จำกัด (มหาชน) สาขา บางละมุง</t>
  </si>
  <si>
    <t>0240014</t>
  </si>
  <si>
    <t>ธ. ยูโอบี จำกัด (มหาชน) สาขา บางปะกง</t>
  </si>
  <si>
    <t>0240015</t>
  </si>
  <si>
    <t>ธ. ยูโอบี จำกัด (มหาชน) สาขา สัตหีบ</t>
  </si>
  <si>
    <t>0240016</t>
  </si>
  <si>
    <t>ธ. ยูโอบี จำกัด (มหาชน) สาขา วารินชำราบ</t>
  </si>
  <si>
    <t>0240017</t>
  </si>
  <si>
    <t>ธ. ยูโอบี จำกัด (มหาชน) สาขา ถนนศรีดอนไชย เชียงใหม่</t>
  </si>
  <si>
    <t>0240018</t>
  </si>
  <si>
    <t>ธ. ยูโอบี จำกัด (มหาชน) สาขา สามชุก</t>
  </si>
  <si>
    <t>0240019</t>
  </si>
  <si>
    <t>ธ. ยูโอบี จำกัด (มหาชน) สาขา ฉะเชิงเทรา</t>
  </si>
  <si>
    <t>0240020</t>
  </si>
  <si>
    <t>ธ. ยูโอบี จำกัด (มหาชน) สาขา ป่าซาง</t>
  </si>
  <si>
    <t>0240021</t>
  </si>
  <si>
    <t>ธ. ยูโอบี จำกัด (มหาชน) สาขา ภูเก็ต</t>
  </si>
  <si>
    <t>0240022</t>
  </si>
  <si>
    <t>ธ. ยูโอบี จำกัด (มหาชน) สาขา ตากสิน</t>
  </si>
  <si>
    <t>0240023</t>
  </si>
  <si>
    <t>ธ. ยูโอบี จำกัด (มหาชน) สาขา อุบลราชธานี</t>
  </si>
  <si>
    <t>0240024</t>
  </si>
  <si>
    <t>ธ. ยูโอบี จำกัด (มหาชน) สาขา ขอนแก่น</t>
  </si>
  <si>
    <t>0240025</t>
  </si>
  <si>
    <t>ธ. ยูโอบี จำกัด (มหาชน) สาขา โบ๊เบ๊</t>
  </si>
  <si>
    <t>0240026</t>
  </si>
  <si>
    <t>ธ. ยูโอบี จำกัด (มหาชน) สาขา นนทบุรี</t>
  </si>
  <si>
    <t>0240027</t>
  </si>
  <si>
    <t>ธ. ยูโอบี จำกัด (มหาชน) สาขา น้ำพอง</t>
  </si>
  <si>
    <t>0240028</t>
  </si>
  <si>
    <t>ธ. ยูโอบี จำกัด (มหาชน) สาขา ดำเนินสะดวก</t>
  </si>
  <si>
    <t>0240029</t>
  </si>
  <si>
    <t>ธ. ยูโอบี จำกัด (มหาชน) สาขา บางรัก</t>
  </si>
  <si>
    <t>0240030</t>
  </si>
  <si>
    <t>ธ. ยูโอบี จำกัด (มหาชน) สาขา สำโรง</t>
  </si>
  <si>
    <t>0240031</t>
  </si>
  <si>
    <t>ธ. ยูโอบี จำกัด (มหาชน) สาขา พิษณุโลก</t>
  </si>
  <si>
    <t>0240032</t>
  </si>
  <si>
    <t>ธ. ยูโอบี จำกัด (มหาชน) สาขา บำเหน็จณรงค์</t>
  </si>
  <si>
    <t>0240033</t>
  </si>
  <si>
    <t>ธ. ยูโอบี จำกัด (มหาชน) สาขา ตะกั่วป่า</t>
  </si>
  <si>
    <t>0240034</t>
  </si>
  <si>
    <t>ธ. ยูโอบี จำกัด (มหาชน) สาขา ลอง</t>
  </si>
  <si>
    <t>0240035</t>
  </si>
  <si>
    <t>ธ. ยูโอบี จำกัด (มหาชน) สาขา บางพระ</t>
  </si>
  <si>
    <t>0240036</t>
  </si>
  <si>
    <t>ธ. ยูโอบี จำกัด (มหาชน) สาขา อนุสาวรีย์ชัยสมรภูมิ</t>
  </si>
  <si>
    <t>0240037</t>
  </si>
  <si>
    <t>ธ. ยูโอบี จำกัด (มหาชน) สาขา สระบุรี</t>
  </si>
  <si>
    <t>0240038</t>
  </si>
  <si>
    <t>ธ. ยูโอบี จำกัด (มหาชน) สาขา สุขสวัสดิ์</t>
  </si>
  <si>
    <t>0240039</t>
  </si>
  <si>
    <t>ธ. ยูโอบี จำกัด (มหาชน) สาขา เซ็นทรัลพลาซา ลาดพร้าว</t>
  </si>
  <si>
    <t>0240040</t>
  </si>
  <si>
    <t>ธ. ยูโอบี จำกัด (มหาชน) สาขา สุรินทร์</t>
  </si>
  <si>
    <t>0240041</t>
  </si>
  <si>
    <t>ธ. ยูโอบี จำกัด (มหาชน) สาขา ลำปาง</t>
  </si>
  <si>
    <t>0240042</t>
  </si>
  <si>
    <t>ธ. ยูโอบี จำกัด (มหาชน) สาขา นครสวรรค์</t>
  </si>
  <si>
    <t>0240043</t>
  </si>
  <si>
    <t>ธ. ยูโอบี จำกัด (มหาชน) สาขา สุขุมวิท 25</t>
  </si>
  <si>
    <t>0240044</t>
  </si>
  <si>
    <t>ธ. ยูโอบี จำกัด (มหาชน) สาขา อุดรธานี</t>
  </si>
  <si>
    <t>0240045</t>
  </si>
  <si>
    <t>ธ. ยูโอบี จำกัด (มหาชน) สาขา จันทบุรี</t>
  </si>
  <si>
    <t>0240046</t>
  </si>
  <si>
    <t>ธ. ยูโอบี จำกัด (มหาชน) สาขา สามแยก</t>
  </si>
  <si>
    <t>0240047</t>
  </si>
  <si>
    <t>ธ. ยูโอบี จำกัด (มหาชน) สำนักสาทร</t>
  </si>
  <si>
    <t>0240048</t>
  </si>
  <si>
    <t>ธ. ยูโอบี จำกัด (มหาชน) สาขา ระโนด</t>
  </si>
  <si>
    <t>0240049</t>
  </si>
  <si>
    <t>ธ. ยูโอบี จำกัด (มหาชน) สาขา พระปิ่นเกล้า</t>
  </si>
  <si>
    <t>0240050</t>
  </si>
  <si>
    <t>ธ. ยูโอบี จำกัด (มหาชน) สาขา ระยอง</t>
  </si>
  <si>
    <t>0240051</t>
  </si>
  <si>
    <t>ธ. ยูโอบี จำกัด (มหาชน) สาขา คลองเตย</t>
  </si>
  <si>
    <t>0240052</t>
  </si>
  <si>
    <t>ธ. ยูโอบี จำกัด (มหาชน) สาขา หัวหมาก</t>
  </si>
  <si>
    <t>0240053</t>
  </si>
  <si>
    <t>ธ. ยูโอบี จำกัด (มหาชน) สาขา ดาวคะนอง</t>
  </si>
  <si>
    <t>0240054</t>
  </si>
  <si>
    <t>ธ. ยูโอบี จำกัด (มหาชน) สาขา ถนนเยาวราช</t>
  </si>
  <si>
    <t>0240055</t>
  </si>
  <si>
    <t>ธ. ยูโอบี จำกัด (มหาชน) สาขา วงเวียนโอเดียน</t>
  </si>
  <si>
    <t>0240056</t>
  </si>
  <si>
    <t>ธ. ยูโอบี จำกัด (มหาชน) สาขา ย่อยพลับพลาไชยสาขา สามแยก</t>
  </si>
  <si>
    <t>0240057</t>
  </si>
  <si>
    <t>ธ. ยูโอบี จำกัด (มหาชน) สาขา แจ้งวัฒนะ</t>
  </si>
  <si>
    <t>0240058</t>
  </si>
  <si>
    <t>ธ. ยูโอบี จำกัด (มหาชน) สาขา สุราษฎร์ธานี</t>
  </si>
  <si>
    <t>0240059</t>
  </si>
  <si>
    <t>ธ. ยูโอบี จำกัด (มหาชน) สาขา ย่อยโอเดียนสาขา สามแยก</t>
  </si>
  <si>
    <t>0240060</t>
  </si>
  <si>
    <t>ธ. ยูโอบี จำกัด (มหาชน) สาขา ซีคอน บางแค</t>
  </si>
  <si>
    <t>0240061</t>
  </si>
  <si>
    <t>ธ. ยูโอบี จำกัด (มหาชน) สาขา เชียงราย</t>
  </si>
  <si>
    <t>0240062</t>
  </si>
  <si>
    <t>ธ. ยูโอบี จำกัด (มหาชน) สาขา อ่อนนุช</t>
  </si>
  <si>
    <t>0240063</t>
  </si>
  <si>
    <t>ธ. ยูโอบี จำกัด (มหาชน) สาขา ตลาดสี่มุมเมือง</t>
  </si>
  <si>
    <t>0240064</t>
  </si>
  <si>
    <t>ธ. ยูโอบี จำกัด (มหาชน) สาขา เดอะมอลล์ บางกะปิ</t>
  </si>
  <si>
    <t>0240065</t>
  </si>
  <si>
    <t>ธ. ยูโอบี จำกัด (มหาชน) สาขา ย่อยถนนเฉลิมเขต1สาขา สามแยก</t>
  </si>
  <si>
    <t>0240066</t>
  </si>
  <si>
    <t>ธ. ยูโอบี จำกัด (มหาชน) สาขา ย่อยบางขุนนนท์สาขา พระปิ่นเกล้า</t>
  </si>
  <si>
    <t>0240067</t>
  </si>
  <si>
    <t>ธ. ยูโอบี จำกัด (มหาชน) สาขา บางนา กม.2</t>
  </si>
  <si>
    <t>0240068</t>
  </si>
  <si>
    <t>ธ. ยูโอบี จำกัด (มหาชน) สาขา ซอยอยู่ดี</t>
  </si>
  <si>
    <t>0240069</t>
  </si>
  <si>
    <t>ธ. ยูโอบี จำกัด (มหาชน) สาขา ย่อยถนนข้าวสารสาขา พาหุรัด</t>
  </si>
  <si>
    <t>0240070</t>
  </si>
  <si>
    <t>ธ. ยูโอบี จำกัด (มหาชน) สาขา ซิตี้ คอมเพล็กซ์</t>
  </si>
  <si>
    <t>0240071</t>
  </si>
  <si>
    <t>ธ. ยูโอบี จำกัด (มหาชน) สาขา ศรีย่าน</t>
  </si>
  <si>
    <t>0240072</t>
  </si>
  <si>
    <t>ธ. ยูโอบี จำกัด (มหาชน) สาขา สยามสแควร์</t>
  </si>
  <si>
    <t>0240073</t>
  </si>
  <si>
    <t>ธ. ยูโอบี จำกัด (มหาชน) สาขา ถนนวรจักร</t>
  </si>
  <si>
    <t>0240074</t>
  </si>
  <si>
    <t>ธ. ยูโอบี จำกัด (มหาชน) สาขา ซอยสุขุมวิท 101/1</t>
  </si>
  <si>
    <t>0240075</t>
  </si>
  <si>
    <t>ธ. ยูโอบี จำกัด (มหาชน) สาขา รัชดา-ท่าพระ</t>
  </si>
  <si>
    <t>0240076</t>
  </si>
  <si>
    <t>ธ. ยูโอบี จำกัด (มหาชน) สาขา สีลม คอมเพล็กซ์</t>
  </si>
  <si>
    <t>0240077</t>
  </si>
  <si>
    <t>ธ. ยูโอบี จำกัด (มหาชน) สาขา นครปฐม</t>
  </si>
  <si>
    <t>0240078</t>
  </si>
  <si>
    <t>ธ. ยูโอบี จำกัด (มหาชน) สาขา ซอยโชคชัย 4</t>
  </si>
  <si>
    <t>0240079</t>
  </si>
  <si>
    <t>ธ. ยูโอบี จำกัด (มหาชน) สาขา พหลโยธิน กม. 26</t>
  </si>
  <si>
    <t>0240080</t>
  </si>
  <si>
    <t>ธ. ยูโอบี จำกัด (มหาชน) สาขา หาดป่าตอง</t>
  </si>
  <si>
    <t>0240081</t>
  </si>
  <si>
    <t>ธ. ยูโอบี จำกัด (มหาชน) สาขา พัทยา</t>
  </si>
  <si>
    <t>0240082</t>
  </si>
  <si>
    <t>ธ. ยูโอบี จำกัด (มหาชน) สาขา เดอะมอลล์ งามวงศ์วาน</t>
  </si>
  <si>
    <t>0240083</t>
  </si>
  <si>
    <t>ธ. ยูโอบี จำกัด (มหาชน) สาขา บ้านฉาง</t>
  </si>
  <si>
    <t>0240084</t>
  </si>
  <si>
    <t>ธ. ยูโอบี จำกัด (มหาชน) สาขา ถนนพหลโยธิน 8</t>
  </si>
  <si>
    <t>0240085</t>
  </si>
  <si>
    <t>ธ. ยูโอบี จำกัด (มหาชน) สาขา ท็อปส์ หาดใหญ่ ถนนเสน่หานุสรณ์</t>
  </si>
  <si>
    <t>0240086</t>
  </si>
  <si>
    <t>ธ. ยูโอบี จำกัด (มหาชน) สาขา สมุทรสาคร</t>
  </si>
  <si>
    <t>0240087</t>
  </si>
  <si>
    <t>ธ. ยูโอบี จำกัด (มหาชน) สาขา หนองแขม</t>
  </si>
  <si>
    <t>0240088</t>
  </si>
  <si>
    <t>ธ. ยูโอบี จำกัด (มหาชน) สาขา ศรีราชา</t>
  </si>
  <si>
    <t>0240089</t>
  </si>
  <si>
    <t>ธ. ยูโอบี จำกัด (มหาชน) สาขา รัชดา-สาธุประดิษฐ์</t>
  </si>
  <si>
    <t>0240090</t>
  </si>
  <si>
    <t>ธ. ยูโอบี จำกัด (มหาชน) สาขา พิมาย</t>
  </si>
  <si>
    <t>0240091</t>
  </si>
  <si>
    <t>ธ. ยูโอบี จำกัด (มหาชน) สาขา ถนนวิทยุ</t>
  </si>
  <si>
    <t>0240092</t>
  </si>
  <si>
    <t>ธ. ยูโอบี จำกัด (มหาชน) สาขา พระนครศรีอยุธยา</t>
  </si>
  <si>
    <t>0240093</t>
  </si>
  <si>
    <t>ธ. ยูโอบี จำกัด (มหาชน) สาขา บางบอน</t>
  </si>
  <si>
    <t>0240094</t>
  </si>
  <si>
    <t>ธ. ยูโอบี จำกัด (มหาชน) สาขา อาคารไทยวา</t>
  </si>
  <si>
    <t>0240095</t>
  </si>
  <si>
    <t>ธ. ยูโอบี จำกัด (มหาชน) สาขา สุขุมวิท 4</t>
  </si>
  <si>
    <t>0240096</t>
  </si>
  <si>
    <t>ธ. ยูโอบี จำกัด (มหาชน) สาขา รัชดา-ห้วยขวาง</t>
  </si>
  <si>
    <t>0240097</t>
  </si>
  <si>
    <t>ธ. ยูโอบี จำกัด (มหาชน) สาขา ถนนศรีวรา</t>
  </si>
  <si>
    <t>0240098</t>
  </si>
  <si>
    <t>ธ. ยูโอบี จำกัด (มหาชน) สาขา พหลโยธิน ซอย 19</t>
  </si>
  <si>
    <t>0240099</t>
  </si>
  <si>
    <t>ธ. ยูโอบี จำกัด (มหาชน) สาขา ย่อยซอยเซ็นต์หลุยส์3</t>
  </si>
  <si>
    <t>0240100</t>
  </si>
  <si>
    <t>ธ. ยูโอบี จำกัด (มหาชน) สาขา แฟชั่นไอส์แลนด์</t>
  </si>
  <si>
    <t>0240101</t>
  </si>
  <si>
    <t>ธ. ยูโอบี จำกัด (มหาชน) สาขา ทองหล่อ</t>
  </si>
  <si>
    <t>0240102</t>
  </si>
  <si>
    <t>ธ. ยูโอบี จำกัด (มหาชน) สาขา รังสิต</t>
  </si>
  <si>
    <t>0240103</t>
  </si>
  <si>
    <t>ธ. ยูโอบี จำกัด (มหาชน) สาขา ย่อยแวงใหญ่</t>
  </si>
  <si>
    <t>0240104</t>
  </si>
  <si>
    <t>ธ. ยูโอบี จำกัด (มหาชน) สาขา ย่อยอุบลฯ-สำโรง</t>
  </si>
  <si>
    <t>0240105</t>
  </si>
  <si>
    <t>ธ. ยูโอบี จำกัด (มหาชน) สาขา ย่อยตาลสุม</t>
  </si>
  <si>
    <t>0240106</t>
  </si>
  <si>
    <t>ธ. ยูโอบี จำกัด (มหาชน) สาขา วิภาวดีรังสิต9</t>
  </si>
  <si>
    <t>0240107</t>
  </si>
  <si>
    <t>ธ. ยูโอบี จำกัด (มหาชน) สาขา ถนนพระราม 9</t>
  </si>
  <si>
    <t>0240108</t>
  </si>
  <si>
    <t>ธ. ยูโอบี จำกัด (มหาชน) สาขา อิมพีเรียล (ลาดพร้าว 81)</t>
  </si>
  <si>
    <t>0240109</t>
  </si>
  <si>
    <t>ธ. ยูโอบี จำกัด (มหาชน) สาขา ถนนไฮเวย์-เชียงใหม่</t>
  </si>
  <si>
    <t>0240110</t>
  </si>
  <si>
    <t>ธ. ยูโอบี จำกัด (มหาชน) สาขา เดอะฟิล สุขุมวิท 54</t>
  </si>
  <si>
    <t>0240111</t>
  </si>
  <si>
    <t>ธ. ยูโอบี จำกัด (มหาชน) สาขา ถนนประชาอุทิศ</t>
  </si>
  <si>
    <t>0240112</t>
  </si>
  <si>
    <t>ธ. ยูโอบี จำกัด (มหาชน) สาขา ลุมพินี(อาคาร208)</t>
  </si>
  <si>
    <t>0240113</t>
  </si>
  <si>
    <t>ธ. ยูโอบี จำกัด (มหาชน) สาขา พาราไดซ์ พาร์ค</t>
  </si>
  <si>
    <t>0240114</t>
  </si>
  <si>
    <t>ธ. ยูโอบี จำกัด (มหาชน) สาขา วัน โอ วัน เดอะเทิร์ดเพลส</t>
  </si>
  <si>
    <t>0240115</t>
  </si>
  <si>
    <t>ธ. ยูโอบี จำกัด (มหาชน) สาขา นครราชสีมา 2</t>
  </si>
  <si>
    <t>0240116</t>
  </si>
  <si>
    <t>ธ. ยูโอบี จำกัด (มหาชน) สาขา ชลบุรี2</t>
  </si>
  <si>
    <t>0240117</t>
  </si>
  <si>
    <t>ธ. ยูโอบี จำกัด (มหาชน) สาขา สาทร 2</t>
  </si>
  <si>
    <t>0240118</t>
  </si>
  <si>
    <t>ธ. ยูโอบี จำกัด (มหาชน) สาขา เพชรบุรี</t>
  </si>
  <si>
    <t>0240119</t>
  </si>
  <si>
    <t>ธ. ยูโอบี จำกัด (มหาชน) สาขา ท็อปส์ชิดลม</t>
  </si>
  <si>
    <t>0240120</t>
  </si>
  <si>
    <t>ธ. ยูโอบี จำกัด (มหาชน) สาขา ท็อปส์ราชบุรี</t>
  </si>
  <si>
    <t>0240121</t>
  </si>
  <si>
    <t>ธ. ยูโอบี จำกัด (มหาชน) สาขา ท็อปส์พระประแดง</t>
  </si>
  <si>
    <t>0240122</t>
  </si>
  <si>
    <t>ธ. ยูโอบี จำกัด (มหาชน) สาขา เซ็นทรัลเวิลด์</t>
  </si>
  <si>
    <t>0240123</t>
  </si>
  <si>
    <t>ธ. ยูโอบี จำกัด (มหาชน) สาขา ถนนพระราม 6</t>
  </si>
  <si>
    <t>0240124</t>
  </si>
  <si>
    <t>ธ. ยูโอบี จำกัด (มหาชน) สาขา เซ็นทรัล บางนา</t>
  </si>
  <si>
    <t>0240125</t>
  </si>
  <si>
    <t>ธ. ยูโอบี จำกัด (มหาชน) สาขา เซ็นทรัลแกรนด์ พระราม 9</t>
  </si>
  <si>
    <t>0240126</t>
  </si>
  <si>
    <t>ธ. ยูโอบี จำกัด (มหาชน) สาขา อีสเทิร์นซีบอร์ด</t>
  </si>
  <si>
    <t>0240127</t>
  </si>
  <si>
    <t>ธ. ยูโอบี จำกัด (มหาชน) สาขา เซ็นทรัลปิ่นเกล้า</t>
  </si>
  <si>
    <t>0240128</t>
  </si>
  <si>
    <t>ธ. ยูโอบี จำกัด (มหาชน) สาขา ยูเนี่ยนมอลล์ ลาดพร้าว</t>
  </si>
  <si>
    <t>0240129</t>
  </si>
  <si>
    <t>ธ. ยูโอบี จำกัด (มหาชน) สาขา เซ็นทรัล เฟสติวัล ภูเก็ต</t>
  </si>
  <si>
    <t>0240130</t>
  </si>
  <si>
    <t>ธ. ยูโอบี จำกัด (มหาชน) สาขา ถนนรามคำแหง 2</t>
  </si>
  <si>
    <t>0240131</t>
  </si>
  <si>
    <t>ธ. ยูโอบี จำกัด (มหาชน) สาขา บีทีเอส อ่อนนุช</t>
  </si>
  <si>
    <t>0240132</t>
  </si>
  <si>
    <t>ธ. ยูโอบี จำกัด (มหาชน) สาขา ย่อยท็อปส์ บางรัก</t>
  </si>
  <si>
    <t>0240133</t>
  </si>
  <si>
    <t>ธ. ยูโอบี จำกัด (มหาชน) สาขา ย่อยบีทีเอสหมอชิต</t>
  </si>
  <si>
    <t>0240134</t>
  </si>
  <si>
    <t>ธ. ยูโอบี จำกัด (มหาชน) สาขา ย่อยท็อปส์สุขาภิบาล3</t>
  </si>
  <si>
    <t>0240135</t>
  </si>
  <si>
    <t>ธ. ยูโอบี จำกัด (มหาชน) สาขา โรบินสันศรีราชา</t>
  </si>
  <si>
    <t>0240136</t>
  </si>
  <si>
    <t>ธ. ยูโอบี จำกัด (มหาชน) สาขา เซ็นทรัลพลาซา รามอินทรา</t>
  </si>
  <si>
    <t>0240138</t>
  </si>
  <si>
    <t>ธ. ยูโอบี จำกัด (มหาชน) สาขา เซ็นทรัล พระราม 2</t>
  </si>
  <si>
    <t>0240139</t>
  </si>
  <si>
    <t>ธ. ยูโอบี จำกัด (มหาชน) สาขา ลพบุรี</t>
  </si>
  <si>
    <t>0240140</t>
  </si>
  <si>
    <t>ธ. ยูโอบี จำกัด (มหาชน) สาขา กาญจนบุรี</t>
  </si>
  <si>
    <t>0240141</t>
  </si>
  <si>
    <t>ธ. ยูโอบี จำกัด (มหาชน) สาขา สมุทรสงคราม</t>
  </si>
  <si>
    <t>0240142</t>
  </si>
  <si>
    <t>ธ. ยูโอบี จำกัด (มหาชน) สาขา ร้อยเอ็ด</t>
  </si>
  <si>
    <t>0240143</t>
  </si>
  <si>
    <t>ธ. ยูโอบี จำกัด (มหาชน) สาขา ตรัง</t>
  </si>
  <si>
    <t>0240145</t>
  </si>
  <si>
    <t>ธ. ยูโอบี จำกัด (มหาชน) สาขา สกลนคร</t>
  </si>
  <si>
    <t>0240146</t>
  </si>
  <si>
    <t>ธ. ยูโอบี จำกัด (มหาชน) สาขา ท็อปส์ แอร์พอร์ต</t>
  </si>
  <si>
    <t>0240147</t>
  </si>
  <si>
    <t>ธ. ยูโอบี จำกัด (มหาชน) สาขา สยามพารากอน</t>
  </si>
  <si>
    <t>0240148</t>
  </si>
  <si>
    <t>ธ. ยูโอบี จำกัด (มหาชน) สาขา นวนคร</t>
  </si>
  <si>
    <t>0240149</t>
  </si>
  <si>
    <t>ธ. ยูโอบี จำกัด (มหาชน) สาขา มีนบุรี</t>
  </si>
  <si>
    <t>0240150</t>
  </si>
  <si>
    <t>ธ. ยูโอบี จำกัด (มหาชน) สาขา อาคารมโนรม</t>
  </si>
  <si>
    <t>0240151</t>
  </si>
  <si>
    <t>ธ. ยูโอบี จำกัด (มหาชน) สาขา เซ็นทรัลพลาซา ศาลายา</t>
  </si>
  <si>
    <t>0240152</t>
  </si>
  <si>
    <t>ธ. ยูโอบี จำกัด (มหาชน) สาขา เซ็นทรัลพลาซ่า เวสต์เกต</t>
  </si>
  <si>
    <t>0240153</t>
  </si>
  <si>
    <t>ธ. ยูโอบี จำกัด (มหาชน) สาขา เซ็นทรัลแอร์พอร์ต เชียงใหม่</t>
  </si>
  <si>
    <t>0240154</t>
  </si>
  <si>
    <t>ธ. ยูโอบี จำกัด (มหาชน) สาขา เยาวราช มหาจักร</t>
  </si>
  <si>
    <t>0240155</t>
  </si>
  <si>
    <t>ธ. ยูโอบี จำกัด (มหาชน) สาขา มาร์เก็ตวิลเลจ สุวรรณภูมิ</t>
  </si>
  <si>
    <t>0240156</t>
  </si>
  <si>
    <t>ธ. ยูโอบี จำกัด (มหาชน) สาขา ตลาดไท</t>
  </si>
  <si>
    <t>0240157</t>
  </si>
  <si>
    <t>ธ. ยูโอบี จำกัด (มหาชน) สาขา เล่งเน่ยยี่</t>
  </si>
  <si>
    <t>0240158</t>
  </si>
  <si>
    <t>ธ. ยูโอบี จำกัด (มหาชน) สาขา มาบตาพุด</t>
  </si>
  <si>
    <t>0240159</t>
  </si>
  <si>
    <t>ธ. ยูโอบี จำกัด (มหาชน) สาขา แพชชั่น ช้อปปิ้ง เดสติเนชั่น</t>
  </si>
  <si>
    <t>0240160</t>
  </si>
  <si>
    <t>ธ. ยูโอบี จำกัด (มหาชน) สาขา เซ็นทรัล ชลบุรี</t>
  </si>
  <si>
    <t>0240161</t>
  </si>
  <si>
    <t>ธ. ยูโอบี จำกัด (มหาชน) สาขา แพลทินัม ประตูน้ำ</t>
  </si>
  <si>
    <t>0240162</t>
  </si>
  <si>
    <t>ธ. ยูโอบี จำกัด (มหาชน) สาขา โรบินสัน สมุทรปราการ</t>
  </si>
  <si>
    <t>0240163</t>
  </si>
  <si>
    <t>ธ. ยูโอบี จำกัด (มหาชน) สาขา เดอะเซอร์เคิล ราชพฤกษ์</t>
  </si>
  <si>
    <t>0240164</t>
  </si>
  <si>
    <t>ธ. ยูโอบี จำกัด (มหาชน) สาขา ถนนเพชรเกษม หาดใหญ่</t>
  </si>
  <si>
    <t>0240165</t>
  </si>
  <si>
    <t>ธ. ยูโอบี จำกัด (มหาชน) สาขา เมกาบางนา</t>
  </si>
  <si>
    <t>0240166</t>
  </si>
  <si>
    <t>ธ. ยูโอบี จำกัด (มหาชน) สาขา เกตเวย์ เอกมัย</t>
  </si>
  <si>
    <t>0240167</t>
  </si>
  <si>
    <t>ธ. ยูโอบี จำกัด (มหาชน) สาขา เซ็นทรัลพลาซา อุดรธานี</t>
  </si>
  <si>
    <t>0240168</t>
  </si>
  <si>
    <t>ธ. ยูโอบี จำกัด (มหาชน) สาขา เซ็นทรัลพลาซา สุราษฎร์ธานี</t>
  </si>
  <si>
    <t>0240169</t>
  </si>
  <si>
    <t>ธ. ยูโอบี จำกัด (มหาชน) สาขา ยูไนเต็ด เซ็นเตอร์ สีลม</t>
  </si>
  <si>
    <t>0240170</t>
  </si>
  <si>
    <t>ธ. ยูโอบี จำกัด (มหาชน) สาขา เอ็มไพร์ ทาวเวอร์</t>
  </si>
  <si>
    <t>0240171</t>
  </si>
  <si>
    <t>ธ. ยูโอบี จำกัด (มหาชน) สาขา บ้านห้วย อุดรธานี</t>
  </si>
  <si>
    <t>0240172</t>
  </si>
  <si>
    <t>ธ. ยูโอบี จำกัด (มหาชน) สาขา ห้าแยกฉลองภูเก็ต</t>
  </si>
  <si>
    <t>0240173</t>
  </si>
  <si>
    <t>ธ. ยูโอบี จำกัด (มหาชน) สาขา เซ็นทรัลพลาซา พระราม 3</t>
  </si>
  <si>
    <t>0240174</t>
  </si>
  <si>
    <t>ธ. ยูโอบี จำกัด (มหาชน) สาขา ซีคอนสแควร์</t>
  </si>
  <si>
    <t>0240175</t>
  </si>
  <si>
    <t>ธ. ยูโอบี จำกัด (มหาชน) สาขา อมตะนคร</t>
  </si>
  <si>
    <t>0240176</t>
  </si>
  <si>
    <t>ธ. ยูโอบี จำกัด (มหาชน) สาขา UOB เวลท์แบงก์กิ้งฯ-สยามพารากอน</t>
  </si>
  <si>
    <t>0240177</t>
  </si>
  <si>
    <t>ธ. ยูโอบี จำกัด (มหาชน) สาขา ถนนท่าแพ เชียงใหม่</t>
  </si>
  <si>
    <t>0240178</t>
  </si>
  <si>
    <t>ธ. ยูโอบี จำกัด (มหาชน) สาขา สินธร ทาวเวอร์</t>
  </si>
  <si>
    <t>0240179</t>
  </si>
  <si>
    <t>ธ. ยูโอบี จำกัด (มหาชน) สาขา ไอคอนสยาม</t>
  </si>
  <si>
    <t>0240180</t>
  </si>
  <si>
    <t>ธ. ยูโอบี จำกัด (มหาชน) สาขา เซ็นทรัล เฟสติวัล อิสต์วิลล์</t>
  </si>
  <si>
    <t>0240201</t>
  </si>
  <si>
    <t>ธ. ยูโอบี จำกัด (มหาชน) สาขา สุรวงศ์</t>
  </si>
  <si>
    <t>0240202</t>
  </si>
  <si>
    <t>ธ. ยูโอบี จำกัด (มหาชน) สาขา ราชวงศ์</t>
  </si>
  <si>
    <t>0240203</t>
  </si>
  <si>
    <t>ธ. ยูโอบี จำกัด (มหาชน) สาขา อโศกมนตรี</t>
  </si>
  <si>
    <t>0240204</t>
  </si>
  <si>
    <t>ธ. ยูโอบี จำกัด (มหาชน) สาขา ถนนรามคำแหง 81/1</t>
  </si>
  <si>
    <t>0240206</t>
  </si>
  <si>
    <t>ธ. ยูโอบี จำกัด (มหาชน) สาขา เชียงใหม่-ห้วยแก้ว</t>
  </si>
  <si>
    <t>0240208</t>
  </si>
  <si>
    <t>ธ. ยูโอบี จำกัด (มหาชน) สาขา ขอนแก่น-ถนนมิตรภาพ</t>
  </si>
  <si>
    <t>0240210</t>
  </si>
  <si>
    <t>ธ. ยูโอบี จำกัด (มหาชน) สาขา เสนานิคม</t>
  </si>
  <si>
    <t>0240214</t>
  </si>
  <si>
    <t>ธ. ยูโอบี จำกัด (มหาชน) สาขา ศรีนครินทร์</t>
  </si>
  <si>
    <t>0240215</t>
  </si>
  <si>
    <t>ธ. ยูโอบี จำกัด (มหาชน) สาขา ประชาอุทิศ ซอย 16</t>
  </si>
  <si>
    <t>0240216</t>
  </si>
  <si>
    <t>ธ. ยูโอบี จำกัด (มหาชน) สาขา พัฒนาการ</t>
  </si>
  <si>
    <t>0240221</t>
  </si>
  <si>
    <t>ธ. ยูโอบี จำกัด (มหาชน) สาขา ถนนสุขาภิบาล 3</t>
  </si>
  <si>
    <t>0240226</t>
  </si>
  <si>
    <t>ธ. ยูโอบี จำกัด (มหาชน) สาขา เดอะมอลล์ บางแค</t>
  </si>
  <si>
    <t>0240227</t>
  </si>
  <si>
    <t>ธ. ยูโอบี จำกัด (มหาชน) สาขา เซ็นทรัล รัตนาธิเบศร์</t>
  </si>
  <si>
    <t>0240236</t>
  </si>
  <si>
    <t>ธ. ยูโอบี จำกัด (มหาชน) สาขา บางบัวทอง</t>
  </si>
  <si>
    <t>0240238</t>
  </si>
  <si>
    <t>ธ. ยูโอบี จำกัด (มหาชน) สาขา เมืองทองธานี</t>
  </si>
  <si>
    <t>0240239</t>
  </si>
  <si>
    <t>ธ. ยูโอบี จำกัด (มหาชน) สาขา อ่อนนุช 17</t>
  </si>
  <si>
    <t>0240240</t>
  </si>
  <si>
    <t>ธ. ยูโอบี จำกัด (มหาชน) สาขา ถนนกรุงธนบุรี</t>
  </si>
  <si>
    <t>0240244</t>
  </si>
  <si>
    <t>ธ. ยูโอบี จำกัด (มหาชน) สาขา เดอะมอลล์ ท่าพระ</t>
  </si>
  <si>
    <t>0240247</t>
  </si>
  <si>
    <t>ธ. ยูโอบี จำกัด (มหาชน) สาขา บางพลี</t>
  </si>
  <si>
    <t>0240258</t>
  </si>
  <si>
    <t>ธ. ยูโอบี จำกัด (มหาชน) สาขา สีลม 2</t>
  </si>
  <si>
    <t>0240260</t>
  </si>
  <si>
    <t>ธ. ยูโอบี จำกัด (มหาชน) สาขา สี่แยกศรีวรา</t>
  </si>
  <si>
    <t>0240261</t>
  </si>
  <si>
    <t>ธ. ยูโอบี จำกัด (มหาชน) สาขา บางมด</t>
  </si>
  <si>
    <t>0240262</t>
  </si>
  <si>
    <t>ธ. ยูโอบี จำกัด (มหาชน) สาขา ถนนอโศก-ดินแดง</t>
  </si>
  <si>
    <t>0240264</t>
  </si>
  <si>
    <t>ธ. ยูโอบี จำกัด (มหาชน) สาขา พระปฐมเจดีย์</t>
  </si>
  <si>
    <t>0240267</t>
  </si>
  <si>
    <t>ธ. ยูโอบี จำกัด (มหาชน) สาขา ราชปรารภ</t>
  </si>
  <si>
    <t>0240268</t>
  </si>
  <si>
    <t>ธ. ยูโอบี จำกัด (มหาชน) สาขา ออลซีซั่นส์เพลส</t>
  </si>
  <si>
    <t>0240299</t>
  </si>
  <si>
    <t>ธ. ยูโอบี จำกัด (มหาชน) สาขา สุขุมวิท 26</t>
  </si>
  <si>
    <t>0240301</t>
  </si>
  <si>
    <t>ธ. ยูโอบี จำกัด (มหาชน) สาขา เคย์แมน</t>
  </si>
  <si>
    <t>0240543</t>
  </si>
  <si>
    <t>ธ. ยูโอบี จำกัด (มหาชน) สาขา กิจการวิเทศธนกิจ</t>
  </si>
  <si>
    <t>0240708</t>
  </si>
  <si>
    <t>0240907</t>
  </si>
  <si>
    <t>ธ. ยูโอบี จำกัด (มหาชน) สาขา ฝ่ายปฏิบัติหารธุรกิจต่างประเทศ</t>
  </si>
  <si>
    <t>0250001</t>
  </si>
  <si>
    <t>ธ. กรุงศรีอยุธยา จำกัด (มหาชน) สาขา สำนักเพลินจิต</t>
  </si>
  <si>
    <t>0250002</t>
  </si>
  <si>
    <t>ธ. กรุงศรีอยุธยา จำกัด (มหาชน) สาขา ราชวงศ์</t>
  </si>
  <si>
    <t>0250003</t>
  </si>
  <si>
    <t>ธ. กรุงศรีอยุธยา จำกัด (มหาชน) สาขา พาหุรัด</t>
  </si>
  <si>
    <t>0250004</t>
  </si>
  <si>
    <t>ธ. กรุงศรีอยุธยา จำกัด (มหาชน) สาขา ประตูน้ำ</t>
  </si>
  <si>
    <t>0250005</t>
  </si>
  <si>
    <t>ธ. กรุงศรีอยุธยา จำกัด (มหาชน) สาขา ปทุมวัน</t>
  </si>
  <si>
    <t>0250006</t>
  </si>
  <si>
    <t>ธ. กรุงศรีอยุธยา จำกัด (มหาชน) สาขา วรจักร</t>
  </si>
  <si>
    <t>0250007</t>
  </si>
  <si>
    <t>ธ. กรุงศรีอยุธยา จำกัด (มหาชน) สาขา บางรัก</t>
  </si>
  <si>
    <t>0250008</t>
  </si>
  <si>
    <t>ธ. กรุงศรีอยุธยา จำกัด (มหาชน) สาขา บางกระบือ</t>
  </si>
  <si>
    <t>0250009</t>
  </si>
  <si>
    <t>ธ. กรุงศรีอยุธยา จำกัด (มหาชน) สาขา ปากคลองตลาด</t>
  </si>
  <si>
    <t>0250010</t>
  </si>
  <si>
    <t>ธ. กรุงศรีอยุธยา จำกัด (มหาชน) สาขา วงเวียน 22 กรกฎา</t>
  </si>
  <si>
    <t>0250011</t>
  </si>
  <si>
    <t>ธ. กรุงศรีอยุธยา จำกัด (มหาชน) สาขา บางลำภู</t>
  </si>
  <si>
    <t>0250012</t>
  </si>
  <si>
    <t>ธ. กรุงศรีอยุธยา จำกัด (มหาชน) สาขา คลองเตย</t>
  </si>
  <si>
    <t>0250013</t>
  </si>
  <si>
    <t>ธ. กรุงศรีอยุธยา จำกัด (มหาชน) สาขา สะพานควาย</t>
  </si>
  <si>
    <t>0250014</t>
  </si>
  <si>
    <t>ธ. กรุงศรีอยุธยา จำกัด (มหาชน) สาขา เอกมัย</t>
  </si>
  <si>
    <t>0250015</t>
  </si>
  <si>
    <t>ธ. กรุงศรีอยุธยา จำกัด (มหาชน) สาขา วงเวียนใหญ่</t>
  </si>
  <si>
    <t>0250016</t>
  </si>
  <si>
    <t>ธ. กรุงศรีอยุธยา จำกัด (มหาชน) สาขา บางแค</t>
  </si>
  <si>
    <t>0250017</t>
  </si>
  <si>
    <t>ธ. กรุงศรีอยุธยา จำกัด (มหาชน) สาขา ชลบุรี</t>
  </si>
  <si>
    <t>0250018</t>
  </si>
  <si>
    <t>ธ. กรุงศรีอยุธยา จำกัด (มหาชน) สาขา สุพรรณบุรี</t>
  </si>
  <si>
    <t>0250019</t>
  </si>
  <si>
    <t>ธ. กรุงศรีอยุธยา จำกัด (มหาชน) สาขา นครราชสีมา</t>
  </si>
  <si>
    <t>0250020</t>
  </si>
  <si>
    <t>ธ. กรุงศรีอยุธยา จำกัด (มหาชน) สาขา บ้านไผ่</t>
  </si>
  <si>
    <t>0250021</t>
  </si>
  <si>
    <t>ธ. กรุงศรีอยุธยา จำกัด (มหาชน) สาขา อุดรธานี</t>
  </si>
  <si>
    <t>0250022</t>
  </si>
  <si>
    <t>ธ. กรุงศรีอยุธยา จำกัด (มหาชน) สาขา อุบลราชธานี</t>
  </si>
  <si>
    <t>0250023</t>
  </si>
  <si>
    <t>ธ. กรุงศรีอยุธยา จำกัด (มหาชน) สาขา ชัยภูมิ</t>
  </si>
  <si>
    <t>0250024</t>
  </si>
  <si>
    <t>ธ. กรุงศรีอยุธยา จำกัด (มหาชน) สาขา ลำปาง</t>
  </si>
  <si>
    <t>0250025</t>
  </si>
  <si>
    <t>ธ. กรุงศรีอยุธยา จำกัด (มหาชน) สาขา เชียงใหม่</t>
  </si>
  <si>
    <t>0250026</t>
  </si>
  <si>
    <t>ธ. กรุงศรีอยุธยา จำกัด (มหาชน) สาขา เพชรบูรณ์</t>
  </si>
  <si>
    <t>0250027</t>
  </si>
  <si>
    <t>ธ. กรุงศรีอยุธยา จำกัด (มหาชน) สาขา จันทบุรี</t>
  </si>
  <si>
    <t>0250028</t>
  </si>
  <si>
    <t>ธ. กรุงศรีอยุธยา จำกัด (มหาชน) สาขา หาดใหญ่</t>
  </si>
  <si>
    <t>0250029</t>
  </si>
  <si>
    <t>ธ. กรุงศรีอยุธยา จำกัด (มหาชน) สาขา ทุ่งสง</t>
  </si>
  <si>
    <t>0250030</t>
  </si>
  <si>
    <t>ธ. กรุงศรีอยุธยา จำกัด (มหาชน) สาขา ตรัง</t>
  </si>
  <si>
    <t>0250031</t>
  </si>
  <si>
    <t>ธ. กรุงศรีอยุธยา จำกัด (มหาชน) สาขา ปัตตานี</t>
  </si>
  <si>
    <t>0250032</t>
  </si>
  <si>
    <t>ธ. กรุงศรีอยุธยา จำกัด (มหาชน) สาขา นราธิวาส</t>
  </si>
  <si>
    <t>0250033</t>
  </si>
  <si>
    <t>ธ. กรุงศรีอยุธยา จำกัด (มหาชน) สาขา ปากช่อง</t>
  </si>
  <si>
    <t>0250034</t>
  </si>
  <si>
    <t>ธ. กรุงศรีอยุธยา จำกัด (มหาชน) สาขา ถนนเพชรบุรีใหม่</t>
  </si>
  <si>
    <t>0250035</t>
  </si>
  <si>
    <t>ธ. กรุงศรีอยุธยา จำกัด (มหาชน) สาขา บางกะปิ</t>
  </si>
  <si>
    <t>0250036</t>
  </si>
  <si>
    <t>ธ. กรุงศรีอยุธยา จำกัด (มหาชน) สาขา เสาชิงช้า</t>
  </si>
  <si>
    <t>0250037</t>
  </si>
  <si>
    <t>ธ. กรุงศรีอยุธยา จำกัด (มหาชน) สาขา พระประแดง</t>
  </si>
  <si>
    <t>0250038</t>
  </si>
  <si>
    <t>ธ. กรุงศรีอยุธยา จำกัด (มหาชน) สาขา ดาวคะนอง</t>
  </si>
  <si>
    <t>0250039</t>
  </si>
  <si>
    <t>ธ. กรุงศรีอยุธยา จำกัด (มหาชน) สาขา พระโขนง</t>
  </si>
  <si>
    <t>0250040</t>
  </si>
  <si>
    <t>ธ. กรุงศรีอยุธยา จำกัด (มหาชน) สาขา สวนพลู</t>
  </si>
  <si>
    <t>0250041</t>
  </si>
  <si>
    <t>ธ. กรุงศรีอยุธยา จำกัด (มหาชน) สาขา ขอนแก่น</t>
  </si>
  <si>
    <t>0250042</t>
  </si>
  <si>
    <t>ธ. กรุงศรีอยุธยา จำกัด (มหาชน) สาขา ปราณบุรี</t>
  </si>
  <si>
    <t>0250043</t>
  </si>
  <si>
    <t>ธ. กรุงศรีอยุธยา จำกัด (มหาชน) สาขา หนองไผ่</t>
  </si>
  <si>
    <t>0250044</t>
  </si>
  <si>
    <t>ธ. กรุงศรีอยุธยา จำกัด (มหาชน) สาขา ราชเทวี</t>
  </si>
  <si>
    <t>0250045</t>
  </si>
  <si>
    <t>ธ. กรุงศรีอยุธยา จำกัด (มหาชน) สาขา ทรี ออน ธรี</t>
  </si>
  <si>
    <t>0250046</t>
  </si>
  <si>
    <t>ธ. กรุงศรีอยุธยา จำกัด (มหาชน) สาขา สามแยก</t>
  </si>
  <si>
    <t>0250047</t>
  </si>
  <si>
    <t>ธ. กรุงศรีอยุธยา จำกัด (มหาชน) สาขา บางเขน</t>
  </si>
  <si>
    <t>0250048</t>
  </si>
  <si>
    <t>ธ. กรุงศรีอยุธยา จำกัด (มหาชน) สาขา ตราด</t>
  </si>
  <si>
    <t>0250049</t>
  </si>
  <si>
    <t>ธ. กรุงศรีอยุธยา จำกัด (มหาชน) สาขา หินกอง</t>
  </si>
  <si>
    <t>0250050</t>
  </si>
  <si>
    <t>ธ. กรุงศรีอยุธยา จำกัด (มหาชน) สาขา พระพุทธบาท</t>
  </si>
  <si>
    <t>0250051</t>
  </si>
  <si>
    <t>ธ. กรุงศรีอยุธยา จำกัด (มหาชน) สาขา คลองสาน</t>
  </si>
  <si>
    <t>0250052</t>
  </si>
  <si>
    <t>ธ. กรุงศรีอยุธยา จำกัด (มหาชน) สาขา ดินแดง</t>
  </si>
  <si>
    <t>0250053</t>
  </si>
  <si>
    <t>ธ. กรุงศรีอยุธยา จำกัด (มหาชน) สาขา คลองประปา</t>
  </si>
  <si>
    <t>0250054</t>
  </si>
  <si>
    <t>ธ. กรุงศรีอยุธยา จำกัด (มหาชน) สาขา จักรพรรดิพงษ์</t>
  </si>
  <si>
    <t>0250055</t>
  </si>
  <si>
    <t>ธ. กรุงศรีอยุธยา จำกัด (มหาชน) สาขา มวกเหล็ก</t>
  </si>
  <si>
    <t>0250056</t>
  </si>
  <si>
    <t>ธ. กรุงศรีอยุธยา จำกัด (มหาชน) สาขา วังน้อย</t>
  </si>
  <si>
    <t>0250057</t>
  </si>
  <si>
    <t>ธ. กรุงศรีอยุธยา จำกัด (มหาชน) สาขา ติวานนท์ (แคราย)</t>
  </si>
  <si>
    <t>0250058</t>
  </si>
  <si>
    <t>ธ. กรุงศรีอยุธยา จำกัด (มหาชน) สาขา สองพี่น้อง</t>
  </si>
  <si>
    <t>0250059</t>
  </si>
  <si>
    <t>ธ. กรุงศรีอยุธยา จำกัด (มหาชน) สาขา พระนครศรีอยุธยา</t>
  </si>
  <si>
    <t>0250060</t>
  </si>
  <si>
    <t>ธ. กรุงศรีอยุธยา จำกัด (มหาชน) สาขา พิษณุโลก</t>
  </si>
  <si>
    <t>0250061</t>
  </si>
  <si>
    <t>ธ. กรุงศรีอยุธยา จำกัด (มหาชน) สาขา ฉะเชิงเทรา</t>
  </si>
  <si>
    <t>0250062</t>
  </si>
  <si>
    <t>ธ. กรุงศรีอยุธยา จำกัด (มหาชน) สาขา ฟิวเจอร์พาร์ค รังสิต</t>
  </si>
  <si>
    <t>0250063</t>
  </si>
  <si>
    <t>ธ. กรุงศรีอยุธยา จำกัด (มหาชน) สาขา สำโรง</t>
  </si>
  <si>
    <t>0250064</t>
  </si>
  <si>
    <t>ธ. กรุงศรีอยุธยา จำกัด (มหาชน) สาขา ถนนนางลิ้นจี่</t>
  </si>
  <si>
    <t>0250065</t>
  </si>
  <si>
    <t>ธ. กรุงศรีอยุธยา จำกัด (มหาชน) สาขา ตะพานหิน</t>
  </si>
  <si>
    <t>0250066</t>
  </si>
  <si>
    <t>ธ. กรุงศรีอยุธยา จำกัด (มหาชน) สาขา พุนพิน</t>
  </si>
  <si>
    <t>0250067</t>
  </si>
  <si>
    <t>ธ. กรุงศรีอยุธยา จำกัด (มหาชน) สาขา สะพานใหม่ดอนเมือง</t>
  </si>
  <si>
    <t>0250068</t>
  </si>
  <si>
    <t>ธ. กรุงศรีอยุธยา จำกัด (มหาชน) สาขา อุตรดิตถ์</t>
  </si>
  <si>
    <t>0250069</t>
  </si>
  <si>
    <t>ธ. กรุงศรีอยุธยา จำกัด (มหาชน) สาขา โอเชี่ยน ชุมพร</t>
  </si>
  <si>
    <t>0250070</t>
  </si>
  <si>
    <t>ธ. กรุงศรีอยุธยา จำกัด (มหาชน) สาขา ศรีเชียงใหม่</t>
  </si>
  <si>
    <t>0250071</t>
  </si>
  <si>
    <t>ธ. กรุงศรีอยุธยา จำกัด (มหาชน) สาขา สี่แยกวิสุทธิกษัตริย์</t>
  </si>
  <si>
    <t>0250072</t>
  </si>
  <si>
    <t>ธ. กรุงศรีอยุธยา จำกัด (มหาชน) สาขา สี่แยกสะพานกรุงธน</t>
  </si>
  <si>
    <t>0250073</t>
  </si>
  <si>
    <t>ธ. กรุงศรีอยุธยา จำกัด (มหาชน) สาขา ยะลา</t>
  </si>
  <si>
    <t>0250074</t>
  </si>
  <si>
    <t>ธ. กรุงศรีอยุธยา จำกัด (มหาชน) สาขา หัวหิน</t>
  </si>
  <si>
    <t>0250075</t>
  </si>
  <si>
    <t>ธ. กรุงศรีอยุธยา จำกัด (มหาชน) สาขา ชุมแสง</t>
  </si>
  <si>
    <t>0250076</t>
  </si>
  <si>
    <t>ธ. กรุงศรีอยุธยา จำกัด (มหาชน) สาขา ท่าม่วง</t>
  </si>
  <si>
    <t>0250077</t>
  </si>
  <si>
    <t>ธ. กรุงศรีอยุธยา จำกัด (มหาชน) สาขา ไปรษณีย์กลาง</t>
  </si>
  <si>
    <t>0250078</t>
  </si>
  <si>
    <t>ธ. กรุงศรีอยุธยา จำกัด (มหาชน) สาขา อู่ทอง</t>
  </si>
  <si>
    <t>0250079</t>
  </si>
  <si>
    <t>ธ. กรุงศรีอยุธยา จำกัด (มหาชน) สาขา เดชอุดม</t>
  </si>
  <si>
    <t>0250080</t>
  </si>
  <si>
    <t>ธ. กรุงศรีอยุธยา จำกัด (มหาชน) สาขา บ้านโป่ง</t>
  </si>
  <si>
    <t>0250081</t>
  </si>
  <si>
    <t>ธ. กรุงศรีอยุธยา จำกัด (มหาชน) สาขา พิบูลมังสาหาร</t>
  </si>
  <si>
    <t>0250082</t>
  </si>
  <si>
    <t>ธ. กรุงศรีอยุธยา จำกัด (มหาชน) สาขา ชัยนาท</t>
  </si>
  <si>
    <t>0250083</t>
  </si>
  <si>
    <t>ธ. กรุงศรีอยุธยา จำกัด (มหาชน) สาขา โพนทอง</t>
  </si>
  <si>
    <t>0250084</t>
  </si>
  <si>
    <t>ธ. กรุงศรีอยุธยา จำกัด (มหาชน) สาขา กระทุ่มแบน</t>
  </si>
  <si>
    <t>0250085</t>
  </si>
  <si>
    <t>ธ. กรุงศรีอยุธยา จำกัด (มหาชน) สาขา บางปะกง</t>
  </si>
  <si>
    <t>0250086</t>
  </si>
  <si>
    <t>ธ. กรุงศรีอยุธยา จำกัด (มหาชน) สาขา ศรีราชา</t>
  </si>
  <si>
    <t>0250087</t>
  </si>
  <si>
    <t>ธ. กรุงศรีอยุธยา จำกัด (มหาชน) สาขา บ้านบึง</t>
  </si>
  <si>
    <t>0250088</t>
  </si>
  <si>
    <t>ธ. กรุงศรีอยุธยา จำกัด (มหาชน) สาขา ชุมแพ</t>
  </si>
  <si>
    <t>0250089</t>
  </si>
  <si>
    <t>ธ. กรุงศรีอยุธยา จำกัด (มหาชน) สาขา พาน</t>
  </si>
  <si>
    <t>0250090</t>
  </si>
  <si>
    <t>ธ. กรุงศรีอยุธยา จำกัด (มหาชน) สาขา สามพราน</t>
  </si>
  <si>
    <t>0250091</t>
  </si>
  <si>
    <t>ธ. กรุงศรีอยุธยา จำกัด (มหาชน) สาขา ลูกแก</t>
  </si>
  <si>
    <t>0250092</t>
  </si>
  <si>
    <t>ธ. กรุงศรีอยุธยา จำกัด (มหาชน) สาขา ตาคลี</t>
  </si>
  <si>
    <t>0250093</t>
  </si>
  <si>
    <t>ธ. กรุงศรีอยุธยา จำกัด (มหาชน) สาขา อินทร์บุรี</t>
  </si>
  <si>
    <t>0250094</t>
  </si>
  <si>
    <t>ธ. กรุงศรีอยุธยา จำกัด (มหาชน) สาขา ราชวัตร</t>
  </si>
  <si>
    <t>0250095</t>
  </si>
  <si>
    <t>ธ. กรุงศรีอยุธยา จำกัด (มหาชน) สาขา สวนมะลิ</t>
  </si>
  <si>
    <t>0250096</t>
  </si>
  <si>
    <t>ธ. กรุงศรีอยุธยา จำกัด (มหาชน) สาขา ท่าเรือ</t>
  </si>
  <si>
    <t>0250097</t>
  </si>
  <si>
    <t>ธ. กรุงศรีอยุธยา จำกัด (มหาชน) สาขา สงขลา</t>
  </si>
  <si>
    <t>0250098</t>
  </si>
  <si>
    <t>ธ. กรุงศรีอยุธยา จำกัด (มหาชน) สาขา จารุเมือง</t>
  </si>
  <si>
    <t>0250099</t>
  </si>
  <si>
    <t>ธ. กรุงศรีอยุธยา จำกัด (มหาชน) สาขา ตาก</t>
  </si>
  <si>
    <t>0250100</t>
  </si>
  <si>
    <t>ธ. กรุงศรีอยุธยา จำกัด (มหาชน) สาขา สมุทรปราการ</t>
  </si>
  <si>
    <t>0250101</t>
  </si>
  <si>
    <t>ธ. กรุงศรีอยุธยา จำกัด (มหาชน) สาขา มหาสารคาม</t>
  </si>
  <si>
    <t>0250102</t>
  </si>
  <si>
    <t>ธ. กรุงศรีอยุธยา จำกัด (มหาชน) สาขา ร้อยเอ็ด</t>
  </si>
  <si>
    <t>0250103</t>
  </si>
  <si>
    <t>ธ. กรุงศรีอยุธยา จำกัด (มหาชน) สาขา ศาลาแดง (ธนิยะพลาซา)</t>
  </si>
  <si>
    <t>0250104</t>
  </si>
  <si>
    <t>ธ. กรุงศรีอยุธยา จำกัด (มหาชน) สาขา สิงห์บุรี</t>
  </si>
  <si>
    <t>0250105</t>
  </si>
  <si>
    <t>ธ. กรุงศรีอยุธยา จำกัด (มหาชน) สาขา กาฬสินธุ์</t>
  </si>
  <si>
    <t>0250106</t>
  </si>
  <si>
    <t>ธ. กรุงศรีอยุธยา จำกัด (มหาชน) สาขา ยูเนี่ยนมอลล์ ลาดพร้าว</t>
  </si>
  <si>
    <t>0250107</t>
  </si>
  <si>
    <t>ธ. กรุงศรีอยุธยา จำกัด (มหาชน) สาขา ตลาดพลู</t>
  </si>
  <si>
    <t>0250108</t>
  </si>
  <si>
    <t>ธ. กรุงศรีอยุธยา จำกัด (มหาชน) สาขา นครนายก</t>
  </si>
  <si>
    <t>0250109</t>
  </si>
  <si>
    <t>ธ. กรุงศรีอยุธยา จำกัด (มหาชน) สาขา สี่แยกอโศก</t>
  </si>
  <si>
    <t>0250110</t>
  </si>
  <si>
    <t>ธ. กรุงศรีอยุธยา จำกัด (มหาชน) สาขา เชียงราย</t>
  </si>
  <si>
    <t>0250111</t>
  </si>
  <si>
    <t>ธ. กรุงศรีอยุธยา จำกัด (มหาชน) สาขา ลพบุรี</t>
  </si>
  <si>
    <t>0250112</t>
  </si>
  <si>
    <t>ธ. กรุงศรีอยุธยา จำกัด (มหาชน) สาขา ท่าดินแดง</t>
  </si>
  <si>
    <t>0250113</t>
  </si>
  <si>
    <t>ธ. กรุงศรีอยุธยา จำกัด (มหาชน) สาขา สำเหร่</t>
  </si>
  <si>
    <t>0250114</t>
  </si>
  <si>
    <t>ธ. กรุงศรีอยุธยา จำกัด (มหาชน) สาขา เตาปูน</t>
  </si>
  <si>
    <t>0250115</t>
  </si>
  <si>
    <t>ธ. กรุงศรีอยุธยา จำกัด (มหาชน) สาขา บางกอกน้อย</t>
  </si>
  <si>
    <t>0250116</t>
  </si>
  <si>
    <t>ธ. กรุงศรีอยุธยา จำกัด (มหาชน) สาขา สุขุมวิท 35</t>
  </si>
  <si>
    <t>0250117</t>
  </si>
  <si>
    <t>ธ. กรุงศรีอยุธยา จำกัด (มหาชน) สาขา เยาวราช</t>
  </si>
  <si>
    <t>0250118</t>
  </si>
  <si>
    <t>ธ. กรุงศรีอยุธยา จำกัด (มหาชน) สาขา แพร่</t>
  </si>
  <si>
    <t>0250119</t>
  </si>
  <si>
    <t>ธ. กรุงศรีอยุธยา จำกัด (มหาชน) สาขา ราชบุรี</t>
  </si>
  <si>
    <t>0250120</t>
  </si>
  <si>
    <t>ธ. กรุงศรีอยุธยา จำกัด (มหาชน) สาขา สี่แยกเสือป่า</t>
  </si>
  <si>
    <t>0250121</t>
  </si>
  <si>
    <t>ธ. กรุงศรีอยุธยา จำกัด (มหาชน) สาขา สมุทรสาคร</t>
  </si>
  <si>
    <t>0250122</t>
  </si>
  <si>
    <t>ธ. กรุงศรีอยุธยา จำกัด (มหาชน) สาขา นครสวรรค์</t>
  </si>
  <si>
    <t>0250123</t>
  </si>
  <si>
    <t>ธ. กรุงศรีอยุธยา จำกัด (มหาชน) สาขา สยามสแควร์</t>
  </si>
  <si>
    <t>0250124</t>
  </si>
  <si>
    <t>ธ. กรุงศรีอยุธยา จำกัด (มหาชน) สาขา เพชรบุรี</t>
  </si>
  <si>
    <t>0250125</t>
  </si>
  <si>
    <t>ธ. กรุงศรีอยุธยา จำกัด (มหาชน) สาขา สุรวงศ์</t>
  </si>
  <si>
    <t>0250126</t>
  </si>
  <si>
    <t>ธ. กรุงศรีอยุธยา จำกัด (มหาชน) สาขา สุราษฎร์ธานี</t>
  </si>
  <si>
    <t>0250127</t>
  </si>
  <si>
    <t>ธ. กรุงศรีอยุธยา จำกัด (มหาชน) สาขา บางซื่อ</t>
  </si>
  <si>
    <t>0250128</t>
  </si>
  <si>
    <t>ธ. กรุงศรีอยุธยา จำกัด (มหาชน) สาขา ดิโอลด์ สยาม ช้อปปิ้ง พลาซ่า</t>
  </si>
  <si>
    <t>0250129</t>
  </si>
  <si>
    <t>ธ. กรุงศรีอยุธยา จำกัด (มหาชน) สาขา บุรีรัมย์</t>
  </si>
  <si>
    <t>0250130</t>
  </si>
  <si>
    <t>ธ. กรุงศรีอยุธยา จำกัด (มหาชน) สาขา อุรุพงษ์</t>
  </si>
  <si>
    <t>0250131</t>
  </si>
  <si>
    <t>ธ. กรุงศรีอยุธยา จำกัด (มหาชน) สาขา สะพานเหลือง</t>
  </si>
  <si>
    <t>0250132</t>
  </si>
  <si>
    <t>ธ. กรุงศรีอยุธยา จำกัด (มหาชน) สาขา สุรินทร์</t>
  </si>
  <si>
    <t>0250133</t>
  </si>
  <si>
    <t>ธ. กรุงศรีอยุธยา จำกัด (มหาชน) สาขา ถนนจันทน์</t>
  </si>
  <si>
    <t>0250134</t>
  </si>
  <si>
    <t>ธ. กรุงศรีอยุธยา จำกัด (มหาชน) สาขา พนัสนิคม</t>
  </si>
  <si>
    <t>0250135</t>
  </si>
  <si>
    <t>ธ. กรุงศรีอยุธยา จำกัด (มหาชน) สาขา สีคิ้ว</t>
  </si>
  <si>
    <t>0250136</t>
  </si>
  <si>
    <t>ธ. กรุงศรีอยุธยา จำกัด (มหาชน) สาขา แกลง</t>
  </si>
  <si>
    <t>0250137</t>
  </si>
  <si>
    <t>ธ. กรุงศรีอยุธยา จำกัด (มหาชน) สาขา ปากเกร็ด</t>
  </si>
  <si>
    <t>0250138</t>
  </si>
  <si>
    <t>ธ. กรุงศรีอยุธยา จำกัด (มหาชน) สาขา น้ำพอง</t>
  </si>
  <si>
    <t>0250139</t>
  </si>
  <si>
    <t>ธ. กรุงศรีอยุธยา จำกัด (มหาชน) สาขา ภูเก็ต</t>
  </si>
  <si>
    <t>0250140</t>
  </si>
  <si>
    <t>ธ. กรุงศรีอยุธยา จำกัด (มหาชน) สาขา ประตูช้างเผือก</t>
  </si>
  <si>
    <t>0250141</t>
  </si>
  <si>
    <t>ธ. กรุงศรีอยุธยา จำกัด (มหาชน) สาขา นครศรีธรรมราช</t>
  </si>
  <si>
    <t>0250142</t>
  </si>
  <si>
    <t>ธ. กรุงศรีอยุธยา จำกัด (มหาชน) สาขา ท่าพระ</t>
  </si>
  <si>
    <t>0250143</t>
  </si>
  <si>
    <t>ธ. กรุงศรีอยุธยา จำกัด (มหาชน) สาขา หัวหมาก</t>
  </si>
  <si>
    <t>0250144</t>
  </si>
  <si>
    <t>ธ. กรุงศรีอยุธยา จำกัด (มหาชน) สาขา ถนนมิตรภาพ (นครราชสีมา)</t>
  </si>
  <si>
    <t>0250145</t>
  </si>
  <si>
    <t>ธ. กรุงศรีอยุธยา จำกัด (มหาชน) สาขา จักรวรรดิ์</t>
  </si>
  <si>
    <t>0250146</t>
  </si>
  <si>
    <t>ธ. กรุงศรีอยุธยา จำกัด (มหาชน) สาขา สนามเป้า</t>
  </si>
  <si>
    <t>0250147</t>
  </si>
  <si>
    <t>ธ. กรุงศรีอยุธยา จำกัด (มหาชน) สาขา นนทบุรี</t>
  </si>
  <si>
    <t>0250148</t>
  </si>
  <si>
    <t>ธ. กรุงศรีอยุธยา จำกัด (มหาชน) สาขา นครปฐม</t>
  </si>
  <si>
    <t>0250149</t>
  </si>
  <si>
    <t>ธ. กรุงศรีอยุธยา จำกัด (มหาชน) สาขา สระบุรี</t>
  </si>
  <si>
    <t>0250150</t>
  </si>
  <si>
    <t>ธ. กรุงศรีอยุธยา จำกัด (มหาชน) สาขา ระยอง</t>
  </si>
  <si>
    <t>0250151</t>
  </si>
  <si>
    <t>ธ. กรุงศรีอยุธยา จำกัด (มหาชน) สาขา รัชดาภิเษก (ห้วยขวาง)</t>
  </si>
  <si>
    <t>0250152</t>
  </si>
  <si>
    <t>ธ. กรุงศรีอยุธยา จำกัด (มหาชน) สาขา กาญจนบุรี</t>
  </si>
  <si>
    <t>0250153</t>
  </si>
  <si>
    <t>ธ. กรุงศรีอยุธยา จำกัด (มหาชน) สาขา สะพานพระเจ้าตากสิน</t>
  </si>
  <si>
    <t>0250154</t>
  </si>
  <si>
    <t>ธ. กรุงศรีอยุธยา จำกัด (มหาชน) สาขา สุทธิสาร</t>
  </si>
  <si>
    <t>0250155</t>
  </si>
  <si>
    <t>ธ. กรุงศรีอยุธยา จำกัด (มหาชน) สาขา สะพานพระปิ่นเกล้า</t>
  </si>
  <si>
    <t>0250156</t>
  </si>
  <si>
    <t>ธ. กรุงศรีอยุธยา จำกัด (มหาชน) สาขา ศรีสะเกษ</t>
  </si>
  <si>
    <t>0250157</t>
  </si>
  <si>
    <t>ธ. กรุงศรีอยุธยา จำกัด (มหาชน) สาขา อรุณอมรินทร์</t>
  </si>
  <si>
    <t>0250158</t>
  </si>
  <si>
    <t>ธ. กรุงศรีอยุธยา จำกัด (มหาชน) สาขา ถนนเพชรเกษม หาดใหญ่</t>
  </si>
  <si>
    <t>0250159</t>
  </si>
  <si>
    <t>ธ. กรุงศรีอยุธยา จำกัด (มหาชน) สาขา พุทไธสง</t>
  </si>
  <si>
    <t>0250160</t>
  </si>
  <si>
    <t>ธ. กรุงศรีอยุธยา จำกัด (มหาชน) สาขา บางปลาม้า</t>
  </si>
  <si>
    <t>0250161</t>
  </si>
  <si>
    <t>ธ. กรุงศรีอยุธยา จำกัด (มหาชน) สาขา ระนอง</t>
  </si>
  <si>
    <t>0250162</t>
  </si>
  <si>
    <t>ธ. กรุงศรีอยุธยา จำกัด (มหาชน) สาขา ภูเวียง</t>
  </si>
  <si>
    <t>0250163</t>
  </si>
  <si>
    <t>ธ. กรุงศรีอยุธยา จำกัด (มหาชน) สาขา โนนสูง</t>
  </si>
  <si>
    <t>0250164</t>
  </si>
  <si>
    <t>ธ. กรุงศรีอยุธยา จำกัด (มหาชน) สาขา เวียงสระ</t>
  </si>
  <si>
    <t>0250165</t>
  </si>
  <si>
    <t>ธ. กรุงศรีอยุธยา จำกัด (มหาชน) สาขา สมุทรสงคราม</t>
  </si>
  <si>
    <t>0250166</t>
  </si>
  <si>
    <t>ธ. กรุงศรีอยุธยา จำกัด (มหาชน) สาขา ยโสธร</t>
  </si>
  <si>
    <t>0250167</t>
  </si>
  <si>
    <t>ธ. กรุงศรีอยุธยา จำกัด (มหาชน) สาขา สุโขทัย</t>
  </si>
  <si>
    <t>0250168</t>
  </si>
  <si>
    <t>ธ. กรุงศรีอยุธยา จำกัด (มหาชน) สาขา ถนนพัฒนาการ</t>
  </si>
  <si>
    <t>0250169</t>
  </si>
  <si>
    <t>ธ. กรุงศรีอยุธยา จำกัด (มหาชน) สาขา ลาดพร้าว 102</t>
  </si>
  <si>
    <t>0250170</t>
  </si>
  <si>
    <t>ธ. กรุงศรีอยุธยา จำกัด (มหาชน) สาขา กำแพงเพชร</t>
  </si>
  <si>
    <t>0250171</t>
  </si>
  <si>
    <t>ธ. กรุงศรีอยุธยา จำกัด (มหาชน) สาขา สกลนคร</t>
  </si>
  <si>
    <t>0250172</t>
  </si>
  <si>
    <t>ธ. กรุงศรีอยุธยา จำกัด (มหาชน) สาขา น่าน</t>
  </si>
  <si>
    <t>0250173</t>
  </si>
  <si>
    <t>ธ. กรุงศรีอยุธยา จำกัด (มหาชน) สาขา ถนนมะลิวัลย์</t>
  </si>
  <si>
    <t>0250174</t>
  </si>
  <si>
    <t>ธ. กรุงศรีอยุธยา จำกัด (มหาชน) สาขา พัทยา</t>
  </si>
  <si>
    <t>0250175</t>
  </si>
  <si>
    <t>ธ. กรุงศรีอยุธยา จำกัด (มหาชน) สาขา วังทรายพูน</t>
  </si>
  <si>
    <t>0250176</t>
  </si>
  <si>
    <t>ธ. กรุงศรีอยุธยา จำกัด (มหาชน) สาขา นากลาง</t>
  </si>
  <si>
    <t>0250177</t>
  </si>
  <si>
    <t>ธ. กรุงศรีอยุธยา จำกัด (มหาชน) สาขา พนมไพร</t>
  </si>
  <si>
    <t>0250178</t>
  </si>
  <si>
    <t>ธ. กรุงศรีอยุธยา จำกัด (มหาชน) สาขา สี่แยกเขาไร่ยา</t>
  </si>
  <si>
    <t>0250179</t>
  </si>
  <si>
    <t>ธ. กรุงศรีอยุธยา จำกัด (มหาชน) สาขา บางไทร</t>
  </si>
  <si>
    <t>0250180</t>
  </si>
  <si>
    <t>ธ. กรุงศรีอยุธยา จำกัด (มหาชน) สาขา ราษฎร์บูรณะ</t>
  </si>
  <si>
    <t>0250181</t>
  </si>
  <si>
    <t>ธ. กรุงศรีอยุธยา จำกัด (มหาชน) สาขา วานรนิวาส</t>
  </si>
  <si>
    <t>0250182</t>
  </si>
  <si>
    <t>ธ. กรุงศรีอยุธยา จำกัด (มหาชน) สาขา ห้วยกระบอก</t>
  </si>
  <si>
    <t>0250183</t>
  </si>
  <si>
    <t>ธ. กรุงศรีอยุธยา จำกัด (มหาชน) สาขา บางอ้อ</t>
  </si>
  <si>
    <t>0250184</t>
  </si>
  <si>
    <t>ธ. กรุงศรีอยุธยา จำกัด (มหาชน) สาขา บ้านตาก</t>
  </si>
  <si>
    <t>0250185</t>
  </si>
  <si>
    <t>ธ. กรุงศรีอยุธยา จำกัด (มหาชน) สาขา 101 เดอะเทิร์ดเพลส สมาร์ท</t>
  </si>
  <si>
    <t>0250186</t>
  </si>
  <si>
    <t>ธ. กรุงศรีอยุธยา จำกัด (มหาชน) สาขา เขาย้อย</t>
  </si>
  <si>
    <t>0250187</t>
  </si>
  <si>
    <t>ธ. กรุงศรีอยุธยา จำกัด (มหาชน) สาขา ค่ายบางระจัน</t>
  </si>
  <si>
    <t>0250188</t>
  </si>
  <si>
    <t>ธ. กรุงศรีอยุธยา จำกัด (มหาชน) สาขา สี่แยกศรีนครินทร์-อ่อนนุช</t>
  </si>
  <si>
    <t>0250189</t>
  </si>
  <si>
    <t>ธ. กรุงศรีอยุธยา จำกัด (มหาชน) สาขา แจ้งวัฒนะ 14</t>
  </si>
  <si>
    <t>0250190</t>
  </si>
  <si>
    <t>ธ. กรุงศรีอยุธยา จำกัด (มหาชน) สาขา ย่อยคำเขื่อนแก้ว</t>
  </si>
  <si>
    <t>0250191</t>
  </si>
  <si>
    <t>ธ. กรุงศรีอยุธยา จำกัด (มหาชน) สาขา ย่อยเขื่องใน</t>
  </si>
  <si>
    <t>0250192</t>
  </si>
  <si>
    <t>ธ. กรุงศรีอยุธยา จำกัด (มหาชน) สาขา ถนนพระรามที่ 4 (คลองเตย)</t>
  </si>
  <si>
    <t>0250193</t>
  </si>
  <si>
    <t>ธ. กรุงศรีอยุธยา จำกัด (มหาชน) สาขา บ่อพลอย</t>
  </si>
  <si>
    <t>0250194</t>
  </si>
  <si>
    <t>ธ. กรุงศรีอยุธยา จำกัด (มหาชน) สาขา บ้านโรงโป๊ะ</t>
  </si>
  <si>
    <t>0250195</t>
  </si>
  <si>
    <t>ธ. กรุงศรีอยุธยา จำกัด (มหาชน) สาขา ย่อยจตุรพักตร์พิมาน</t>
  </si>
  <si>
    <t>0250196</t>
  </si>
  <si>
    <t>ธ. กรุงศรีอยุธยา จำกัด (มหาชน) สาขา ย่อยท่าตูม</t>
  </si>
  <si>
    <t>0250197</t>
  </si>
  <si>
    <t>ธ. กรุงศรีอยุธยา จำกัด (มหาชน) สาขา ทุ่งใหญ่</t>
  </si>
  <si>
    <t>0250198</t>
  </si>
  <si>
    <t>ธ. กรุงศรีอยุธยา จำกัด (มหาชน) สาขา บิ๊กซี วงศ์สว่าง</t>
  </si>
  <si>
    <t>0250199</t>
  </si>
  <si>
    <t>ธ. กรุงศรีอยุธยา จำกัด (มหาชน) สาขา อำเภอสอง</t>
  </si>
  <si>
    <t>0250200</t>
  </si>
  <si>
    <t>ธ. กรุงศรีอยุธยา จำกัด (มหาชน) สาขา วัดพระยาไกร</t>
  </si>
  <si>
    <t>0250201</t>
  </si>
  <si>
    <t>ธ. กรุงศรีอยุธยา จำกัด (มหาชน) สาขา ปราจีนบุรี</t>
  </si>
  <si>
    <t>0250202</t>
  </si>
  <si>
    <t>ธ. กรุงศรีอยุธยา จำกัด (มหาชน) สาขา หนองคาย</t>
  </si>
  <si>
    <t>0250203</t>
  </si>
  <si>
    <t>ธ. กรุงศรีอยุธยา จำกัด (มหาชน) สาขา ม่วงสามสิบ</t>
  </si>
  <si>
    <t>0250204</t>
  </si>
  <si>
    <t>ธ. กรุงศรีอยุธยา จำกัด (มหาชน) สาขา สุขุมวิท 23</t>
  </si>
  <si>
    <t>0250205</t>
  </si>
  <si>
    <t>ธ. กรุงศรีอยุธยา จำกัด (มหาชน) สาขา พัทลุง</t>
  </si>
  <si>
    <t>0250206</t>
  </si>
  <si>
    <t>ธ. กรุงศรีอยุธยา จำกัด (มหาชน) สาขา รัชดาภิเษก (ท่าพระ-ตากสิน)</t>
  </si>
  <si>
    <t>0250207</t>
  </si>
  <si>
    <t>ธ. กรุงศรีอยุธยา จำกัด (มหาชน) สาขา เกาะสมุย</t>
  </si>
  <si>
    <t>0250208</t>
  </si>
  <si>
    <t>ธ. กรุงศรีอยุธยา จำกัด (มหาชน) สาขา กาญจนดิษฐ์</t>
  </si>
  <si>
    <t>0250209</t>
  </si>
  <si>
    <t>ธ. กรุงศรีอยุธยา จำกัด (มหาชน) สาขา ย่อยท่าช้าง</t>
  </si>
  <si>
    <t>0250210</t>
  </si>
  <si>
    <t>ธ. กรุงศรีอยุธยา จำกัด (มหาชน) สาขา ป่าตอง</t>
  </si>
  <si>
    <t>0250211</t>
  </si>
  <si>
    <t>ธ. กรุงศรีอยุธยา จำกัด (มหาชน) สาขา ถนนชยางกูร อุบลราชธานี</t>
  </si>
  <si>
    <t>0250212</t>
  </si>
  <si>
    <t>ธ. กรุงศรีอยุธยา จำกัด (มหาชน) สาขา ท่าเรือพระแท่น</t>
  </si>
  <si>
    <t>0250213</t>
  </si>
  <si>
    <t>ธ. กรุงศรีอยุธยา จำกัด (มหาชน) สาขา กำแพงแสน</t>
  </si>
  <si>
    <t>0250214</t>
  </si>
  <si>
    <t>ธ. กรุงศรีอยุธยา จำกัด (มหาชน) สาขา สี่แยกวังหิน</t>
  </si>
  <si>
    <t>0250215</t>
  </si>
  <si>
    <t>ธ. กรุงศรีอยุธยา จำกัด (มหาชน) สาขา หนองบัว อุดรธานี</t>
  </si>
  <si>
    <t>0250216</t>
  </si>
  <si>
    <t>ธ. กรุงศรีอยุธยา จำกัด (มหาชน) สาขา ย่อยดอนสัก</t>
  </si>
  <si>
    <t>0250217</t>
  </si>
  <si>
    <t>ธ. กรุงศรีอยุธยา จำกัด (มหาชน) สาขา ทับปุด</t>
  </si>
  <si>
    <t>0250218</t>
  </si>
  <si>
    <t>ธ. กรุงศรีอยุธยา จำกัด (มหาชน) สาขา บางบอน</t>
  </si>
  <si>
    <t>0250219</t>
  </si>
  <si>
    <t>ธ. กรุงศรีอยุธยา จำกัด (มหาชน) สาขา พะเยา</t>
  </si>
  <si>
    <t>0250220</t>
  </si>
  <si>
    <t>ธ. กรุงศรีอยุธยา จำกัด (มหาชน) สาขา ถนนช้างคลาน เชียงใหม่</t>
  </si>
  <si>
    <t>0250221</t>
  </si>
  <si>
    <t>ธ. กรุงศรีอยุธยา จำกัด (มหาชน) สาขา หนองประทีป เชียงใหม่</t>
  </si>
  <si>
    <t>0250222</t>
  </si>
  <si>
    <t>ธ. กรุงศรีอยุธยา จำกัด (มหาชน) สาขา หล่มสัก</t>
  </si>
  <si>
    <t>0250223</t>
  </si>
  <si>
    <t>ธ. กรุงศรีอยุธยา จำกัด (มหาชน) สาขา บางมูลนาก</t>
  </si>
  <si>
    <t>0250224</t>
  </si>
  <si>
    <t>ธ. กรุงศรีอยุธยา จำกัด (มหาชน) สาขา วังจันทร์</t>
  </si>
  <si>
    <t>0250225</t>
  </si>
  <si>
    <t>ธ. กรุงศรีอยุธยา จำกัด (มหาชน) สาขา ย่อยอาจสามารถ</t>
  </si>
  <si>
    <t>0250226</t>
  </si>
  <si>
    <t>ธ. กรุงศรีอยุธยา จำกัด (มหาชน) สาขา บิ๊กซี ศรีนครินทร์</t>
  </si>
  <si>
    <t>0250227</t>
  </si>
  <si>
    <t>ธ. กรุงศรีอยุธยา จำกัด (มหาชน) สาขา ถนนศรีภูวนารถ หาดใหญ่</t>
  </si>
  <si>
    <t>0250228</t>
  </si>
  <si>
    <t>ธ. กรุงศรีอยุธยา จำกัด (มหาชน) สาขา อุทัยธานี</t>
  </si>
  <si>
    <t>0250229</t>
  </si>
  <si>
    <t>ธ. กรุงศรีอยุธยา จำกัด (มหาชน) สาขา มาบตาพุด</t>
  </si>
  <si>
    <t>0250230</t>
  </si>
  <si>
    <t>ธ. กรุงศรีอยุธยา จำกัด (มหาชน) สาขา ปทุมธานี</t>
  </si>
  <si>
    <t>0250231</t>
  </si>
  <si>
    <t>ธ. กรุงศรีอยุธยา จำกัด (มหาชน) สาขา สัตหีบ</t>
  </si>
  <si>
    <t>0250232</t>
  </si>
  <si>
    <t>ธ. กรุงศรีอยุธยา จำกัด (มหาชน) สาขา สัมมากร เพลส รามคำแหง 110</t>
  </si>
  <si>
    <t>0250233</t>
  </si>
  <si>
    <t>ธ. กรุงศรีอยุธยา จำกัด (มหาชน) สาขา วงเวียนสระแก้ว ลพบุรี</t>
  </si>
  <si>
    <t>0250234</t>
  </si>
  <si>
    <t>ธ. กรุงศรีอยุธยา จำกัด (มหาชน) สาขา ย่อยซอยเซ็นต์หลุยส์3</t>
  </si>
  <si>
    <t>0250235</t>
  </si>
  <si>
    <t>ธ. กรุงศรีอยุธยา จำกัด (มหาชน) สาขา ปากชม</t>
  </si>
  <si>
    <t>0250236</t>
  </si>
  <si>
    <t>ธ. กรุงศรีอยุธยา จำกัด (มหาชน) สาขา ชาติตระการ</t>
  </si>
  <si>
    <t>0250237</t>
  </si>
  <si>
    <t>ธ. กรุงศรีอยุธยา จำกัด (มหาชน) สาขา ถนนสวรรค์วิถี นครสวรรค์</t>
  </si>
  <si>
    <t>0250238</t>
  </si>
  <si>
    <t>ธ. กรุงศรีอยุธยา จำกัด (มหาชน) สาขา สุไหงโก-ลก</t>
  </si>
  <si>
    <t>0250239</t>
  </si>
  <si>
    <t>ธ. กรุงศรีอยุธยา จำกัด (มหาชน) สาขา บิ๊กซี สุวินทวงศ์</t>
  </si>
  <si>
    <t>0250240</t>
  </si>
  <si>
    <t>ธ. กรุงศรีอยุธยา จำกัด (มหาชน) สาขา ลาดบัวหลวง</t>
  </si>
  <si>
    <t>0250241</t>
  </si>
  <si>
    <t>ธ. กรุงศรีอยุธยา จำกัด (มหาชน) สาขา ถนนติวานนท์ (คลองบางตลาด)</t>
  </si>
  <si>
    <t>0250242</t>
  </si>
  <si>
    <t>ธ. กรุงศรีอยุธยา จำกัด (มหาชน) สาขา กระบี่</t>
  </si>
  <si>
    <t>0250243</t>
  </si>
  <si>
    <t>ธ. กรุงศรีอยุธยา จำกัด (มหาชน) สาขา ประจวบคีรีขันธ์</t>
  </si>
  <si>
    <t>0250244</t>
  </si>
  <si>
    <t>ธ. กรุงศรีอยุธยา จำกัด (มหาชน) สาขา ท่ายาง</t>
  </si>
  <si>
    <t>0250245</t>
  </si>
  <si>
    <t>ธ. กรุงศรีอยุธยา จำกัด (มหาชน) สาขา ถนนสุขุมวิทชลบุรี</t>
  </si>
  <si>
    <t>0250246</t>
  </si>
  <si>
    <t>ธ. กรุงศรีอยุธยา จำกัด (มหาชน) สาขา แม่ฮ่องสอน</t>
  </si>
  <si>
    <t>0250247</t>
  </si>
  <si>
    <t>ธ. กรุงศรีอยุธยา จำกัด (มหาชน) สาขา พังงา</t>
  </si>
  <si>
    <t>0250248</t>
  </si>
  <si>
    <t>ธ. กรุงศรีอยุธยา จำกัด (มหาชน) สาขา บางมด</t>
  </si>
  <si>
    <t>0250249</t>
  </si>
  <si>
    <t>ธ. กรุงศรีอยุธยา จำกัด (มหาชน) สาขา เลย</t>
  </si>
  <si>
    <t>0250250</t>
  </si>
  <si>
    <t>ธ. กรุงศรีอยุธยา จำกัด (มหาชน) สาขา สวนอุตสาหกรรมโรจนะ</t>
  </si>
  <si>
    <t>0250251</t>
  </si>
  <si>
    <t>ธ. กรุงศรีอยุธยา จำกัด (มหาชน) สาขา ถนนราษฎร์บูรณะ (บางปะกอก)</t>
  </si>
  <si>
    <t>0250252</t>
  </si>
  <si>
    <t>ธ. กรุงศรีอยุธยา จำกัด (มหาชน) สาขา ไอคอนสยาม สมาร์ท</t>
  </si>
  <si>
    <t>0250253</t>
  </si>
  <si>
    <t>ธ. กรุงศรีอยุธยา จำกัด (มหาชน) สาขา ศูนย์การค้าฟอร์จูนทาวน์</t>
  </si>
  <si>
    <t>0250254</t>
  </si>
  <si>
    <t>ธ. กรุงศรีอยุธยา จำกัด (มหาชน) สาขา อ่าวอุดม</t>
  </si>
  <si>
    <t>0250255</t>
  </si>
  <si>
    <t>ธ. กรุงศรีอยุธยา จำกัด (มหาชน) สาขา ซอยทองหล่อ</t>
  </si>
  <si>
    <t>0250256</t>
  </si>
  <si>
    <t>ธ. กรุงศรีอยุธยา จำกัด (มหาชน) สาขา ลุมพินี</t>
  </si>
  <si>
    <t>0250257</t>
  </si>
  <si>
    <t>ธ. กรุงศรีอยุธยา จำกัด (มหาชน) สาขา โพธาราม</t>
  </si>
  <si>
    <t>0250258</t>
  </si>
  <si>
    <t>ธ. กรุงศรีอยุธยา จำกัด (มหาชน) สาขา นวนคร</t>
  </si>
  <si>
    <t>0250259</t>
  </si>
  <si>
    <t>ธ. กรุงศรีอยุธยา จำกัด (มหาชน) สาขา สามเหลี่ยมดินแดง</t>
  </si>
  <si>
    <t>0250260</t>
  </si>
  <si>
    <t>ธ. กรุงศรีอยุธยา จำกัด (มหาชน) สาขา กะเฉด</t>
  </si>
  <si>
    <t>0250261</t>
  </si>
  <si>
    <t>ธ. กรุงศรีอยุธยา จำกัด (มหาชน) สาขา หนองโดน</t>
  </si>
  <si>
    <t>0250262</t>
  </si>
  <si>
    <t>ธ. กรุงศรีอยุธยา จำกัด (มหาชน) สาขา ถนนรามคำแหง 19</t>
  </si>
  <si>
    <t>0250263</t>
  </si>
  <si>
    <t>ธ. กรุงศรีอยุธยา จำกัด (มหาชน) สาขา บางบัวทอง</t>
  </si>
  <si>
    <t>0250264</t>
  </si>
  <si>
    <t>ธ. กรุงศรีอยุธยา จำกัด (มหาชน) สาขา ลาดกระบัง</t>
  </si>
  <si>
    <t>0250265</t>
  </si>
  <si>
    <t>ธ. กรุงศรีอยุธยา จำกัด (มหาชน) สาขา ถนนนวมินทร์</t>
  </si>
  <si>
    <t>0250266</t>
  </si>
  <si>
    <t>ธ. กรุงศรีอยุธยา จำกัด (มหาชน) สาขา พรเจริญ</t>
  </si>
  <si>
    <t>0250267</t>
  </si>
  <si>
    <t>ธ. กรุงศรีอยุธยา จำกัด (มหาชน) สาขา เกษตรสมบูรณ์</t>
  </si>
  <si>
    <t>0250268</t>
  </si>
  <si>
    <t>ธ. กรุงศรีอยุธยา จำกัด (มหาชน) สาขา บางใหญ่</t>
  </si>
  <si>
    <t>0250269</t>
  </si>
  <si>
    <t>ธ. กรุงศรีอยุธยา จำกัด (มหาชน) สาขา สตูล</t>
  </si>
  <si>
    <t>0250270</t>
  </si>
  <si>
    <t>ธ. กรุงศรีอยุธยา จำกัด (มหาชน) สาขา ย่อยปากน้ำปราณ</t>
  </si>
  <si>
    <t>0250271</t>
  </si>
  <si>
    <t>ธ. กรุงศรีอยุธยา จำกัด (มหาชน) สาขา บิ๊กซี อ่อนนุช</t>
  </si>
  <si>
    <t>0250272</t>
  </si>
  <si>
    <t>ธ. กรุงศรีอยุธยา จำกัด (มหาชน) สาขา พิจิตร</t>
  </si>
  <si>
    <t>0250273</t>
  </si>
  <si>
    <t>ธ. กรุงศรีอยุธยา จำกัด (มหาชน) สาขา ชะอำ</t>
  </si>
  <si>
    <t>0250274</t>
  </si>
  <si>
    <t>ธ. กรุงศรีอยุธยา จำกัด (มหาชน) สาขา ย่อยสะพานสำโรง</t>
  </si>
  <si>
    <t>0250275</t>
  </si>
  <si>
    <t>ธ. กรุงศรีอยุธยา จำกัด (มหาชน) สาขา นครพนม</t>
  </si>
  <si>
    <t>0250276</t>
  </si>
  <si>
    <t>ธ. กรุงศรีอยุธยา จำกัด (มหาชน) สาขา ถนนรามอินทรา กม.8</t>
  </si>
  <si>
    <t>0250277</t>
  </si>
  <si>
    <t>ธ. กรุงศรีอยุธยา จำกัด (มหาชน) สาขา พนมสารคาม</t>
  </si>
  <si>
    <t>0250278</t>
  </si>
  <si>
    <t>ธ. กรุงศรีอยุธยา จำกัด (มหาชน) สาขา ถนนสุรศักดิ์ 1 ศรีราชา</t>
  </si>
  <si>
    <t>0250279</t>
  </si>
  <si>
    <t>ธ. กรุงศรีอยุธยา จำกัด (มหาชน) สาขา ถนนรถไฟ ราชบุรี</t>
  </si>
  <si>
    <t>0250280</t>
  </si>
  <si>
    <t>ธ. กรุงศรีอยุธยา จำกัด (มหาชน) สาขา ประชานิเวศน์ 1</t>
  </si>
  <si>
    <t>0250281</t>
  </si>
  <si>
    <t>ธ. กรุงศรีอยุธยา จำกัด (มหาชน) สาขา สระแก้ว</t>
  </si>
  <si>
    <t>0250282</t>
  </si>
  <si>
    <t>ธ. กรุงศรีอยุธยา จำกัด (มหาชน) สาขา มะขามเตี้ย สุราษฎร์ธานี</t>
  </si>
  <si>
    <t>0250283</t>
  </si>
  <si>
    <t>ธ. กรุงศรีอยุธยา จำกัด (มหาชน) สาขา ตลาดสี่มุมเมือง</t>
  </si>
  <si>
    <t>0250284</t>
  </si>
  <si>
    <t>ธ. กรุงศรีอยุธยา จำกัด (มหาชน) สาขา ถนนรัชดาภิเษก (โอลิมเปียไทย ทาวเวอร</t>
  </si>
  <si>
    <t>0250285</t>
  </si>
  <si>
    <t>ธ. กรุงศรีอยุธยา จำกัด (มหาชน) สาขา เพลินจิตทาวเวอร์</t>
  </si>
  <si>
    <t>0250286</t>
  </si>
  <si>
    <t>ธ. กรุงศรีอยุธยา จำกัด (มหาชน) สาขา แสวงหา</t>
  </si>
  <si>
    <t>0250287</t>
  </si>
  <si>
    <t>ธ. กรุงศรีอยุธยา จำกัด (มหาชน) สาขา นครชัยศรี</t>
  </si>
  <si>
    <t>0250288</t>
  </si>
  <si>
    <t>ธ. กรุงศรีอยุธยา จำกัด (มหาชน) สาขา หางดง</t>
  </si>
  <si>
    <t>0250289</t>
  </si>
  <si>
    <t>ธ. กรุงศรีอยุธยา จำกัด (มหาชน) สาขา ซีคอน บางแค</t>
  </si>
  <si>
    <t>0250290</t>
  </si>
  <si>
    <t>ธ. กรุงศรีอยุธยา จำกัด (มหาชน) สาขา เซ็นทรัล พลาซา ลำปาง</t>
  </si>
  <si>
    <t>0250291</t>
  </si>
  <si>
    <t>ธ. กรุงศรีอยุธยา จำกัด (มหาชน) สาขา ศรีธาตุ</t>
  </si>
  <si>
    <t>0250292</t>
  </si>
  <si>
    <t>ธ. กรุงศรีอยุธยา จำกัด (มหาชน) สาขา ถนนรังสิต-นครนายก (คลอง 2)</t>
  </si>
  <si>
    <t>0250293</t>
  </si>
  <si>
    <t>ธ. กรุงศรีอยุธยา จำกัด (มหาชน) สาขา อ่างทอง</t>
  </si>
  <si>
    <t>0250294</t>
  </si>
  <si>
    <t>ธ. กรุงศรีอยุธยา จำกัด (มหาชน) สาขา มุกดาหาร</t>
  </si>
  <si>
    <t>0250295</t>
  </si>
  <si>
    <t>ธ. กรุงศรีอยุธยา จำกัด (มหาชน) สาขา วัดโบสถ์</t>
  </si>
  <si>
    <t>0250296</t>
  </si>
  <si>
    <t>ธ. กรุงศรีอยุธยา จำกัด (มหาชน) สาขา ถนนเสรีไทย</t>
  </si>
  <si>
    <t>0250297</t>
  </si>
  <si>
    <t>ธ. กรุงศรีอยุธยา จำกัด (มหาชน) สาขา ถนนพูนผล ภูเก็ต</t>
  </si>
  <si>
    <t>0250298</t>
  </si>
  <si>
    <t>ธ. กรุงศรีอยุธยา จำกัด (มหาชน) สาขา เสนา</t>
  </si>
  <si>
    <t>0250299</t>
  </si>
  <si>
    <t>ธ. กรุงศรีอยุธยา จำกัด (มหาชน) สาขา ถนนบางนา-ตราด (เซ็นทรัลซิตี้)</t>
  </si>
  <si>
    <t>0250300</t>
  </si>
  <si>
    <t>ธ. กรุงศรีอยุธยา จำกัด (มหาชน) สาขา ถนนเพชรเกษม 55</t>
  </si>
  <si>
    <t>0250301</t>
  </si>
  <si>
    <t>ธ. กรุงศรีอยุธยา จำกัด (มหาชน) สาขา ถนนเทียมร่วมมิตร</t>
  </si>
  <si>
    <t>0250302</t>
  </si>
  <si>
    <t>ธ. กรุงศรีอยุธยา จำกัด (มหาชน) สาขา แม่สอด</t>
  </si>
  <si>
    <t>0250303</t>
  </si>
  <si>
    <t>ธ. กรุงศรีอยุธยา จำกัด (มหาชน) สาขา ห้าแยกพ่อขุนเม็งราย</t>
  </si>
  <si>
    <t>0250304</t>
  </si>
  <si>
    <t>ธ. กรุงศรีอยุธยา จำกัด (มหาชน) สาขา ถนนจอมทอง</t>
  </si>
  <si>
    <t>0250305</t>
  </si>
  <si>
    <t>ธ. กรุงศรีอยุธยา จำกัด (มหาชน) สาขา เทสโก้ โลตัส จรัญสนิทวงศ์ 15</t>
  </si>
  <si>
    <t>0250306</t>
  </si>
  <si>
    <t>ธ. กรุงศรีอยุธยา จำกัด (มหาชน) สาขา บ้านฉาง</t>
  </si>
  <si>
    <t>0250307</t>
  </si>
  <si>
    <t>ธ. กรุงศรีอยุธยา จำกัด (มหาชน) สาขา ถนนศรีนครินทร์-กรุงเทพกรีฑา</t>
  </si>
  <si>
    <t>0250308</t>
  </si>
  <si>
    <t>ธ. กรุงศรีอยุธยา จำกัด (มหาชน) สาขา หนองแขม</t>
  </si>
  <si>
    <t>0250309</t>
  </si>
  <si>
    <t>ธ. กรุงศรีอยุธยา จำกัด (มหาชน) สาขา กุยบุรี</t>
  </si>
  <si>
    <t>0250310</t>
  </si>
  <si>
    <t>ธ. กรุงศรีอยุธยา จำกัด (มหาชน) สาขา ชุมพร</t>
  </si>
  <si>
    <t>0250311</t>
  </si>
  <si>
    <t>ธ. กรุงศรีอยุธยา จำกัด (มหาชน) สาขา พาราไดซ์ พาร์ค</t>
  </si>
  <si>
    <t>0250312</t>
  </si>
  <si>
    <t>ธ. กรุงศรีอยุธยา จำกัด (มหาชน) สาขา ถนนงามวงศ์วาน</t>
  </si>
  <si>
    <t>0250313</t>
  </si>
  <si>
    <t>ธ. กรุงศรีอยุธยา จำกัด (มหาชน) สาขา ถนนศรีนครินทร์-สุขุมวิท</t>
  </si>
  <si>
    <t>0250314</t>
  </si>
  <si>
    <t>ธ. กรุงศรีอยุธยา จำกัด (มหาชน) สาขา หลังสวน</t>
  </si>
  <si>
    <t>0250315</t>
  </si>
  <si>
    <t>ธ. กรุงศรีอยุธยา จำกัด (มหาชน) สาขา สะพานพระนั่งเกล้า</t>
  </si>
  <si>
    <t>0250316</t>
  </si>
  <si>
    <t>ธ. กรุงศรีอยุธยา จำกัด (มหาชน) สาขา ถนนหายโศรก ร้อยเอ็ด</t>
  </si>
  <si>
    <t>0250317</t>
  </si>
  <si>
    <t>ธ. กรุงศรีอยุธยา จำกัด (มหาชน) สาขา ย่อยสามแยกบางแสน</t>
  </si>
  <si>
    <t>0250318</t>
  </si>
  <si>
    <t>ธ. กรุงศรีอยุธยา จำกัด (มหาชน) สาขา ลำพูน</t>
  </si>
  <si>
    <t>0250319</t>
  </si>
  <si>
    <t>ธ. กรุงศรีอยุธยา จำกัด (มหาชน) สาขา เมญ่า เชียงใหม่</t>
  </si>
  <si>
    <t>0250320</t>
  </si>
  <si>
    <t>ธ. กรุงศรีอยุธยา จำกัด (มหาชน) สาขา ถนนสุขุมวิท 71</t>
  </si>
  <si>
    <t>0250321</t>
  </si>
  <si>
    <t>ธ. กรุงศรีอยุธยา จำกัด (มหาชน) สาขา แม่จัน</t>
  </si>
  <si>
    <t>0250322</t>
  </si>
  <si>
    <t>ธ. กรุงศรีอยุธยา จำกัด (มหาชน) สาขา ลำนารายณ์</t>
  </si>
  <si>
    <t>0250323</t>
  </si>
  <si>
    <t>ธ. กรุงศรีอยุธยา จำกัด (มหาชน) สาขา บ้านลาด</t>
  </si>
  <si>
    <t>0250324</t>
  </si>
  <si>
    <t>ธ. กรุงศรีอยุธยา จำกัด (มหาชน) สาขา ถนนรามอินทรา กม.2</t>
  </si>
  <si>
    <t>0250325</t>
  </si>
  <si>
    <t>ธ. กรุงศรีอยุธยา จำกัด (มหาชน) สาขา สะพานจอมเกล้า เพชรบุรี</t>
  </si>
  <si>
    <t>0250326</t>
  </si>
  <si>
    <t>ธ. กรุงศรีอยุธยา จำกัด (มหาชน) สาขา ถนนวัดกิ่งแก้ว</t>
  </si>
  <si>
    <t>0250327</t>
  </si>
  <si>
    <t>ธ. กรุงศรีอยุธยา จำกัด (มหาชน) สาขา ปากพลี</t>
  </si>
  <si>
    <t>0250328</t>
  </si>
  <si>
    <t>ธ. กรุงศรีอยุธยา จำกัด (มหาชน) สาขา ถนนสาธุประดิษฐ์</t>
  </si>
  <si>
    <t>0250329</t>
  </si>
  <si>
    <t>ธ. กรุงศรีอยุธยา จำกัด (มหาชน) สาขา ถนนแจ้งวัฒนะ (ซอฟต์แวร์ พาร์ค)</t>
  </si>
  <si>
    <t>0250330</t>
  </si>
  <si>
    <t>ธ. กรุงศรีอยุธยา จำกัด (มหาชน) สาขา ถนนประชาอุทิศ</t>
  </si>
  <si>
    <t>0250331</t>
  </si>
  <si>
    <t>ธ. กรุงศรีอยุธยา จำกัด (มหาชน) สาขา แม่สาย</t>
  </si>
  <si>
    <t>0250332</t>
  </si>
  <si>
    <t>ธ. กรุงศรีอยุธยา จำกัด (มหาชน) สาขา ถนนสรงประภา (ดอนเมือง)</t>
  </si>
  <si>
    <t>0250333</t>
  </si>
  <si>
    <t>ธ. กรุงศรีอยุธยา จำกัด (มหาชน) สาขา ถนนบางนา-ตราด (อินเตอร์ลิงค์ ทาวเวอ</t>
  </si>
  <si>
    <t>0250334</t>
  </si>
  <si>
    <t>ธ. กรุงศรีอยุธยา จำกัด (มหาชน) สาขา ถนนพัทยาใต้</t>
  </si>
  <si>
    <t>0250335</t>
  </si>
  <si>
    <t>ธ. กรุงศรีอยุธยา จำกัด (มหาชน) สาขา ดำเนินสะดวก</t>
  </si>
  <si>
    <t>0250336</t>
  </si>
  <si>
    <t>ธ. กรุงศรีอยุธยา จำกัด (มหาชน) สาขา เมเจอร์รังสิต</t>
  </si>
  <si>
    <t>0250337</t>
  </si>
  <si>
    <t>ธ. กรุงศรีอยุธยา จำกัด (มหาชน) สาขา อ้อมน้อย</t>
  </si>
  <si>
    <t>0250338</t>
  </si>
  <si>
    <t>ธ. กรุงศรีอยุธยา จำกัด (มหาชน) สาขา ย่อยจอหอ</t>
  </si>
  <si>
    <t>0250339</t>
  </si>
  <si>
    <t>ธ. กรุงศรีอยุธยา จำกัด (มหาชน) สาขา ถนนศึกษาเจริญ เพชรบูรณ์</t>
  </si>
  <si>
    <t>0250340</t>
  </si>
  <si>
    <t>ธ. กรุงศรีอยุธยา จำกัด (มหาชน) สาขา ถนนวิภาวดีรังสิต(ดอนเมือง)</t>
  </si>
  <si>
    <t>0250341</t>
  </si>
  <si>
    <t>ธ. กรุงศรีอยุธยา จำกัด (มหาชน) สาขา ท่าพระ ขอนแก่น</t>
  </si>
  <si>
    <t>0250342</t>
  </si>
  <si>
    <t>ธ. กรุงศรีอยุธยา จำกัด (มหาชน) สาขา ถนนพระรามที่ 2</t>
  </si>
  <si>
    <t>0250343</t>
  </si>
  <si>
    <t>ธ. กรุงศรีอยุธยา จำกัด (มหาชน) สาขา บางปะอิน</t>
  </si>
  <si>
    <t>0250344</t>
  </si>
  <si>
    <t>ธ. กรุงศรีอยุธยา จำกัด (มหาชน) สาขา พรานนก</t>
  </si>
  <si>
    <t>0250345</t>
  </si>
  <si>
    <t>ธ. กรุงศรีอยุธยา จำกัด (มหาชน) สาขา ถนนบางขุนเทียน</t>
  </si>
  <si>
    <t>0250346</t>
  </si>
  <si>
    <t>ธ. กรุงศรีอยุธยา จำกัด (มหาชน) สาขา มหาวิทยาลัยนเรศวร</t>
  </si>
  <si>
    <t>0250347</t>
  </si>
  <si>
    <t>ธ. กรุงศรีอยุธยา จำกัด (มหาชน) สาขา พรอมเมนาดา รีสอร์ท มอลล์ เชียงใหม่</t>
  </si>
  <si>
    <t>0250348</t>
  </si>
  <si>
    <t>ธ. กรุงศรีอยุธยา จำกัด (มหาชน) สาขา ถนนวิภาวดีรังสิต(ซันทาวเวอร์ส)</t>
  </si>
  <si>
    <t>0250349</t>
  </si>
  <si>
    <t>ธ. กรุงศรีอยุธยา จำกัด (มหาชน) สาขา แก่งคอย</t>
  </si>
  <si>
    <t>0250350</t>
  </si>
  <si>
    <t>ธ. กรุงศรีอยุธยา จำกัด (มหาชน) สาขา หนองแค</t>
  </si>
  <si>
    <t>0250351</t>
  </si>
  <si>
    <t>ธ. กรุงศรีอยุธยา จำกัด (มหาชน) สาขา สุขุมวิท 103 (อุดมสุข)</t>
  </si>
  <si>
    <t>0250352</t>
  </si>
  <si>
    <t>ธ. กรุงศรีอยุธยา จำกัด (มหาชน) สาขา พระประโทน</t>
  </si>
  <si>
    <t>0250353</t>
  </si>
  <si>
    <t>ธ. กรุงศรีอยุธยา จำกัด (มหาชน) สาขา บางสะพาน</t>
  </si>
  <si>
    <t>0250354</t>
  </si>
  <si>
    <t>ธ. กรุงศรีอยุธยา จำกัด (มหาชน) สาขา ถนนพระรามที่ 9-ศรีนครินทร์</t>
  </si>
  <si>
    <t>0250355</t>
  </si>
  <si>
    <t>ธ. กรุงศรีอยุธยา จำกัด (มหาชน) สาขา กบินทร์บุรี</t>
  </si>
  <si>
    <t>0250356</t>
  </si>
  <si>
    <t>ธ. กรุงศรีอยุธยา จำกัด (มหาชน) สาขา ถนนเทพกระษัตรี ภูเก็ต</t>
  </si>
  <si>
    <t>0250357</t>
  </si>
  <si>
    <t>ธ. กรุงศรีอยุธยา จำกัด (มหาชน) สาขา ถนนมิตรภาพ-แยกปักธงชัย</t>
  </si>
  <si>
    <t>0250358</t>
  </si>
  <si>
    <t>ธ. กรุงศรีอยุธยา จำกัด (มหาชน) สาขา สันกำแพง</t>
  </si>
  <si>
    <t>0250359</t>
  </si>
  <si>
    <t>ธ. กรุงศรีอยุธยา จำกัด (มหาชน) สาขา ย่อยเสนางคนิคม</t>
  </si>
  <si>
    <t>0250360</t>
  </si>
  <si>
    <t>ธ. กรุงศรีอยุธยา จำกัด (มหาชน) สาขา ขลุง</t>
  </si>
  <si>
    <t>0250361</t>
  </si>
  <si>
    <t>ธ. กรุงศรีอยุธยา จำกัด (มหาชน) สาขา ถนนสุขุมวิท 63</t>
  </si>
  <si>
    <t>0250362</t>
  </si>
  <si>
    <t>ธ. กรุงศรีอยุธยา จำกัด (มหาชน) สาขา บางปู</t>
  </si>
  <si>
    <t>0250363</t>
  </si>
  <si>
    <t>ธ. กรุงศรีอยุธยา จำกัด (มหาชน) สาขา วารินชำราบ</t>
  </si>
  <si>
    <t>0250364</t>
  </si>
  <si>
    <t>ธ. กรุงศรีอยุธยา จำกัด (มหาชน) สาขา ย่อยถนนเจริญประเทศเชียงใหม่</t>
  </si>
  <si>
    <t>0250365</t>
  </si>
  <si>
    <t>ธ. กรุงศรีอยุธยา จำกัด (มหาชน) สาขา หนองบัวลำภู</t>
  </si>
  <si>
    <t>0250366</t>
  </si>
  <si>
    <t>ธ. กรุงศรีอยุธยา จำกัด (มหาชน) สาขา ถนนกาญจนวณิชย์ สงขลา</t>
  </si>
  <si>
    <t>0250367</t>
  </si>
  <si>
    <t>ธ. กรุงศรีอยุธยา จำกัด (มหาชน) สาขา แม่ริม</t>
  </si>
  <si>
    <t>0250368</t>
  </si>
  <si>
    <t>ธ. กรุงศรีอยุธยา จำกัด (มหาชน) สาขา ถนนสุขุมวิท ตราด</t>
  </si>
  <si>
    <t>0250369</t>
  </si>
  <si>
    <t>ธ. กรุงศรีอยุธยา จำกัด (มหาชน) สาขา โรบินสัน สมุทรปราการ</t>
  </si>
  <si>
    <t>0250370</t>
  </si>
  <si>
    <t>ธ. กรุงศรีอยุธยา จำกัด (มหาชน) สาขา หัวทะเล นครราชสีมา</t>
  </si>
  <si>
    <t>0250371</t>
  </si>
  <si>
    <t>ธ. กรุงศรีอยุธยา จำกัด (มหาชน) สาขา บ้านเพ</t>
  </si>
  <si>
    <t>0250372</t>
  </si>
  <si>
    <t>ธ. กรุงศรีอยุธยา จำกัด (มหาชน) สาขา อำนาจเจริญ</t>
  </si>
  <si>
    <t>0250373</t>
  </si>
  <si>
    <t>ธ. กรุงศรีอยุธยา จำกัด (มหาชน) สาขา ราชาเทวะ</t>
  </si>
  <si>
    <t>0250374</t>
  </si>
  <si>
    <t>ธ. กรุงศรีอยุธยา จำกัด (มหาชน) สาขา มหาวิทยาลัยเกษตรศาสตร์</t>
  </si>
  <si>
    <t>0250375</t>
  </si>
  <si>
    <t>ธ. กรุงศรีอยุธยา จำกัด (มหาชน) สาขา โพนสวรรค์</t>
  </si>
  <si>
    <t>0250376</t>
  </si>
  <si>
    <t>ธ. กรุงศรีอยุธยา จำกัด (มหาชน) สาขา ย่อยโคกศรีสุพรรณ</t>
  </si>
  <si>
    <t>0250377</t>
  </si>
  <si>
    <t>ธ. กรุงศรีอยุธยา จำกัด (มหาชน) สาขา ประตูน้ำพระอินทร์</t>
  </si>
  <si>
    <t>0250378</t>
  </si>
  <si>
    <t>ธ. กรุงศรีอยุธยา จำกัด (มหาชน) สาขา บางบ่อ</t>
  </si>
  <si>
    <t>0250379</t>
  </si>
  <si>
    <t>ธ. กรุงศรีอยุธยา จำกัด (มหาชน) สาขา ย่อยปรางค์กู่</t>
  </si>
  <si>
    <t>0250380</t>
  </si>
  <si>
    <t>ธ. กรุงศรีอยุธยา จำกัด (มหาชน) สาขา ดอนพุด</t>
  </si>
  <si>
    <t>0250381</t>
  </si>
  <si>
    <t>ธ. กรุงศรีอยุธยา จำกัด (มหาชน) สาขา เทสโก้ โลตัส สุขาภิบาล 1</t>
  </si>
  <si>
    <t>0250382</t>
  </si>
  <si>
    <t>ธ. กรุงศรีอยุธยา จำกัด (มหาชน) สาขา ย่อยหาดใหญ่ใน</t>
  </si>
  <si>
    <t>0250383</t>
  </si>
  <si>
    <t>ธ. กรุงศรีอยุธยา จำกัด (มหาชน) สาขา ควนโดน</t>
  </si>
  <si>
    <t>0250384</t>
  </si>
  <si>
    <t>ธ. กรุงศรีอยุธยา จำกัด (มหาชน) สาขา ถนนเจริญนคร ซอย 35</t>
  </si>
  <si>
    <t>0250385</t>
  </si>
  <si>
    <t>ธ. กรุงศรีอยุธยา จำกัด (มหาชน) สาขา ศรีบรรพต</t>
  </si>
  <si>
    <t>0250386</t>
  </si>
  <si>
    <t>ธ. กรุงศรีอยุธยา จำกัด (มหาชน) สาขา ย่อยหนองหญ้าปล้อง</t>
  </si>
  <si>
    <t>0250387</t>
  </si>
  <si>
    <t>ธ. กรุงศรีอยุธยา จำกัด (มหาชน) สาขา ถนนบรมราชชนนี (ตลิ่งชัน)</t>
  </si>
  <si>
    <t>0250388</t>
  </si>
  <si>
    <t>ธ. กรุงศรีอยุธยา จำกัด (มหาชน) สาขา ถนนเทพารักษ์</t>
  </si>
  <si>
    <t>0250389</t>
  </si>
  <si>
    <t>ธ. กรุงศรีอยุธยา จำกัด (มหาชน) สาขา ถนนสุขสวัสดิ์ 53</t>
  </si>
  <si>
    <t>0250390</t>
  </si>
  <si>
    <t>ธ. กรุงศรีอยุธยา จำกัด (มหาชน) สาขา ถนนพัฒนาการคูขวาง นครศรีธรรมราช</t>
  </si>
  <si>
    <t>0250391</t>
  </si>
  <si>
    <t>ธ. กรุงศรีอยุธยา จำกัด (มหาชน) สาขา ถนนมิตรภาพ ขอนแก่น</t>
  </si>
  <si>
    <t>0250392</t>
  </si>
  <si>
    <t>ธ. กรุงศรีอยุธยา จำกัด (มหาชน) สาขา ถนนโชตนา เชียงใหม่</t>
  </si>
  <si>
    <t>0250393</t>
  </si>
  <si>
    <t>ธ. กรุงศรีอยุธยา จำกัด (มหาชน) สาขา ถนนพระพันวษา สุพรรณบุรี</t>
  </si>
  <si>
    <t>0250394</t>
  </si>
  <si>
    <t>ธ. กรุงศรีอยุธยา จำกัด (มหาชน) สาขา ถนนบรมราชชนนี (ปิ่นเกล้า)</t>
  </si>
  <si>
    <t>0250395</t>
  </si>
  <si>
    <t>ธ. กรุงศรีอยุธยา จำกัด (มหาชน) สาขา ถนนพหลโยธิน 26 (ตึกช้าง)</t>
  </si>
  <si>
    <t>0250396</t>
  </si>
  <si>
    <t>ธ. กรุงศรีอยุธยา จำกัด (มหาชน) สาขา เชียงของ</t>
  </si>
  <si>
    <t>0250397</t>
  </si>
  <si>
    <t>ธ. กรุงศรีอยุธยา จำกัด (มหาชน) สาขา ถนนสาทรเหนือ (เอ.ไอ-เซ็นเตอร์)</t>
  </si>
  <si>
    <t>0250398</t>
  </si>
  <si>
    <t>ธ. กรุงศรีอยุธยา จำกัด (มหาชน) สาขา ย่อยจุน</t>
  </si>
  <si>
    <t>0250399</t>
  </si>
  <si>
    <t>ธ. กรุงศรีอยุธยา จำกัด (มหาชน) สาขา ถนนเอกาทศรฐ พิษณุโลก</t>
  </si>
  <si>
    <t>0250400</t>
  </si>
  <si>
    <t>ธ. กรุงศรีอยุธยา จำกัด (มหาชน) สาขา โชคชัย 4</t>
  </si>
  <si>
    <t>0250401</t>
  </si>
  <si>
    <t>ธ. กรุงศรีอยุธยา จำกัด (มหาชน) สาขา ถนนประชาราษฎร์สาย 1</t>
  </si>
  <si>
    <t>0250402</t>
  </si>
  <si>
    <t>ธ. กรุงศรีอยุธยา จำกัด (มหาชน) สาขา นางรอง</t>
  </si>
  <si>
    <t>0250403</t>
  </si>
  <si>
    <t>ธ. กรุงศรีอยุธยา จำกัด (มหาชน) สาขา อ่อนนุช 69</t>
  </si>
  <si>
    <t>0250404</t>
  </si>
  <si>
    <t>ธ. กรุงศรีอยุธยา จำกัด (มหาชน) สาขา ถนนรัชดาภิเษก (เซ็นทรัล พระราม 3)</t>
  </si>
  <si>
    <t>0250405</t>
  </si>
  <si>
    <t>ธ. กรุงศรีอยุธยา จำกัด (มหาชน) สาขา เบตง</t>
  </si>
  <si>
    <t>0250406</t>
  </si>
  <si>
    <t>ธ. กรุงศรีอยุธยา จำกัด (มหาชน) สาขา ตลาดหัวอิฐ</t>
  </si>
  <si>
    <t>0250407</t>
  </si>
  <si>
    <t>ธ. กรุงศรีอยุธยา จำกัด (มหาชน) สาขา ถนนพหลโยธิน สระบุรี</t>
  </si>
  <si>
    <t>0250408</t>
  </si>
  <si>
    <t>ธ. กรุงศรีอยุธยา จำกัด (มหาชน) สาขา ฝาง</t>
  </si>
  <si>
    <t>0250409</t>
  </si>
  <si>
    <t>ธ. กรุงศรีอยุธยา จำกัด (มหาชน) สาขา เนินเต็ง ชลบุรี</t>
  </si>
  <si>
    <t>0250410</t>
  </si>
  <si>
    <t>ธ. กรุงศรีอยุธยา จำกัด (มหาชน) สาขา เทสโก้ โลตัส หาดใหญ่</t>
  </si>
  <si>
    <t>0250411</t>
  </si>
  <si>
    <t>ธ. กรุงศรีอยุธยา จำกัด (มหาชน) สาขา สี่แยกสนามบิน เชียงใหม่</t>
  </si>
  <si>
    <t>0250412</t>
  </si>
  <si>
    <t>ธ. กรุงศรีอยุธยา จำกัด (มหาชน) สาขา ขนอม</t>
  </si>
  <si>
    <t>0250413</t>
  </si>
  <si>
    <t>ธ. กรุงศรีอยุธยา จำกัด (มหาชน) สาขา บางคล้า</t>
  </si>
  <si>
    <t>0250414</t>
  </si>
  <si>
    <t>ธ. กรุงศรีอยุธยา จำกัด (มหาชน) สาขา องครักษ์</t>
  </si>
  <si>
    <t>0250415</t>
  </si>
  <si>
    <t>ธ. กรุงศรีอยุธยา จำกัด (มหาชน) สาขา ถนนราษฎร์บรรจบสมุทรสาคร</t>
  </si>
  <si>
    <t>0250416</t>
  </si>
  <si>
    <t>ธ. กรุงศรีอยุธยา จำกัด (มหาชน) สาขา ถนนโพศรี อุดรธานี</t>
  </si>
  <si>
    <t>0250417</t>
  </si>
  <si>
    <t>ธ. กรุงศรีอยุธยา จำกัด (มหาชน) สาขา ถนนลำลูกกา (คลอง 2)</t>
  </si>
  <si>
    <t>0250418</t>
  </si>
  <si>
    <t>ธ. กรุงศรีอยุธยา จำกัด (มหาชน) สาขา ม.อัสสัมชัญ (ถนนบางนา-ตราด กม.26)</t>
  </si>
  <si>
    <t>0250419</t>
  </si>
  <si>
    <t>ธ. กรุงศรีอยุธยา จำกัด (มหาชน) สาขา มหาวิทยาลัยราชภัฏนครราชสีมา</t>
  </si>
  <si>
    <t>0250420</t>
  </si>
  <si>
    <t>ธ. กรุงศรีอยุธยา จำกัด (มหาชน) สาขา มหาวิทยาลัยราชภัฏสวนดุสิต</t>
  </si>
  <si>
    <t>0250421</t>
  </si>
  <si>
    <t>ธ. กรุงศรีอยุธยา จำกัด (มหาชน) สาขา มหาวิทยาลัยราชภัฏสกลนคร</t>
  </si>
  <si>
    <t>0250422</t>
  </si>
  <si>
    <t>ธ. กรุงศรีอยุธยา จำกัด (มหาชน) สาขา มหาวิทยาลัยราชภัฏเชียงราย</t>
  </si>
  <si>
    <t>0250423</t>
  </si>
  <si>
    <t>ธ. กรุงศรีอยุธยา จำกัด (มหาชน) สาขา หาดเฉวง</t>
  </si>
  <si>
    <t>0250424</t>
  </si>
  <si>
    <t>ธ. กรุงศรีอยุธยา จำกัด (มหาชน) สาขา เซ็นทรัลลาดพร้าว</t>
  </si>
  <si>
    <t>0250425</t>
  </si>
  <si>
    <t>ธ. กรุงศรีอยุธยา จำกัด (มหาชน) สาขา มหาวิทยาลัยอัสสัมชัญ (หัวหมาก)</t>
  </si>
  <si>
    <t>0250426</t>
  </si>
  <si>
    <t>ธ. กรุงศรีอยุธยา จำกัด (มหาชน) สาขา ย่อยมหาวิทยาลัยราชภัฏอุตรดิตถ์</t>
  </si>
  <si>
    <t>0250427</t>
  </si>
  <si>
    <t>ธ. กรุงศรีอยุธยา จำกัด (มหาชน) สาขา มหาวิทยาลัยราชภัฏบุรีรัมย์</t>
  </si>
  <si>
    <t>0250428</t>
  </si>
  <si>
    <t>ธ. กรุงศรีอยุธยา จำกัด (มหาชน) สาขา ย่อยมหาวิทยาลัยราชภัฏวไลยอลงกรณ์</t>
  </si>
  <si>
    <t>0250429</t>
  </si>
  <si>
    <t>ธ. กรุงศรีอยุธยา จำกัด (มหาชน) สาขา มหาวิทยาลัยแม่ฟ้าหลวง</t>
  </si>
  <si>
    <t>0250430</t>
  </si>
  <si>
    <t>ธ. กรุงศรีอยุธยา จำกัด (มหาชน) สาขา แม่น้ำ</t>
  </si>
  <si>
    <t>0250431</t>
  </si>
  <si>
    <t>ธ. กรุงศรีอยุธยา จำกัด (มหาชน) สาขา กะตะ</t>
  </si>
  <si>
    <t>0250432</t>
  </si>
  <si>
    <t>ธ. กรุงศรีอยุธยา จำกัด (มหาชน) สาขา ย่อยถนนทวีวงศ์ (ป่าตอง)</t>
  </si>
  <si>
    <t>0250433</t>
  </si>
  <si>
    <t>ธ. กรุงศรีอยุธยา จำกัด (มหาชน) สาขา อ่าวนาง กระบี่</t>
  </si>
  <si>
    <t>0250434</t>
  </si>
  <si>
    <t>ธ. กรุงศรีอยุธยา จำกัด (มหาชน) สาขา ไออาร์พีซี ระยอง</t>
  </si>
  <si>
    <t>0250435</t>
  </si>
  <si>
    <t>ธ. กรุงศรีอยุธยา จำกัด (มหาชน) สาขา สตาร์ไอทีเซ็นเตอร์ ระยอง</t>
  </si>
  <si>
    <t>0250436</t>
  </si>
  <si>
    <t>ธ. กรุงศรีอยุธยา จำกัด (มหาชน) สาขา เซ็นทรัลพระราม 2</t>
  </si>
  <si>
    <t>0250437</t>
  </si>
  <si>
    <t>ธ. กรุงศรีอยุธยา จำกัด (มหาชน) สาขา เขาหลัก พังงา</t>
  </si>
  <si>
    <t>0250438</t>
  </si>
  <si>
    <t>ธ. กรุงศรีอยุธยา จำกัด (มหาชน) สาขา มหาวิทยาลัยขอนแก่น</t>
  </si>
  <si>
    <t>0250439</t>
  </si>
  <si>
    <t>ธ. กรุงศรีอยุธยา จำกัด (มหาชน) สาขา มหาวิทยาลัยราชภัฏลำปาง</t>
  </si>
  <si>
    <t>0250440</t>
  </si>
  <si>
    <t>ธ. กรุงศรีอยุธยา จำกัด (มหาชน) สาขา จุฬาลงกรณ์ 42</t>
  </si>
  <si>
    <t>0250441</t>
  </si>
  <si>
    <t>ธ. กรุงศรีอยุธยา จำกัด (มหาชน) สาขา มหาวิทยาลัยราชภัฏอุบลราชธานี</t>
  </si>
  <si>
    <t>0250442</t>
  </si>
  <si>
    <t>ธ. กรุงศรีอยุธยา จำกัด (มหาชน) สาขา นิคมพัฒนา ระยอง</t>
  </si>
  <si>
    <t>0250443</t>
  </si>
  <si>
    <t>ธ. กรุงศรีอยุธยา จำกัด (มหาชน) สาขา นิคมอุตสาหกรรมอีสเทิร์นซีบอร์ด</t>
  </si>
  <si>
    <t>0250444</t>
  </si>
  <si>
    <t>ธ. กรุงศรีอยุธยา จำกัด (มหาชน) สาขา บิ๊กซี อุดรธานี</t>
  </si>
  <si>
    <t>0250445</t>
  </si>
  <si>
    <t>ธ. กรุงศรีอยุธยา จำกัด (มหาชน) สาขา หาดละไม</t>
  </si>
  <si>
    <t>0250446</t>
  </si>
  <si>
    <t>ธ. กรุงศรีอยุธยา จำกัด (มหาชน) สาขา มหาวิทยาลัยเกษตรศาสตร์ (สกลนคร)</t>
  </si>
  <si>
    <t>0250447</t>
  </si>
  <si>
    <t>ธ. กรุงศรีอยุธยา จำกัด (มหาชน) สาขา เทสโก้ โลตัส อมตะนคร ชลบุรี</t>
  </si>
  <si>
    <t>0250448</t>
  </si>
  <si>
    <t>ธ. กรุงศรีอยุธยา จำกัด (มหาชน) สาขา ห้าแยกฉลอง ภูเก็ต</t>
  </si>
  <si>
    <t>0250449</t>
  </si>
  <si>
    <t>ธ. กรุงศรีอยุธยา จำกัด (มหาชน) สาขา เดอะมอลล์ บางกะปิ</t>
  </si>
  <si>
    <t>0250450</t>
  </si>
  <si>
    <t>ธ. กรุงศรีอยุธยา จำกัด (มหาชน) สาขา เดอะมอลล์บางแค</t>
  </si>
  <si>
    <t>0250451</t>
  </si>
  <si>
    <t>ธ. กรุงศรีอยุธยา จำกัด (มหาชน) สาขา ศูนย์การประชุมแห่งชาติสิริกิติ์</t>
  </si>
  <si>
    <t>0250452</t>
  </si>
  <si>
    <t>ธ. กรุงศรีอยุธยา จำกัด (มหาชน) สาขา นิคมอุตสาหกรรม 304 ปราจีนบุรี</t>
  </si>
  <si>
    <t>0250453</t>
  </si>
  <si>
    <t>ธ. กรุงศรีอยุธยา จำกัด (มหาชน) สาขา มหาวิทยาลัยเทคโนโลยีราชมงคลธัญบุรี</t>
  </si>
  <si>
    <t>0250454</t>
  </si>
  <si>
    <t>ธ. กรุงศรีอยุธยา จำกัด (มหาชน) สาขา ย่อย ปตท.กล้วยน้ำไท</t>
  </si>
  <si>
    <t>0250455</t>
  </si>
  <si>
    <t>ธ. กรุงศรีอยุธยา จำกัด (มหาชน) สาขา ไบเทค บางนา</t>
  </si>
  <si>
    <t>0250456</t>
  </si>
  <si>
    <t>ธ. กรุงศรีอยุธยา จำกัด (มหาชน) สาขา อิมแพ็ค เมืองทองธานี</t>
  </si>
  <si>
    <t>0250457</t>
  </si>
  <si>
    <t>ธ. กรุงศรีอยุธยา จำกัด (มหาชน) สาขา หาดกมลา ภูเก็ต</t>
  </si>
  <si>
    <t>0250458</t>
  </si>
  <si>
    <t>ธ. กรุงศรีอยุธยา จำกัด (มหาชน) สาขา ถนนสายเอเชีย นครสวรรค์</t>
  </si>
  <si>
    <t>0250459</t>
  </si>
  <si>
    <t>ธ. กรุงศรีอยุธยา จำกัด (มหาชน) สาขา นิคมอุตสาหกรรมไฮเทค</t>
  </si>
  <si>
    <t>0250460</t>
  </si>
  <si>
    <t>ธ. กรุงศรีอยุธยา จำกัด (มหาชน) สาขา สำนักงานประกันสังคม</t>
  </si>
  <si>
    <t>0250461</t>
  </si>
  <si>
    <t>ธ. กรุงศรีอยุธยา จำกัด (มหาชน) สาขา นิคมอุตสาหกรรมเวลโกรว์</t>
  </si>
  <si>
    <t>0250462</t>
  </si>
  <si>
    <t>ธ. กรุงศรีอยุธยา จำกัด (มหาชน) สาขา บลูพอร์ต หัวหิน รีสอร์ท มอลล์</t>
  </si>
  <si>
    <t>0250463</t>
  </si>
  <si>
    <t>ธ. กรุงศรีอยุธยา จำกัด (มหาชน) สาขา เดอะมอลล์ งามวงศ์วาน</t>
  </si>
  <si>
    <t>0250464</t>
  </si>
  <si>
    <t>ธ. กรุงศรีอยุธยา จำกัด (มหาชน) สาขา เทสโก้ โลตัส พัทยาเหนือ</t>
  </si>
  <si>
    <t>0250465</t>
  </si>
  <si>
    <t>ธ. กรุงศรีอยุธยา จำกัด (มหาชน) สาขา เซ็นทรัล เฟสติวัล ภูเก็ต</t>
  </si>
  <si>
    <t>0250466</t>
  </si>
  <si>
    <t>ธ. กรุงศรีอยุธยา จำกัด (มหาชน) สาขา ถนนราชวิถี นครปฐม</t>
  </si>
  <si>
    <t>0250467</t>
  </si>
  <si>
    <t>ธ. กรุงศรีอยุธยา จำกัด (มหาชน) สาขา แฟชั่น ไอส์แลนด์</t>
  </si>
  <si>
    <t>0250468</t>
  </si>
  <si>
    <t>ธ. กรุงศรีอยุธยา จำกัด (มหาชน) สาขา ย่อยถนนรามคำแหง 2</t>
  </si>
  <si>
    <t>0250469</t>
  </si>
  <si>
    <t>ธ. กรุงศรีอยุธยา จำกัด (มหาชน) สาขา ถนนบางขุนเทียน-ชายทะเล</t>
  </si>
  <si>
    <t>0250470</t>
  </si>
  <si>
    <t>ธ. กรุงศรีอยุธยา จำกัด (มหาชน) สาขา เกาะพีพี</t>
  </si>
  <si>
    <t>0250471</t>
  </si>
  <si>
    <t>ธ. กรุงศรีอยุธยา จำกัด (มหาชน) สาขา โรงพยาบาลเกษมราษฎร์ ประชาชื่น</t>
  </si>
  <si>
    <t>0250472</t>
  </si>
  <si>
    <t>ธ. กรุงศรีอยุธยา จำกัด (มหาชน) สาขา ซอยเนินพลับหวาน พัทยา</t>
  </si>
  <si>
    <t>0250473</t>
  </si>
  <si>
    <t>ธ. กรุงศรีอยุธยา จำกัด (มหาชน) สาขา  เทสโก้ โลตัส ภูเก็ต</t>
  </si>
  <si>
    <t>0250474</t>
  </si>
  <si>
    <t>ธ. กรุงศรีอยุธยา จำกัด (มหาชน) สาขา เจ-อเวนิว ทองหล่อ</t>
  </si>
  <si>
    <t>0250475</t>
  </si>
  <si>
    <t>ธ. กรุงศรีอยุธยา จำกัด (มหาชน) สาขา เชิงทะเล ภูเก็ต</t>
  </si>
  <si>
    <t>0250476</t>
  </si>
  <si>
    <t>ธ. กรุงศรีอยุธยา จำกัด (มหาชน) สาขา ถนนเฉลิมพระเกียรติ ภูเก็ต</t>
  </si>
  <si>
    <t>0250477</t>
  </si>
  <si>
    <t>ธ. กรุงศรีอยุธยา จำกัด (มหาชน) สาขา  ปตท. ถนนวิภาวดีรังสิต</t>
  </si>
  <si>
    <t>0250478</t>
  </si>
  <si>
    <t>ธ. กรุงศรีอยุธยา จำกัด (มหาชน) สาขา ถนนเลียบหาด (เฉวง)</t>
  </si>
  <si>
    <t>0250479</t>
  </si>
  <si>
    <t>ธ. กรุงศรีอยุธยา จำกัด (มหาชน) สาขา ตลาดถนอมมิตร วัชรพล</t>
  </si>
  <si>
    <t>0250480</t>
  </si>
  <si>
    <t>ธ. กรุงศรีอยุธยา จำกัด (มหาชน) สาขา เทสโก้ โลตัส มหาชัย 2</t>
  </si>
  <si>
    <t>0250481</t>
  </si>
  <si>
    <t>ธ. กรุงศรีอยุธยา จำกัด (มหาชน) สาขา โรบินสัน บ่อวิน</t>
  </si>
  <si>
    <t>0250482</t>
  </si>
  <si>
    <t>ธ. กรุงศรีอยุธยา จำกัด (มหาชน) สาขา เกาะช้าง</t>
  </si>
  <si>
    <t>0250483</t>
  </si>
  <si>
    <t>ธ. กรุงศรีอยุธยา จำกัด (มหาชน) สาขา เอ็มไพร์ ทาวเวอร์</t>
  </si>
  <si>
    <t>0250484</t>
  </si>
  <si>
    <t>ธ. กรุงศรีอยุธยา จำกัด (มหาชน) สาขา แกรนด์ คาแนล</t>
  </si>
  <si>
    <t>0250485</t>
  </si>
  <si>
    <t>ธ. กรุงศรีอยุธยา จำกัด (มหาชน) สาขา โรงพยาบาลเกษมราษฎร์ รัตนาธิเบศร์</t>
  </si>
  <si>
    <t>0250486</t>
  </si>
  <si>
    <t>ธ. กรุงศรีอยุธยา จำกัด (มหาชน) สาขา ตลาดวงศกร</t>
  </si>
  <si>
    <t>0250487</t>
  </si>
  <si>
    <t>ธ. กรุงศรีอยุธยา จำกัด (มหาชน) สาขา ถนนชมสินธุ์ หัวหิน</t>
  </si>
  <si>
    <t>0250488</t>
  </si>
  <si>
    <t>ธ. กรุงศรีอยุธยา จำกัด (มหาชน) สาขา โฮมโปร พระราม 2</t>
  </si>
  <si>
    <t>0250489</t>
  </si>
  <si>
    <t>ธ. กรุงศรีอยุธยา จำกัด (มหาชน) สาขา โรงพยาบาลกรุงเทพสมุย</t>
  </si>
  <si>
    <t>0250490</t>
  </si>
  <si>
    <t>ธ. กรุงศรีอยุธยา จำกัด (มหาชน) สาขา โรบินสัน บางรัก</t>
  </si>
  <si>
    <t>0250491</t>
  </si>
  <si>
    <t>ธ. กรุงศรีอยุธยา จำกัด (มหาชน) สาขา แหลมฉบัง</t>
  </si>
  <si>
    <t>0250492</t>
  </si>
  <si>
    <t>ธ. กรุงศรีอยุธยา จำกัด (มหาชน) สาขา ตลาดมีนบุรี</t>
  </si>
  <si>
    <t>0250493</t>
  </si>
  <si>
    <t>ธ. กรุงศรีอยุธยา จำกัด (มหาชน) สาขา ไทยซัมมิท ทาวเวอร์</t>
  </si>
  <si>
    <t>0250494</t>
  </si>
  <si>
    <t>ธ. กรุงศรีอยุธยา จำกัด (มหาชน) สาขา เซ็นทรัล ปิ่นเกล้า</t>
  </si>
  <si>
    <t>0250495</t>
  </si>
  <si>
    <t>ธ. กรุงศรีอยุธยา จำกัด (มหาชน) สาขา ถนนเคหะร่มเกล้า</t>
  </si>
  <si>
    <t>0250496</t>
  </si>
  <si>
    <t>ธ. กรุงศรีอยุธยา จำกัด (มหาชน) สาขา บางเสาธง</t>
  </si>
  <si>
    <t>0250497</t>
  </si>
  <si>
    <t>ธ. กรุงศรีอยุธยา จำกัด (มหาชน) สาขา เทสโก้ โลตัส พัฒนาการ</t>
  </si>
  <si>
    <t>0250498</t>
  </si>
  <si>
    <t>ธ. กรุงศรีอยุธยา จำกัด (มหาชน) สาขา เทสโก้ โลตัส บางใหญ่</t>
  </si>
  <si>
    <t>0250499</t>
  </si>
  <si>
    <t>ธ. กรุงศรีอยุธยา จำกัด (มหาชน) สาขา ถนนนาใน ป่าตอง</t>
  </si>
  <si>
    <t>0250500</t>
  </si>
  <si>
    <t>ธ. กรุงศรีอยุธยา จำกัด (มหาชน) สาขา หาดเชิงมน</t>
  </si>
  <si>
    <t>0250501</t>
  </si>
  <si>
    <t>ธ. กรุงศรีอยุธยา จำกัด (มหาชน) สาขา ตลาดไท</t>
  </si>
  <si>
    <t>0250502</t>
  </si>
  <si>
    <t>ธ. กรุงศรีอยุธยา จำกัด (มหาชน) สาขา เทสโก้ โลตัส บ่อวิน</t>
  </si>
  <si>
    <t>0250503</t>
  </si>
  <si>
    <t>ธ. กรุงศรีอยุธยา จำกัด (มหาชน) สาขา ซิลลิค เฮ้าส์</t>
  </si>
  <si>
    <t>0250504</t>
  </si>
  <si>
    <t>ธ. กรุงศรีอยุธยา จำกัด (มหาชน) สาขา ถนนสุขุมวิท พัทยา</t>
  </si>
  <si>
    <t>0250505</t>
  </si>
  <si>
    <t>ธ. กรุงศรีอยุธยา จำกัด (มหาชน) สาขา คลองครุ สมุทรสาคร</t>
  </si>
  <si>
    <t>0250506</t>
  </si>
  <si>
    <t>ธ. กรุงศรีอยุธยา จำกัด (มหาชน) สาขา ถนนเมืองใหม่บางพลี 2</t>
  </si>
  <si>
    <t>0250507</t>
  </si>
  <si>
    <t>ธ. กรุงศรีอยุธยา จำกัด (มหาชน) สาขา สถาบันเทคโนโลยีพระจอมเกล้าเจ้าคุณทห</t>
  </si>
  <si>
    <t>0250508</t>
  </si>
  <si>
    <t>ธ. กรุงศรีอยุธยา จำกัด (มหาชน) สาขา ย่อย ปตท. สีคิ้ว</t>
  </si>
  <si>
    <t>0250509</t>
  </si>
  <si>
    <t>ธ. กรุงศรีอยุธยา จำกัด (มหาชน) สาขา ปตท. ลาดหลุมแก้ว</t>
  </si>
  <si>
    <t>0250510</t>
  </si>
  <si>
    <t>ธ. กรุงศรีอยุธยา จำกัด (มหาชน) สาขา เขตอุตสาหกรรมกบินทร์บุรี</t>
  </si>
  <si>
    <t>0250511</t>
  </si>
  <si>
    <t>ธ. กรุงศรีอยุธยา จำกัด (มหาชน) สาขา เซ็นทรัลเวิลด์</t>
  </si>
  <si>
    <t>0250512</t>
  </si>
  <si>
    <t>ธ. กรุงศรีอยุธยา จำกัด (มหาชน) สาขา คิวเฮ้าส์ คอนแวนต์</t>
  </si>
  <si>
    <t>0250513</t>
  </si>
  <si>
    <t>ธ. กรุงศรีอยุธยา จำกัด (มหาชน) สาขา เขตส่งเสริมอุตสาหกรรมนวนคร</t>
  </si>
  <si>
    <t>0250514</t>
  </si>
  <si>
    <t>ธ. กรุงศรีอยุธยา จำกัด (มหาชน) สาขา นิคมอุตสาหกรรมภาคเหนือ (ลำพูน)</t>
  </si>
  <si>
    <t>0250515</t>
  </si>
  <si>
    <t>ธ. กรุงศรีอยุธยา จำกัด (มหาชน) สาขา สวนอุตสาหกรรมเครือสหพัฒน์ ศรีราชา</t>
  </si>
  <si>
    <t>0250516</t>
  </si>
  <si>
    <t>ธ. กรุงศรีอยุธยา จำกัด (มหาชน) สาขา โฮมโปร ราชพฤกษ์</t>
  </si>
  <si>
    <t>0250517</t>
  </si>
  <si>
    <t>ธ. กรุงศรีอยุธยา จำกัด (มหาชน) สาขา ย่อยท่าอากาศยานกรุงเทพ</t>
  </si>
  <si>
    <t>0250518</t>
  </si>
  <si>
    <t>ธ. กรุงศรีอยุธยา จำกัด (มหาชน) สาขา โฮมโปร บางนา</t>
  </si>
  <si>
    <t>0250519</t>
  </si>
  <si>
    <t>ธ. กรุงศรีอยุธยา จำกัด (มหาชน) สาขา เนติบัณฑิตยสภา</t>
  </si>
  <si>
    <t>0250520</t>
  </si>
  <si>
    <t>ธ. กรุงศรีอยุธยา จำกัด (มหาชน) สาขา นิคมอุตสาหกรรมอีสเทิร์นซีบอร์ด 2</t>
  </si>
  <si>
    <t>0250521</t>
  </si>
  <si>
    <t>ธ. กรุงศรีอยุธยา จำกัด (มหาชน) สาขา โฮมโปร รามคำแหง</t>
  </si>
  <si>
    <t>0250522</t>
  </si>
  <si>
    <t>ธ. กรุงศรีอยุธยา จำกัด (มหาชน) สาขา ท็อปส์ พระราม 3</t>
  </si>
  <si>
    <t>0250523</t>
  </si>
  <si>
    <t>ธ. กรุงศรีอยุธยา จำกัด (มหาชน) สาขา ย่อยท็อปส์ริเวอร์พลาซ่า</t>
  </si>
  <si>
    <t>0250524</t>
  </si>
  <si>
    <t>ธ. กรุงศรีอยุธยา จำกัด (มหาชน) สาขา ปตท. กุยบุรี</t>
  </si>
  <si>
    <t>0250525</t>
  </si>
  <si>
    <t>ธ. กรุงศรีอยุธยา จำกัด (มหาชน) สาขา  ปตท. ถนนรามอินทรา กม.11</t>
  </si>
  <si>
    <t>0250526</t>
  </si>
  <si>
    <t>ธ. กรุงศรีอยุธยา จำกัด (มหาชน) สาขา บิ๊กซี แจ้งวัฒนะ 2</t>
  </si>
  <si>
    <t>0250527</t>
  </si>
  <si>
    <t>ธ. กรุงศรีอยุธยา จำกัด (มหาชน) สาขา เซ็นจูรี่ พลาซ่า</t>
  </si>
  <si>
    <t>0250528</t>
  </si>
  <si>
    <t>ธ. กรุงศรีอยุธยา จำกัด (มหาชน) สาขา เซ็นทรัล รัตนาธิเบศร์</t>
  </si>
  <si>
    <t>0250529</t>
  </si>
  <si>
    <t>ธ. กรุงศรีอยุธยา จำกัด (มหาชน) สาขา นิคมอุตสาหกรรมอัญธานี</t>
  </si>
  <si>
    <t>0250530</t>
  </si>
  <si>
    <t>ธ. กรุงศรีอยุธยา จำกัด (มหาชน) สาขา เซ็นทรัล แอร์พอร์ต เชียงใหม่</t>
  </si>
  <si>
    <t>0250531</t>
  </si>
  <si>
    <t>ธ. กรุงศรีอยุธยา จำกัด (มหาชน) สาขา สยามพารากอน</t>
  </si>
  <si>
    <t>0250532</t>
  </si>
  <si>
    <t>ธ. กรุงศรีอยุธยา จำกัด (มหาชน) สาขา บิ๊กซี กัลปพฤกษ์</t>
  </si>
  <si>
    <t>0250533</t>
  </si>
  <si>
    <t>ธ. กรุงศรีอยุธยา จำกัด (มหาชน) สาขา  ปตท. ถนนราชพฤกษ์</t>
  </si>
  <si>
    <t>0250534</t>
  </si>
  <si>
    <t>ธ. กรุงศรีอยุธยา จำกัด (มหาชน) สาขา เกาะพะงัน</t>
  </si>
  <si>
    <t>0250535</t>
  </si>
  <si>
    <t>ธ. กรุงศรีอยุธยา จำกัด (มหาชน) สาขา บ่อผุด</t>
  </si>
  <si>
    <t>0250536</t>
  </si>
  <si>
    <t>ธ. กรุงศรีอยุธยา จำกัด (มหาชน) สาขา บางพูน</t>
  </si>
  <si>
    <t>0250537</t>
  </si>
  <si>
    <t>ธ. กรุงศรีอยุธยา จำกัด (มหาชน) สาขา  ปตท.สุขุมวิท 62</t>
  </si>
  <si>
    <t>0250538</t>
  </si>
  <si>
    <t>ธ. กรุงศรีอยุธยา จำกัด (มหาชน) สาขา ปตท.ถนนพุทธมณฑลสาย 4</t>
  </si>
  <si>
    <t>0250539</t>
  </si>
  <si>
    <t>ธ. กรุงศรีอยุธยา จำกัด (มหาชน) สาขา  คิวเฮ้าส์ ลุมพินี</t>
  </si>
  <si>
    <t>0250540</t>
  </si>
  <si>
    <t>ธ. กรุงศรีอยุธยา จำกัด (มหาชน) สาขา ปตท.ถนนฉลองกรุง</t>
  </si>
  <si>
    <t>0250541</t>
  </si>
  <si>
    <t>ธ. กรุงศรีอยุธยา จำกัด (มหาชน) สาขา  โรงพยาบาลกรุงเทพพัทยา</t>
  </si>
  <si>
    <t>0250542</t>
  </si>
  <si>
    <t>ธ. กรุงศรีอยุธยา จำกัด (มหาชน) สาขา นิคมอุตสาหกรรมปิ่นทอง</t>
  </si>
  <si>
    <t>0250543</t>
  </si>
  <si>
    <t>ธ. กรุงศรีอยุธยา จำกัด (มหาชน) สาขา ย่อยเมเจอร์ ฮอลลีวูด แจ้งวัฒนะ</t>
  </si>
  <si>
    <t>0250544</t>
  </si>
  <si>
    <t>ธ. กรุงศรีอยุธยา จำกัด (มหาชน) สาขา  มหาวิทยาลัยเทคโนโลยีราชมงคลกรุงเทพ</t>
  </si>
  <si>
    <t>0250545</t>
  </si>
  <si>
    <t>ธ. กรุงศรีอยุธยา จำกัด (มหาชน) สาขา เทสโก้ โลตัส รังสิต คลอง 7</t>
  </si>
  <si>
    <t>0250546</t>
  </si>
  <si>
    <t>ธ. กรุงศรีอยุธยา จำกัด (มหาชน) สาขา ย่อย อินเด็กซ์ลิฟวิ่งมอลล์ บางใหญ่</t>
  </si>
  <si>
    <t>0250547</t>
  </si>
  <si>
    <t>ธ. กรุงศรีอยุธยา จำกัด (มหาชน) สาขา ถนนปฏัก (กะรน)</t>
  </si>
  <si>
    <t>0250548</t>
  </si>
  <si>
    <t>ธ. กรุงศรีอยุธยา จำกัด (มหาชน) สาขา  ปตท.ถนนลาดปลาเค้า</t>
  </si>
  <si>
    <t>0250549</t>
  </si>
  <si>
    <t>ธ. กรุงศรีอยุธยา จำกัด (มหาชน) สาขา ซอยบุญสัมพันธ์ พัทยา</t>
  </si>
  <si>
    <t>0250550</t>
  </si>
  <si>
    <t>ธ. กรุงศรีอยุธยา จำกัด (มหาชน) สาขา  ซอยบัวขาว พัทยา</t>
  </si>
  <si>
    <t>0250551</t>
  </si>
  <si>
    <t>ธ. กรุงศรีอยุธยา จำกัด (มหาชน) สาขา  ปตท. ถนนเกษตร-นวมินทร์</t>
  </si>
  <si>
    <t>0250552</t>
  </si>
  <si>
    <t>ธ. กรุงศรีอยุธยา จำกัด (มหาชน) สาขา  ซอยนาเกลือ 16 พัทยา</t>
  </si>
  <si>
    <t>0250553</t>
  </si>
  <si>
    <t>ธ. กรุงศรีอยุธยา จำกัด (มหาชน) สาขา ดอนหัวฬอ (อมตะนคร ชลบุรี)</t>
  </si>
  <si>
    <t>0250554</t>
  </si>
  <si>
    <t>ธ. กรุงศรีอยุธยา จำกัด (มหาชน) สาขา เกาะโพธิ์ ชลบุรี</t>
  </si>
  <si>
    <t>0250555</t>
  </si>
  <si>
    <t>ธ. กรุงศรีอยุธยา จำกัด (มหาชน) สาขา  ปตท. ถนนเอกชัย</t>
  </si>
  <si>
    <t>0250556</t>
  </si>
  <si>
    <t>ธ. กรุงศรีอยุธยา จำกัด (มหาชน) สาขา ย่อย โฮมโปร พิษณุโลก</t>
  </si>
  <si>
    <t>0250557</t>
  </si>
  <si>
    <t>ธ. กรุงศรีอยุธยา จำกัด (มหาชน) สาขา ย่อยเอสเอฟวังหิน</t>
  </si>
  <si>
    <t>0250558</t>
  </si>
  <si>
    <t>ธ. กรุงศรีอยุธยา จำกัด (มหาชน) สาขา  ปตท.ถนนสุรนารายณ์ นครราชสีมา</t>
  </si>
  <si>
    <t>0250559</t>
  </si>
  <si>
    <t>ธ. กรุงศรีอยุธยา จำกัด (มหาชน) สาขา  ปตท.ถนนเทพารักษ์</t>
  </si>
  <si>
    <t>0250560</t>
  </si>
  <si>
    <t>ธ. กรุงศรีอยุธยา จำกัด (มหาชน) สาขา ถนนเฉลิมพระเกียรติ (พัทยาสาย 3)</t>
  </si>
  <si>
    <t>0250562</t>
  </si>
  <si>
    <t>ธ. กรุงศรีอยุธยา จำกัด (มหาชน) สาขา เทสโก้ โลตัส วารินชำราบ</t>
  </si>
  <si>
    <t>0250563</t>
  </si>
  <si>
    <t>ธ. กรุงศรีอยุธยา จำกัด (มหาชน) สาขา  ปตท.ถนนเทพกระษัตรี ภูเก็ต</t>
  </si>
  <si>
    <t>0250564</t>
  </si>
  <si>
    <t>ธ. กรุงศรีอยุธยา จำกัด (มหาชน) สาขา เทสโก้ โลตัส ขอนแก่น</t>
  </si>
  <si>
    <t>0250565</t>
  </si>
  <si>
    <t>ธ. กรุงศรีอยุธยา จำกัด (มหาชน) สาขา ย่อย ปตท.โค้งวิไล คลองขลุง</t>
  </si>
  <si>
    <t>0250566</t>
  </si>
  <si>
    <t>ธ. กรุงศรีอยุธยา จำกัด (มหาชน) สาขา ย่อย ปตท.ถนนศรีนครินทร์</t>
  </si>
  <si>
    <t>0250567</t>
  </si>
  <si>
    <t>ธ. กรุงศรีอยุธยา จำกัด (มหาชน) สาขา  ม.ศิลปากร (วิทยาเขตสนามจันทร์)</t>
  </si>
  <si>
    <t>0250568</t>
  </si>
  <si>
    <t>ธ. กรุงศรีอยุธยา จำกัด (มหาชน) สาขา  ปตท. ทางด่วนบางนา (ขาออก)</t>
  </si>
  <si>
    <t>0250569</t>
  </si>
  <si>
    <t>ธ. กรุงศรีอยุธยา จำกัด (มหาชน) สาขา ย่อย ปตท.คลังน้ำมันพระโขนง</t>
  </si>
  <si>
    <t>0250570</t>
  </si>
  <si>
    <t>ธ. กรุงศรีอยุธยา จำกัด (มหาชน) สาขา ถนนพระยาสัจจา ชลบุรี</t>
  </si>
  <si>
    <t>0250571</t>
  </si>
  <si>
    <t>ธ. กรุงศรีอยุธยา จำกัด (มหาชน) สาขา ศูนย์ปฏิบัติการ บมจ.การบินไทย</t>
  </si>
  <si>
    <t>0250572</t>
  </si>
  <si>
    <t>ธ. กรุงศรีอยุธยา จำกัด (มหาชน) สาขา ท่าอากาศยานสุวรรณภูมิ-สถานีรถโดยสาร</t>
  </si>
  <si>
    <t>0250573</t>
  </si>
  <si>
    <t>ธ. กรุงศรีอยุธยา จำกัด (มหาชน) สาขา  บ้านใสยวน (ราไวย์)</t>
  </si>
  <si>
    <t>0250574</t>
  </si>
  <si>
    <t>ธ. กรุงศรีอยุธยา จำกัด (มหาชน) สาขา  ปตท.ถนนติวานนท์</t>
  </si>
  <si>
    <t>0250575</t>
  </si>
  <si>
    <t>ธ. กรุงศรีอยุธยา จำกัด (มหาชน) สาขา  โฮมโปร ขอนแก่น</t>
  </si>
  <si>
    <t>0250576</t>
  </si>
  <si>
    <t>ธ. กรุงศรีอยุธยา จำกัด (มหาชน) สาขา ย่อยมหาวิทยาลัยราชภัฎภูเก็ต</t>
  </si>
  <si>
    <t>0250577</t>
  </si>
  <si>
    <t>ธ. กรุงศรีอยุธยา จำกัด (มหาชน) สาขา โฮมโปร อุดรธานี</t>
  </si>
  <si>
    <t>0250578</t>
  </si>
  <si>
    <t>ธ. กรุงศรีอยุธยา จำกัด (มหาชน) สาขา ย่อย ปตท.ถนนกรุงเทพ-นนทบุรี</t>
  </si>
  <si>
    <t>0250579</t>
  </si>
  <si>
    <t>ธ. กรุงศรีอยุธยา จำกัด (มหาชน) สาขา บ้านโพธิ์ ฉะเชิงเทรา</t>
  </si>
  <si>
    <t>0250580</t>
  </si>
  <si>
    <t>ธ. กรุงศรีอยุธยา จำกัด (มหาชน) สาขา หัวหิน มาร์เก็ต วิลเลจ</t>
  </si>
  <si>
    <t>0250581</t>
  </si>
  <si>
    <t>ธ. กรุงศรีอยุธยา จำกัด (มหาชน) สาขา  ปาย</t>
  </si>
  <si>
    <t>0250582</t>
  </si>
  <si>
    <t>ธ. กรุงศรีอยุธยา จำกัด (มหาชน) สาขา ถนนกลางเมือง ขอนแก่น</t>
  </si>
  <si>
    <t>0250583</t>
  </si>
  <si>
    <t>ธ. กรุงศรีอยุธยา จำกัด (มหาชน) สาขา ย่อย ปตท.หนองแขม</t>
  </si>
  <si>
    <t>0250584</t>
  </si>
  <si>
    <t>ธ. กรุงศรีอยุธยา จำกัด (มหาชน) สาขา เอสพละนาด รัชดา</t>
  </si>
  <si>
    <t>0250585</t>
  </si>
  <si>
    <t>ธ. กรุงศรีอยุธยา จำกัด (มหาชน) สาขา ย่อยเทสโก้ โลตัส วัชรพล</t>
  </si>
  <si>
    <t>0250586</t>
  </si>
  <si>
    <t>ธ. กรุงศรีอยุธยา จำกัด (มหาชน) สาขา เพชรเกษม อเวนิว</t>
  </si>
  <si>
    <t>0250587</t>
  </si>
  <si>
    <t>ธ. กรุงศรีอยุธยา จำกัด (มหาชน) สาขา  เจ เจ มอลล์</t>
  </si>
  <si>
    <t>0250588</t>
  </si>
  <si>
    <t>ธ. กรุงศรีอยุธยา จำกัด (มหาชน) สาขา ศูนย์ซ่อมบำรุงอากาศยานบมจ.การบินไทย</t>
  </si>
  <si>
    <t>0250589</t>
  </si>
  <si>
    <t>ธ. กรุงศรีอยุธยา จำกัด (มหาชน) สาขา ท่าอากาศยานสุวรรณภูมิ (เขตปลอดอากร)</t>
  </si>
  <si>
    <t>0250590</t>
  </si>
  <si>
    <t>ธ. กรุงศรีอยุธยา จำกัด (มหาชน) สาขา ย่อย ปตท. ปาย</t>
  </si>
  <si>
    <t>0250591</t>
  </si>
  <si>
    <t>ธ. กรุงศรีอยุธยา จำกัด (มหาชน) สาขา  ปตท. ริมกก เชียงราย</t>
  </si>
  <si>
    <t>0250592</t>
  </si>
  <si>
    <t>ธ. กรุงศรีอยุธยา จำกัด (มหาชน) สาขา พัฒนานิคม ซอย 12 (ลพบุรี)</t>
  </si>
  <si>
    <t>0250593</t>
  </si>
  <si>
    <t>ธ. กรุงศรีอยุธยา จำกัด (มหาชน) สาขา  ปตท. ถนนเทพประสิทธิ์ พัทยา</t>
  </si>
  <si>
    <t>0250594</t>
  </si>
  <si>
    <t>ธ. กรุงศรีอยุธยา จำกัด (มหาชน) สาขา ออลซีซั่นส์เพลส</t>
  </si>
  <si>
    <t>0250595</t>
  </si>
  <si>
    <t>ธ. กรุงศรีอยุธยา จำกัด (มหาชน) สาขา สุขุมวิท31</t>
  </si>
  <si>
    <t>0250596</t>
  </si>
  <si>
    <t>ธ. กรุงศรีอยุธยา จำกัด (มหาชน) สาขา มหาวิทยาลัยหัวเฉียวเฉลิมพระเกียรติ</t>
  </si>
  <si>
    <t>0250597</t>
  </si>
  <si>
    <t>ธ. กรุงศรีอยุธยา จำกัด (มหาชน) สาขา โฮมโปร เพชรเกษม</t>
  </si>
  <si>
    <t>0250598</t>
  </si>
  <si>
    <t>ธ. กรุงศรีอยุธยา จำกัด (มหาชน) สาขา อิมพีเรียล เวิลด์ สำโรง</t>
  </si>
  <si>
    <t>0250599</t>
  </si>
  <si>
    <t>ธ. กรุงศรีอยุธยา จำกัด (มหาชน) สาขา โรบินสัน ศรีราชา</t>
  </si>
  <si>
    <t>0250600</t>
  </si>
  <si>
    <t>ธ. กรุงศรีอยุธยา จำกัด (มหาชน) สาขา ย่อยประชานิเวศน์ 3</t>
  </si>
  <si>
    <t>0250601</t>
  </si>
  <si>
    <t>ธ. กรุงศรีอยุธยา จำกัด (มหาชน) สาขา หมู่บ้านนักกีฬาแหลมทอง</t>
  </si>
  <si>
    <t>0250602</t>
  </si>
  <si>
    <t>ธ. กรุงศรีอยุธยา จำกัด (มหาชน) สาขา โฮมโปร ชลบุรี</t>
  </si>
  <si>
    <t>0250603</t>
  </si>
  <si>
    <t>ธ. กรุงศรีอยุธยา จำกัด (มหาชน) สาขา ย่อย ปตท. ถนนบางนา-ตราด กม.14</t>
  </si>
  <si>
    <t>0250604</t>
  </si>
  <si>
    <t>ธ. กรุงศรีอยุธยา จำกัด (มหาชน) สาขา ตลาดเซฟวัน นครราชสีมา</t>
  </si>
  <si>
    <t>0250605</t>
  </si>
  <si>
    <t>ธ. กรุงศรีอยุธยา จำกัด (มหาชน) สาขา ถนนพุทธมณฑล สาย 5</t>
  </si>
  <si>
    <t>0250606</t>
  </si>
  <si>
    <t>ธ. กรุงศรีอยุธยา จำกัด (มหาชน) สาขา จังซีลอน ภูเก็ต</t>
  </si>
  <si>
    <t>0250607</t>
  </si>
  <si>
    <t>ธ. กรุงศรีอยุธยา จำกัด (มหาชน) สาขา  ดิ อเวนิว แจ้งวัฒนะ</t>
  </si>
  <si>
    <t>0250608</t>
  </si>
  <si>
    <t>ธ. กรุงศรีอยุธยา จำกัด (มหาชน) สาขา ดิ อเวนิว พัทยา</t>
  </si>
  <si>
    <t>0250609</t>
  </si>
  <si>
    <t>ธ. กรุงศรีอยุธยา จำกัด (มหาชน) สาขา ถนนพระบารมี ภูเก็ต</t>
  </si>
  <si>
    <t>0250610</t>
  </si>
  <si>
    <t>ธ. กรุงศรีอยุธยา จำกัด (มหาชน) สาขา ถนนเทพารักษ์ กม.22.5 (เยส บางพลี)</t>
  </si>
  <si>
    <t>0250611</t>
  </si>
  <si>
    <t>ธ. กรุงศรีอยุธยา จำกัด (มหาชน) สาขา ป่าคลอก ภูเก็ต</t>
  </si>
  <si>
    <t>0250612</t>
  </si>
  <si>
    <t>ธ. กรุงศรีอยุธยา จำกัด (มหาชน) สาขา  ถนนเจ้าฟ้าตะวันออก ภูเก็ต</t>
  </si>
  <si>
    <t>0250613</t>
  </si>
  <si>
    <t>ธ. กรุงศรีอยุธยา จำกัด (มหาชน) สาขา ถนนวิรัชหงษ์หยก ภูเก็ต</t>
  </si>
  <si>
    <t>0250614</t>
  </si>
  <si>
    <t>ธ. กรุงศรีอยุธยา จำกัด (มหาชน) สาขา เทสโก้ โลตัส ศาลายา</t>
  </si>
  <si>
    <t>0250615</t>
  </si>
  <si>
    <t>ธ. กรุงศรีอยุธยา จำกัด (มหาชน) สาขา  ปตท. ถนนเสรีไทย</t>
  </si>
  <si>
    <t>0250616</t>
  </si>
  <si>
    <t>ธ. กรุงศรีอยุธยา จำกัด (มหาชน) สาขา ซอยเขาตาโล พัทยา</t>
  </si>
  <si>
    <t>0250617</t>
  </si>
  <si>
    <t>ธ. กรุงศรีอยุธยา จำกัด (มหาชน) สาขา  ปตท. ถนนวิภาวดีรังสิต 32</t>
  </si>
  <si>
    <t>0250618</t>
  </si>
  <si>
    <t>ธ. กรุงศรีอยุธยา จำกัด (มหาชน) สาขา ปตท. ราชพฤกษ์ - รัตนาธิเบศร์</t>
  </si>
  <si>
    <t>0250619</t>
  </si>
  <si>
    <t>ธ. กรุงศรีอยุธยา จำกัด (มหาชน) สาขา เซ็นทรัล เฟสติวัล อีสวิลล์</t>
  </si>
  <si>
    <t>0250620</t>
  </si>
  <si>
    <t>ธ. กรุงศรีอยุธยา จำกัด (มหาชน) สาขา แหลมทอง บางแสน</t>
  </si>
  <si>
    <t>0250621</t>
  </si>
  <si>
    <t>ธ. กรุงศรีอยุธยา จำกัด (มหาชน) สาขา เซ็นทรัล เฟสติวัล สมุย</t>
  </si>
  <si>
    <t>0250622</t>
  </si>
  <si>
    <t>ธ. กรุงศรีอยุธยา จำกัด (มหาชน) สาขา บิ๊กซี อยุธยา</t>
  </si>
  <si>
    <t>0250623</t>
  </si>
  <si>
    <t>ธ. กรุงศรีอยุธยา จำกัด (มหาชน) สาขา  ปตท. ทางด่วนบางนา (ขาเข้า)</t>
  </si>
  <si>
    <t>0250624</t>
  </si>
  <si>
    <t>ธ. กรุงศรีอยุธยา จำกัด (มหาชน) สาขา ถนนอัสสัมชัญ ศรีราชา</t>
  </si>
  <si>
    <t>0250625</t>
  </si>
  <si>
    <t>ธ. กรุงศรีอยุธยา จำกัด (มหาชน) สาขา ศูนย์ราชการเฉลิมพระเกียรติ(อาคาร B)</t>
  </si>
  <si>
    <t>0250626</t>
  </si>
  <si>
    <t>ธ. กรุงศรีอยุธยา จำกัด (มหาชน) สาขา เซ็นทรัล แจ้งวัฒนะ</t>
  </si>
  <si>
    <t>0250627</t>
  </si>
  <si>
    <t>ธ. กรุงศรีอยุธยา จำกัด (มหาชน) สาขา เอสพละนาด รัชดา 2</t>
  </si>
  <si>
    <t>0250628</t>
  </si>
  <si>
    <t>ธ. กรุงศรีอยุธยา จำกัด (มหาชน) สาขา เซ็นทรัล เฟสติวัล พัทยา บีช</t>
  </si>
  <si>
    <t>0250629</t>
  </si>
  <si>
    <t>ธ. กรุงศรีอยุธยา จำกัด (มหาชน) สาขา ฮาร์เบอร์ มอลล์ แหลมฉบัง</t>
  </si>
  <si>
    <t>0250630</t>
  </si>
  <si>
    <t>ธ. กรุงศรีอยุธยา จำกัด (มหาชน) สาขา โรงพยาบาลกรุงเทพราชสีมา</t>
  </si>
  <si>
    <t>0250631</t>
  </si>
  <si>
    <t>ธ. กรุงศรีอยุธยา จำกัด (มหาชน) สาขา เซ็นทรัล ชลบุรี</t>
  </si>
  <si>
    <t>0250632</t>
  </si>
  <si>
    <t>ธ. กรุงศรีอยุธยา จำกัด (มหาชน) สาขา นิชดาธานี</t>
  </si>
  <si>
    <t>0250633</t>
  </si>
  <si>
    <t>ธ. กรุงศรีอยุธยา จำกัด (มหาชน) สาขา สุนีย์ทาวเวอร์ อุบลราชธานี</t>
  </si>
  <si>
    <t>0250634</t>
  </si>
  <si>
    <t>ธ. กรุงศรีอยุธยา จำกัด (มหาชน) สาขา เทอร์มินอล 21 โคราช</t>
  </si>
  <si>
    <t>0250635</t>
  </si>
  <si>
    <t>ธ. กรุงศรีอยุธยา จำกัด (มหาชน) สาขา สหไทย การ์เด้นท์ พลาซ่า สุราษฎร์ธาน</t>
  </si>
  <si>
    <t>0250636</t>
  </si>
  <si>
    <t>ธ. กรุงศรีอยุธยา จำกัด (มหาชน) สาขา ถนนพังงา ภูเก็ต</t>
  </si>
  <si>
    <t>0250637</t>
  </si>
  <si>
    <t>ธ. กรุงศรีอยุธยา จำกัด (มหาชน) สาขา ถนนวิภาวดีรังสิต (ดอนเมือง)</t>
  </si>
  <si>
    <t>0250638</t>
  </si>
  <si>
    <t>0250639</t>
  </si>
  <si>
    <t>ธ. กรุงศรีอยุธยา จำกัด (มหาชน) สาขา ลาดพร้าว 101</t>
  </si>
  <si>
    <t>0250640</t>
  </si>
  <si>
    <t>ธ. กรุงศรีอยุธยา จำกัด (มหาชน) สาขา ปตท.ถนนกาญจนาภิเษก 2</t>
  </si>
  <si>
    <t>0250641</t>
  </si>
  <si>
    <t>ธ. กรุงศรีอยุธยา จำกัด (มหาชน) สาขา ซอยมังกร สมุทรปราการ</t>
  </si>
  <si>
    <t>0250642</t>
  </si>
  <si>
    <t>ธ. กรุงศรีอยุธยา จำกัด (มหาชน) สาขา เซ็นทรัล พลาซา ขอนแก่น</t>
  </si>
  <si>
    <t>0250643</t>
  </si>
  <si>
    <t>ธ. กรุงศรีอยุธยา จำกัด (มหาชน) สาขา ทองหล่อ (ซัมเมอร์เซ็ท สุขุมวิท)</t>
  </si>
  <si>
    <t>0250644</t>
  </si>
  <si>
    <t>ธ. กรุงศรีอยุธยา จำกัด (มหาชน) สาขา เอนเนอร์ยี่ คอมเพล็กซ์</t>
  </si>
  <si>
    <t>0250645</t>
  </si>
  <si>
    <t>ธ. กรุงศรีอยุธยา จำกัด (มหาชน) สาขา หาดจอมเทียน (โค้งดงตาล)</t>
  </si>
  <si>
    <t>0250646</t>
  </si>
  <si>
    <t>ธ. กรุงศรีอยุธยา จำกัด (มหาชน) สาขา โอเดียนแฟชั่นมอลล์ หาดใหญ่</t>
  </si>
  <si>
    <t>0250647</t>
  </si>
  <si>
    <t>ธ. กรุงศรีอยุธยา จำกัด (มหาชน) สาขา สหไทยพลาซ่า ทุ่งสง</t>
  </si>
  <si>
    <t>0250648</t>
  </si>
  <si>
    <t>ธ. กรุงศรีอยุธยา จำกัด (มหาชน) สาขา ถนนบางนา-ตราด (บางนา ทาวเวอร์)</t>
  </si>
  <si>
    <t>0250649</t>
  </si>
  <si>
    <t>ธ. กรุงศรีอยุธยา จำกัด (มหาชน) สาขา บิ๊กซี พระราม 4</t>
  </si>
  <si>
    <t>0250650</t>
  </si>
  <si>
    <t>ธ. กรุงศรีอยุธยา จำกัด (มหาชน) สาขา เดอะมอลล์ นครราชสีมา</t>
  </si>
  <si>
    <t>0250651</t>
  </si>
  <si>
    <t>ธ. กรุงศรีอยุธยา จำกัด (มหาชน) สาขา ถนนเอกชัย โพธิ์แจ้</t>
  </si>
  <si>
    <t>0250652</t>
  </si>
  <si>
    <t>ธ. กรุงศรีอยุธยา จำกัด (มหาชน) สาขา เทสโก้ โลตัส คำเที่ยง เชียงใหม่</t>
  </si>
  <si>
    <t>0250653</t>
  </si>
  <si>
    <t>ธ. กรุงศรีอยุธยา จำกัด (มหาชน) สาขา โบ๊เบ๊</t>
  </si>
  <si>
    <t>0250654</t>
  </si>
  <si>
    <t>ธ. กรุงศรีอยุธยา จำกัด (มหาชน) สาขา เทสโก้ โลตัส อรัญประเทศ</t>
  </si>
  <si>
    <t>0250655</t>
  </si>
  <si>
    <t>ธ. กรุงศรีอยุธยา จำกัด (มหาชน) สาขา โรบินสัน ตรัง</t>
  </si>
  <si>
    <t>0250656</t>
  </si>
  <si>
    <t>ธ. กรุงศรีอยุธยา จำกัด (มหาชน) สาขา จามจุรี สแควร์</t>
  </si>
  <si>
    <t>0250657</t>
  </si>
  <si>
    <t>ธ. กรุงศรีอยุธยา จำกัด (มหาชน) สาขา ถนนโรจนะ (อยุธยา)</t>
  </si>
  <si>
    <t>0250658</t>
  </si>
  <si>
    <t>ธ. กรุงศรีอยุธยา จำกัด (มหาชน) สาขา เทสโก้ โลตัส ชุมพร</t>
  </si>
  <si>
    <t>0250659</t>
  </si>
  <si>
    <t>ธ. กรุงศรีอยุธยา จำกัด (มหาชน) สาขา ซีคอน สแควร์</t>
  </si>
  <si>
    <t>0250660</t>
  </si>
  <si>
    <t>ธ. กรุงศรีอยุธยา จำกัด (มหาชน) สาขา เซ็นทรัลพลาซา เชียงราย</t>
  </si>
  <si>
    <t>0250661</t>
  </si>
  <si>
    <t>ธ. กรุงศรีอยุธยา จำกัด (มหาชน) สาขา บิ๊กซี หาดใหญ่</t>
  </si>
  <si>
    <t>0250662</t>
  </si>
  <si>
    <t>ธ. กรุงศรีอยุธยา จำกัด (มหาชน) สาขา สีลม</t>
  </si>
  <si>
    <t>0250663</t>
  </si>
  <si>
    <t>ธ. กรุงศรีอยุธยา จำกัด (มหาชน) สาขา ป่าพะยอม พัทลุง</t>
  </si>
  <si>
    <t>0250664</t>
  </si>
  <si>
    <t>ธ. กรุงศรีอยุธยา จำกัด (มหาชน) สาขา ถนนมหาราช กระบี่</t>
  </si>
  <si>
    <t>0250665</t>
  </si>
  <si>
    <t>ธ. กรุงศรีอยุธยา จำกัด (มหาชน) สาขา เทสโก้ โลตัส หาดใหญ่ใน</t>
  </si>
  <si>
    <t>0250666</t>
  </si>
  <si>
    <t>ธ. กรุงศรีอยุธยา จำกัด (มหาชน) สาขา เทสโก้ โลตัส ถลาง ภูเก็ต</t>
  </si>
  <si>
    <t>0250667</t>
  </si>
  <si>
    <t>ธ. กรุงศรีอยุธยา จำกัด (มหาชน) สาขา สุขุมวิท 15</t>
  </si>
  <si>
    <t>0250668</t>
  </si>
  <si>
    <t>ธ. กรุงศรีอยุธยา จำกัด (มหาชน) สาขา เซ็นทรัลพลาซา พิษณุโลก</t>
  </si>
  <si>
    <t>0250669</t>
  </si>
  <si>
    <t>ธ. กรุงศรีอยุธยา จำกัด (มหาชน) สาขา ตลาดรังสิต</t>
  </si>
  <si>
    <t>0250670</t>
  </si>
  <si>
    <t>ธ. กรุงศรีอยุธยา จำกัด (มหาชน) สาขา เซ็นทรัลพลาซา แกรนด์ พระราม 9</t>
  </si>
  <si>
    <t>0250671</t>
  </si>
  <si>
    <t>ธ. กรุงศรีอยุธยา จำกัด (มหาชน) สาขา บิ๊กซี จันทบุรี</t>
  </si>
  <si>
    <t>0250672</t>
  </si>
  <si>
    <t>ธ. กรุงศรีอยุธยา จำกัด (มหาชน) สาขา วังวิเศษ ตรัง</t>
  </si>
  <si>
    <t>0250673</t>
  </si>
  <si>
    <t>ธ. กรุงศรีอยุธยา จำกัด (มหาชน) สาขา เดอะ คริสตัล</t>
  </si>
  <si>
    <t>0250674</t>
  </si>
  <si>
    <t>ธ. กรุงศรีอยุธยา จำกัด (มหาชน) สาขา เทสโก้ โลตัส คลองท่อม กระบี่</t>
  </si>
  <si>
    <t>0250675</t>
  </si>
  <si>
    <t>ธ. กรุงศรีอยุธยา จำกัด (มหาชน) สาขา บึงกาฬ</t>
  </si>
  <si>
    <t>0250676</t>
  </si>
  <si>
    <t>ธ. กรุงศรีอยุธยา จำกัด (มหาชน) สาขา กันทรลักษ์</t>
  </si>
  <si>
    <t>0250677</t>
  </si>
  <si>
    <t>ธ. กรุงศรีอยุธยา จำกัด (มหาชน) สาขา เอ็กเชน ทาวเวอร์</t>
  </si>
  <si>
    <t>0250678</t>
  </si>
  <si>
    <t>ธ. กรุงศรีอยุธยา จำกัด (มหาชน) สาขา เทสโก้ โลตัส ลำทับ กระบี่</t>
  </si>
  <si>
    <t>0250679</t>
  </si>
  <si>
    <t>ธ. กรุงศรีอยุธยา จำกัด (มหาชน) สาขา สาทร สแควร์</t>
  </si>
  <si>
    <t>0250680</t>
  </si>
  <si>
    <t>ธ. กรุงศรีอยุธยา จำกัด (มหาชน) สาขา โรบินสัน สุพรรณบุรี</t>
  </si>
  <si>
    <t>0250681</t>
  </si>
  <si>
    <t>ธ. กรุงศรีอยุธยา จำกัด (มหาชน) สาขา บิ๊กซี นครปฐม</t>
  </si>
  <si>
    <t>0250682</t>
  </si>
  <si>
    <t>ธ. กรุงศรีอยุธยา จำกัด (มหาชน) สาขา ท่าขอนยาง มหาสารคาม</t>
  </si>
  <si>
    <t>0250683</t>
  </si>
  <si>
    <t>ธ. กรุงศรีอยุธยา จำกัด (มหาชน) สาขา เซ็นทรัลพลาซา อุดรธานี</t>
  </si>
  <si>
    <t>0250684</t>
  </si>
  <si>
    <t>ธ. กรุงศรีอยุธยา จำกัด (มหาชน) สาขา อาคารไทยประกันชีวิต (ถนนรัชดาภิเษก)</t>
  </si>
  <si>
    <t>0250685</t>
  </si>
  <si>
    <t>ธ. กรุงศรีอยุธยา จำกัด (มหาชน) สาขา เทสโก้ โลตัส คลองแงะ</t>
  </si>
  <si>
    <t>0250686</t>
  </si>
  <si>
    <t>ธ. กรุงศรีอยุธยา จำกัด (มหาชน) สาขา บิ๊กซี ฉะเชิงเทรา</t>
  </si>
  <si>
    <t>0250687</t>
  </si>
  <si>
    <t>ธ. กรุงศรีอยุธยา จำกัด (มหาชน) สาขา ทองหล่อ (อาคารวสุ)</t>
  </si>
  <si>
    <t>0250688</t>
  </si>
  <si>
    <t>ธ. กรุงศรีอยุธยา จำกัด (มหาชน) สาขา เมกาบางนา</t>
  </si>
  <si>
    <t>0250689</t>
  </si>
  <si>
    <t>ธ. กรุงศรีอยุธยา จำกัด (มหาชน) สาขา พัฒน์พงศ์</t>
  </si>
  <si>
    <t>0250690</t>
  </si>
  <si>
    <t>ธ. กรุงศรีอยุธยา จำกัด (มหาชน) สาขา เทสโก้ โลตัส ไชยา</t>
  </si>
  <si>
    <t>0250691</t>
  </si>
  <si>
    <t>ธ. กรุงศรีอยุธยา จำกัด (มหาชน) สาขา สัมมากร เพลส ราชพฤกษ์</t>
  </si>
  <si>
    <t>0250692</t>
  </si>
  <si>
    <t>ธ. กรุงศรีอยุธยา จำกัด (มหาชน) สาขา เซียร์รังสิต</t>
  </si>
  <si>
    <t>0250693</t>
  </si>
  <si>
    <t>ธ. กรุงศรีอยุธยา จำกัด (มหาชน) สาขา ศูนย์การค้าอยุธยาพาร์ค</t>
  </si>
  <si>
    <t>0250694</t>
  </si>
  <si>
    <t>ธ. กรุงศรีอยุธยา จำกัด (มหาชน) สาขา อัศวรรณ ช้อปปิ้ง คอมเพล็กซ์ หนองคาย</t>
  </si>
  <si>
    <t>0250695</t>
  </si>
  <si>
    <t>ธ. กรุงศรีอยุธยา จำกัด (มหาชน) สาขา อาคารเซ็นทรัลสเตชั่น</t>
  </si>
  <si>
    <t>0250696</t>
  </si>
  <si>
    <t>ธ. กรุงศรีอยุธยา จำกัด (มหาชน) สาขา บิ๊กซี บางพลี</t>
  </si>
  <si>
    <t>0250697</t>
  </si>
  <si>
    <t>ธ. กรุงศรีอยุธยา จำกัด (มหาชน) สาขา เซ็นทรัลพลาซา สุราษฎร์ธานี</t>
  </si>
  <si>
    <t>0250698</t>
  </si>
  <si>
    <t>ธ. กรุงศรีอยุธยา จำกัด (มหาชน) สาขา สาขาตลาดนาเกลือ ซอย 11</t>
  </si>
  <si>
    <t>0250699</t>
  </si>
  <si>
    <t>ธ. กรุงศรีอยุธยา จำกัด (มหาชน) สาขา บิ๊กซี นครสวรรค์ 2</t>
  </si>
  <si>
    <t>0250700</t>
  </si>
  <si>
    <t>ธ. กรุงศรีอยุธยา จำกัด (มหาชน) สำนักงานใหญ่</t>
  </si>
  <si>
    <t>0250701</t>
  </si>
  <si>
    <t>ธ. กรุงศรีอยุธยา จำกัด (มหาชน) สาขา กิจการวิเทศธนกิจ</t>
  </si>
  <si>
    <t>0250702</t>
  </si>
  <si>
    <t>0250703</t>
  </si>
  <si>
    <t>ธ. กรุงศรีอยุธยา จำกัด (มหาชน) สาขา ศูนย์ปฏิบัติการแคชเมเนชเม้นต์</t>
  </si>
  <si>
    <t>0250705</t>
  </si>
  <si>
    <t>ธ. กรุงศรีอยุธยา จำกัด (มหาชน) สาขา พันท้ายนรสิงห์</t>
  </si>
  <si>
    <t>0250706</t>
  </si>
  <si>
    <t>ธ. กรุงศรีอยุธยา จำกัด (มหาชน) สาขา ถนนกสิกรทุ่งสร้าง ขอนแก่น</t>
  </si>
  <si>
    <t>0250707</t>
  </si>
  <si>
    <t>ธ. กรุงศรีอยุธยา จำกัด (มหาชน) สาขา โรบินสัน กาญจนบุรี</t>
  </si>
  <si>
    <t>0250708</t>
  </si>
  <si>
    <t>ธ. กรุงศรีอยุธยา จำกัด (มหาชน) สาขา เทสโก้ โลตัส บางปู</t>
  </si>
  <si>
    <t>0250709</t>
  </si>
  <si>
    <t>ธ. กรุงศรีอยุธยา จำกัด (มหาชน) สาขา เซ็นทรัลพลาซา อุบลราชธานี</t>
  </si>
  <si>
    <t>0250710</t>
  </si>
  <si>
    <t>ธ. กรุงศรีอยุธยา จำกัด (มหาชน) สาขา เสริมไทย คอมเพล็กซ์ มหาสารคาม</t>
  </si>
  <si>
    <t>0250711</t>
  </si>
  <si>
    <t>ธ. กรุงศรีอยุธยา จำกัด (มหาชน) สาขา เซ็นทรัลพลาซา บางนา</t>
  </si>
  <si>
    <t>0250712</t>
  </si>
  <si>
    <t>ธ. กรุงศรีอยุธยา จำกัด (มหาชน) สาขา โรบินสัน สกลนคร</t>
  </si>
  <si>
    <t>0250713</t>
  </si>
  <si>
    <t>ธ. กรุงศรีอยุธยา จำกัด (มหาชน) สาขา เทสโก้ โลตัส เชียงของ</t>
  </si>
  <si>
    <t>0250714</t>
  </si>
  <si>
    <t>ธ. กรุงศรีอยุธยา จำกัด (มหาชน) สาขา ชุมชนตลาดนานาเจริญ</t>
  </si>
  <si>
    <t>0250715</t>
  </si>
  <si>
    <t>ธ. กรุงศรีอยุธยา จำกัด (มหาชน) สาขา ซุ่นเฮง พลาซ่า ศรีสะเกษ</t>
  </si>
  <si>
    <t>0250716</t>
  </si>
  <si>
    <t>ธ. กรุงศรีอยุธยา จำกัด (มหาชน) สาขา เทสโก้ โลตัส เวียงสระ</t>
  </si>
  <si>
    <t>0250717</t>
  </si>
  <si>
    <t>ธ. กรุงศรีอยุธยา จำกัด (มหาชน) สาขา เทสโก้ โลตัส บัวใหญ่</t>
  </si>
  <si>
    <t>0250718</t>
  </si>
  <si>
    <t>ธ. กรุงศรีอยุธยา จำกัด (มหาชน) สาขา เซ็นทรัล เฟสติวัล เชียงใหม่</t>
  </si>
  <si>
    <t>0250719</t>
  </si>
  <si>
    <t>ธ. กรุงศรีอยุธยา จำกัด (มหาชน) สาขา โรบินสัน สระบุรี</t>
  </si>
  <si>
    <t>0250720</t>
  </si>
  <si>
    <t>ธ. กรุงศรีอยุธยา จำกัด (มหาชน) สาขา เซ็นทรัล เฟสติวัล หาดใหญ่</t>
  </si>
  <si>
    <t>0250721</t>
  </si>
  <si>
    <t>ธ. กรุงศรีอยุธยา จำกัด (มหาชน) สาขา โรบินสัน สุรินทร์</t>
  </si>
  <si>
    <t>0250722</t>
  </si>
  <si>
    <t>ธ. กรุงศรีอยุธยา จำกัด (มหาชน) สาขา เทสโก้ โลตัส นครศรีธรรมราช</t>
  </si>
  <si>
    <t>0250723</t>
  </si>
  <si>
    <t>ธ. กรุงศรีอยุธยา จำกัด (มหาชน) สาขา เทสโก้ โลตัส โรจนะ</t>
  </si>
  <si>
    <t>0250724</t>
  </si>
  <si>
    <t>ธ. กรุงศรีอยุธยา จำกัด (มหาชน) สาขา มาบุญครองเซ็นเตอร์</t>
  </si>
  <si>
    <t>0250725</t>
  </si>
  <si>
    <t>ธ. กรุงศรีอยุธยา จำกัด (มหาชน) สาขา เซ็นทรัลพลาซา ศาลายา</t>
  </si>
  <si>
    <t>0250726</t>
  </si>
  <si>
    <t>ธ. กรุงศรีอยุธยา จำกัด (มหาชน) สาขา ถนนนวลจันทร์</t>
  </si>
  <si>
    <t>0250727</t>
  </si>
  <si>
    <t>ธ. กรุงศรีอยุธยา จำกัด (มหาชน) สาขา โรบินสัน ฉะเชิงเทรา</t>
  </si>
  <si>
    <t>0250728</t>
  </si>
  <si>
    <t>ธ. กรุงศรีอยุธยา จำกัด (มหาชน) สาขา โรบินสัน ร้อยเอ็ด</t>
  </si>
  <si>
    <t>0250729</t>
  </si>
  <si>
    <t>ธ. กรุงศรีอยุธยา จำกัด (มหาชน) สาขา สวนไอเพลส แหลมฉบัง</t>
  </si>
  <si>
    <t>0250730</t>
  </si>
  <si>
    <t>ธ. กรุงศรีอยุธยา จำกัด (มหาชน) สาขา ธุรกิจยานยนต์ บางแค</t>
  </si>
  <si>
    <t>0250731</t>
  </si>
  <si>
    <t>ธ. กรุงศรีอยุธยา จำกัด (มหาชน) สาขา ธุรกิจยานยนต์ บางนา</t>
  </si>
  <si>
    <t>0250732</t>
  </si>
  <si>
    <t>ธ. กรุงศรีอยุธยา จำกัด (มหาชน) สาขา ธุรกิจยานยนต์ บิ๊กซี บางนา</t>
  </si>
  <si>
    <t>0250733</t>
  </si>
  <si>
    <t>ธ. กรุงศรีอยุธยา จำกัด (มหาชน) สาขา ธุรกิจยานยนต์ บางใหญ่</t>
  </si>
  <si>
    <t>0250734</t>
  </si>
  <si>
    <t>ธ. กรุงศรีอยุธยา จำกัด (มหาชน) สาขา ธุรกิจยานยนต์ รามอินทรา</t>
  </si>
  <si>
    <t>0250735</t>
  </si>
  <si>
    <t>ธ. กรุงศรีอยุธยา จำกัด (มหาชน) สาขา ธุรกิจยานยนต์ นนทบุรี</t>
  </si>
  <si>
    <t>0250736</t>
  </si>
  <si>
    <t>ธ. กรุงศรีอยุธยา จำกัด (มหาชน) สาขา ธุรกิจยานยนต์ หลักสี่</t>
  </si>
  <si>
    <t>0250737</t>
  </si>
  <si>
    <t>ธ. กรุงศรีอยุธยา จำกัด (มหาชน) สาขา ธุรกิจยานยนต์ เยาวราช</t>
  </si>
  <si>
    <t>0250738</t>
  </si>
  <si>
    <t>ธ. กรุงศรีอยุธยา จำกัด (มหาชน) สาขา ธุรกิจยานยนต์ นครราชสีมา</t>
  </si>
  <si>
    <t>0250739</t>
  </si>
  <si>
    <t>ธ. กรุงศรีอยุธยา จำกัด (มหาชน) สาขา ธุรกิจยานยนต์ อุบลราชธานี</t>
  </si>
  <si>
    <t>0250740</t>
  </si>
  <si>
    <t>ธ. กรุงศรีอยุธยา จำกัด (มหาชน) สาขา ธุรกิจยานยนต์ ศรีสะเกษ</t>
  </si>
  <si>
    <t>0250741</t>
  </si>
  <si>
    <t>ธ. กรุงศรีอยุธยา จำกัด (มหาชน) สาขา ธุรกิจยานยนต์ หาดใหญ่</t>
  </si>
  <si>
    <t>0250742</t>
  </si>
  <si>
    <t>ธ. กรุงศรีอยุธยา จำกัด (มหาชน) สาขา ธุรกิจยานยนต์ สุราษฎร์ธานี</t>
  </si>
  <si>
    <t>0250743</t>
  </si>
  <si>
    <t>ธ. กรุงศรีอยุธยา จำกัด (มหาชน) สาขา ธุรกิจยานยนต์ นครศรีธรรมราช</t>
  </si>
  <si>
    <t>0250744</t>
  </si>
  <si>
    <t>ธ. กรุงศรีอยุธยา จำกัด (มหาชน) สาขา ธุรกิจยานยนต์ ตรัง</t>
  </si>
  <si>
    <t>0250745</t>
  </si>
  <si>
    <t>ธ. กรุงศรีอยุธยา จำกัด (มหาชน) สาขา ธุรกิจยานยนต์ ภูเก็ต</t>
  </si>
  <si>
    <t>0250746</t>
  </si>
  <si>
    <t>ธ. กรุงศรีอยุธยา จำกัด (มหาชน) สาขา ธุรกิจยานยนต์ ชลบุรี</t>
  </si>
  <si>
    <t>0250747</t>
  </si>
  <si>
    <t>ธ. กรุงศรีอยุธยา จำกัด (มหาชน) สาขา ธุรกิจยานยนต์ ระยอง</t>
  </si>
  <si>
    <t>0250748</t>
  </si>
  <si>
    <t>ธ. กรุงศรีอยุธยา จำกัด (มหาชน) สาขา ธุรกิจยานยนต์ เชียงใหม่</t>
  </si>
  <si>
    <t>0250749</t>
  </si>
  <si>
    <t>ธ. กรุงศรีอยุธยา จำกัด (มหาชน) สาขา ธุรกิจยานยนต์ นครสวรรค์</t>
  </si>
  <si>
    <t>0250750</t>
  </si>
  <si>
    <t>ธ. กรุงศรีอยุธยา จำกัด (มหาชน) สาขา ธุรกิจยานยนต์ พิษณุโลก</t>
  </si>
  <si>
    <t>0250751</t>
  </si>
  <si>
    <t>ธ. กรุงศรีอยุธยา จำกัด (มหาชน) สาขา ธุรกิจยานยนต์ เชียงราย</t>
  </si>
  <si>
    <t>0250752</t>
  </si>
  <si>
    <t>ธ. กรุงศรีอยุธยา จำกัด (มหาชน) สาขา ธุรกิจยานยนต์ ร้อยเอ็ด</t>
  </si>
  <si>
    <t>0250753</t>
  </si>
  <si>
    <t>ธ. กรุงศรีอยุธยา จำกัด (มหาชน) สาขา ธุรกิจยานยนต์ อุดรธานี</t>
  </si>
  <si>
    <t>0250754</t>
  </si>
  <si>
    <t>ธ. กรุงศรีอยุธยา จำกัด (มหาชน) สาขา ธุรกิจยานยนต์ สกลนคร</t>
  </si>
  <si>
    <t>0250755</t>
  </si>
  <si>
    <t>ธ. กรุงศรีอยุธยา จำกัด (มหาชน) สาขา ธุรกิจยานยนต์ นครปฐม</t>
  </si>
  <si>
    <t>0250756</t>
  </si>
  <si>
    <t>0250757</t>
  </si>
  <si>
    <t>ธ. กรุงศรีอยุธยา จำกัด (มหาชน) สาขา ธุรกิจยานยนต์ ปราณบุรี</t>
  </si>
  <si>
    <t>0250758</t>
  </si>
  <si>
    <t>ธ. กรุงศรีอยุธยา จำกัด (มหาชน) สาขา ธุรกิจยานยนต์ สุรินทร์</t>
  </si>
  <si>
    <t>0250759</t>
  </si>
  <si>
    <t>ธ. กรุงศรีอยุธยา จำกัด (มหาชน) สาขา ธุรกิจยานยนต์ กระบี่</t>
  </si>
  <si>
    <t>0250760</t>
  </si>
  <si>
    <t>ธ. กรุงศรีอยุธยา จำกัด (มหาชน) สาขา ธุรกิจยานยนต์ สระบุรี</t>
  </si>
  <si>
    <t>0250761</t>
  </si>
  <si>
    <t>ธ. กรุงศรีอยุธยา จำกัด (มหาชน) สาขา ธุรกิจยานยนต์ ปราจีนบุรี</t>
  </si>
  <si>
    <t>0250762</t>
  </si>
  <si>
    <t>ธ. กรุงศรีอยุธยา จำกัด (มหาชน) สาขา ธุรกิจยานยนต์ ลำปาง</t>
  </si>
  <si>
    <t>0250763</t>
  </si>
  <si>
    <t>ธ. กรุงศรีอยุธยา จำกัด (มหาชน) สาขา ธุรกิจยานยนต์ กำแพงเพชร</t>
  </si>
  <si>
    <t>0250764</t>
  </si>
  <si>
    <t>ธ. กรุงศรีอยุธยา จำกัด (มหาชน) สาขา ธุรกิจยานยนต์ ขอนแก่น</t>
  </si>
  <si>
    <t>0250765</t>
  </si>
  <si>
    <t>ธ. กรุงศรีอยุธยา จำกัด (มหาชน) สาขา ธุรกิจยานยนต์ เพชรบูรณ์</t>
  </si>
  <si>
    <t>0250766</t>
  </si>
  <si>
    <t>ธ. กรุงศรีอยุธยา จำกัด (มหาชน) สาขา ธุรกิจยานยนต์ ชุมพร</t>
  </si>
  <si>
    <t>0250767</t>
  </si>
  <si>
    <t>ธ. กรุงศรีอยุธยา จำกัด (มหาชน) สาขา โรบินสัน ปราจีนบุรี</t>
  </si>
  <si>
    <t>0250768</t>
  </si>
  <si>
    <t>ธ. กรุงศรีอยุธยา จำกัด (มหาชน) สาขา โรบินสัน มุกดาหาร</t>
  </si>
  <si>
    <t>0250769</t>
  </si>
  <si>
    <t>ธ. กรุงศรีอยุธยา จำกัด (มหาชน) สาขา เอ็มควอเทียร์</t>
  </si>
  <si>
    <t>0250770</t>
  </si>
  <si>
    <t>ธ. กรุงศรีอยุธยา จำกัด (มหาชน) สาขา เซ็นทรัลพลาซา ระยอง</t>
  </si>
  <si>
    <t>0250771</t>
  </si>
  <si>
    <t>ธ. กรุงศรีอยุธยา จำกัด (มหาชน) สาขา หนองปลิง นครสวรรค์</t>
  </si>
  <si>
    <t>0250772</t>
  </si>
  <si>
    <t>ธ. กรุงศรีอยุธยา จำกัด (มหาชน) สาขา บิ๊กซี พัทยากลาง</t>
  </si>
  <si>
    <t>0250773</t>
  </si>
  <si>
    <t>ธ. กรุงศรีอยุธยา จำกัด (มหาชน) สาขา บิ๊กซี กาฬสินธุ์</t>
  </si>
  <si>
    <t>0250774</t>
  </si>
  <si>
    <t>ธ. กรุงศรีอยุธยา จำกัด (มหาชน) สาขา โรบินสัน บุรีรัมย์</t>
  </si>
  <si>
    <t>0250775</t>
  </si>
  <si>
    <t>ธ. กรุงศรีอยุธยา จำกัด (มหาชน) สาขา เซ็นทรัลพลาซา รามอินทรา</t>
  </si>
  <si>
    <t>0250776</t>
  </si>
  <si>
    <t>ธ. กรุงศรีอยุธยา จำกัด (มหาชน) สาขา อินทรา ประตูน้ำ</t>
  </si>
  <si>
    <t>0250777</t>
  </si>
  <si>
    <t>ธ. กรุงศรีอยุธยา จำกัด (มหาชน) สำนักพระรามที่ 3</t>
  </si>
  <si>
    <t>0250778</t>
  </si>
  <si>
    <t>ธ. กรุงศรีอยุธยา จำกัด (มหาชน) สาขา เซ็นทรัลพลาซา เวสต์เกต สมาร์ท</t>
  </si>
  <si>
    <t>0250779</t>
  </si>
  <si>
    <t>ธ. กรุงศรีอยุธยา จำกัด (มหาชน) สาขา เทสโก้ โลตัส สุราษฎร์ธานี</t>
  </si>
  <si>
    <t>0250780</t>
  </si>
  <si>
    <t>ธ. กรุงศรีอยุธยา จำกัด (มหาชน) สาขา เกาะเต่า</t>
  </si>
  <si>
    <t>0250781</t>
  </si>
  <si>
    <t>ธ. กรุงศรีอยุธยา จำกัด (มหาชน) สาขา เมืองพล</t>
  </si>
  <si>
    <t>0250782</t>
  </si>
  <si>
    <t>ธ. กรุงศรีอยุธยา จำกัด (มหาชน) สาขา เดอะมอลล์ ท่าพระ</t>
  </si>
  <si>
    <t>0250783</t>
  </si>
  <si>
    <t>ธ. กรุงศรีอยุธยา จำกัด (มหาชน) สาขา อิออน ศรีราชา ช้อปปิ้ง เซ็นเตอร์</t>
  </si>
  <si>
    <t>0250784</t>
  </si>
  <si>
    <t>ธ. กรุงศรีอยุธยา จำกัด (มหาชน) สาขา ฟิวเจอร์พาร์ค รังสิต 2</t>
  </si>
  <si>
    <t>0250785</t>
  </si>
  <si>
    <t>ธ. กรุงศรีอยุธยา จำกัด (มหาชน) สาขา บิ๊กซี สุขาภิบาล 3</t>
  </si>
  <si>
    <t>0250786</t>
  </si>
  <si>
    <t>ธ. กรุงศรีอยุธยา จำกัด (มหาชน) สาขา โรบินสัน ศรีสมาน</t>
  </si>
  <si>
    <t>0250787</t>
  </si>
  <si>
    <t>ธ. กรุงศรีอยุธยา จำกัด (มหาชน) สาขา พังโคน</t>
  </si>
  <si>
    <t>0250788</t>
  </si>
  <si>
    <t>ธ. กรุงศรีอยุธยา จำกัด (มหาชน) สาขา เดอะ พรอมานาด</t>
  </si>
  <si>
    <t>0250789</t>
  </si>
  <si>
    <t>ธ. กรุงศรีอยุธยา จำกัด (มหาชน) สาขา กรุงเทพ ต้นสน</t>
  </si>
  <si>
    <t>0250791</t>
  </si>
  <si>
    <t>ธ. กรุงศรีอยุธยา จำกัด (มหาชน) สาขา โรบินสัน แม่สอด</t>
  </si>
  <si>
    <t>0250792</t>
  </si>
  <si>
    <t>ธ. กรุงศรีอยุธยา จำกัด (มหาชน) สาขา บิ๊กซี ลพบุรี</t>
  </si>
  <si>
    <t>0250793</t>
  </si>
  <si>
    <t>ธ. กรุงศรีอยุธยา จำกัด (มหาชน) สาขา กุมภวาปี</t>
  </si>
  <si>
    <t>0250794</t>
  </si>
  <si>
    <t>ธ. กรุงศรีอยุธยา จำกัด (มหาชน) สาขา บิ็กซี นครสวรรค์ (วี-สแควร์)</t>
  </si>
  <si>
    <t>0250795</t>
  </si>
  <si>
    <t>ธ. กรุงศรีอยุธยา จำกัด (มหาชน) สาขา เทสโก้ โลตัส ปากช่อง</t>
  </si>
  <si>
    <t>0250796</t>
  </si>
  <si>
    <t>ธ. กรุงศรีอยุธยา จำกัด (มหาชน) สาขา บิ๊กซี กระนวน</t>
  </si>
  <si>
    <t>0250797</t>
  </si>
  <si>
    <t>ธ. กรุงศรีอยุธยา จำกัด (มหาชน) สาขา บิ๊กซี อุบลราชธานี</t>
  </si>
  <si>
    <t>0250798</t>
  </si>
  <si>
    <t>ธ. กรุงศรีอยุธยา จำกัด (มหาชน) สาขา นิคมอุตสาหกรรมอมตะนคร ชลบุรั</t>
  </si>
  <si>
    <t>0250799</t>
  </si>
  <si>
    <t>ธ. กรุงศรีอยุธยา จำกัด (มหาชน) สาขา บิ๊กซี ลำพูน</t>
  </si>
  <si>
    <t>0250801</t>
  </si>
  <si>
    <t>ธ. กรุงศรีอยุธยา จำกัด (มหาชน) สาขา ฮ่องกง(RLB)</t>
  </si>
  <si>
    <t>0250802</t>
  </si>
  <si>
    <t>ธ. กรุงศรีอยุธยา จำกัด (มหาชน) สาขา เวียงจันทน์</t>
  </si>
  <si>
    <t>0250803</t>
  </si>
  <si>
    <t>ธ. กรุงศรีอยุธยา จำกัด (มหาชน) สาขา สำนักงานผู้แทนฮานอย</t>
  </si>
  <si>
    <t>0250804</t>
  </si>
  <si>
    <t>ธ. กรุงศรีอยุธยา จำกัด (มหาชน) สาขา สำนักงานผู้แทนกรุงร่างกุ้ง</t>
  </si>
  <si>
    <t>0250805</t>
  </si>
  <si>
    <t>ธ. กรุงศรีอยุธยา จำกัด (มหาชน) สาขา หมู่เกาะเคย์แมน</t>
  </si>
  <si>
    <t>0250806</t>
  </si>
  <si>
    <t>ธ. กรุงศรีอยุธยา จำกัด (มหาชน) สาขา สำนักงานผู้แทน ณ เมืองคุณหมิง</t>
  </si>
  <si>
    <t>0250807</t>
  </si>
  <si>
    <t>ธ. กรุงศรีอยุธยา จำกัด (มหาชน) สาขา สะหวันนะเขต</t>
  </si>
  <si>
    <t>0250808</t>
  </si>
  <si>
    <t>ธ. กรุงศรีอยุธยา จำกัด (มหาชน) สาขา สำนักงานผู้แทน ณ เมืองย่างกุ้ง</t>
  </si>
  <si>
    <t>0250851</t>
  </si>
  <si>
    <t>ธ. กรุงศรีอยุธยา จำกัด (มหาชน) สาขา เทสโก้ โลตัส พระราม 3</t>
  </si>
  <si>
    <t>0250852</t>
  </si>
  <si>
    <t>ธ. กรุงศรีอยุธยา จำกัด (มหาชน) สาขา ถนนประชาอุทิศ (บิ๊กซี ประชาอุทิศ)</t>
  </si>
  <si>
    <t>0250853</t>
  </si>
  <si>
    <t>ธ. กรุงศรีอยุธยา จำกัด (มหาชน) สาขา เซ็นทรัลพลาซา นครศรีธรรมราช</t>
  </si>
  <si>
    <t>0250854</t>
  </si>
  <si>
    <t>ธ. กรุงศรีอยุธยา จำกัด (มหาชน) สาขา เทสโก้ โลตัส ศรีนครินทร์</t>
  </si>
  <si>
    <t>0250855</t>
  </si>
  <si>
    <t>ธ. กรุงศรีอยุธยา จำกัด (มหาชน) สาขา โรบินสัน จันทบุรี</t>
  </si>
  <si>
    <t>0250856</t>
  </si>
  <si>
    <t>ธ. กรุงศรีอยุธยา จำกัด (มหาชน) สาขา เทสโก้ โลตัส นวนคร</t>
  </si>
  <si>
    <t>0250857</t>
  </si>
  <si>
    <t>ธ. กรุงศรีอยุธยา จำกัด (มหาชน) สาขา บิ๊กซี สุขสวัสดิ์</t>
  </si>
  <si>
    <t>0250858</t>
  </si>
  <si>
    <t>ธ. กรุงศรีอยุธยา จำกัด (มหาชน) สาขา ตลาดโรงเกลือ</t>
  </si>
  <si>
    <t>0250859</t>
  </si>
  <si>
    <t>ธ. กรุงศรีอยุธยา จำกัด (มหาชน) สาขา พระปฐมเจดีย์</t>
  </si>
  <si>
    <t>0250860</t>
  </si>
  <si>
    <t>ธ. กรุงศรีอยุธยา จำกัด (มหาชน) สาขา โรบินสัน ราชบุรี</t>
  </si>
  <si>
    <t>0250861</t>
  </si>
  <si>
    <t>ธ. กรุงศรีอยุธยา จำกัด (มหาชน) สาขา เทสโก้ โลตัส ลาดพร้าว</t>
  </si>
  <si>
    <t>0250862</t>
  </si>
  <si>
    <t>ธ. กรุงศรีอยุธยา จำกัด (มหาชน) สาขา เซ็นทรัลพลาซา มารีนา</t>
  </si>
  <si>
    <t>0250863</t>
  </si>
  <si>
    <t>ธ. กรุงศรีอยุธยา จำกัด (มหาชน) สาขา แม่โจ้</t>
  </si>
  <si>
    <t>0250864</t>
  </si>
  <si>
    <t>ธ. กรุงศรีอยุธยา จำกัด (มหาชน) สาขา ด่านนอก สะเดา</t>
  </si>
  <si>
    <t>0250865</t>
  </si>
  <si>
    <t>ธ. กรุงศรีอยุธยา จำกัด (มหาชน) สาขา เทสโก้โลตัส ประชาชื่น</t>
  </si>
  <si>
    <t>0250866</t>
  </si>
  <si>
    <t>ธ. กรุงศรีอยุธยา จำกัด (มหาชน) สาขา เทสโก้ โลตัส อุดรธานี</t>
  </si>
  <si>
    <t>0250867</t>
  </si>
  <si>
    <t>ธ. กรุงศรีอยุธยา จำกัด (มหาชน) สาขา เทสโก้ โลตัส บ้านฟ้า ลำลูกกา</t>
  </si>
  <si>
    <t>0250868</t>
  </si>
  <si>
    <t>ธ. กรุงศรีอยุธยา จำกัด (มหาชน) สาขา จี ทาวเวอร์ แกรนด์ พระราม 9</t>
  </si>
  <si>
    <t>0250869</t>
  </si>
  <si>
    <t>ธ. กรุงศรีอยุธยา จำกัด (มหาชน) สาขา โรบินสัน เพชรบุรี</t>
  </si>
  <si>
    <t>0250870</t>
  </si>
  <si>
    <t>ธ. กรุงศรีอยุธยา จำกัด (มหาชน) สาขา เซ็นทรัลพระราม 2 (สาขา  2)</t>
  </si>
  <si>
    <t>0250871</t>
  </si>
  <si>
    <t>ธ. กรุงศรีอยุธยา จำกัด (มหาชน) สาขา เพิร์ล แบงก์ค็อก</t>
  </si>
  <si>
    <t>0250872</t>
  </si>
  <si>
    <t>ธ. กรุงศรีอยุธยา จำกัด (มหาชน) สาขา เทสโก้ โลตัส สุขุมวิท 50</t>
  </si>
  <si>
    <t>0250873</t>
  </si>
  <si>
    <t>ธ. กรุงศรีอยุธยา จำกัด (มหาชน) สาขา เซ็นทรัลพลาซา นครราชสีมา</t>
  </si>
  <si>
    <t>0250874</t>
  </si>
  <si>
    <t>ธ. กรุงศรีอยุธยา จำกัด (มหาชน) สาขา เซ็นทรัลพลาซา มหาชัย</t>
  </si>
  <si>
    <t>0250875</t>
  </si>
  <si>
    <t>ธ. กรุงศรีอยุธยา จำกัด (มหาชน) สาขา เทสโก้ โลตัส บ้านโป่ง</t>
  </si>
  <si>
    <t>0250876</t>
  </si>
  <si>
    <t>ธ. กรุงศรีอยุธยา จำกัด (มหาชน) สาขา เทสโก้ โลตัส ชัยภูมิ</t>
  </si>
  <si>
    <t>0250877</t>
  </si>
  <si>
    <t>ธ. กรุงศรีอยุธยา จำกัด (มหาชน) สาขา เทสโก้ โลตัส สระบุรี</t>
  </si>
  <si>
    <t>0250878</t>
  </si>
  <si>
    <t>ธ. กรุงศรีอยุธยา จำกัด (มหาชน) สาขา บิ๊กซี สัตหีบ</t>
  </si>
  <si>
    <t>0250879</t>
  </si>
  <si>
    <t>ธ. กรุงศรีอยุธยา จำกัด (มหาชน) สาขา โรบินสัน ชลบุรี</t>
  </si>
  <si>
    <t>0250880</t>
  </si>
  <si>
    <t>ธ. กรุงศรีอยุธยา จำกัด (มหาชน) สาขา เซ็นทรัล พระราม 3</t>
  </si>
  <si>
    <t>0250881</t>
  </si>
  <si>
    <t>ธ. กรุงศรีอยุธยา จำกัด (มหาชน) สาขา แพชชั่น ช้อปปิ้ง ระยอง</t>
  </si>
  <si>
    <t>0250882</t>
  </si>
  <si>
    <t>ธ. กรุงศรีอยุธยา จำกัด (มหาชน) สาขา กรุงศรี สยามพารากอน สมาร์ท</t>
  </si>
  <si>
    <t>0250883</t>
  </si>
  <si>
    <t>ธ. กรุงศรีอยุธยา จำกัด (มหาชน) สาขา ธุรกิจยานยนต์</t>
  </si>
  <si>
    <t>0250885</t>
  </si>
  <si>
    <t>ธ. กรุงศรีอยุธยา จำกัด (มหาชน) สาขา โรบินสัน กำแพงเพชร</t>
  </si>
  <si>
    <t>0250886</t>
  </si>
  <si>
    <t>ธ. กรุงศรีอยุธยา จำกัด (มหาชน) สาขาเทสโก้โลตัส กระบี่</t>
  </si>
  <si>
    <t>0250887</t>
  </si>
  <si>
    <t>ธ. กรุงศรีอยุธยา จำกัด (มหาชน) สาขา ธุรกิจยานยนต์ พัทยา</t>
  </si>
  <si>
    <t>0250893</t>
  </si>
  <si>
    <t>ธ. กรุงศรีอยุธยา จำกัด (มหาชน) สาขา โรบินสัน ลาดกระบัง</t>
  </si>
  <si>
    <t>0250900</t>
  </si>
  <si>
    <t>ธ. กรุงศรีอยุธยา จำกัด (มหาชน) สาขา ฝ่ายบัตรเครดิต</t>
  </si>
  <si>
    <t>0250901</t>
  </si>
  <si>
    <t>ธ. กรุงศรีอยุธยา จำกัด (มหาชน) สาขา สำนักงานผู้แทนกรุงเวียงจันทน์</t>
  </si>
  <si>
    <t>0260001</t>
  </si>
  <si>
    <t>ธ. เมกะ สากลพาณิชย์ จำกัด (มหาชน) สำนักงานใหญ่</t>
  </si>
  <si>
    <t>0260002</t>
  </si>
  <si>
    <t>ธ. เมกะ สากลพาณิชย์ จำกัด (มหาชน) สาขา ชลบุรี</t>
  </si>
  <si>
    <t>0260003</t>
  </si>
  <si>
    <t>ธ. เมกะ สากลพาณิชย์ จำกัด (มหาชน) สาขา บางนา</t>
  </si>
  <si>
    <t>0260004</t>
  </si>
  <si>
    <t>ธ. เมกะ สากลพาณิชย์ จำกัด (มหาชน) สาขา บ้านโป่ง</t>
  </si>
  <si>
    <t>0260005</t>
  </si>
  <si>
    <t>ธ. เมกะ สากลพาณิชย์ จำกัด (มหาชน) สาขา ระยอง</t>
  </si>
  <si>
    <t>0270001</t>
  </si>
  <si>
    <t>ธ. แห่งอเมริกาเนชั่นแนลแอสโซซิเอชั่น สาขา กรุงเทพฯ</t>
  </si>
  <si>
    <t>0270002</t>
  </si>
  <si>
    <t>ธ. แห่งอเมริกาเนชั่นแนลแอสโซซิเอชั่น สาขา กรุงเทพฯ กิจการวิเทศธนกิจ</t>
  </si>
  <si>
    <t>0290001</t>
  </si>
  <si>
    <t>ธ. อินเดียนโอเวอร์ซีส์ สาขา กรุงเทพฯ</t>
  </si>
  <si>
    <t>0290002</t>
  </si>
  <si>
    <t>ธ. อินเดียนโอเวอร์ซีส์ สาขา สุขุมวิท</t>
  </si>
  <si>
    <t>0300000</t>
  </si>
  <si>
    <t>ธ. ออมสิน ส่วนเรียกเก็บและหักบัญชี</t>
  </si>
  <si>
    <t>0300001</t>
  </si>
  <si>
    <t>ธ. ออมสิน สำนักพหลโยธิน</t>
  </si>
  <si>
    <t>0300002</t>
  </si>
  <si>
    <t>ธ. ออมสิน สำนักราชดำเนิน</t>
  </si>
  <si>
    <t>0300003</t>
  </si>
  <si>
    <t>ธ. ออมสิน สาขา เชียงใหม่</t>
  </si>
  <si>
    <t>0300004</t>
  </si>
  <si>
    <t>ธ. ออมสิน สาขา นครสวรรค์</t>
  </si>
  <si>
    <t>0300005</t>
  </si>
  <si>
    <t>ธ. ออมสิน สาขา นครราชสีมา</t>
  </si>
  <si>
    <t>0300006</t>
  </si>
  <si>
    <t>ธ. ออมสิน สาขา สุราษฎร์ธานี</t>
  </si>
  <si>
    <t>0300007</t>
  </si>
  <si>
    <t>ธ. ออมสิน สาขา สงขลา</t>
  </si>
  <si>
    <t>0300008</t>
  </si>
  <si>
    <t>ธ. ออมสิน สาขา จันทบุรี</t>
  </si>
  <si>
    <t>0300009</t>
  </si>
  <si>
    <t>ธ. ออมสิน สาขา อุบลราชธานี</t>
  </si>
  <si>
    <t>0300010</t>
  </si>
  <si>
    <t>ธ. ออมสิน สาขา มหาสารคาม</t>
  </si>
  <si>
    <t>0300011</t>
  </si>
  <si>
    <t>ธ. ออมสิน สาขา อุดรธานี</t>
  </si>
  <si>
    <t>0300012</t>
  </si>
  <si>
    <t>ธ. ออมสิน สาขา ขอนแก่น</t>
  </si>
  <si>
    <t>0300013</t>
  </si>
  <si>
    <t>ธ. ออมสิน สาขา ลำปาง</t>
  </si>
  <si>
    <t>0300014</t>
  </si>
  <si>
    <t>ธ. ออมสิน สาขา ชลบุรี</t>
  </si>
  <si>
    <t>0300015</t>
  </si>
  <si>
    <t>ธ. ออมสิน สาขา พระนครศรีอยุธยา</t>
  </si>
  <si>
    <t>0300016</t>
  </si>
  <si>
    <t>ธ. ออมสิน สาขา เพชรบุรี</t>
  </si>
  <si>
    <t>0300017</t>
  </si>
  <si>
    <t>ธ. ออมสิน สาขา ฉะเชิงเทรา</t>
  </si>
  <si>
    <t>0300018</t>
  </si>
  <si>
    <t>ธ. ออมสิน สาขา พิษณุโลก</t>
  </si>
  <si>
    <t>0300019</t>
  </si>
  <si>
    <t>ธ. ออมสิน สาขา ชุมพร</t>
  </si>
  <si>
    <t>0300020</t>
  </si>
  <si>
    <t>ธ. ออมสิน สาขา ภูเก็ต</t>
  </si>
  <si>
    <t>0300021</t>
  </si>
  <si>
    <t>ธ. ออมสิน สาขา ตรัง</t>
  </si>
  <si>
    <t>0300022</t>
  </si>
  <si>
    <t>ธ. ออมสิน สาขา ทุ่งสง</t>
  </si>
  <si>
    <t>0300023</t>
  </si>
  <si>
    <t>ธ. ออมสิน สาขา นครศรีธรรมราช</t>
  </si>
  <si>
    <t>0300024</t>
  </si>
  <si>
    <t>ธ. ออมสิน สาขา ยะลา</t>
  </si>
  <si>
    <t>0300025</t>
  </si>
  <si>
    <t>ธ. ออมสิน สาขา หาดใหญ่</t>
  </si>
  <si>
    <t>0300026</t>
  </si>
  <si>
    <t>ธ. ออมสิน สาขา อุตรดิตถ์</t>
  </si>
  <si>
    <t>0300027</t>
  </si>
  <si>
    <t>ธ. ออมสิน สาขา แพร่</t>
  </si>
  <si>
    <t>0300028</t>
  </si>
  <si>
    <t>ธ. ออมสิน สาขา ลพบุรี</t>
  </si>
  <si>
    <t>0300029</t>
  </si>
  <si>
    <t>ธ. ออมสิน สาขา ชัยนาท</t>
  </si>
  <si>
    <t>0300030</t>
  </si>
  <si>
    <t>ธ. ออมสิน สาขา มหาวิทยาลัยเชียงใหม่</t>
  </si>
  <si>
    <t>0300031</t>
  </si>
  <si>
    <t>ธ. ออมสิน สาขา รามคำแหง</t>
  </si>
  <si>
    <t>0300032</t>
  </si>
  <si>
    <t>ธ. ออมสิน สาขา หัวลำโพง</t>
  </si>
  <si>
    <t>0300033</t>
  </si>
  <si>
    <t>ธ. ออมสิน สาขา บางรัก</t>
  </si>
  <si>
    <t>0300034</t>
  </si>
  <si>
    <t>ธ. ออมสิน สาขา ดอนเมือง</t>
  </si>
  <si>
    <t>0300035</t>
  </si>
  <si>
    <t>ธ. ออมสิน สาขา สมุทรสาคร</t>
  </si>
  <si>
    <t>0300036</t>
  </si>
  <si>
    <t>ธ. ออมสิน สาขา สมุทรสงคราม</t>
  </si>
  <si>
    <t>0300037</t>
  </si>
  <si>
    <t>ธ. ออมสิน สาขา ถนนเพชรบุรี</t>
  </si>
  <si>
    <t>0300038</t>
  </si>
  <si>
    <t>ธ. ออมสิน สาขา มีนบุรี</t>
  </si>
  <si>
    <t>0300039</t>
  </si>
  <si>
    <t>ธ. ออมสิน สาขา นนทบุรี</t>
  </si>
  <si>
    <t>0300040</t>
  </si>
  <si>
    <t>ธ. ออมสิน สาขา นครปฐม</t>
  </si>
  <si>
    <t>0300041</t>
  </si>
  <si>
    <t>ธ. ออมสิน สาขา บ้านโป่ง</t>
  </si>
  <si>
    <t>0300042</t>
  </si>
  <si>
    <t>ธ. ออมสิน สาขา ศรีย่าน</t>
  </si>
  <si>
    <t>0300043</t>
  </si>
  <si>
    <t>ธ. ออมสิน สาขา สามย่าน</t>
  </si>
  <si>
    <t>0300044</t>
  </si>
  <si>
    <t>ธ. ออมสิน สาขา พระประแดง</t>
  </si>
  <si>
    <t>0300045</t>
  </si>
  <si>
    <t>ธ. ออมสิน สาขา ศรีราชา</t>
  </si>
  <si>
    <t>0300046</t>
  </si>
  <si>
    <t>ธ. ออมสิน สาขา ระยอง</t>
  </si>
  <si>
    <t>0300047</t>
  </si>
  <si>
    <t>ธ. ออมสิน สาขา คลองเตย</t>
  </si>
  <si>
    <t>0300048</t>
  </si>
  <si>
    <t>ธ. ออมสิน สาขา พระโขนง</t>
  </si>
  <si>
    <t>0300049</t>
  </si>
  <si>
    <t>ธ. ออมสิน สาขา ตลาดพลู</t>
  </si>
  <si>
    <t>0300050</t>
  </si>
  <si>
    <t>ธ. ออมสิน สาขา ราชบุรี</t>
  </si>
  <si>
    <t>0300051</t>
  </si>
  <si>
    <t>ธ. ออมสิน สาขา สระบุรี</t>
  </si>
  <si>
    <t>0300052</t>
  </si>
  <si>
    <t>ธ. ออมสิน สาขา สำโรง</t>
  </si>
  <si>
    <t>0300053</t>
  </si>
  <si>
    <t>ธ. ออมสิน สาขา สมุทรปราการ</t>
  </si>
  <si>
    <t>0300054</t>
  </si>
  <si>
    <t>ธ. ออมสิน สาขา วงเวียนใหญ่</t>
  </si>
  <si>
    <t>0300055</t>
  </si>
  <si>
    <t>ธ. ออมสิน สาขา สวรรคโลก</t>
  </si>
  <si>
    <t>0300056</t>
  </si>
  <si>
    <t>ธ. ออมสิน สาขา เชียงราย</t>
  </si>
  <si>
    <t>0300057</t>
  </si>
  <si>
    <t>ธ. ออมสิน สาขา หน้าพระลาน</t>
  </si>
  <si>
    <t>0300058</t>
  </si>
  <si>
    <t>ธ. ออมสิน สาขา ศิริราช</t>
  </si>
  <si>
    <t>0300059</t>
  </si>
  <si>
    <t>ธ. ออมสิน สาขา รังสิต</t>
  </si>
  <si>
    <t>0300060</t>
  </si>
  <si>
    <t>ธ. ออมสิน สาขา ปากช่อง</t>
  </si>
  <si>
    <t>0300061</t>
  </si>
  <si>
    <t>ธ. ออมสิน สาขา บ้านไผ่</t>
  </si>
  <si>
    <t>0300062</t>
  </si>
  <si>
    <t>ธ. ออมสิน สาขา หนองคาย</t>
  </si>
  <si>
    <t>0300063</t>
  </si>
  <si>
    <t>ธ. ออมสิน สาขา ลาดพร้าว</t>
  </si>
  <si>
    <t>0300064</t>
  </si>
  <si>
    <t>ธ. ออมสิน สาขา ร้อยเอ็ด</t>
  </si>
  <si>
    <t>0300065</t>
  </si>
  <si>
    <t>ธ. ออมสิน สาขา ตราด</t>
  </si>
  <si>
    <t>0300066</t>
  </si>
  <si>
    <t>ธ. ออมสิน สาขา ตาก</t>
  </si>
  <si>
    <t>0300067</t>
  </si>
  <si>
    <t>ธ. ออมสิน สาขา ฝาง</t>
  </si>
  <si>
    <t>0300068</t>
  </si>
  <si>
    <t>ธ. ออมสิน สาขา ระนอง</t>
  </si>
  <si>
    <t>0300069</t>
  </si>
  <si>
    <t>ธ. ออมสิน สาขา พังงา</t>
  </si>
  <si>
    <t>0300070</t>
  </si>
  <si>
    <t>ธ. ออมสิน สาขา เทเวศร์</t>
  </si>
  <si>
    <t>0300071</t>
  </si>
  <si>
    <t>ธ. ออมสิน สาขา ดินแดง</t>
  </si>
  <si>
    <t>0300072</t>
  </si>
  <si>
    <t>ธ. ออมสิน สาขา อุรุพงษ์</t>
  </si>
  <si>
    <t>0300073</t>
  </si>
  <si>
    <t>ธ. ออมสิน สาขา ลาดกระบัง</t>
  </si>
  <si>
    <t>0300074</t>
  </si>
  <si>
    <t>ธ. ออมสิน สาขา บันนังสตา</t>
  </si>
  <si>
    <t>0300075</t>
  </si>
  <si>
    <t>ธ. ออมสิน สาขา ปทุมธานี</t>
  </si>
  <si>
    <t>0300076</t>
  </si>
  <si>
    <t>ธ. ออมสิน สาขา สุพรรณบุรี</t>
  </si>
  <si>
    <t>0300077</t>
  </si>
  <si>
    <t>ธ. ออมสิน สาขา ประจวบคีรีขันธ์</t>
  </si>
  <si>
    <t>0300078</t>
  </si>
  <si>
    <t>ธ. ออมสิน สาขา กาญจนบุรี</t>
  </si>
  <si>
    <t>0300079</t>
  </si>
  <si>
    <t>ธ. ออมสิน สาขา อ่างทอง</t>
  </si>
  <si>
    <t>0300080</t>
  </si>
  <si>
    <t>ธ. ออมสิน สาขา สิงห์บุรี</t>
  </si>
  <si>
    <t>0300081</t>
  </si>
  <si>
    <t>ธ. ออมสิน สาขา ปราจีนบุรี</t>
  </si>
  <si>
    <t>0300082</t>
  </si>
  <si>
    <t>ธ. ออมสิน สาขา นครนายก</t>
  </si>
  <si>
    <t>0300083</t>
  </si>
  <si>
    <t>ธ. ออมสิน สาขา สุโขทัย</t>
  </si>
  <si>
    <t>0300084</t>
  </si>
  <si>
    <t>ธ. ออมสิน สาขา เพชรบูรณ์</t>
  </si>
  <si>
    <t>0300085</t>
  </si>
  <si>
    <t>ธ. ออมสิน สาขา กำแพงเพชร</t>
  </si>
  <si>
    <t>0300086</t>
  </si>
  <si>
    <t>ธ. ออมสิน สาขา พิจิตร</t>
  </si>
  <si>
    <t>0300087</t>
  </si>
  <si>
    <t>ธ. ออมสิน สาขา อุทัยธานี</t>
  </si>
  <si>
    <t>0300088</t>
  </si>
  <si>
    <t>ธ. ออมสิน สาขา ลำพูน</t>
  </si>
  <si>
    <t>0300089</t>
  </si>
  <si>
    <t>ธ. ออมสิน สาขา พะเยา</t>
  </si>
  <si>
    <t>0300090</t>
  </si>
  <si>
    <t>ธ. ออมสิน สาขา แม่ฮ่องสอน</t>
  </si>
  <si>
    <t>0300091</t>
  </si>
  <si>
    <t>ธ. ออมสิน สาขา น่าน</t>
  </si>
  <si>
    <t>0300092</t>
  </si>
  <si>
    <t>ธ. ออมสิน สาขา ยโสธร</t>
  </si>
  <si>
    <t>0300093</t>
  </si>
  <si>
    <t>ธ. ออมสิน สาขา สุรินทร์</t>
  </si>
  <si>
    <t>0300094</t>
  </si>
  <si>
    <t>ธ. ออมสิน สาขา ชัยภูมิ</t>
  </si>
  <si>
    <t>0300095</t>
  </si>
  <si>
    <t>ธ. ออมสิน สาขา ศรีสะเกษ</t>
  </si>
  <si>
    <t>0300096</t>
  </si>
  <si>
    <t>ธ. ออมสิน สาขา บุรีรัมย์</t>
  </si>
  <si>
    <t>0300097</t>
  </si>
  <si>
    <t>ธ. ออมสิน สาขา สกลนคร</t>
  </si>
  <si>
    <t>0300098</t>
  </si>
  <si>
    <t>ธ. ออมสิน สาขา นครพนม</t>
  </si>
  <si>
    <t>0300099</t>
  </si>
  <si>
    <t>ธ. ออมสิน สาขา เลย</t>
  </si>
  <si>
    <t>0300100</t>
  </si>
  <si>
    <t>ธ. ออมสิน สาขา กาฬสินธุ์</t>
  </si>
  <si>
    <t>0300101</t>
  </si>
  <si>
    <t>ธ. ออมสิน สาขา พัทลุง</t>
  </si>
  <si>
    <t>0300102</t>
  </si>
  <si>
    <t>ธ. ออมสิน สาขา สตูล</t>
  </si>
  <si>
    <t>0300103</t>
  </si>
  <si>
    <t>ธ. ออมสิน สาขา ปัตตานี</t>
  </si>
  <si>
    <t>0300104</t>
  </si>
  <si>
    <t>ธ. ออมสิน สาขา นราธิวาส</t>
  </si>
  <si>
    <t>0300105</t>
  </si>
  <si>
    <t>ธ. ออมสิน สาขา กระบี่</t>
  </si>
  <si>
    <t>0300106</t>
  </si>
  <si>
    <t>ธ. ออมสิน สาขา มหาวิทยาลัยเกษตรศาสตร์</t>
  </si>
  <si>
    <t>0300107</t>
  </si>
  <si>
    <t>ธ. ออมสิน สาขา ทำเนียบรัฐบาล</t>
  </si>
  <si>
    <t>0300108</t>
  </si>
  <si>
    <t>ธ. ออมสิน สาขา มหาดไทย</t>
  </si>
  <si>
    <t>0300109</t>
  </si>
  <si>
    <t>ธ. ออมสิน สาขา ยุติธรรม (ถนนรัชดาภิเษก)</t>
  </si>
  <si>
    <t>0300110</t>
  </si>
  <si>
    <t>ธ. ออมสิน สาขา เกาะคา</t>
  </si>
  <si>
    <t>0300111</t>
  </si>
  <si>
    <t>ธ. ออมสิน สาขา จัตุรัส</t>
  </si>
  <si>
    <t>0300112</t>
  </si>
  <si>
    <t>ธ. ออมสิน สาขา สัตหีบ</t>
  </si>
  <si>
    <t>0300113</t>
  </si>
  <si>
    <t>ธ. ออมสิน สาขา ท่าใหม่</t>
  </si>
  <si>
    <t>0300114</t>
  </si>
  <si>
    <t>ธ. ออมสิน สาขา บางนา</t>
  </si>
  <si>
    <t>0300115</t>
  </si>
  <si>
    <t>ธ. ออมสิน สาขา จักรวรรดิ</t>
  </si>
  <si>
    <t>0300116</t>
  </si>
  <si>
    <t>ธ. ออมสิน สาขา มุกดาหาร</t>
  </si>
  <si>
    <t>0300117</t>
  </si>
  <si>
    <t>ธ. ออมสิน สาขา เสนา</t>
  </si>
  <si>
    <t>0300118</t>
  </si>
  <si>
    <t>ธ. ออมสิน สาขา ภาชี</t>
  </si>
  <si>
    <t>0300119</t>
  </si>
  <si>
    <t>ธ. ออมสิน สาขา ท่าเรือ (อยุธยา)</t>
  </si>
  <si>
    <t>0300120</t>
  </si>
  <si>
    <t>ธ. ออมสิน สาขา ผักไห่</t>
  </si>
  <si>
    <t>0300121</t>
  </si>
  <si>
    <t>ธ. ออมสิน สาขา บ้านแพรก</t>
  </si>
  <si>
    <t>0300122</t>
  </si>
  <si>
    <t>ธ. ออมสิน สาขา มหาราช</t>
  </si>
  <si>
    <t>0300123</t>
  </si>
  <si>
    <t>ธ. ออมสิน สาขา บางปะอิน</t>
  </si>
  <si>
    <t>0300124</t>
  </si>
  <si>
    <t>ธ. ออมสิน สาขา อุทัย</t>
  </si>
  <si>
    <t>0300125</t>
  </si>
  <si>
    <t>ธ. ออมสิน สาขา บางปะหัน</t>
  </si>
  <si>
    <t>0300126</t>
  </si>
  <si>
    <t>ธ. ออมสิน สาขา ลำลูกกา</t>
  </si>
  <si>
    <t>0300127</t>
  </si>
  <si>
    <t>ธ. ออมสิน สาขา อัมพวา</t>
  </si>
  <si>
    <t>0300128</t>
  </si>
  <si>
    <t>ธ. ออมสิน สาขา บางคนที</t>
  </si>
  <si>
    <t>0300129</t>
  </si>
  <si>
    <t>ธ. ออมสิน สาขา กระทุ่มแบน</t>
  </si>
  <si>
    <t>0300130</t>
  </si>
  <si>
    <t>ธ. ออมสิน สาขา บ้านแพ้ว</t>
  </si>
  <si>
    <t>0300131</t>
  </si>
  <si>
    <t>ธ. ออมสิน สาขา สามพราน</t>
  </si>
  <si>
    <t>0300132</t>
  </si>
  <si>
    <t>ธ. ออมสิน สาขา บางเลน</t>
  </si>
  <si>
    <t>0300133</t>
  </si>
  <si>
    <t>ธ. ออมสิน สาขา ดำเนินสะดวก</t>
  </si>
  <si>
    <t>0300134</t>
  </si>
  <si>
    <t>ธ. ออมสิน สาขา โพธาราม</t>
  </si>
  <si>
    <t>0300135</t>
  </si>
  <si>
    <t>ธ. ออมสิน สาขา ปากท่อ</t>
  </si>
  <si>
    <t>0300136</t>
  </si>
  <si>
    <t>ธ. ออมสิน สาขา จอมบึง</t>
  </si>
  <si>
    <t>0300137</t>
  </si>
  <si>
    <t>ธ. ออมสิน สาขา สองพี่น้อง</t>
  </si>
  <si>
    <t>0300138</t>
  </si>
  <si>
    <t>ธ. ออมสิน สาขา สามชุก</t>
  </si>
  <si>
    <t>0300139</t>
  </si>
  <si>
    <t>ธ. ออมสิน สาขา ศรีประจันต์</t>
  </si>
  <si>
    <t>0300140</t>
  </si>
  <si>
    <t>ธ. ออมสิน สาขา เดิมบางนางบวช</t>
  </si>
  <si>
    <t>0300141</t>
  </si>
  <si>
    <t>ธ. ออมสิน สาขา บางปลาม้า</t>
  </si>
  <si>
    <t>0300142</t>
  </si>
  <si>
    <t>ธ. ออมสิน สาขา อู่ทอง</t>
  </si>
  <si>
    <t>0300143</t>
  </si>
  <si>
    <t>ธ. ออมสิน สาขา ท่ายาง</t>
  </si>
  <si>
    <t>0300144</t>
  </si>
  <si>
    <t>ธ. ออมสิน สาขา บ้านแหลม</t>
  </si>
  <si>
    <t>0300145</t>
  </si>
  <si>
    <t>ธ. ออมสิน สาขา ชะอำ</t>
  </si>
  <si>
    <t>0300146</t>
  </si>
  <si>
    <t>ธ. ออมสิน สาขา หัวหิน</t>
  </si>
  <si>
    <t>0300147</t>
  </si>
  <si>
    <t>ธ. ออมสิน สาขา ทับสะแก</t>
  </si>
  <si>
    <t>0300148</t>
  </si>
  <si>
    <t>ธ. ออมสิน สาขา ค่ายธนะรัชต์</t>
  </si>
  <si>
    <t>0300149</t>
  </si>
  <si>
    <t>ธ. ออมสิน สาขา ท่าเรือ(กาจนบุรี)</t>
  </si>
  <si>
    <t>0300150</t>
  </si>
  <si>
    <t>ธ. ออมสิน สาขา ท่าม่วง</t>
  </si>
  <si>
    <t>0300151</t>
  </si>
  <si>
    <t>ธ. ออมสิน สาขา ท่ามะกา</t>
  </si>
  <si>
    <t>0300152</t>
  </si>
  <si>
    <t>ธ. ออมสิน สาขา พนมทวน</t>
  </si>
  <si>
    <t>0300153</t>
  </si>
  <si>
    <t>ธ. ออมสิน สาขา วิเศษชัยชาญ</t>
  </si>
  <si>
    <t>0300154</t>
  </si>
  <si>
    <t>ธ. ออมสิน สาขา โพธิ์ทอง</t>
  </si>
  <si>
    <t>0300155</t>
  </si>
  <si>
    <t>ธ. ออมสิน สาขา ป่าโมก</t>
  </si>
  <si>
    <t>0300156</t>
  </si>
  <si>
    <t>ธ. ออมสิน สาขา นครหลวง</t>
  </si>
  <si>
    <t>0300157</t>
  </si>
  <si>
    <t>ธ. ออมสิน สาขา บางสะพาน</t>
  </si>
  <si>
    <t>0300158</t>
  </si>
  <si>
    <t>ธ. ออมสิน สาขา ปราณบุรี</t>
  </si>
  <si>
    <t>0300159</t>
  </si>
  <si>
    <t>ธ. ออมสิน สาขา บางคล้า</t>
  </si>
  <si>
    <t>0300160</t>
  </si>
  <si>
    <t>ธ. ออมสิน สาขา บางปะกง</t>
  </si>
  <si>
    <t>0300161</t>
  </si>
  <si>
    <t>ธ. ออมสิน สาขา พนมสารคาม</t>
  </si>
  <si>
    <t>0300162</t>
  </si>
  <si>
    <t>ธ. ออมสิน สาขา พระพุทธบาท</t>
  </si>
  <si>
    <t>0300163</t>
  </si>
  <si>
    <t>ธ. ออมสิน สาขา แก่งคอย</t>
  </si>
  <si>
    <t>0300164</t>
  </si>
  <si>
    <t>ธ. ออมสิน สาขา หนองแค</t>
  </si>
  <si>
    <t>0300165</t>
  </si>
  <si>
    <t>ธ. ออมสิน สาขา บ้านหมอ</t>
  </si>
  <si>
    <t>0300166</t>
  </si>
  <si>
    <t>ธ. ออมสิน สาขา มวกเหล็ก</t>
  </si>
  <si>
    <t>0300167</t>
  </si>
  <si>
    <t>ธ. ออมสิน สาขา โคกกระเทียม</t>
  </si>
  <si>
    <t>0300168</t>
  </si>
  <si>
    <t>ธ. ออมสิน สาขา โคกสำโรง</t>
  </si>
  <si>
    <t>0300169</t>
  </si>
  <si>
    <t>ธ. ออมสิน สาขา บ้านหมี่</t>
  </si>
  <si>
    <t>0300170</t>
  </si>
  <si>
    <t>ธ. ออมสิน สาขา พัฒนานิคม</t>
  </si>
  <si>
    <t>0300171</t>
  </si>
  <si>
    <t>ธ. ออมสิน สาขา อินทร์บุรี</t>
  </si>
  <si>
    <t>0300172</t>
  </si>
  <si>
    <t>ธ. ออมสิน สาขา บางระจัน</t>
  </si>
  <si>
    <t>0300173</t>
  </si>
  <si>
    <t>ธ. ออมสิน สาขา กบินทร์บุรี</t>
  </si>
  <si>
    <t>0300174</t>
  </si>
  <si>
    <t>ธ. ออมสิน สาขา อรัญประเทศ</t>
  </si>
  <si>
    <t>0300175</t>
  </si>
  <si>
    <t>ธ. ออมสิน สาขา ประจันตคาม</t>
  </si>
  <si>
    <t>0300176</t>
  </si>
  <si>
    <t>ธ. ออมสิน สาขา ศรีมหาโพธิ</t>
  </si>
  <si>
    <t>0300177</t>
  </si>
  <si>
    <t>ธ. ออมสิน สาขา สระแก้ว</t>
  </si>
  <si>
    <t>0300178</t>
  </si>
  <si>
    <t>ธ. ออมสิน สาขา บ้านนา</t>
  </si>
  <si>
    <t>0300179</t>
  </si>
  <si>
    <t>ธ. ออมสิน สาขา พนัสนิคม</t>
  </si>
  <si>
    <t>0300180</t>
  </si>
  <si>
    <t>ธ. ออมสิน สาขา บางละมุง</t>
  </si>
  <si>
    <t>0300181</t>
  </si>
  <si>
    <t>ธ. ออมสิน สาขา บ้านบึง</t>
  </si>
  <si>
    <t>0300182</t>
  </si>
  <si>
    <t>ธ. ออมสิน สาขา หนองมน</t>
  </si>
  <si>
    <t>0300183</t>
  </si>
  <si>
    <t>ธ. ออมสิน สาขา พานทอง</t>
  </si>
  <si>
    <t>0300184</t>
  </si>
  <si>
    <t>ธ. ออมสิน สาขา หัวกุญแจ</t>
  </si>
  <si>
    <t>0300185</t>
  </si>
  <si>
    <t>ธ. ออมสิน สาขา แกลง</t>
  </si>
  <si>
    <t>0300186</t>
  </si>
  <si>
    <t>ธ. ออมสิน สาขา บ้านค่าย</t>
  </si>
  <si>
    <t>0300187</t>
  </si>
  <si>
    <t>ธ. ออมสิน สาขา บ้านฉาง</t>
  </si>
  <si>
    <t>0300188</t>
  </si>
  <si>
    <t>ธ. ออมสิน สาขา ขลุง</t>
  </si>
  <si>
    <t>0300189</t>
  </si>
  <si>
    <t>ธ. ออมสิน สาขา ลำนารายณ์</t>
  </si>
  <si>
    <t>0300190</t>
  </si>
  <si>
    <t>ธ. ออมสิน สาขา วังน้ำเย็น</t>
  </si>
  <si>
    <t>0300191</t>
  </si>
  <si>
    <t>ธ. ออมสิน สาขา พยุหะคีรี</t>
  </si>
  <si>
    <t>0300192</t>
  </si>
  <si>
    <t>ธ. ออมสิน สาขา ชุมแสง</t>
  </si>
  <si>
    <t>0300193</t>
  </si>
  <si>
    <t>ธ. ออมสิน สาขา บรรพตพิสัย</t>
  </si>
  <si>
    <t>0300194</t>
  </si>
  <si>
    <t>ธ. ออมสิน สาขา ตาคลี</t>
  </si>
  <si>
    <t>0300195</t>
  </si>
  <si>
    <t>ธ. ออมสิน สาขา ลาดยาว</t>
  </si>
  <si>
    <t>0300196</t>
  </si>
  <si>
    <t>ธ. ออมสิน สาขา ท่าตะโก</t>
  </si>
  <si>
    <t>0300197</t>
  </si>
  <si>
    <t>ธ. ออมสิน สาขา ตากฟ้า</t>
  </si>
  <si>
    <t>0300198</t>
  </si>
  <si>
    <t>ธ. ออมสิน สาขา ศรีสำโรง</t>
  </si>
  <si>
    <t>0300199</t>
  </si>
  <si>
    <t>ธ. ออมสิน สาขา ศรีสัชนาลัย</t>
  </si>
  <si>
    <t>0300200</t>
  </si>
  <si>
    <t>ธ. ออมสิน สาขา ทุ่งเสลี่ยม</t>
  </si>
  <si>
    <t>0300201</t>
  </si>
  <si>
    <t>ธ. ออมสิน สาขา พรหมพิราม</t>
  </si>
  <si>
    <t>0300202</t>
  </si>
  <si>
    <t>ธ. ออมสิน สาขา บางกระทุ่ม</t>
  </si>
  <si>
    <t>0300203</t>
  </si>
  <si>
    <t>ธ. ออมสิน สาขา นางพญา</t>
  </si>
  <si>
    <t>0300204</t>
  </si>
  <si>
    <t>ธ. ออมสิน สาขา วังทอง</t>
  </si>
  <si>
    <t>0300205</t>
  </si>
  <si>
    <t>ธ. ออมสิน สาขา แม่สอด</t>
  </si>
  <si>
    <t>0300206</t>
  </si>
  <si>
    <t>ธ. ออมสิน สาขา หล่มสัก</t>
  </si>
  <si>
    <t>0300207</t>
  </si>
  <si>
    <t>ธ. ออมสิน สาขา หนองไผ่</t>
  </si>
  <si>
    <t>0300208</t>
  </si>
  <si>
    <t>ธ. ออมสิน สาขา ซับสมอทอด</t>
  </si>
  <si>
    <t>0300209</t>
  </si>
  <si>
    <t>ธ. ออมสิน สาขา พรานกระต่าย</t>
  </si>
  <si>
    <t>0300210</t>
  </si>
  <si>
    <t>ธ. ออมสิน สาขา ตะพานหิน</t>
  </si>
  <si>
    <t>0300211</t>
  </si>
  <si>
    <t>ธ. ออมสิน สาขา บางมูลนาก</t>
  </si>
  <si>
    <t>0300212</t>
  </si>
  <si>
    <t>ธ. ออมสิน สาขา มโนรมย์</t>
  </si>
  <si>
    <t>0300213</t>
  </si>
  <si>
    <t>ธ. ออมสิน สาขา วัดสิงห์</t>
  </si>
  <si>
    <t>0300214</t>
  </si>
  <si>
    <t>ธ. ออมสิน สาขา หันคา</t>
  </si>
  <si>
    <t>0300215</t>
  </si>
  <si>
    <t>ธ. ออมสิน สาขา สรรคบุรี</t>
  </si>
  <si>
    <t>0300216</t>
  </si>
  <si>
    <t>ธ. ออมสิน สาขา หนองฉาง</t>
  </si>
  <si>
    <t>0300217</t>
  </si>
  <si>
    <t>ธ. ออมสิน สาขา หล่มเก่า</t>
  </si>
  <si>
    <t>0300218</t>
  </si>
  <si>
    <t>ธ. ออมสิน สาขา สันป่าตอง</t>
  </si>
  <si>
    <t>0300219</t>
  </si>
  <si>
    <t>ธ. ออมสิน สาขา สันกำแพง</t>
  </si>
  <si>
    <t>0300220</t>
  </si>
  <si>
    <t>ธ. ออมสิน สาขา สารภี</t>
  </si>
  <si>
    <t>0300221</t>
  </si>
  <si>
    <t>ธ. ออมสิน สาขา จอมทอง</t>
  </si>
  <si>
    <t>0300222</t>
  </si>
  <si>
    <t>ธ. ออมสิน สาขา ประตูช้างเผือก</t>
  </si>
  <si>
    <t>0300223</t>
  </si>
  <si>
    <t>ธ. ออมสิน สาขา แม่ริม</t>
  </si>
  <si>
    <t>0300224</t>
  </si>
  <si>
    <t>ธ. ออมสิน สาขา สันทราย</t>
  </si>
  <si>
    <t>0300225</t>
  </si>
  <si>
    <t>ธ. ออมสิน สาขา ดอยสะเก็ด</t>
  </si>
  <si>
    <t>0300226</t>
  </si>
  <si>
    <t>ธ. ออมสิน สาขา งาว</t>
  </si>
  <si>
    <t>0300227</t>
  </si>
  <si>
    <t>ธ. ออมสิน สาขา เถิน</t>
  </si>
  <si>
    <t>0300228</t>
  </si>
  <si>
    <t>ธ. ออมสิน สาขา ห้างฉัตร</t>
  </si>
  <si>
    <t>0300229</t>
  </si>
  <si>
    <t>ธ. ออมสิน สาขา แจ้ห่ม</t>
  </si>
  <si>
    <t>0300230</t>
  </si>
  <si>
    <t>ธ. ออมสิน สาขา สบตุ๋ย</t>
  </si>
  <si>
    <t>0300231</t>
  </si>
  <si>
    <t>ธ. ออมสิน สาขา ป่าซาง</t>
  </si>
  <si>
    <t>0300232</t>
  </si>
  <si>
    <t>ธ. ออมสิน สาขา พิชัย</t>
  </si>
  <si>
    <t>0300233</t>
  </si>
  <si>
    <t>ธ. ออมสิน สาขา ลับแล</t>
  </si>
  <si>
    <t>0300234</t>
  </si>
  <si>
    <t>ธ. ออมสิน สาขา ตรอน</t>
  </si>
  <si>
    <t>0300235</t>
  </si>
  <si>
    <t>ธ. ออมสิน สาขา เด่นชัย</t>
  </si>
  <si>
    <t>0300236</t>
  </si>
  <si>
    <t>ธ. ออมสิน สาขา สอง</t>
  </si>
  <si>
    <t>0300237</t>
  </si>
  <si>
    <t>ธ. ออมสิน สาขา ร้องกวาง</t>
  </si>
  <si>
    <t>0300238</t>
  </si>
  <si>
    <t>ธ. ออมสิน สาขา พาน</t>
  </si>
  <si>
    <t>0300239</t>
  </si>
  <si>
    <t>ธ. ออมสิน สาขา แม่จัน</t>
  </si>
  <si>
    <t>0300240</t>
  </si>
  <si>
    <t>ธ. ออมสิน สาขา แม่สาย</t>
  </si>
  <si>
    <t>0300241</t>
  </si>
  <si>
    <t>ธ. ออมสิน สาขา เชียงคำ</t>
  </si>
  <si>
    <t>0300242</t>
  </si>
  <si>
    <t>ธ. ออมสิน สาขา แม่สะเรียง</t>
  </si>
  <si>
    <t>0300243</t>
  </si>
  <si>
    <t>ธ. ออมสิน สาขา เวียงสา</t>
  </si>
  <si>
    <t>0300244</t>
  </si>
  <si>
    <t>ธ. ออมสิน สาขา ปัว</t>
  </si>
  <si>
    <t>0300245</t>
  </si>
  <si>
    <t>ธ. ออมสิน สาขา บัวใหญ่</t>
  </si>
  <si>
    <t>0300246</t>
  </si>
  <si>
    <t>ธ. ออมสิน สาขา ปักธงชัย</t>
  </si>
  <si>
    <t>0300247</t>
  </si>
  <si>
    <t>ธ. ออมสิน สาขา พิมาย</t>
  </si>
  <si>
    <t>0300248</t>
  </si>
  <si>
    <t>ธ. ออมสิน สาขา สูงเนิน</t>
  </si>
  <si>
    <t>0300249</t>
  </si>
  <si>
    <t>ธ. ออมสิน สาขา สีคิ้ว</t>
  </si>
  <si>
    <t>0300250</t>
  </si>
  <si>
    <t>ธ. ออมสิน สาขา โชคชัย</t>
  </si>
  <si>
    <t>0300251</t>
  </si>
  <si>
    <t>ธ. ออมสิน สาขา โนนสูง</t>
  </si>
  <si>
    <t>0300252</t>
  </si>
  <si>
    <t>ธ. ออมสิน สาขา มุขมนตรี</t>
  </si>
  <si>
    <t>0300253</t>
  </si>
  <si>
    <t>ธ. ออมสิน สาขา สุรนารี</t>
  </si>
  <si>
    <t>0300254</t>
  </si>
  <si>
    <t>ธ. ออมสิน สาขา คง</t>
  </si>
  <si>
    <t>0300255</t>
  </si>
  <si>
    <t>ธ. ออมสิน สาขา ด่านขุนทด</t>
  </si>
  <si>
    <t>0300256</t>
  </si>
  <si>
    <t>ธ. ออมสิน สาขา พิบูลมังสาหาร</t>
  </si>
  <si>
    <t>0300257</t>
  </si>
  <si>
    <t>ธ. ออมสิน สาขา อำนาจเจริญ</t>
  </si>
  <si>
    <t>0300258</t>
  </si>
  <si>
    <t>ธ. ออมสิน สาขา วารินชำราบ</t>
  </si>
  <si>
    <t>0300259</t>
  </si>
  <si>
    <t>ธ. ออมสิน สาขา เดชอุดม</t>
  </si>
  <si>
    <t>0300260</t>
  </si>
  <si>
    <t>ธ. ออมสิน สาขา เขื่องใน</t>
  </si>
  <si>
    <t>0300261</t>
  </si>
  <si>
    <t>ธ. ออมสิน สาขา เลิงนกทา</t>
  </si>
  <si>
    <t>0300262</t>
  </si>
  <si>
    <t>ธ. ออมสิน สาขา ศีขรภูมิ</t>
  </si>
  <si>
    <t>0300263</t>
  </si>
  <si>
    <t>ธ. ออมสิน สาขา รัตนบุรี</t>
  </si>
  <si>
    <t>0300264</t>
  </si>
  <si>
    <t>ธ. ออมสิน สาขา ท่าตูม</t>
  </si>
  <si>
    <t>0300265</t>
  </si>
  <si>
    <t>ธ. ออมสิน สาขา ภูเขียว</t>
  </si>
  <si>
    <t>0300266</t>
  </si>
  <si>
    <t>ธ. ออมสิน สาขา กันทรลักษ์</t>
  </si>
  <si>
    <t>0300267</t>
  </si>
  <si>
    <t>ธ. ออมสิน สาขา ราษีไศล</t>
  </si>
  <si>
    <t>0300268</t>
  </si>
  <si>
    <t>ธ. ออมสิน สาขา นางรอง</t>
  </si>
  <si>
    <t>0300269</t>
  </si>
  <si>
    <t>ธ. ออมสิน สาขา ลำปลายมาศ</t>
  </si>
  <si>
    <t>0300270</t>
  </si>
  <si>
    <t>ธ. ออมสิน สาขา ประโคนชัย</t>
  </si>
  <si>
    <t>0300271</t>
  </si>
  <si>
    <t>ธ. ออมสิน สาขา สตึก</t>
  </si>
  <si>
    <t>0300272</t>
  </si>
  <si>
    <t>ธ. ออมสิน สาขา พุทไธสง</t>
  </si>
  <si>
    <t>0300273</t>
  </si>
  <si>
    <t>ธ. ออมสิน สาขา โนนไทย</t>
  </si>
  <si>
    <t>0300274</t>
  </si>
  <si>
    <t>ธ. ออมสิน สาขา ชุมพวง</t>
  </si>
  <si>
    <t>0300275</t>
  </si>
  <si>
    <t>ธ. ออมสิน สาขา พล</t>
  </si>
  <si>
    <t>0300276</t>
  </si>
  <si>
    <t>ธ. ออมสิน สาขา ชุมแพ</t>
  </si>
  <si>
    <t>0300277</t>
  </si>
  <si>
    <t>ธ. ออมสิน สาขา น้ำพอง</t>
  </si>
  <si>
    <t>0300278</t>
  </si>
  <si>
    <t>ธ. ออมสิน สาขา มัญจาคีรี</t>
  </si>
  <si>
    <t>0300279</t>
  </si>
  <si>
    <t>ธ. ออมสิน สาขา ภูเวียง</t>
  </si>
  <si>
    <t>0300280</t>
  </si>
  <si>
    <t>ธ. ออมสิน สาขา มะลิวัลย์</t>
  </si>
  <si>
    <t>0300281</t>
  </si>
  <si>
    <t>ธ. ออมสิน สาขา โกสุมพิสัย</t>
  </si>
  <si>
    <t>0300282</t>
  </si>
  <si>
    <t>ธ. ออมสิน สาขา บรบือ</t>
  </si>
  <si>
    <t>0300283</t>
  </si>
  <si>
    <t>ธ. ออมสิน สาขา วาปีปทุม</t>
  </si>
  <si>
    <t>0300284</t>
  </si>
  <si>
    <t>ธ. ออมสิน สาขา พยัคฆภูมิพิสัย</t>
  </si>
  <si>
    <t>0300285</t>
  </si>
  <si>
    <t>ธ. ออมสิน สาขา สุวรรณภูมิ</t>
  </si>
  <si>
    <t>0300286</t>
  </si>
  <si>
    <t>ธ. ออมสิน สาขา โพนทอง</t>
  </si>
  <si>
    <t>0300287</t>
  </si>
  <si>
    <t>ธ. ออมสิน สาขา เกษตรวิสัย</t>
  </si>
  <si>
    <t>0300288</t>
  </si>
  <si>
    <t>ธ. ออมสิน สาขา จตุรพักตรพิมาน</t>
  </si>
  <si>
    <t>0300289</t>
  </si>
  <si>
    <t>ธ. ออมสิน สาขา เสลภูมิ</t>
  </si>
  <si>
    <t>0300290</t>
  </si>
  <si>
    <t>ธ. ออมสิน สาขา พนมไพร</t>
  </si>
  <si>
    <t>0300291</t>
  </si>
  <si>
    <t>ธ. ออมสิน สาขา อาจสามารถ</t>
  </si>
  <si>
    <t>0300292</t>
  </si>
  <si>
    <t>ธ. ออมสิน สาขา ท่าบ่อ</t>
  </si>
  <si>
    <t>0300293</t>
  </si>
  <si>
    <t>ธ. ออมสิน สาขา โพนพิสัย</t>
  </si>
  <si>
    <t>0300294</t>
  </si>
  <si>
    <t>ธ. ออมสิน สาขา ศรีเชียงใหม่</t>
  </si>
  <si>
    <t>0300295</t>
  </si>
  <si>
    <t>ธ. ออมสิน สาขา บึงกาฬ</t>
  </si>
  <si>
    <t>0300296</t>
  </si>
  <si>
    <t>ธ. ออมสิน สาขา สว่างแดนดิน</t>
  </si>
  <si>
    <t>0300297</t>
  </si>
  <si>
    <t>ธ. ออมสิน สาขา วานรนิวาส</t>
  </si>
  <si>
    <t>0300298</t>
  </si>
  <si>
    <t>ธ. ออมสิน สาขา พังโคน</t>
  </si>
  <si>
    <t>0300299</t>
  </si>
  <si>
    <t>ธ. ออมสิน สาขา ธาตุพนม</t>
  </si>
  <si>
    <t>0300300</t>
  </si>
  <si>
    <t>ธ. ออมสิน สาขา ท่าอุเทน</t>
  </si>
  <si>
    <t>0300301</t>
  </si>
  <si>
    <t>ธ. ออมสิน สาขา บ้านแพง</t>
  </si>
  <si>
    <t>0300302</t>
  </si>
  <si>
    <t>ธ. ออมสิน สาขา นาแก</t>
  </si>
  <si>
    <t>0300303</t>
  </si>
  <si>
    <t>ธ. ออมสิน สาขา เชียงคาน</t>
  </si>
  <si>
    <t>0300304</t>
  </si>
  <si>
    <t>ธ. ออมสิน สาขา วังสะพุง</t>
  </si>
  <si>
    <t>0300305</t>
  </si>
  <si>
    <t>ธ. ออมสิน สาขา กุฉินารายณ์</t>
  </si>
  <si>
    <t>0300306</t>
  </si>
  <si>
    <t>ธ. ออมสิน สาขา กุมภวาปี</t>
  </si>
  <si>
    <t>0300307</t>
  </si>
  <si>
    <t>ธ. ออมสิน สาขา หนองหาน</t>
  </si>
  <si>
    <t>0300308</t>
  </si>
  <si>
    <t>ธ. ออมสิน สาขา หนองบัวลำภู</t>
  </si>
  <si>
    <t>0300309</t>
  </si>
  <si>
    <t>ธ. ออมสิน สาขา บ้านผือ</t>
  </si>
  <si>
    <t>0300310</t>
  </si>
  <si>
    <t>ธ. ออมสิน สาขา เพ็ญ</t>
  </si>
  <si>
    <t>0300311</t>
  </si>
  <si>
    <t>ธ. ออมสิน สาขา บ้านดุง</t>
  </si>
  <si>
    <t>0300312</t>
  </si>
  <si>
    <t>ธ. ออมสิน สาขา ศรีบุญเรือง</t>
  </si>
  <si>
    <t>0300313</t>
  </si>
  <si>
    <t>ธ. ออมสิน สาขา น้ำโสม</t>
  </si>
  <si>
    <t>0300314</t>
  </si>
  <si>
    <t>ธ. ออมสิน สาขา กระนวน</t>
  </si>
  <si>
    <t>0300315</t>
  </si>
  <si>
    <t>ธ. ออมสิน สาขา พรเจริญ</t>
  </si>
  <si>
    <t>0300316</t>
  </si>
  <si>
    <t>ธ. ออมสิน สาขา ไชยา</t>
  </si>
  <si>
    <t>0300317</t>
  </si>
  <si>
    <t>ธ. ออมสิน สาขา บ้านนาสาร</t>
  </si>
  <si>
    <t>0300318</t>
  </si>
  <si>
    <t>ธ. ออมสิน สาขา พุนพิน</t>
  </si>
  <si>
    <t>0300319</t>
  </si>
  <si>
    <t>ธ. ออมสิน สาขา เกาะสมุย</t>
  </si>
  <si>
    <t>0300320</t>
  </si>
  <si>
    <t>ธ. ออมสิน สาขา พระแสง</t>
  </si>
  <si>
    <t>0300321</t>
  </si>
  <si>
    <t>ธ. ออมสิน สาขา กาญจนดิษฐ์</t>
  </si>
  <si>
    <t>0300322</t>
  </si>
  <si>
    <t>ธ. ออมสิน สาขา ท่าฉาง</t>
  </si>
  <si>
    <t>0300323</t>
  </si>
  <si>
    <t>ธ. ออมสิน สาขา เวียงสระ</t>
  </si>
  <si>
    <t>0300324</t>
  </si>
  <si>
    <t>ธ. ออมสิน สาขา ปากพนัง</t>
  </si>
  <si>
    <t>0300325</t>
  </si>
  <si>
    <t>ธ. ออมสิน สาขา ร่อนพิบูลย์</t>
  </si>
  <si>
    <t>0300326</t>
  </si>
  <si>
    <t>ธ. ออมสิน สาขา ฉวาง</t>
  </si>
  <si>
    <t>0300327</t>
  </si>
  <si>
    <t>ธ. ออมสิน สาขา สิชล</t>
  </si>
  <si>
    <t>0300328</t>
  </si>
  <si>
    <t>ธ. ออมสิน สาขา ท่าศาลา</t>
  </si>
  <si>
    <t>0300329</t>
  </si>
  <si>
    <t>ธ. ออมสิน สาขา ชะอวด</t>
  </si>
  <si>
    <t>0300330</t>
  </si>
  <si>
    <t>ธ. ออมสิน สาขา เชียรใหญ่</t>
  </si>
  <si>
    <t>0300331</t>
  </si>
  <si>
    <t>ธ. ออมสิน สาขา หัวไทร</t>
  </si>
  <si>
    <t>0300332</t>
  </si>
  <si>
    <t>ธ. ออมสิน สาขา หลังสวน</t>
  </si>
  <si>
    <t>0300333</t>
  </si>
  <si>
    <t>ธ. ออมสิน สาขา สวี</t>
  </si>
  <si>
    <t>0300334</t>
  </si>
  <si>
    <t>ธ. ออมสิน สาขา ท่าแซะ</t>
  </si>
  <si>
    <t>0300335</t>
  </si>
  <si>
    <t>ธ. ออมสิน สาขา ปากน้ำชุมพร</t>
  </si>
  <si>
    <t>0300336</t>
  </si>
  <si>
    <t>ธ. ออมสิน สาขา กระบุรี</t>
  </si>
  <si>
    <t>0300337</t>
  </si>
  <si>
    <t>ธ. ออมสิน สาขา ตะกั่วป่า</t>
  </si>
  <si>
    <t>0300338</t>
  </si>
  <si>
    <t>ธ. ออมสิน สาขา โคกกลอย</t>
  </si>
  <si>
    <t>0300339</t>
  </si>
  <si>
    <t>ธ. ออมสิน สาขา ท้ายเหมือง</t>
  </si>
  <si>
    <t>0300340</t>
  </si>
  <si>
    <t>ธ. ออมสิน สาขา ขนอม</t>
  </si>
  <si>
    <t>0300341</t>
  </si>
  <si>
    <t>ธ. ออมสิน สาขา ท่าชนะ</t>
  </si>
  <si>
    <t>0300342</t>
  </si>
  <si>
    <t>ธ. ออมสิน สาขา ระโนด</t>
  </si>
  <si>
    <t>0300343</t>
  </si>
  <si>
    <t>ธ. ออมสิน สาขา สะเดา</t>
  </si>
  <si>
    <t>0300344</t>
  </si>
  <si>
    <t>ธ. ออมสิน สาขา รัตนภูมิ</t>
  </si>
  <si>
    <t>0300345</t>
  </si>
  <si>
    <t>ธ. ออมสิน สาขา สทิงพระ</t>
  </si>
  <si>
    <t>0300346</t>
  </si>
  <si>
    <t>ธ. ออมสิน สาขา คลองแงะ</t>
  </si>
  <si>
    <t>0300347</t>
  </si>
  <si>
    <t>ธ. ออมสิน สาขา จะนะ</t>
  </si>
  <si>
    <t>0300348</t>
  </si>
  <si>
    <t>ธ. ออมสิน สาขา เทพา</t>
  </si>
  <si>
    <t>0300349</t>
  </si>
  <si>
    <t>ธ. ออมสิน สาขา นาทวี</t>
  </si>
  <si>
    <t>0300350</t>
  </si>
  <si>
    <t>ธ. ออมสิน สาขา ย่านตาขาว</t>
  </si>
  <si>
    <t>0300351</t>
  </si>
  <si>
    <t>ธ. ออมสิน สาขา ห้วยยอด</t>
  </si>
  <si>
    <t>0300352</t>
  </si>
  <si>
    <t>ธ. ออมสิน สาขา กันตัง</t>
  </si>
  <si>
    <t>0300353</t>
  </si>
  <si>
    <t>ธ. ออมสิน สาขา ปากพะยูน</t>
  </si>
  <si>
    <t>0300354</t>
  </si>
  <si>
    <t>ธ. ออมสิน สาขา เขาชัยสน</t>
  </si>
  <si>
    <t>0300355</t>
  </si>
  <si>
    <t>ธ. ออมสิน สาขา ควนขนุน</t>
  </si>
  <si>
    <t>0300356</t>
  </si>
  <si>
    <t>ธ. ออมสิน สาขา ละงู</t>
  </si>
  <si>
    <t>0300357</t>
  </si>
  <si>
    <t>ธ. ออมสิน สาขา สายบุรี</t>
  </si>
  <si>
    <t>0300358</t>
  </si>
  <si>
    <t>ธ. ออมสิน สาขา เบตง</t>
  </si>
  <si>
    <t>0300359</t>
  </si>
  <si>
    <t>ธ. ออมสิน สาขา สุไหงโก-ลก</t>
  </si>
  <si>
    <t>0300360</t>
  </si>
  <si>
    <t>ธ. ออมสิน สาขา ตากใบ</t>
  </si>
  <si>
    <t>0300361</t>
  </si>
  <si>
    <t>ธ. ออมสิน สาขา รือเสาะ</t>
  </si>
  <si>
    <t>0300362</t>
  </si>
  <si>
    <t>ธ. ออมสิน สาขา ปากเกร็ด</t>
  </si>
  <si>
    <t>0300363</t>
  </si>
  <si>
    <t>ธ. ออมสิน สาขา คลองหลวง</t>
  </si>
  <si>
    <t>0300364</t>
  </si>
  <si>
    <t>ธ. ออมสิน สาขา ราชประสงค์</t>
  </si>
  <si>
    <t>0300365</t>
  </si>
  <si>
    <t>ธ. ออมสิน สาขา วัดไทร</t>
  </si>
  <si>
    <t>0300366</t>
  </si>
  <si>
    <t>ธ. ออมสิน สาขา ประทาย</t>
  </si>
  <si>
    <t>0300367</t>
  </si>
  <si>
    <t>ธ. ออมสิน สาขา วัฒนานคร</t>
  </si>
  <si>
    <t>0300368</t>
  </si>
  <si>
    <t>ธ. ออมสิน สาขา ท่าช้าง</t>
  </si>
  <si>
    <t>0300369</t>
  </si>
  <si>
    <t>ธ. ออมสิน สาขา ปราสาท</t>
  </si>
  <si>
    <t>0300370</t>
  </si>
  <si>
    <t>ธ. ออมสิน สาขา นครไทย</t>
  </si>
  <si>
    <t>0300371</t>
  </si>
  <si>
    <t>ธ. ออมสิน สาขา บางระกำ</t>
  </si>
  <si>
    <t>0300372</t>
  </si>
  <si>
    <t>ธ. ออมสิน สาขา ลาดหลุมแก้ว</t>
  </si>
  <si>
    <t>0300373</t>
  </si>
  <si>
    <t>ธ. ออมสิน สาขา คีรีรัฐนิคม</t>
  </si>
  <si>
    <t>0300374</t>
  </si>
  <si>
    <t>ธ. ออมสิน สาขา เขมราฐ</t>
  </si>
  <si>
    <t>0300375</t>
  </si>
  <si>
    <t>ธ. ออมสิน สาขา แม่แตง</t>
  </si>
  <si>
    <t>0300376</t>
  </si>
  <si>
    <t>ธ. ออมสิน สาขา แก้งคร้อ</t>
  </si>
  <si>
    <t>0300377</t>
  </si>
  <si>
    <t>ธ. ออมสิน สาขา กุยบุรี</t>
  </si>
  <si>
    <t>0300378</t>
  </si>
  <si>
    <t>ธ. ออมสิน สาขา ศรีสงคราม</t>
  </si>
  <si>
    <t>0300379</t>
  </si>
  <si>
    <t>ธ. ออมสิน สาขา ยะหา</t>
  </si>
  <si>
    <t>0300380</t>
  </si>
  <si>
    <t>ธ. ออมสิน สาขา ศรีจันทร์</t>
  </si>
  <si>
    <t>0300381</t>
  </si>
  <si>
    <t>ธ. ออมสิน สาขา ดอนสัก</t>
  </si>
  <si>
    <t>0300382</t>
  </si>
  <si>
    <t>ธ. ออมสิน สาขา สะบ้าย้อย</t>
  </si>
  <si>
    <t>0300383</t>
  </si>
  <si>
    <t>ธ. ออมสิน สาขา ศูนย์ราชการฯ แจ้งวัฒนะ (อาคาร B)</t>
  </si>
  <si>
    <t>0300384</t>
  </si>
  <si>
    <t>ธ. ออมสิน สาขา โคกโพธิ์</t>
  </si>
  <si>
    <t>0300385</t>
  </si>
  <si>
    <t>ธ. ออมสิน สาขา โนนสัง</t>
  </si>
  <si>
    <t>0300386</t>
  </si>
  <si>
    <t>ธ. ออมสิน สาขา กุดชุม</t>
  </si>
  <si>
    <t>0300387</t>
  </si>
  <si>
    <t>ธ. ออมสิน สาขา บางแค</t>
  </si>
  <si>
    <t>0300388</t>
  </si>
  <si>
    <t>ธ. ออมสิน สาขา นากลาง</t>
  </si>
  <si>
    <t>0300389</t>
  </si>
  <si>
    <t>ธ. ออมสิน สาขา รามคำแหง  2</t>
  </si>
  <si>
    <t>0300390</t>
  </si>
  <si>
    <t>ธ. ออมสิน สาขา สลกบาตร</t>
  </si>
  <si>
    <t>0300391</t>
  </si>
  <si>
    <t>ธ. ออมสิน สาขา ตลิ่งชัน</t>
  </si>
  <si>
    <t>0300392</t>
  </si>
  <si>
    <t>ธ. ออมสิน สาขา เขาย้อย</t>
  </si>
  <si>
    <t>0300393</t>
  </si>
  <si>
    <t>ธ. ออมสิน สาขา อ้อมใหญ่</t>
  </si>
  <si>
    <t>0300394</t>
  </si>
  <si>
    <t>ธ. ออมสิน สาขา จันดี</t>
  </si>
  <si>
    <t>0300395</t>
  </si>
  <si>
    <t>ธ. ออมสิน สาขา นครชัยศรี</t>
  </si>
  <si>
    <t>0300396</t>
  </si>
  <si>
    <t>ธ. ออมสิน สาขา ท่าแพ</t>
  </si>
  <si>
    <t>0300397</t>
  </si>
  <si>
    <t>ธ. ออมสิน สาขา บวกครกหลวง</t>
  </si>
  <si>
    <t>0300398</t>
  </si>
  <si>
    <t>ธ. ออมสิน สาขา เมืองพัทยา</t>
  </si>
  <si>
    <t>0300399</t>
  </si>
  <si>
    <t>ธ. ออมสิน สาขา บางลำภูบน</t>
  </si>
  <si>
    <t>0300400</t>
  </si>
  <si>
    <t>ธ. ออมสิน สาขา ราษฎร์บูรณะ</t>
  </si>
  <si>
    <t>0300401</t>
  </si>
  <si>
    <t>ธ. ออมสิน สาขา คลองจั่น</t>
  </si>
  <si>
    <t>0300402</t>
  </si>
  <si>
    <t>ธ. ออมสิน สาขา หนองจอก</t>
  </si>
  <si>
    <t>0300403</t>
  </si>
  <si>
    <t>ธ. ออมสิน สาขา คลองตัน</t>
  </si>
  <si>
    <t>0300404</t>
  </si>
  <si>
    <t>ธ. ออมสิน สาขา ตลาดหัวอิฐ</t>
  </si>
  <si>
    <t>0300405</t>
  </si>
  <si>
    <t>ธ. ออมสิน สาขา คลองขลุง</t>
  </si>
  <si>
    <t>0300406</t>
  </si>
  <si>
    <t>ธ. ออมสิน สาขา ปะทิว</t>
  </si>
  <si>
    <t>0300407</t>
  </si>
  <si>
    <t>ธ. ออมสิน สาขา ลี้</t>
  </si>
  <si>
    <t>0300408</t>
  </si>
  <si>
    <t>ธ. ออมสิน สาขา เพ</t>
  </si>
  <si>
    <t>0300409</t>
  </si>
  <si>
    <t>ธ. ออมสิน สาขา ถนนท่าแฉลบ</t>
  </si>
  <si>
    <t>0300410</t>
  </si>
  <si>
    <t>ธ. ออมสิน สาขา คลองโพ</t>
  </si>
  <si>
    <t>0300411</t>
  </si>
  <si>
    <t>ธ. ออมสิน สาขา โพศรี</t>
  </si>
  <si>
    <t>0300412</t>
  </si>
  <si>
    <t>ธ. ออมสิน สาขา ศรีภูวนารถ</t>
  </si>
  <si>
    <t>0300413</t>
  </si>
  <si>
    <t>ธ. ออมสิน สาขา หนองบัว</t>
  </si>
  <si>
    <t>0300414</t>
  </si>
  <si>
    <t>ธ. ออมสิน สาขา สมเด็จ</t>
  </si>
  <si>
    <t>0300415</t>
  </si>
  <si>
    <t>ธ. ออมสิน สาขา ปากชม</t>
  </si>
  <si>
    <t>0300416</t>
  </si>
  <si>
    <t>ธ. ออมสิน สาขา กระทรวงการคลัง</t>
  </si>
  <si>
    <t>0300417</t>
  </si>
  <si>
    <t>ธ. ออมสิน สาขา คลองท่อม</t>
  </si>
  <si>
    <t>0300418</t>
  </si>
  <si>
    <t>ธ. ออมสิน สาขา กันทรารมย์</t>
  </si>
  <si>
    <t>0300419</t>
  </si>
  <si>
    <t>ธ. ออมสิน สาขา จุน</t>
  </si>
  <si>
    <t>0300420</t>
  </si>
  <si>
    <t>ธ. ออมสิน สาขา นาน้อย</t>
  </si>
  <si>
    <t>0300421</t>
  </si>
  <si>
    <t>ธ. ออมสิน สาขา สวรรค์วิถี</t>
  </si>
  <si>
    <t>0300422</t>
  </si>
  <si>
    <t>ธ. ออมสิน สาขา สังขะ</t>
  </si>
  <si>
    <t>0300423</t>
  </si>
  <si>
    <t>ธ. ออมสิน สาขา โนนสะอาด</t>
  </si>
  <si>
    <t>0300424</t>
  </si>
  <si>
    <t>ธ. ออมสิน สาขา ปากคาด</t>
  </si>
  <si>
    <t>0300425</t>
  </si>
  <si>
    <t>ธ. ออมสิน สาขา หาดใหญ่ใน</t>
  </si>
  <si>
    <t>0300426</t>
  </si>
  <si>
    <t>ธ. ออมสิน สาขา ถนนราษฎร์อุทิศ</t>
  </si>
  <si>
    <t>0300427</t>
  </si>
  <si>
    <t>ธ. ออมสิน สาขา เกษตรสมบูรณ์</t>
  </si>
  <si>
    <t>0300428</t>
  </si>
  <si>
    <t>ธ. ออมสิน สาขา สอยดาว</t>
  </si>
  <si>
    <t>0300429</t>
  </si>
  <si>
    <t>ธ. ออมสิน สาขา ลาดบัวหลวง</t>
  </si>
  <si>
    <t>0300430</t>
  </si>
  <si>
    <t>ธ. ออมสิน สาขา หนองหอย</t>
  </si>
  <si>
    <t>0300431</t>
  </si>
  <si>
    <t>ธ. ออมสิน สาขา กำแพงแสน</t>
  </si>
  <si>
    <t>0300432</t>
  </si>
  <si>
    <t>ธ. ออมสิน สาขา ราชวัตร</t>
  </si>
  <si>
    <t>0300433</t>
  </si>
  <si>
    <t>ธ. ออมสิน สาขา เจริญผล</t>
  </si>
  <si>
    <t>0300434</t>
  </si>
  <si>
    <t>ธ. ออมสิน สาขา ทุ่งมหาเมฆ</t>
  </si>
  <si>
    <t>0300435</t>
  </si>
  <si>
    <t>ธ. ออมสิน สาขา บางคอแหลม</t>
  </si>
  <si>
    <t>0300436</t>
  </si>
  <si>
    <t>ธ. ออมสิน สาขา ปากคลองตลาด</t>
  </si>
  <si>
    <t>0300437</t>
  </si>
  <si>
    <t>ธ. ออมสิน สาขา วรจักร</t>
  </si>
  <si>
    <t>0300438</t>
  </si>
  <si>
    <t>ธ. ออมสิน สาขา นางเลิ้ง</t>
  </si>
  <si>
    <t>0300439</t>
  </si>
  <si>
    <t>ธ. ออมสิน สาขา มหานาค</t>
  </si>
  <si>
    <t>0300440</t>
  </si>
  <si>
    <t>ธ. ออมสิน สาขา ชัยสมรภูมิ</t>
  </si>
  <si>
    <t>0300441</t>
  </si>
  <si>
    <t>ธ. ออมสิน สาขา ห้วยขวาง</t>
  </si>
  <si>
    <t>0300442</t>
  </si>
  <si>
    <t>ธ. ออมสิน สาขา โชคชัย4</t>
  </si>
  <si>
    <t>0300443</t>
  </si>
  <si>
    <t>ธ. ออมสิน สาขา บางเขน</t>
  </si>
  <si>
    <t>0300444</t>
  </si>
  <si>
    <t>ธ. ออมสิน สาขา สะพานแดง</t>
  </si>
  <si>
    <t>0300445</t>
  </si>
  <si>
    <t>ธ. ออมสิน สาขา เตาปูน</t>
  </si>
  <si>
    <t>0300446</t>
  </si>
  <si>
    <t>ธ. ออมสิน สาขา พร้อมพงษ์</t>
  </si>
  <si>
    <t>0300447</t>
  </si>
  <si>
    <t>ธ. ออมสิน สาขา ป้อมปราบ</t>
  </si>
  <si>
    <t>0300448</t>
  </si>
  <si>
    <t>ธ. ออมสิน สาขา ประชาชื่น</t>
  </si>
  <si>
    <t>0300449</t>
  </si>
  <si>
    <t>ธ. ออมสิน สาขา สะพานใหม่</t>
  </si>
  <si>
    <t>0300450</t>
  </si>
  <si>
    <t>ธ. ออมสิน สาขา สมเด็จเจ้าพระยา</t>
  </si>
  <si>
    <t>0300451</t>
  </si>
  <si>
    <t>ธ. ออมสิน สาขา ท่าพระ</t>
  </si>
  <si>
    <t>0300452</t>
  </si>
  <si>
    <t>ธ. ออมสิน สาขา จรัญสนิทวงศ์</t>
  </si>
  <si>
    <t>0300453</t>
  </si>
  <si>
    <t>ธ. ออมสิน สาขา เจริญพาศน์</t>
  </si>
  <si>
    <t>0300454</t>
  </si>
  <si>
    <t>ธ. ออมสิน สาขา บางพลัด</t>
  </si>
  <si>
    <t>0300455</t>
  </si>
  <si>
    <t>ธ. ออมสิน สาขา ปาดังเบซาร์</t>
  </si>
  <si>
    <t>0300456</t>
  </si>
  <si>
    <t>ธ. ออมสิน สาขา ลานสัก</t>
  </si>
  <si>
    <t>0300457</t>
  </si>
  <si>
    <t>ธ. ออมสิน สาขา หนองบัวแดง</t>
  </si>
  <si>
    <t>0300458</t>
  </si>
  <si>
    <t>ธ. ออมสิน สาขา กระสัง</t>
  </si>
  <si>
    <t>0300459</t>
  </si>
  <si>
    <t>ธ. ออมสิน สาขา ถนนจอมพล</t>
  </si>
  <si>
    <t>0300460</t>
  </si>
  <si>
    <t>ธ. ออมสิน สาขา วงเวียนสระแก้ว</t>
  </si>
  <si>
    <t>0300461</t>
  </si>
  <si>
    <t>ธ. ออมสิน สาขา เชียงยืน</t>
  </si>
  <si>
    <t>0300462</t>
  </si>
  <si>
    <t>ธ. ออมสิน สาขา ปง</t>
  </si>
  <si>
    <t>0300463</t>
  </si>
  <si>
    <t>ธ. ออมสิน สาขา วังเหนือ</t>
  </si>
  <si>
    <t>0300464</t>
  </si>
  <si>
    <t>ธ. ออมสิน สาขา ท่าวังผา</t>
  </si>
  <si>
    <t>0300465</t>
  </si>
  <si>
    <t>ธ. ออมสิน สาขา เชียงของ</t>
  </si>
  <si>
    <t>0300466</t>
  </si>
  <si>
    <t>ธ. ออมสิน สาขา สูงเม่น</t>
  </si>
  <si>
    <t>0300467</t>
  </si>
  <si>
    <t>ธ. ออมสิน สาขา ขุนหาญ</t>
  </si>
  <si>
    <t>0300468</t>
  </si>
  <si>
    <t>ธ. ออมสิน สาขา ตันหยงมัส</t>
  </si>
  <si>
    <t>0300469</t>
  </si>
  <si>
    <t>ธ. ออมสิน สาขา เจริญนคร</t>
  </si>
  <si>
    <t>0300470</t>
  </si>
  <si>
    <t>ธ. ออมสิน สาขา สรรพยา</t>
  </si>
  <si>
    <t>0300471</t>
  </si>
  <si>
    <t>ธ. ออมสิน สาขา บางบ่อ</t>
  </si>
  <si>
    <t>0300472</t>
  </si>
  <si>
    <t>ธ. ออมสิน สาขา ถนนสุขประยูร</t>
  </si>
  <si>
    <t>0300473</t>
  </si>
  <si>
    <t>ธ. ออมสิน สาขา วิเชียรบุรี</t>
  </si>
  <si>
    <t>0300474</t>
  </si>
  <si>
    <t>ธ. ออมสิน สาขา น้ำปาด</t>
  </si>
  <si>
    <t>0300475</t>
  </si>
  <si>
    <t>ธ. ออมสิน สาขา เซกา</t>
  </si>
  <si>
    <t>0300476</t>
  </si>
  <si>
    <t>ธ. ออมสิน สาขา ประชารักษา</t>
  </si>
  <si>
    <t>0300477</t>
  </si>
  <si>
    <t>ธ. ออมสิน สาขา มาบตาพุด</t>
  </si>
  <si>
    <t>0300478</t>
  </si>
  <si>
    <t>ธ. ออมสิน สาขา แม่ระมาด</t>
  </si>
  <si>
    <t>0300479</t>
  </si>
  <si>
    <t>ธ. ออมสิน สาขา วังน้อย</t>
  </si>
  <si>
    <t>0300480</t>
  </si>
  <si>
    <t>ธ. ออมสิน สาขา ประตูน้ำพระอินทร์</t>
  </si>
  <si>
    <t>0300481</t>
  </si>
  <si>
    <t>ธ. ออมสิน สาขา ห้วยสะท้อน</t>
  </si>
  <si>
    <t>0300482</t>
  </si>
  <si>
    <t>ธ. ออมสิน สาขา ป่าตอง</t>
  </si>
  <si>
    <t>0300483</t>
  </si>
  <si>
    <t>ธ. ออมสิน สาขา สุไหงปาดี</t>
  </si>
  <si>
    <t>0300484</t>
  </si>
  <si>
    <t>ธ. ออมสิน สาขา วังสามหมอ</t>
  </si>
  <si>
    <t>0300485</t>
  </si>
  <si>
    <t>ธ. ออมสิน สาขา ด่านช้าง</t>
  </si>
  <si>
    <t>0300486</t>
  </si>
  <si>
    <t>ธ. ออมสิน สาขา สามง่าม</t>
  </si>
  <si>
    <t>0300487</t>
  </si>
  <si>
    <t>ธ. ออมสิน สาขา สนามจันทร์</t>
  </si>
  <si>
    <t>0300488</t>
  </si>
  <si>
    <t>ธ. ออมสิน สาขา สากเหล็ก</t>
  </si>
  <si>
    <t>0300489</t>
  </si>
  <si>
    <t>ธ. ออมสิน สาขา ราชรถ</t>
  </si>
  <si>
    <t>0300490</t>
  </si>
  <si>
    <t>ธ. ออมสิน สาขา ท่ามะปราง</t>
  </si>
  <si>
    <t>0300491</t>
  </si>
  <si>
    <t>ธ. ออมสิน สาขา ถลาง</t>
  </si>
  <si>
    <t>0300492</t>
  </si>
  <si>
    <t>ธ. ออมสิน สาขา หัวหมาก</t>
  </si>
  <si>
    <t>0300493</t>
  </si>
  <si>
    <t>ธ. ออมสิน สาขา โพทะเล</t>
  </si>
  <si>
    <t>0300494</t>
  </si>
  <si>
    <t>ธ. ออมสิน สาขา คุระบุรี</t>
  </si>
  <si>
    <t>0300495</t>
  </si>
  <si>
    <t>ธ. ออมสิน สาขา ดอกคำใต้</t>
  </si>
  <si>
    <t>0300496</t>
  </si>
  <si>
    <t>ธ. ออมสิน สาขา ศูนย์ราชการ</t>
  </si>
  <si>
    <t>0300497</t>
  </si>
  <si>
    <t>ธ. ออมสิน สาขา เจ้าพรหม</t>
  </si>
  <si>
    <t>0300498</t>
  </si>
  <si>
    <t>ธ. ออมสิน สาขา เวียงป่าเป้า</t>
  </si>
  <si>
    <t>0300499</t>
  </si>
  <si>
    <t>ธ. ออมสิน สาขา ถนนประชาราษฎร์</t>
  </si>
  <si>
    <t>0300500</t>
  </si>
  <si>
    <t>ธ. ออมสิน สาขา กมลาไสย</t>
  </si>
  <si>
    <t>0300501</t>
  </si>
  <si>
    <t>ธ. ออมสิน สาขา โกรกพระ</t>
  </si>
  <si>
    <t>0300502</t>
  </si>
  <si>
    <t>ธ. ออมสิน สาขา แม่ทะ</t>
  </si>
  <si>
    <t>0300503</t>
  </si>
  <si>
    <t>ธ. ออมสิน สาขา ถีนานนท์</t>
  </si>
  <si>
    <t>0300504</t>
  </si>
  <si>
    <t>ธ. ออมสิน สาขา ทุ่งใหญ่</t>
  </si>
  <si>
    <t>0300505</t>
  </si>
  <si>
    <t>ธ. ออมสิน สาขา หนองกี่</t>
  </si>
  <si>
    <t>0300506</t>
  </si>
  <si>
    <t>ธ. ออมสิน สาขา เชียงดาว</t>
  </si>
  <si>
    <t>0300507</t>
  </si>
  <si>
    <t>ธ. ออมสิน สาขา ตะโหมด</t>
  </si>
  <si>
    <t>0300508</t>
  </si>
  <si>
    <t>ธ. ออมสิน สาขา สิงหนคร</t>
  </si>
  <si>
    <t>0300509</t>
  </si>
  <si>
    <t>ธ. ออมสิน สาขา สาทร</t>
  </si>
  <si>
    <t>0300510</t>
  </si>
  <si>
    <t>ธ. ออมสิน สาขา สาธุประดิษฐ์</t>
  </si>
  <si>
    <t>0300511</t>
  </si>
  <si>
    <t>ธ. ออมสิน สาขา ถนนจันทน์</t>
  </si>
  <si>
    <t>0300512</t>
  </si>
  <si>
    <t>ธ. ออมสิน สาขา รามอินทรา กม.7</t>
  </si>
  <si>
    <t>0300513</t>
  </si>
  <si>
    <t>ธ. ออมสิน สาขา ดาวคะนอง</t>
  </si>
  <si>
    <t>0300514</t>
  </si>
  <si>
    <t>ธ. ออมสิน สาขา พงษ์เพชร</t>
  </si>
  <si>
    <t>0300515</t>
  </si>
  <si>
    <t>ธ. ออมสิน สาขา บางบัวทอง</t>
  </si>
  <si>
    <t>0300516</t>
  </si>
  <si>
    <t>ธ. ออมสิน สาขา บางกรวย</t>
  </si>
  <si>
    <t>0300517</t>
  </si>
  <si>
    <t>ธ. ออมสิน สาขา บางใหญ่</t>
  </si>
  <si>
    <t>0300518</t>
  </si>
  <si>
    <t>ธ. ออมสิน สาขา แคราย</t>
  </si>
  <si>
    <t>0300519</t>
  </si>
  <si>
    <t>ธ. ออมสิน สาขา บางพลี</t>
  </si>
  <si>
    <t>0300520</t>
  </si>
  <si>
    <t>ธ. ออมสิน สาขา ปู่เจ้าสมิงพราย</t>
  </si>
  <si>
    <t>0300521</t>
  </si>
  <si>
    <t>ธ. ออมสิน สาขา สุขสวัสดิ์</t>
  </si>
  <si>
    <t>0300522</t>
  </si>
  <si>
    <t>ธ. ออมสิน สาขา อ่าวลึก</t>
  </si>
  <si>
    <t>0300523</t>
  </si>
  <si>
    <t>ธ. ออมสิน สาขา สี่แยกกบินทร์บุรี</t>
  </si>
  <si>
    <t>0300524</t>
  </si>
  <si>
    <t>ธ. ออมสิน สาขา ถนนมหาจักรพรรดิ์</t>
  </si>
  <si>
    <t>0300525</t>
  </si>
  <si>
    <t>ธ. ออมสิน สาขา ท่าวุ้ง</t>
  </si>
  <si>
    <t>0300526</t>
  </si>
  <si>
    <t>ธ. ออมสิน สาขา เทิง</t>
  </si>
  <si>
    <t>0300527</t>
  </si>
  <si>
    <t>ธ. ออมสิน สาขา วิหารแดง</t>
  </si>
  <si>
    <t>0300528</t>
  </si>
  <si>
    <t>ธ. ออมสิน สาขา คลองด่าน</t>
  </si>
  <si>
    <t>0300529</t>
  </si>
  <si>
    <t>ธ. ออมสิน สาขา ถนนทิพย์เนตร</t>
  </si>
  <si>
    <t>0300530</t>
  </si>
  <si>
    <t>ธ. ออมสิน สาขา เรณูนคร</t>
  </si>
  <si>
    <t>0300531</t>
  </si>
  <si>
    <t>ธ. ออมสิน สาขา เสาไห้</t>
  </si>
  <si>
    <t>0300532</t>
  </si>
  <si>
    <t>ธ. ออมสิน สาขา ควนเนียง</t>
  </si>
  <si>
    <t>0300533</t>
  </si>
  <si>
    <t>ธ. ออมสิน สาขา โซ่พิสัย</t>
  </si>
  <si>
    <t>0300534</t>
  </si>
  <si>
    <t>ธ. ออมสิน สาขา คำเขื่อนแก้ว</t>
  </si>
  <si>
    <t>0300535</t>
  </si>
  <si>
    <t>ธ. ออมสิน สาขา หางดง</t>
  </si>
  <si>
    <t>0300536</t>
  </si>
  <si>
    <t>ธ. ออมสิน สาขา ไชยปราการ</t>
  </si>
  <si>
    <t>0300537</t>
  </si>
  <si>
    <t>ธ. ออมสิน สาขา เชียงแสน</t>
  </si>
  <si>
    <t>0300538</t>
  </si>
  <si>
    <t>ธ. ออมสิน สาขา สี่แยกปฐมพร</t>
  </si>
  <si>
    <t>0300539</t>
  </si>
  <si>
    <t>ธ. ออมสิน สาขา ขุขันธ์</t>
  </si>
  <si>
    <t>0300540</t>
  </si>
  <si>
    <t>ธ. ออมสิน สาขา ทุ่งตะโก</t>
  </si>
  <si>
    <t>0300541</t>
  </si>
  <si>
    <t>ธ. ออมสิน สาขา ทองผาภูมิ</t>
  </si>
  <si>
    <t>0300542</t>
  </si>
  <si>
    <t>ธ. ออมสิน สาขา อุทุมพรพิสัย</t>
  </si>
  <si>
    <t>0300543</t>
  </si>
  <si>
    <t>ธ. ออมสิน สาขา บงคำ</t>
  </si>
  <si>
    <t>0300544</t>
  </si>
  <si>
    <t>ธ. ออมสิน สาขา เมืองทองธานี 3</t>
  </si>
  <si>
    <t>0300545</t>
  </si>
  <si>
    <t>ธ. ออมสิน สาขา สามร้อยยอด</t>
  </si>
  <si>
    <t>0300546</t>
  </si>
  <si>
    <t>ธ. ออมสิน สาขา ดอนเจดีย์</t>
  </si>
  <si>
    <t>0300547</t>
  </si>
  <si>
    <t>ธ. ออมสิน สาขา สะพานจอมเกล้า</t>
  </si>
  <si>
    <t>0300548</t>
  </si>
  <si>
    <t>ธ. ออมสิน สาขา จตุจักร</t>
  </si>
  <si>
    <t>0300549</t>
  </si>
  <si>
    <t>ธ. ออมสิน สาขา บางโพงพาง</t>
  </si>
  <si>
    <t>0300550</t>
  </si>
  <si>
    <t>ธ. ออมสิน สาขา หมู่บ้านเศรษฐกิจ</t>
  </si>
  <si>
    <t>0300551</t>
  </si>
  <si>
    <t>ธ. ออมสิน สาขา สวนอุตสาหกรรมศรีราชา</t>
  </si>
  <si>
    <t>0300552</t>
  </si>
  <si>
    <t>ธ. ออมสิน สาขา เพชรสมุทร</t>
  </si>
  <si>
    <t>0300553</t>
  </si>
  <si>
    <t>ธ. ออมสิน สาขา ประตูชุมพล</t>
  </si>
  <si>
    <t>0300554</t>
  </si>
  <si>
    <t>ธ. ออมสิน สาขา ทับปุด</t>
  </si>
  <si>
    <t>0300555</t>
  </si>
  <si>
    <t>ธ. ออมสิน สาขา ชนแดน</t>
  </si>
  <si>
    <t>0300556</t>
  </si>
  <si>
    <t>ธ. ออมสิน สาขา พร้าว</t>
  </si>
  <si>
    <t>0300557</t>
  </si>
  <si>
    <t>ธ. ออมสิน สาขา ครบุรี</t>
  </si>
  <si>
    <t>0300558</t>
  </si>
  <si>
    <t>ธ. ออมสิน สาขา จักราช</t>
  </si>
  <si>
    <t>0300559</t>
  </si>
  <si>
    <t>ธ. ออมสิน สาขา เหนือคลอง</t>
  </si>
  <si>
    <t>0300560</t>
  </si>
  <si>
    <t>ธ. ออมสิน สาขา แม่โจ้</t>
  </si>
  <si>
    <t>0300561</t>
  </si>
  <si>
    <t>ธ. ออมสิน สาขา กงไกรลาศ</t>
  </si>
  <si>
    <t>0300562</t>
  </si>
  <si>
    <t>ธ. ออมสิน สาขา ฮอด</t>
  </si>
  <si>
    <t>0300563</t>
  </si>
  <si>
    <t>ธ. ออมสิน สาขา อมก๋อย</t>
  </si>
  <si>
    <t>0300564</t>
  </si>
  <si>
    <t>ธ. ออมสิน สาขา เนินพระ</t>
  </si>
  <si>
    <t>0300565</t>
  </si>
  <si>
    <t>ธ. ออมสิน สาขา สวนจิตรลดา</t>
  </si>
  <si>
    <t>0300566</t>
  </si>
  <si>
    <t>ธ. ออมสิน สาขา บางแพ</t>
  </si>
  <si>
    <t>0300567</t>
  </si>
  <si>
    <t>ธ. ออมสิน สาขา ยางตลาด</t>
  </si>
  <si>
    <t>0300568</t>
  </si>
  <si>
    <t>ธ. ออมสิน สาขา พบพระ</t>
  </si>
  <si>
    <t>0300569</t>
  </si>
  <si>
    <t>ธ. ออมสิน สาขา นครชุม</t>
  </si>
  <si>
    <t>0300570</t>
  </si>
  <si>
    <t>ธ. ออมสิน สาขา คลองสวนพลู</t>
  </si>
  <si>
    <t>0300571</t>
  </si>
  <si>
    <t>ธ. ออมสิน สาขา ลูกแก</t>
  </si>
  <si>
    <t>0300572</t>
  </si>
  <si>
    <t>ธ. ออมสิน สาขา ภูผาม่าน</t>
  </si>
  <si>
    <t>0300573</t>
  </si>
  <si>
    <t>ธ. ออมสิน สาขา ชาติตระการ</t>
  </si>
  <si>
    <t>0300574</t>
  </si>
  <si>
    <t>ธ. ออมสิน สาขา นาจะหลวย</t>
  </si>
  <si>
    <t>0300575</t>
  </si>
  <si>
    <t>ธ. ออมสิน สาขา ด่านซ้าย</t>
  </si>
  <si>
    <t>0300577</t>
  </si>
  <si>
    <t>ธ. ออมสิน สาขา องค์รักษ์</t>
  </si>
  <si>
    <t>0300578</t>
  </si>
  <si>
    <t>ธ. ออมสิน สาขา คลอง10 ธัญบุรี</t>
  </si>
  <si>
    <t>0300579</t>
  </si>
  <si>
    <t>ธ. ออมสิน สาขา นวนคร</t>
  </si>
  <si>
    <t>0300580</t>
  </si>
  <si>
    <t>ธ. ออมสิน สาขา พนม</t>
  </si>
  <si>
    <t>0300581</t>
  </si>
  <si>
    <t>ธ. ออมสิน สาขา ติวานนท์</t>
  </si>
  <si>
    <t>0300582</t>
  </si>
  <si>
    <t>ธ. ออมสิน สาขา สุคิริน</t>
  </si>
  <si>
    <t>0300583</t>
  </si>
  <si>
    <t>ธ. ออมสิน สาขา โพธิ์ไทร</t>
  </si>
  <si>
    <t>0300584</t>
  </si>
  <si>
    <t>ธ. ออมสิน สาขา ดอนตาล</t>
  </si>
  <si>
    <t>0300585</t>
  </si>
  <si>
    <t>ธ. ออมสิน สาขา แม่จริม</t>
  </si>
  <si>
    <t>0300586</t>
  </si>
  <si>
    <t>ธ. ออมสิน สาขา เขาสมิง</t>
  </si>
  <si>
    <t>0300587</t>
  </si>
  <si>
    <t>ธ. ออมสิน สาขา อุบลรัตน์</t>
  </si>
  <si>
    <t>0300588</t>
  </si>
  <si>
    <t>ธ. ออมสิน สาขา หนองหญ้าปล้อง</t>
  </si>
  <si>
    <t>0300589</t>
  </si>
  <si>
    <t>ธ. ออมสิน สาขา เมเจอร์รังสิต</t>
  </si>
  <si>
    <t>0300590</t>
  </si>
  <si>
    <t>ธ. ออมสิน สาขา คอยเต่า</t>
  </si>
  <si>
    <t>0300591</t>
  </si>
  <si>
    <t>ธ. ออมสิน สาขา อุ้มผาง</t>
  </si>
  <si>
    <t>0300593</t>
  </si>
  <si>
    <t>ธ. ออมสิน สาขา กลางเวียง</t>
  </si>
  <si>
    <t>0300594</t>
  </si>
  <si>
    <t>ธ. ออมสิน สาขา ไทรใหญ่</t>
  </si>
  <si>
    <t>0300595</t>
  </si>
  <si>
    <t>ธ. ออมสิน สาขา ถนนกิ่งแก้ว-สุวรรณภูมิ</t>
  </si>
  <si>
    <t>0300596</t>
  </si>
  <si>
    <t>ธ. ออมสิน สาขา บิ๊กซี ลำปาง</t>
  </si>
  <si>
    <t>0300597</t>
  </si>
  <si>
    <t>ธ. ออมสิน สาขา เกาะยาว</t>
  </si>
  <si>
    <t>0300598</t>
  </si>
  <si>
    <t>ธ. ออมสิน สาขา เซ็นทรัลแอร์พอร์ตพลาซ่า จ.เชียงใหม่</t>
  </si>
  <si>
    <t>0300599</t>
  </si>
  <si>
    <t>ธ. ออมสิน สาขา ศรีเทพ</t>
  </si>
  <si>
    <t>0300600</t>
  </si>
  <si>
    <t>ธ. ออมสิน สาขา ปาย</t>
  </si>
  <si>
    <t>0300601</t>
  </si>
  <si>
    <t>ธ. ออมสิน สาขา หนองม่วง</t>
  </si>
  <si>
    <t>0300602</t>
  </si>
  <si>
    <t>ธ. ออมสิน สาขา เกาะลันตา</t>
  </si>
  <si>
    <t>0300603</t>
  </si>
  <si>
    <t>ธ. ออมสิน สาขา นิคมอุตสาหกรรมลำพูน</t>
  </si>
  <si>
    <t>0300604</t>
  </si>
  <si>
    <t>ธ. ออมสิน สาขา ถนนชยางกูร</t>
  </si>
  <si>
    <t>0300605</t>
  </si>
  <si>
    <t>ธ. ออมสิน สาขา ตระการพืชผล</t>
  </si>
  <si>
    <t>0300606</t>
  </si>
  <si>
    <t>ธ. ออมสิน สาขา เทวาภิบาล</t>
  </si>
  <si>
    <t>0300607</t>
  </si>
  <si>
    <t>ธ. ออมสิน สาขา เซ็นทรัลพลาซ่า ขอนแก่น</t>
  </si>
  <si>
    <t>0300608</t>
  </si>
  <si>
    <t>ธ. ออมสิน สาขา มหาชัย</t>
  </si>
  <si>
    <t>0300609</t>
  </si>
  <si>
    <t>ธ. ออมสิน สาขา ตลาดวงศกร</t>
  </si>
  <si>
    <t>0300610</t>
  </si>
  <si>
    <t>ธ. ออมสิน สาขา เดอะสตาร์ ระยอง</t>
  </si>
  <si>
    <t>0300611</t>
  </si>
  <si>
    <t>ธ. ออมสิน สาขา สีลม</t>
  </si>
  <si>
    <t>0300612</t>
  </si>
  <si>
    <t>ธ. ออมสิน สาขา ห้าแยกฉลอง</t>
  </si>
  <si>
    <t>0300613</t>
  </si>
  <si>
    <t>ธ. ออมสิน สาขา ไอที สแควร์</t>
  </si>
  <si>
    <t>0300614</t>
  </si>
  <si>
    <t>ธ. ออมสิน สาขา อิมพีเรียลเวิลด์ สำโรง</t>
  </si>
  <si>
    <t>0300615</t>
  </si>
  <si>
    <t>ธ. ออมสิน สาขา เดอะมอลล์ บางกะปิ</t>
  </si>
  <si>
    <t>0300616</t>
  </si>
  <si>
    <t>ธ. ออมสิน สาขา ตลาดฉัตรไชย (หัวหิน)</t>
  </si>
  <si>
    <t>0300617</t>
  </si>
  <si>
    <t>ธ. ออมสิน สาขา อยุธยาพารค์</t>
  </si>
  <si>
    <t>0300618</t>
  </si>
  <si>
    <t>ธ. ออมสิน สาขา ขนส่งสายใต้</t>
  </si>
  <si>
    <t>0300619</t>
  </si>
  <si>
    <t>ธ. ออมสิน สาขา แปซิฟิค พาร์ค ศรีราชา</t>
  </si>
  <si>
    <t>0300620</t>
  </si>
  <si>
    <t>ธ. ออมสิน สาขา เนินพลับหวาน</t>
  </si>
  <si>
    <t>0300621</t>
  </si>
  <si>
    <t>ธ. ออมสิน สาขา ดอนหัวฬ่อ</t>
  </si>
  <si>
    <t>0300622</t>
  </si>
  <si>
    <t>ธ. ออมสิน สาขา เกาะช้าง</t>
  </si>
  <si>
    <t>0300623</t>
  </si>
  <si>
    <t>ธ. ออมสิน สาขา เดอะมอลล์ นครราชสีมา</t>
  </si>
  <si>
    <t>0300624</t>
  </si>
  <si>
    <t>ธ. ออมสิน สาขา สัมมากร เพลส รังสิต คลอง 2</t>
  </si>
  <si>
    <t>0300625</t>
  </si>
  <si>
    <t>ธ. ออมสิน สาขา ถนนยุทธภัณฑ์</t>
  </si>
  <si>
    <t>0300626</t>
  </si>
  <si>
    <t>ธ. ออมสิน สาขา เดอะพรอมานาด</t>
  </si>
  <si>
    <t>0300627</t>
  </si>
  <si>
    <t>ธ. ออมสิน สาขา จามจุรีสแควร์</t>
  </si>
  <si>
    <t>0300628</t>
  </si>
  <si>
    <t>ธ. ออมสิน สาขา บุญสัมพันธ์</t>
  </si>
  <si>
    <t>0300629</t>
  </si>
  <si>
    <t>ธ. ออมสิน สาขา กรมการกงสุล</t>
  </si>
  <si>
    <t>0300630</t>
  </si>
  <si>
    <t>ธ. ออมสิน สาขา ศาลายา</t>
  </si>
  <si>
    <t>0300631</t>
  </si>
  <si>
    <t>ธ. ออมสิน สาขา พัทยาใต้</t>
  </si>
  <si>
    <t>0300632</t>
  </si>
  <si>
    <t>ธ. ออมสิน สาขา ฟิวเจอร์พาร์ค รังสิต</t>
  </si>
  <si>
    <t>0300633</t>
  </si>
  <si>
    <t>ธ. ออมสิน สาขา เชิงทะเล</t>
  </si>
  <si>
    <t>0300634</t>
  </si>
  <si>
    <t>ธ. ออมสิน สาขา มุขศาลา</t>
  </si>
  <si>
    <t>0300635</t>
  </si>
  <si>
    <t>ธ. ออมสิน สาขา มิตรภาพ</t>
  </si>
  <si>
    <t>0300636</t>
  </si>
  <si>
    <t>ธ. ออมสิน สาขา โพธิสัมพันธ์</t>
  </si>
  <si>
    <t>0300637</t>
  </si>
  <si>
    <t>ธ. ออมสิน สาขา เดอะมอลล์ งามวงศ์วาน</t>
  </si>
  <si>
    <t>0300638</t>
  </si>
  <si>
    <t>ธ. ออมสิน สาขา นิคมอุตสาหกรรม 304</t>
  </si>
  <si>
    <t>0300639</t>
  </si>
  <si>
    <t>ธ. ออมสิน สาขา ตลาดศรีนคร</t>
  </si>
  <si>
    <t>0300640</t>
  </si>
  <si>
    <t>ธ. ออมสิน สาขา บ้านไร่</t>
  </si>
  <si>
    <t>0300641</t>
  </si>
  <si>
    <t>ธ. ออมสิน สาขา กาดน้ำทอง แพร่</t>
  </si>
  <si>
    <t>0300642</t>
  </si>
  <si>
    <t>ธ. ออมสิน สาขา เดอะมอลล์ บางแค</t>
  </si>
  <si>
    <t>0300643</t>
  </si>
  <si>
    <t>ธ. ออมสิน สาขา เดอะสแควร์ บางใหญ่</t>
  </si>
  <si>
    <t>0300644</t>
  </si>
  <si>
    <t>ธ. ออมสิน สาขา เซ็นทรัลพลาซา ชลบุรี</t>
  </si>
  <si>
    <t>0300645</t>
  </si>
  <si>
    <t>ธ. ออมสิน สาขา ถนนกาญจนวณิช (สงขลา)</t>
  </si>
  <si>
    <t>0300646</t>
  </si>
  <si>
    <t>ธ. ออมสิน สาขา โลตัส เพชรบูรณ์</t>
  </si>
  <si>
    <t>0300647</t>
  </si>
  <si>
    <t>ธ. ออมสิน สาขา บิ๊กซี เคหะร่มเกล้า</t>
  </si>
  <si>
    <t>0300648</t>
  </si>
  <si>
    <t>ธ. ออมสิน สาขา พาราไดซ์ พาร์ค</t>
  </si>
  <si>
    <t>0300649</t>
  </si>
  <si>
    <t>ธ. ออมสิน สาขา ละแม</t>
  </si>
  <si>
    <t>0300650</t>
  </si>
  <si>
    <t>ธ. ออมสิน สาขา คำชะอี</t>
  </si>
  <si>
    <t>0300651</t>
  </si>
  <si>
    <t>ธ. ออมสิน สาขา ภูกระดึง</t>
  </si>
  <si>
    <t>0300652</t>
  </si>
  <si>
    <t>ธ. ออมสิน สาขา บ่อผุด</t>
  </si>
  <si>
    <t>0300653</t>
  </si>
  <si>
    <t>ธ. ออมสิน สาขา เซ็นทรัลพลาซ่า รามอินทรา</t>
  </si>
  <si>
    <t>0300654</t>
  </si>
  <si>
    <t>ธ. ออมสิน สาขา โลตัส นาดี อุดรธานี</t>
  </si>
  <si>
    <t>0300655</t>
  </si>
  <si>
    <t>ธ. ออมสิน สาขา เซ็นทรัลพลาซา แจ้งวัฒนะ</t>
  </si>
  <si>
    <t>0300656</t>
  </si>
  <si>
    <t>ธ. ออมสิน สาขา เซ็นทรัลพลาซา รัตนาธิเบศร์</t>
  </si>
  <si>
    <t>0300657</t>
  </si>
  <si>
    <t>ธ. ออมสิน สาขา ถนนประดิพัทธ์</t>
  </si>
  <si>
    <t>0300658</t>
  </si>
  <si>
    <t>ธ. ออมสิน สาขา ตลาดเทศบาล2</t>
  </si>
  <si>
    <t>0300659</t>
  </si>
  <si>
    <t>ธ. ออมสิน สาขา ธนะรัชต์ เขาใหญ่</t>
  </si>
  <si>
    <t>0300660</t>
  </si>
  <si>
    <t>ธ. ออมสิน สาขา โคกกรวด</t>
  </si>
  <si>
    <t>0300661</t>
  </si>
  <si>
    <t>ธ. ออมสิน สาขา ศรีเมืองใหม่</t>
  </si>
  <si>
    <t>0300662</t>
  </si>
  <si>
    <t>ธ. ออมสิน สาขา ช้างคลาน</t>
  </si>
  <si>
    <t>0300663</t>
  </si>
  <si>
    <t>ธ. ออมสิน สาขา ตลาดโรงเกลือ</t>
  </si>
  <si>
    <t>0300664</t>
  </si>
  <si>
    <t>ธ. ออมสิน สาขา เยาวราช</t>
  </si>
  <si>
    <t>0300665</t>
  </si>
  <si>
    <t>ธ. ออมสิน สาขา แยกหนองบัว</t>
  </si>
  <si>
    <t>0300666</t>
  </si>
  <si>
    <t>ธ. ออมสิน สาขา หนองหญ้าไซ</t>
  </si>
  <si>
    <t>0300667</t>
  </si>
  <si>
    <t>ธ. ออมสิน สาขา ลำไทร</t>
  </si>
  <si>
    <t>0300668</t>
  </si>
  <si>
    <t>ธ. ออมสิน สาขา หมู่บ้านเมืองเอก</t>
  </si>
  <si>
    <t>0300669</t>
  </si>
  <si>
    <t>ธ. ออมสิน สาขา นิมมานเหมินทร์</t>
  </si>
  <si>
    <t>0300670</t>
  </si>
  <si>
    <t>ธ. ออมสิน สาขา บิ๊กซี แจ้งวัฒนะ</t>
  </si>
  <si>
    <t>0300671</t>
  </si>
  <si>
    <t>ธ. ออมสิน สาขา แก้งสนามนาง</t>
  </si>
  <si>
    <t>0300672</t>
  </si>
  <si>
    <t>ธ. ออมสิน สาขา อนุสรณ์สถานแห่งชาติ</t>
  </si>
  <si>
    <t>0300673</t>
  </si>
  <si>
    <t>ธ. ออมสิน สาขา เซ็นทรัลเฟสติวัล พัทยาบีช</t>
  </si>
  <si>
    <t>0300674</t>
  </si>
  <si>
    <t>ธ. ออมสิน สาขา ทรี ออน ธรี</t>
  </si>
  <si>
    <t>0300675</t>
  </si>
  <si>
    <t>ธ. ออมสิน สาขา ปทุมรัตต์</t>
  </si>
  <si>
    <t>0300676</t>
  </si>
  <si>
    <t>ธ. ออมสิน สาขา ภูเรือ</t>
  </si>
  <si>
    <t>0300677</t>
  </si>
  <si>
    <t>ธ. ออมสิน สาขา ตลาดอุดรเมืองทองเจริญศรี</t>
  </si>
  <si>
    <t>0300678</t>
  </si>
  <si>
    <t>ธ. ออมสิน สาขา มหาวิทยาลัยแม่ฟ้าหลวง</t>
  </si>
  <si>
    <t>0300679</t>
  </si>
  <si>
    <t>ธ. ออมสิน สาขา โรบินสัน ตรัง</t>
  </si>
  <si>
    <t>0300680</t>
  </si>
  <si>
    <t>ธ. ออมสิน สาขา สามกอง</t>
  </si>
  <si>
    <t>0300681</t>
  </si>
  <si>
    <t>ธ. ออมสิน สาขา อินเด็กซ์ บางใหญ่</t>
  </si>
  <si>
    <t>0300682</t>
  </si>
  <si>
    <t>ธ. ออมสิน สาขา สวนผิ้ง</t>
  </si>
  <si>
    <t>0300683</t>
  </si>
  <si>
    <t>ธ. ออมสิน สาขา ท่าขอนยาง</t>
  </si>
  <si>
    <t>0300684</t>
  </si>
  <si>
    <t>ธ. ออมสิน สาขา เดอะมอลล์ ท่าพระ</t>
  </si>
  <si>
    <t>0300685</t>
  </si>
  <si>
    <t>ธ. ออมสิน สาขา หมื่นไวย</t>
  </si>
  <si>
    <t>0300686</t>
  </si>
  <si>
    <t>ธ. ออมสิน สาขา บิ๊กซี ฉะเชิงเทรา</t>
  </si>
  <si>
    <t>0300687</t>
  </si>
  <si>
    <t>ธ. ออมสิน สาขา สุขอนันต์ปาร์ค</t>
  </si>
  <si>
    <t>0300688</t>
  </si>
  <si>
    <t>ธ. ออมสิน สาขา อัศวรรณ ช้อปปิ้ง คอมเพล็กซ์ หนองคาย</t>
  </si>
  <si>
    <t>0300689</t>
  </si>
  <si>
    <t>ธ. ออมสิน สาขา ห้าแยกโนนไฮ</t>
  </si>
  <si>
    <t>0300690</t>
  </si>
  <si>
    <t>ธ. ออมสิน สาขา กุสุมาลย์</t>
  </si>
  <si>
    <t>0300691</t>
  </si>
  <si>
    <t>ธ. ออมสิน สาขา ตลาดบ้านอำเภอ</t>
  </si>
  <si>
    <t>0300692</t>
  </si>
  <si>
    <t>ธ. ออมสิน สาขา บิ๊กซี กำแพงเพชร</t>
  </si>
  <si>
    <t>0300693</t>
  </si>
  <si>
    <t>ธ. ออมสิน สาขา ปากน้ำปราณ</t>
  </si>
  <si>
    <t>0300694</t>
  </si>
  <si>
    <t>ธ. ออมสิน สาขา น้ำยืน</t>
  </si>
  <si>
    <t>0300695</t>
  </si>
  <si>
    <t>ธ. ออมสิน สาขา คีรีมาศ</t>
  </si>
  <si>
    <t>0300696</t>
  </si>
  <si>
    <t>ธ. ออมสิน สาขา วัดโบสถ์</t>
  </si>
  <si>
    <t>0300697</t>
  </si>
  <si>
    <t>ธ. ออมสิน สาขา ท่าปลา</t>
  </si>
  <si>
    <t>0300698</t>
  </si>
  <si>
    <t>ธ. ออมสิน สาขา คอนสวรรค์</t>
  </si>
  <si>
    <t>0300699</t>
  </si>
  <si>
    <t>ธ. ออมสิน สาขา สัมมากร เพลส รามคาแหง 110</t>
  </si>
  <si>
    <t>0300700</t>
  </si>
  <si>
    <t>ธ. ออมสิน สาขา กุดจับ</t>
  </si>
  <si>
    <t>0300701</t>
  </si>
  <si>
    <t>ธ. ออมสิน สาขา ศรีสุริยวงศ์</t>
  </si>
  <si>
    <t>0300702</t>
  </si>
  <si>
    <t>ธ. ออมสิน สาขา เอสพละนาด รัชดาภิเษก</t>
  </si>
  <si>
    <t>0300703</t>
  </si>
  <si>
    <t>ธ. ออมสิน สาขา เมืองสมุทร</t>
  </si>
  <si>
    <t>0300704</t>
  </si>
  <si>
    <t>ธ. ออมสิน สาขา วังม่วง</t>
  </si>
  <si>
    <t>0300705</t>
  </si>
  <si>
    <t>ธ. ออมสิน สาขา นาหว้า</t>
  </si>
  <si>
    <t>0300706</t>
  </si>
  <si>
    <t>ธ. ออมสิน สาขา ตลาดท่าพล</t>
  </si>
  <si>
    <t>0300707</t>
  </si>
  <si>
    <t>ธ. ออมสิน สาขา มีโชค พลาซ่า</t>
  </si>
  <si>
    <t>0300708</t>
  </si>
  <si>
    <t>ธ. ออมสิน สาขา ป่าพะยอม</t>
  </si>
  <si>
    <t>0300709</t>
  </si>
  <si>
    <t>ธ. ออมสิน สาขา ห้วยแถลง</t>
  </si>
  <si>
    <t>0300710</t>
  </si>
  <si>
    <t>ธ. ออมสิน สาขา ทวีกิจ</t>
  </si>
  <si>
    <t>0300711</t>
  </si>
  <si>
    <t>ธ. ออมสิน สาขา หนองปลิง</t>
  </si>
  <si>
    <t>0300712</t>
  </si>
  <si>
    <t>ธ. ออมสิน สาขา ป่าบอน</t>
  </si>
  <si>
    <t>0300713</t>
  </si>
  <si>
    <t>ธ. ออมสิน สาขา ไพศาลี</t>
  </si>
  <si>
    <t>0300714</t>
  </si>
  <si>
    <t>ธ. ออมสิน สาขา เซ็นทรัลเฟสติวัล สมุย</t>
  </si>
  <si>
    <t>0300715</t>
  </si>
  <si>
    <t>ธ. ออมสิน สาขา ถนนเทพา</t>
  </si>
  <si>
    <t>0300716</t>
  </si>
  <si>
    <t>ธ. ออมสิน สาขา ถนนเรืองราษฎร์</t>
  </si>
  <si>
    <t>0300717</t>
  </si>
  <si>
    <t>ธ. ออมสิน สาขา ห้างนราไฮเปอร์มาร์ท</t>
  </si>
  <si>
    <t>0300718</t>
  </si>
  <si>
    <t>ธ. ออมสิน สาขา การไฟฟ้าฝ่ายผลิตบางกรวย</t>
  </si>
  <si>
    <t>0300719</t>
  </si>
  <si>
    <t>ธ. ออมสิน สาขา ดอนตูม</t>
  </si>
  <si>
    <t>0300720</t>
  </si>
  <si>
    <t>ธ. ออมสิน สาขา ถนนนางพิม</t>
  </si>
  <si>
    <t>0300721</t>
  </si>
  <si>
    <t>ธ. ออมสิน สาขา บางสะพานน้อย</t>
  </si>
  <si>
    <t>0300722</t>
  </si>
  <si>
    <t>ธ. ออมสิน สาขา บ้านไทย-จังโหลน</t>
  </si>
  <si>
    <t>0300723</t>
  </si>
  <si>
    <t>ธ. ออมสิน สาขา สุขุมวิท-สัตหีบ</t>
  </si>
  <si>
    <t>0300724</t>
  </si>
  <si>
    <t>ธ. ออมสิน สาขา ฮาร์เบอร์ พัทยา</t>
  </si>
  <si>
    <t>0300725</t>
  </si>
  <si>
    <t>ธ. ออมสิน สาขา เซ็นทรัลภูเก็ต เฟสติวัล</t>
  </si>
  <si>
    <t>0300726</t>
  </si>
  <si>
    <t>ธ. ออมสิน สาขา เกาะพะงัน</t>
  </si>
  <si>
    <t>0300727</t>
  </si>
  <si>
    <t>ธ. ออมสิน สาขา ปลวกแดง</t>
  </si>
  <si>
    <t>0300728</t>
  </si>
  <si>
    <t>ธ. ออมสิน สาขา ทองหล่อ</t>
  </si>
  <si>
    <t>0300729</t>
  </si>
  <si>
    <t>ธ. ออมสิน สาขา หนองสองห้อง</t>
  </si>
  <si>
    <t>0300730</t>
  </si>
  <si>
    <t>ธ. ออมสิน สาขา บิ๊กซี อ้อมใหญ่</t>
  </si>
  <si>
    <t>0300731</t>
  </si>
  <si>
    <t>ธ. ออมสิน สาขา ถนนลพบุรีราเมศวร์</t>
  </si>
  <si>
    <t>0300732</t>
  </si>
  <si>
    <t>ธ. ออมสิน สาขา บิ๊กซี พัทยาใต้</t>
  </si>
  <si>
    <t>0300733</t>
  </si>
  <si>
    <t>ธ. ออมสิน สาขา ราษฎร์อุทิศหาดใหญ่</t>
  </si>
  <si>
    <t>0300734</t>
  </si>
  <si>
    <t>ธ. ออมสิน สาขา เซ็นทรัลพลาซา เชียงราย</t>
  </si>
  <si>
    <t>0300735</t>
  </si>
  <si>
    <t>ธ. ออมสิน สาขา โพธิ์ชัย</t>
  </si>
  <si>
    <t>0300736</t>
  </si>
  <si>
    <t>ธ. ออมสิน สาขา ย่านยาว</t>
  </si>
  <si>
    <t>0300737</t>
  </si>
  <si>
    <t>ธ. ออมสิน สาขา ช้างม่อย</t>
  </si>
  <si>
    <t>0300738</t>
  </si>
  <si>
    <t>ธ. ออมสิน สาขา โลตัส ปากช่อง</t>
  </si>
  <si>
    <t>0300739</t>
  </si>
  <si>
    <t>ธ. ออมสิน สาขา โลตัส กาฬสินธุ์</t>
  </si>
  <si>
    <t>0300740</t>
  </si>
  <si>
    <t>ธ. ออมสิน สาขา เซ็นทรัลพลาซา พระราม 3</t>
  </si>
  <si>
    <t>0300741</t>
  </si>
  <si>
    <t>ธ. ออมสิน สาขา ท่าลี่</t>
  </si>
  <si>
    <t>0300742</t>
  </si>
  <si>
    <t>ธ. ออมสิน สาขา สาทรเหนือ</t>
  </si>
  <si>
    <t>0300743</t>
  </si>
  <si>
    <t>ธ. ออมสิน สาขา บิ๊กซี หทัยราษฎร์</t>
  </si>
  <si>
    <t>0300744</t>
  </si>
  <si>
    <t>ธ. ออมสิน สาขา สถานีรถโดยสารท่าอากาศยานสุวรรณภูมิ</t>
  </si>
  <si>
    <t>0300745</t>
  </si>
  <si>
    <t>ธ. ออมสิน สาขา เซ็นทรัลพลาซา ปิ่นเกล้า</t>
  </si>
  <si>
    <t>0300746</t>
  </si>
  <si>
    <t>ธ. ออมสิน สาขา ลาดหญ้า</t>
  </si>
  <si>
    <t>0300747</t>
  </si>
  <si>
    <t>ธ. ออมสิน สาขา ถนนทัพพระยา</t>
  </si>
  <si>
    <t>0300748</t>
  </si>
  <si>
    <t>ธ. ออมสิน สาขา ศูนย์ราชการฯ แจ้งวัฒนะ(อาคาร A)</t>
  </si>
  <si>
    <t>0300749</t>
  </si>
  <si>
    <t>ธ. ออมสิน สาขา เอนเนอร์ยี่ คอมเพล็กซ์</t>
  </si>
  <si>
    <t>0300750</t>
  </si>
  <si>
    <t>ธ. ออมสิน สาขา ตลาดยิ่งเจริญ</t>
  </si>
  <si>
    <t>0300751</t>
  </si>
  <si>
    <t>ธ. ออมสิน สาขา อีสท์วอเตอร์</t>
  </si>
  <si>
    <t>0300752</t>
  </si>
  <si>
    <t>ธ. ออมสิน สาขา ย่อยโรงเรียนเซนต์จอห์น</t>
  </si>
  <si>
    <t>0300753</t>
  </si>
  <si>
    <t>ธ. ออมสิน สาขา ลานกระบือ</t>
  </si>
  <si>
    <t>0300754</t>
  </si>
  <si>
    <t>ธ. ออมสิน สาขา บิ๊กซี พิษณุโลก</t>
  </si>
  <si>
    <t>0300755</t>
  </si>
  <si>
    <t>ธ. ออมสิน สาขา มหาชนะชัย</t>
  </si>
  <si>
    <t>0300756</t>
  </si>
  <si>
    <t>ธ. ออมสิน สาขา บิ๊กซี หางดง</t>
  </si>
  <si>
    <t>0300757</t>
  </si>
  <si>
    <t>ธ. ออมสิน สาขา ท่าน้ำนนทบุรี</t>
  </si>
  <si>
    <t>0300758</t>
  </si>
  <si>
    <t>ธ. ออมสิน สาขา ชุมพลบุรี</t>
  </si>
  <si>
    <t>0300759</t>
  </si>
  <si>
    <t>ธ. ออมสิน สาขา เคียนซา</t>
  </si>
  <si>
    <t>0300760</t>
  </si>
  <si>
    <t>ธ. ออมสิน สาขา แม่เมาะ</t>
  </si>
  <si>
    <t>0300761</t>
  </si>
  <si>
    <t>ธ. ออมสิน สาขา คำม่วง</t>
  </si>
  <si>
    <t>0300762</t>
  </si>
  <si>
    <t>ธ. ออมสิน สาขา โพธิ์แจ้</t>
  </si>
  <si>
    <t>0300763</t>
  </si>
  <si>
    <t>ธ. ออมสิน สาขา สวนอุตสาหกรรมโรจนะ</t>
  </si>
  <si>
    <t>0300764</t>
  </si>
  <si>
    <t>ธ. ออมสิน สาขา ลำลูกกา คลอง 2</t>
  </si>
  <si>
    <t>0300765</t>
  </si>
  <si>
    <t>ธ. ออมสิน สาขา บ้านม่วง</t>
  </si>
  <si>
    <t>0300766</t>
  </si>
  <si>
    <t>ธ. ออมสิน สาขา บ้านด่านลานหอย</t>
  </si>
  <si>
    <t>0300767</t>
  </si>
  <si>
    <t>ธ. ออมสิน สาขา คำตากล้า</t>
  </si>
  <si>
    <t>0300768</t>
  </si>
  <si>
    <t>ธ. ออมสิน สาขา โพนสวรรค์</t>
  </si>
  <si>
    <t>0300769</t>
  </si>
  <si>
    <t>ธ. ออมสิน สาขา เซ็นทรัลเวิลด์</t>
  </si>
  <si>
    <t>0300770</t>
  </si>
  <si>
    <t>ธ. ออมสิน สาขา มหาวิทยาลัยขอนแก่น</t>
  </si>
  <si>
    <t>0300771</t>
  </si>
  <si>
    <t>ธ. ออมสิน สาขา พระราม 2 ซอย 64</t>
  </si>
  <si>
    <t>0300772</t>
  </si>
  <si>
    <t>ธ. ออมสิน สาขา บ่อสร้าง</t>
  </si>
  <si>
    <t>0300773</t>
  </si>
  <si>
    <t>ธ. ออมสิน สาขา วิคทอรี่ เซ็นเตอร์</t>
  </si>
  <si>
    <t>0300774</t>
  </si>
  <si>
    <t>ธ. ออมสิน สาขา ศรีนคร</t>
  </si>
  <si>
    <t>0300775</t>
  </si>
  <si>
    <t>ธ. ออมสิน สาขา บ้านตาก</t>
  </si>
  <si>
    <t>0300776</t>
  </si>
  <si>
    <t>ธ. ออมสิน สาขา บิ๊กซี ตาก</t>
  </si>
  <si>
    <t>0300777</t>
  </si>
  <si>
    <t>ธ. ออมสิน สาขา บิ๊กซี วงศ์สว่าง</t>
  </si>
  <si>
    <t>0300778</t>
  </si>
  <si>
    <t>ธ. ออมสิน สาขา ทรัพย์ไพรวัลย์</t>
  </si>
  <si>
    <t>0300779</t>
  </si>
  <si>
    <t>ธ. ออมสิน สาขา สาธรซิตี้ ทาวเวอร์</t>
  </si>
  <si>
    <t>0300780</t>
  </si>
  <si>
    <t>ธ. ออมสิน สาขา พญาไท</t>
  </si>
  <si>
    <t>0300781</t>
  </si>
  <si>
    <t>ธ. ออมสิน สาขา เชียงกลาง</t>
  </si>
  <si>
    <t>0300782</t>
  </si>
  <si>
    <t>ธ. ออมสิน สาขา เซ็นทรัลพลาซา ลาดพร้าว</t>
  </si>
  <si>
    <t>0300783</t>
  </si>
  <si>
    <t>ธ. ออมสิน สาขา เดอะพาซิโอ ทาวน์</t>
  </si>
  <si>
    <t>0300784</t>
  </si>
  <si>
    <t>ธ. ออมสิน สาขา ท่าคันโท</t>
  </si>
  <si>
    <t>0300785</t>
  </si>
  <si>
    <t>ธ. ออมสิน สาขา ทุ่งครุ</t>
  </si>
  <si>
    <t>0300786</t>
  </si>
  <si>
    <t>ธ. ออมสิน สาขา สี่แยกทศกัณฐ์</t>
  </si>
  <si>
    <t>0300787</t>
  </si>
  <si>
    <t>ธ. ออมสิน สาขา ประตูน้ำขอนแก่น</t>
  </si>
  <si>
    <t>0300788</t>
  </si>
  <si>
    <t>ธ. ออมสิน สาขา บัวทองสแควร์</t>
  </si>
  <si>
    <t>0300789</t>
  </si>
  <si>
    <t>ธ. ออมสิน สาขา อ่าวนาง</t>
  </si>
  <si>
    <t>0300790</t>
  </si>
  <si>
    <t>ธ. ออมสิน สาขา ถนนสรงประภา</t>
  </si>
  <si>
    <t>0300791</t>
  </si>
  <si>
    <t>ธ. ออมสิน สาขา พระสมุทรเจดีย์</t>
  </si>
  <si>
    <t>0300792</t>
  </si>
  <si>
    <t>ธ. ออมสิน สาขา บิ๊กซี หล่มสัก</t>
  </si>
  <si>
    <t>0300793</t>
  </si>
  <si>
    <t>ธ. ออมสิน สาขา สยามคันทรีคลับ</t>
  </si>
  <si>
    <t>0300794</t>
  </si>
  <si>
    <t>ธ. ออมสิน สาขา ม่วงสามสิบ</t>
  </si>
  <si>
    <t>0300795</t>
  </si>
  <si>
    <t>ธ. ออมสิน สาขา ขาณุวรลักษบุรี</t>
  </si>
  <si>
    <t>0300796</t>
  </si>
  <si>
    <t>ธ. ออมสิน สาขา เขาวง</t>
  </si>
  <si>
    <t>0300797</t>
  </si>
  <si>
    <t>ธ. ออมสิน สาขา สุพรีม คอมเพล็กซ์ สามเสน</t>
  </si>
  <si>
    <t>0300798</t>
  </si>
  <si>
    <t>ธ. ออมสิน สาขา นาเชือก</t>
  </si>
  <si>
    <t>0300799</t>
  </si>
  <si>
    <t>ธ. ออมสิน สาขา บ่อพลอย</t>
  </si>
  <si>
    <t>0300800</t>
  </si>
  <si>
    <t>ธ. ออมสิน สาขา สวนผัก</t>
  </si>
  <si>
    <t>0300801</t>
  </si>
  <si>
    <t>ธ. ออมสิน สาขา หนองกุงศรี</t>
  </si>
  <si>
    <t>0300802</t>
  </si>
  <si>
    <t>ธ. ออมสิน สาขา สุวรรณคูหา</t>
  </si>
  <si>
    <t>0300803</t>
  </si>
  <si>
    <t>ธ. ออมสิน สาขา เสิงสาง</t>
  </si>
  <si>
    <t>0300804</t>
  </si>
  <si>
    <t>ธ. ออมสิน สาขา ตลาดพรเพชร</t>
  </si>
  <si>
    <t>0300805</t>
  </si>
  <si>
    <t>ธ. ออมสิน สาขา รอยัลพาร์ค</t>
  </si>
  <si>
    <t>0300806</t>
  </si>
  <si>
    <t>ธ. ออมสิน สาขา หนองตม</t>
  </si>
  <si>
    <t>0300807</t>
  </si>
  <si>
    <t>ธ. ออมสิน สาขา ห้าแยกโคกมะตูม</t>
  </si>
  <si>
    <t>0300808</t>
  </si>
  <si>
    <t>ธ. ออมสิน สาขา แพชชั่น ช้อปปิ้ง เดสติเนชั่น</t>
  </si>
  <si>
    <t>0300809</t>
  </si>
  <si>
    <t>ธ. ออมสิน สาขา โลตัส รังสิตคลอง 7</t>
  </si>
  <si>
    <t>0300810</t>
  </si>
  <si>
    <t>ธ. ออมสิน สาขา มหาวิทยาลัยวลัยลักษณ์</t>
  </si>
  <si>
    <t>0300811</t>
  </si>
  <si>
    <t>ธ. ออมสิน สาขา เซ็นทรัลพลาซา พิษณุโลก</t>
  </si>
  <si>
    <t>0300812</t>
  </si>
  <si>
    <t>ธ. ออมสิน สาขา แก่งกระจาน</t>
  </si>
  <si>
    <t>0300813</t>
  </si>
  <si>
    <t>ธ. ออมสิน สาขา พัทยา-สุขุมวิท</t>
  </si>
  <si>
    <t>0300814</t>
  </si>
  <si>
    <t>ธ. ออมสิน สาขา พันท้ายนรสิงห์</t>
  </si>
  <si>
    <t>0300815</t>
  </si>
  <si>
    <t>ธ. ออมสิน สาขา เนินมะปราง</t>
  </si>
  <si>
    <t>0300816</t>
  </si>
  <si>
    <t>ธ. ออมสิน สาขา สามแยกสันทราย</t>
  </si>
  <si>
    <t>0300817</t>
  </si>
  <si>
    <t>ธ. ออมสิน สาขา อมตะนคร</t>
  </si>
  <si>
    <t>0300818</t>
  </si>
  <si>
    <t>ธ. ออมสิน สาขา ลานสกา</t>
  </si>
  <si>
    <t>0300819</t>
  </si>
  <si>
    <t>ธ. ออมสิน สาขา ปลาปาก</t>
  </si>
  <si>
    <t>0300820</t>
  </si>
  <si>
    <t>ธ. ออมสิน สาขา ทุ่งยาว</t>
  </si>
  <si>
    <t>0300821</t>
  </si>
  <si>
    <t>ธ. ออมสิน สาขา ถนนนาใน</t>
  </si>
  <si>
    <t>0300822</t>
  </si>
  <si>
    <t>ธ. ออมสิน สาขา บ่อวิน</t>
  </si>
  <si>
    <t>0300823</t>
  </si>
  <si>
    <t>ธ. ออมสิน สาขา บางน้ำเปรี้ยว</t>
  </si>
  <si>
    <t>0300824</t>
  </si>
  <si>
    <t>ธ. ออมสิน สาขา หินกอง</t>
  </si>
  <si>
    <t>0300825</t>
  </si>
  <si>
    <t>ธ. ออมสิน สาขา หนองบัวระเหว</t>
  </si>
  <si>
    <t>0300826</t>
  </si>
  <si>
    <t>ธ. ออมสิน สาขา มาบอำมฤต</t>
  </si>
  <si>
    <t>0300827</t>
  </si>
  <si>
    <t>ธ. ออมสิน สาขา พะโต๊ะ</t>
  </si>
  <si>
    <t>0300828</t>
  </si>
  <si>
    <t>ธ. ออมสิน สาขา คลองใหญ่</t>
  </si>
  <si>
    <t>0300829</t>
  </si>
  <si>
    <t>ธ. ออมสิน สาขา บางทราย</t>
  </si>
  <si>
    <t>0300830</t>
  </si>
  <si>
    <t>ธ. ออมสิน สาขา หนองบุญมาก</t>
  </si>
  <si>
    <t>0300831</t>
  </si>
  <si>
    <t>ธ. ออมสิน สาขา หนองพอก</t>
  </si>
  <si>
    <t>0300832</t>
  </si>
  <si>
    <t>ธ. ออมสิน สาขา ขุนทะเล</t>
  </si>
  <si>
    <t>0300833</t>
  </si>
  <si>
    <t>ธ. ออมสิน สาขา บ้านนาเดิม</t>
  </si>
  <si>
    <t>0300834</t>
  </si>
  <si>
    <t>ธ. ออมสิน สาขา ตลาดเก่า</t>
  </si>
  <si>
    <t>0300835</t>
  </si>
  <si>
    <t>ธ. ออมสิน สาขา ถนนสถลมาร์ค</t>
  </si>
  <si>
    <t>0300836</t>
  </si>
  <si>
    <t>ธ. ออมสิน สาขา ปทุมราชวงศา</t>
  </si>
  <si>
    <t>0300837</t>
  </si>
  <si>
    <t>ธ. ออมสิน สาขา เดอะพาซิโอ พาร์ค กาญจนาภิเษก</t>
  </si>
  <si>
    <t>0300838</t>
  </si>
  <si>
    <t>ธ. ออมสิน สาขา ซีคอนสแควร์</t>
  </si>
  <si>
    <t>0300839</t>
  </si>
  <si>
    <t>ธ. ออมสิน สาขา สยามนครินทร์</t>
  </si>
  <si>
    <t>0300840</t>
  </si>
  <si>
    <t>ธ. ออมสิน สาขา เซ็นทรัลพลาซา แกรนด์ พระราม 9</t>
  </si>
  <si>
    <t>0300841</t>
  </si>
  <si>
    <t>ธ. ออมสิน สาขา เวียงเชียงรุ้ง</t>
  </si>
  <si>
    <t>0300842</t>
  </si>
  <si>
    <t>ธ. ออมสิน สาขา ถนนเทพกระษัตรี</t>
  </si>
  <si>
    <t>0300843</t>
  </si>
  <si>
    <t>ธ. ออมสิน สาขา ศูนย์การค้าไทยสมบูรณ์ทุ่งสง</t>
  </si>
  <si>
    <t>0300844</t>
  </si>
  <si>
    <t>ธ. ออมสิน สาขา ถนนบางขุนเทียน-ชายทะเล</t>
  </si>
  <si>
    <t>0300845</t>
  </si>
  <si>
    <t>ธ. ออมสิน สาขา สหัสขันธ์</t>
  </si>
  <si>
    <t>0300846</t>
  </si>
  <si>
    <t>ธ. ออมสิน สาขา วัชรพล</t>
  </si>
  <si>
    <t>0300847</t>
  </si>
  <si>
    <t>ธ. ออมสิน สาขา บิ๊กซี ลาดพร้าว 2</t>
  </si>
  <si>
    <t>0300848</t>
  </si>
  <si>
    <t>ธ. ออมสิน สาขา บ้านพรุ</t>
  </si>
  <si>
    <t>0300849</t>
  </si>
  <si>
    <t>ธ. ออมสิน สาขา เทสโก้โลตัส ท่ายาง</t>
  </si>
  <si>
    <t>0300850</t>
  </si>
  <si>
    <t>ธ. ออมสิน สาขา ขนส่งหมอชิต 2</t>
  </si>
  <si>
    <t>0300851</t>
  </si>
  <si>
    <t>ธ. ออมสิน สาขา เขาหลัก</t>
  </si>
  <si>
    <t>0300852</t>
  </si>
  <si>
    <t>ธ. ออมสิน สาขา แยกพิชัย</t>
  </si>
  <si>
    <t>0300853</t>
  </si>
  <si>
    <t>ธ. ออมสิน สาขา บ้านโฮ่ง</t>
  </si>
  <si>
    <t>0300854</t>
  </si>
  <si>
    <t>ธ. ออมสิน สาขา ต้นซุง แอฟเวนิว</t>
  </si>
  <si>
    <t>0300855</t>
  </si>
  <si>
    <t>ธ. ออมสิน สาขา ศูนย์การค้ากรีนเพลส พลาซา</t>
  </si>
  <si>
    <t>0300856</t>
  </si>
  <si>
    <t>ธ. ออมสิน สาขา แม่อาย</t>
  </si>
  <si>
    <t>0300857</t>
  </si>
  <si>
    <t>ธ. ออมสิน สาขา วังสมบูรณ์</t>
  </si>
  <si>
    <t>0300858</t>
  </si>
  <si>
    <t>ธ. ออมสิน สาขา บิ๊กซี พระราม 2</t>
  </si>
  <si>
    <t>0300859</t>
  </si>
  <si>
    <t>ธ. ออมสิน สาขา มหาวิทยาลัยพะเยา</t>
  </si>
  <si>
    <t>0300860</t>
  </si>
  <si>
    <t>ธ. ออมสิน สาขา หัวทะเล</t>
  </si>
  <si>
    <t>0300861</t>
  </si>
  <si>
    <t>ธ. ออมสิน สาขา วชิรา สงขลา</t>
  </si>
  <si>
    <t>0300862</t>
  </si>
  <si>
    <t>ธ. ออมสิน สาขา หนองเบน</t>
  </si>
  <si>
    <t>0300863</t>
  </si>
  <si>
    <t>ธ. ออมสิน สาขา โรบินสัน ลพบุรี</t>
  </si>
  <si>
    <t>0300864</t>
  </si>
  <si>
    <t>ธ. ออมสิน สาขา ตลาดผาสุก</t>
  </si>
  <si>
    <t>0300865</t>
  </si>
  <si>
    <t>ธ. ออมสิน สาขา บิ๊กซี บ้านโป่ง</t>
  </si>
  <si>
    <t>0300866</t>
  </si>
  <si>
    <t>ธ. ออมสิน สาขา โฮมโปร นครปฐม</t>
  </si>
  <si>
    <t>0300867</t>
  </si>
  <si>
    <t>ธ. ออมสิน สาขา นิคมอุตสาหกรรมบางปู</t>
  </si>
  <si>
    <t>0300868</t>
  </si>
  <si>
    <t>ธ. ออมสิน สาขา สีชมพู</t>
  </si>
  <si>
    <t>0300869</t>
  </si>
  <si>
    <t>ธ. ออมสิน สาขา บิ๊กซี บางปะกอก</t>
  </si>
  <si>
    <t>0300870</t>
  </si>
  <si>
    <t>ธ. ออมสิน สาขา เขาสวนกวาง</t>
  </si>
  <si>
    <t>0300871</t>
  </si>
  <si>
    <t>ธ. ออมสิน สาขา เมืองทองธานี</t>
  </si>
  <si>
    <t>0300872</t>
  </si>
  <si>
    <t>ธ. ออมสิน สาขา โรบินสัน นครศรีธรรมราช</t>
  </si>
  <si>
    <t>0300873</t>
  </si>
  <si>
    <t>ธ. ออมสิน สาขา ทียูโดม รังสิต</t>
  </si>
  <si>
    <t>0300874</t>
  </si>
  <si>
    <t>ธ. ออมสิน สาขา สี่แยกโรงพยาบาลร้อยเอ็ด</t>
  </si>
  <si>
    <t>0300875</t>
  </si>
  <si>
    <t>ธ. ออมสิน สาขา อ่าวอุดม</t>
  </si>
  <si>
    <t>0300876</t>
  </si>
  <si>
    <t>ธ. ออมสิน สาขา โรบินสัน สุพรรณบุรี</t>
  </si>
  <si>
    <t>0300877</t>
  </si>
  <si>
    <t>ธ. ออมสิน สาขา พรหมคีรี</t>
  </si>
  <si>
    <t>0300878</t>
  </si>
  <si>
    <t>ธ. ออมสิน สาขา นิคมอุตสาหกรรมบางปะอิน</t>
  </si>
  <si>
    <t>0300879</t>
  </si>
  <si>
    <t>ธ. ออมสิน สาขา หนองแขม</t>
  </si>
  <si>
    <t>0300880</t>
  </si>
  <si>
    <t>ธ. ออมสิน สาขา บางบอน (ตลาดปิ่นทอง)</t>
  </si>
  <si>
    <t>0300881</t>
  </si>
  <si>
    <t>ธ. ออมสิน สาขา ตลาดรวมใจ (เมืองทองธานี)</t>
  </si>
  <si>
    <t>0300882</t>
  </si>
  <si>
    <t>ธ. ออมสิน สาขา เทพสถิต</t>
  </si>
  <si>
    <t>0300883</t>
  </si>
  <si>
    <t>ธ. ออมสิน สาขา เซ็นทรัลพลาซา อุดรธานี</t>
  </si>
  <si>
    <t>0300884</t>
  </si>
  <si>
    <t>ธ. ออมสิน สาขา เจริญกรุง 107 (แฉล้มนิมิตร)</t>
  </si>
  <si>
    <t>0300885</t>
  </si>
  <si>
    <t>ธ. ออมสิน สาขา กะทู้</t>
  </si>
  <si>
    <t>0300886</t>
  </si>
  <si>
    <t>ธ. ออมสิน สาขา บิ๊กซี ลำลูกกา 2</t>
  </si>
  <si>
    <t>0300887</t>
  </si>
  <si>
    <t>ธ. ออมสิน สาขา เมกาบางนา</t>
  </si>
  <si>
    <t>0300888</t>
  </si>
  <si>
    <t>ธ. ออมสิน DUMMY BRANCH 1</t>
  </si>
  <si>
    <t>0300889</t>
  </si>
  <si>
    <t>ธ. ออมสิน สาขา แฟชั่นไอส์แลนด์ 2</t>
  </si>
  <si>
    <t>0300890</t>
  </si>
  <si>
    <t>ธ. ออมสิน สาขา นิคมคำสร้อย</t>
  </si>
  <si>
    <t>0300891</t>
  </si>
  <si>
    <t>ธ. ออมสิน สาขา ซิตี้มอลล์ อุบลราชธานี</t>
  </si>
  <si>
    <t>0300892</t>
  </si>
  <si>
    <t>ธ. ออมสิน สาขา อิมพีเรียล เวิลด์ ลาดพร้าว</t>
  </si>
  <si>
    <t>0300893</t>
  </si>
  <si>
    <t>ธ. ออมสิน สาขา ศรีธาตุ</t>
  </si>
  <si>
    <t>0300894</t>
  </si>
  <si>
    <t>ธ. ออมสิน สาขา กลางดง</t>
  </si>
  <si>
    <t>0300895</t>
  </si>
  <si>
    <t>ธ. ออมสิน สาขา สุขสำราญ</t>
  </si>
  <si>
    <t>0300896</t>
  </si>
  <si>
    <t>ธ. ออมสิน สาขา เมืองอินทร์</t>
  </si>
  <si>
    <t>0300897</t>
  </si>
  <si>
    <t>ธ. ออมสิน สาขา ตลาดพูนทรัพย์</t>
  </si>
  <si>
    <t>0300898</t>
  </si>
  <si>
    <t>ธ. ออมสิน สาขา ตลาดเซฟวัน</t>
  </si>
  <si>
    <t>0300899</t>
  </si>
  <si>
    <t>ธ. ออมสิน สาขา สามโคก</t>
  </si>
  <si>
    <t>0300900</t>
  </si>
  <si>
    <t>ธ. ออมสิน สาขา ลาดพร้าว 101</t>
  </si>
  <si>
    <t>0300901</t>
  </si>
  <si>
    <t>ธ. ออมสิน สาขา รัษฎา</t>
  </si>
  <si>
    <t>0300902</t>
  </si>
  <si>
    <t>ธ. ออมสิน สาขา ละมัย</t>
  </si>
  <si>
    <t>0300903</t>
  </si>
  <si>
    <t>ธ. ออมสิน สาขา บิ๊กซี มุกดาหาร</t>
  </si>
  <si>
    <t>0300904</t>
  </si>
  <si>
    <t>ธ. ออมสิน สาขา ธัญญา พาร์ค ศรีนครินทร์</t>
  </si>
  <si>
    <t>0300905</t>
  </si>
  <si>
    <t>ธ. ออมสิน สาขา พิปูน</t>
  </si>
  <si>
    <t>0300906</t>
  </si>
  <si>
    <t>ธ. ออมสิน สาขา บิ๊กซี สุโขทัย</t>
  </si>
  <si>
    <t>0300907</t>
  </si>
  <si>
    <t>ธ. ออมสิน สาขา นิคมอุตสาหกรรมอมตะนคร</t>
  </si>
  <si>
    <t>0300908</t>
  </si>
  <si>
    <t>ธ. ออมสิน สาขา ปตท.ประเวศ</t>
  </si>
  <si>
    <t>0300909</t>
  </si>
  <si>
    <t>ธ. ออมสิน สาขา เซ็นทรัลพลาซ่า สุราษฎร์ธานี</t>
  </si>
  <si>
    <t>0300910</t>
  </si>
  <si>
    <t>ธ. ออมสิน สาขา ไทรน้อย</t>
  </si>
  <si>
    <t>0300911</t>
  </si>
  <si>
    <t>ธ. ออมสิน สาขา สัมมากร เพลส ราชพฤกษ์</t>
  </si>
  <si>
    <t>0300912</t>
  </si>
  <si>
    <t>ธ. ออมสิน สาขา ลำทับ</t>
  </si>
  <si>
    <t>0300913</t>
  </si>
  <si>
    <t>ธ. ออมสิน สาขา ตลาดพาเจริญ</t>
  </si>
  <si>
    <t>0300914</t>
  </si>
  <si>
    <t>ธ. ออมสิน สาขา บิ๊กซี สำโรง 2</t>
  </si>
  <si>
    <t>0300915</t>
  </si>
  <si>
    <t>ธ. ออมสิน สาขา นิคมพัฒนา ระยอง</t>
  </si>
  <si>
    <t>0300916</t>
  </si>
  <si>
    <t>ธ. ออมสิน สาขา เซ็นทรัลพลาซา พระราม 2</t>
  </si>
  <si>
    <t>0300917</t>
  </si>
  <si>
    <t>ธ. ออมสิน สาขา ถนนหนองจิก ปัตตานี</t>
  </si>
  <si>
    <t>0300918</t>
  </si>
  <si>
    <t>ธ. ออมสิน สาขา กรุงเทพ ทาวเวอร์</t>
  </si>
  <si>
    <t>0300919</t>
  </si>
  <si>
    <t>ธ. ออมสิน สาขา ถนนพูนผล</t>
  </si>
  <si>
    <t>0300920</t>
  </si>
  <si>
    <t>ธ. ออมสิน สาขา บิ๊กซี รังสิต 2</t>
  </si>
  <si>
    <t>0300921</t>
  </si>
  <si>
    <t>ธ. ออมสิน สาขา สี่แยกท่าเรือ</t>
  </si>
  <si>
    <t>0300922</t>
  </si>
  <si>
    <t>ธ. ออมสิน สาขา ถนนแจ้งสนิท</t>
  </si>
  <si>
    <t>0300923</t>
  </si>
  <si>
    <t>ธ. ออมสิน สาขา โขงเจียม</t>
  </si>
  <si>
    <t>0300924</t>
  </si>
  <si>
    <t>ธ. ออมสิน สาขา โคกอุดม</t>
  </si>
  <si>
    <t>0300925</t>
  </si>
  <si>
    <t>ธ. ออมสิน สาขา บำเหน็จณรงค์</t>
  </si>
  <si>
    <t>0300926</t>
  </si>
  <si>
    <t>ธ. ออมสิน สาขา บางสวรรค์</t>
  </si>
  <si>
    <t>0300927</t>
  </si>
  <si>
    <t>ธ. ออมสิน สาขา อินท์-อินเตอร์เซค</t>
  </si>
  <si>
    <t>0300928</t>
  </si>
  <si>
    <t>ธ. ออมสิน สาขา เซ็นทรัลพลาซ่า ลำปาง</t>
  </si>
  <si>
    <t>0300929</t>
  </si>
  <si>
    <t>ธ. ออมสิน สาขา วิภาวดี</t>
  </si>
  <si>
    <t>0300930</t>
  </si>
  <si>
    <t>ธ. ออมสิน สาขา ทับคล้อ</t>
  </si>
  <si>
    <t>0300931</t>
  </si>
  <si>
    <t>ธ. ออมสิน สาขา เกทเวย์ เอกมัย</t>
  </si>
  <si>
    <t>0300932</t>
  </si>
  <si>
    <t>ธ. ออมสิน สาขา ทุ่งคอก</t>
  </si>
  <si>
    <t>0300933</t>
  </si>
  <si>
    <t>ธ. ออมสิน สาขา สุริยาประดิษฐ์</t>
  </si>
  <si>
    <t>0300934</t>
  </si>
  <si>
    <t>ธ. ออมสิน สาขา ออล ซีซั่นส์ เพลส</t>
  </si>
  <si>
    <t>0300935</t>
  </si>
  <si>
    <t>ธ. ออมสิน สาขา บ้านกรวด</t>
  </si>
  <si>
    <t>0300936</t>
  </si>
  <si>
    <t>ธ. ออมสิน สาขา ถ้ำพรรณรา</t>
  </si>
  <si>
    <t>0300937</t>
  </si>
  <si>
    <t>ธ. ออมสิน สาขา ลอง</t>
  </si>
  <si>
    <t>0300938</t>
  </si>
  <si>
    <t>ธ. ออมสิน สาขา เมโทร เวสต์ทาวน์</t>
  </si>
  <si>
    <t>0300939</t>
  </si>
  <si>
    <t>ธ. ออมสิน สาขา ซีคอน บางแค</t>
  </si>
  <si>
    <t>0300940</t>
  </si>
  <si>
    <t>ธ. ออมสิน สาขา ประชานิเวศน์1</t>
  </si>
  <si>
    <t>0300941</t>
  </si>
  <si>
    <t>ธ. ออมสิน สาขา ละหานทราย</t>
  </si>
  <si>
    <t>0300942</t>
  </si>
  <si>
    <t>ธ. ออมสิน สาขา บิ๊กซี สุขสวัสดิ์</t>
  </si>
  <si>
    <t>0300943</t>
  </si>
  <si>
    <t>ธ. ออมสิน สาขา ชัยบุรี</t>
  </si>
  <si>
    <t>0300944</t>
  </si>
  <si>
    <t>ธ. ออมสิน สาขา ลืออำนาจ</t>
  </si>
  <si>
    <t>0300945</t>
  </si>
  <si>
    <t>ธ. ออมสิน สาขา แม่สรวย</t>
  </si>
  <si>
    <t>0300946</t>
  </si>
  <si>
    <t>ธ. ออมสิน สาขา ทุ้งโฮ้ง</t>
  </si>
  <si>
    <t>0300947</t>
  </si>
  <si>
    <t>ธ. ออมสิน สาขา ห้วยกระเจา</t>
  </si>
  <si>
    <t>0300948</t>
  </si>
  <si>
    <t>ธ. ออมสิน สาขา เขาคิชฌกูฏ</t>
  </si>
  <si>
    <t>0300949</t>
  </si>
  <si>
    <t>ธ. ออมสิน สาขา คอลัมน์ ทาวเวอร์</t>
  </si>
  <si>
    <t>0300950</t>
  </si>
  <si>
    <t>ธ. ออมสิน สาขา นิคมอุตสาหกรรมบางพลี</t>
  </si>
  <si>
    <t>0300951</t>
  </si>
  <si>
    <t>ธ. ออมสิน สาขา วังโป่ง</t>
  </si>
  <si>
    <t>0300952</t>
  </si>
  <si>
    <t>ธ. ออมสิน สาขา กรีนพลาซ่า (วังหิน)</t>
  </si>
  <si>
    <t>0300953</t>
  </si>
  <si>
    <t>ธ. ออมสิน สาขา ชุมตาบง</t>
  </si>
  <si>
    <t>0300954</t>
  </si>
  <si>
    <t>ธ. ออมสิน สาขา ตลาดพุเตย</t>
  </si>
  <si>
    <t>0300955</t>
  </si>
  <si>
    <t>ธ. ออมสิน สาขา บางขัน</t>
  </si>
  <si>
    <t>0300956</t>
  </si>
  <si>
    <t>ธ. ออมสิน สาขา บ้านตาขุน</t>
  </si>
  <si>
    <t>0300957</t>
  </si>
  <si>
    <t>ธ. ออมสิน สาขา วังชิ้น</t>
  </si>
  <si>
    <t>0300958</t>
  </si>
  <si>
    <t>ธ. ออมสิน สาขา สังคม</t>
  </si>
  <si>
    <t>0300959</t>
  </si>
  <si>
    <t>ธ. ออมสิน สาขา หนองเรือ</t>
  </si>
  <si>
    <t>0300960</t>
  </si>
  <si>
    <t>ธ. ออมสิน สาขา คลองลาน</t>
  </si>
  <si>
    <t>0300961</t>
  </si>
  <si>
    <t>ธ. ออมสิน สาขา อากาศอำนวย</t>
  </si>
  <si>
    <t>0300962</t>
  </si>
  <si>
    <t>ธ. ออมสิน สาขา ทองแสนขัน</t>
  </si>
  <si>
    <t>0300963</t>
  </si>
  <si>
    <t>ธ. ออมสิน สาขา บ้านดู่</t>
  </si>
  <si>
    <t>0300964</t>
  </si>
  <si>
    <t>ธ. ออมสิน สาขา กะรน</t>
  </si>
  <si>
    <t>0300965</t>
  </si>
  <si>
    <t>ธ. ออมสิน สาขา เดอะซีน ทาวน์ อิน ทาวน์</t>
  </si>
  <si>
    <t>0300966</t>
  </si>
  <si>
    <t>ธ. ออมสิน สาขา ขุนตาล</t>
  </si>
  <si>
    <t>0300967</t>
  </si>
  <si>
    <t>ธ. ออมสิน สาขา ฟากท่า</t>
  </si>
  <si>
    <t>0300968</t>
  </si>
  <si>
    <t>ธ. ออมสิน สาขา น้ำโท้ง</t>
  </si>
  <si>
    <t>0300969</t>
  </si>
  <si>
    <t>ธ. ออมสิน สาขา ไอเพลส นิคมอุตสาหกรรมลาดกระบัง</t>
  </si>
  <si>
    <t>0300970</t>
  </si>
  <si>
    <t>ธ. ออมสิน สาขา วังน้ำเขียว</t>
  </si>
  <si>
    <t>0300971</t>
  </si>
  <si>
    <t>ธ. ออมสิน สาขา เซ็นทรัลพลาซ่า อุบลราชธานี</t>
  </si>
  <si>
    <t>0300972</t>
  </si>
  <si>
    <t>ธ. ออมสิน สาขา แม่ขะจาน</t>
  </si>
  <si>
    <t>0300973</t>
  </si>
  <si>
    <t>ธ. ออมสิน สาขา ด่านมะขามเตี้ย</t>
  </si>
  <si>
    <t>0300974</t>
  </si>
  <si>
    <t>ธ. ออมสิน สาขา ทุ่งช้าง</t>
  </si>
  <si>
    <t>0300975</t>
  </si>
  <si>
    <t>ธ. ออมสิน สาขา วัดเพลง</t>
  </si>
  <si>
    <t>0300976</t>
  </si>
  <si>
    <t>ธ. ออมสิน สาขา พุทธมณฑลสาย4</t>
  </si>
  <si>
    <t>0300977</t>
  </si>
  <si>
    <t>ธ. ออมสิน สาขา ชัยมงคล-ตราด</t>
  </si>
  <si>
    <t>0300978</t>
  </si>
  <si>
    <t>ธ. ออมสิน สาขา โรบินสัน สกลนคร</t>
  </si>
  <si>
    <t>0300979</t>
  </si>
  <si>
    <t>ธ. ออมสิน สาขา เรนโบว์ พลาซา จันทบุรี</t>
  </si>
  <si>
    <t>0300980</t>
  </si>
  <si>
    <t>ธ. ออมสิน สาขา แม่แจ่ม</t>
  </si>
  <si>
    <t>0300981</t>
  </si>
  <si>
    <t>ธ. ออมสิน สาขา บิ๊กซี เชียงใหม่ (ดอนจั่น)</t>
  </si>
  <si>
    <t>0300982</t>
  </si>
  <si>
    <t>ธ. ออมสิน สาขา โลตัส พระราม 4</t>
  </si>
  <si>
    <t>0300983</t>
  </si>
  <si>
    <t>ธ. ออมสิน สาขา เกาะโพธิ์</t>
  </si>
  <si>
    <t>0300984</t>
  </si>
  <si>
    <t>ธ. ออมสิน สาขา ดอนหวาย</t>
  </si>
  <si>
    <t>0300985</t>
  </si>
  <si>
    <t>ธ. ออมสิน สาขา โลตัส พิษณุโลก ท่าทอง</t>
  </si>
  <si>
    <t>0300986</t>
  </si>
  <si>
    <t>ธ. ออมสิน สาขา แม่วาง</t>
  </si>
  <si>
    <t>0300987</t>
  </si>
  <si>
    <t>ธ. ออมสิน สาขา เวเนเซีย</t>
  </si>
  <si>
    <t>0300988</t>
  </si>
  <si>
    <t>ธ. ออมสิน สาขา เซ็นทรัล เฟสติวัล เชียงใหม่</t>
  </si>
  <si>
    <t>0300989</t>
  </si>
  <si>
    <t>ธ. ออมสิน สาขา โลตัส คำเที่ยง</t>
  </si>
  <si>
    <t>0300990</t>
  </si>
  <si>
    <t>ธ. ออมสิน DUMMY BRANCH 2</t>
  </si>
  <si>
    <t>0300991</t>
  </si>
  <si>
    <t>ธ. ออมสิน สาขา สนามชัยเขต</t>
  </si>
  <si>
    <t>0300992</t>
  </si>
  <si>
    <t>ธ. ออมสิน สาขา โรบินสัน สระบุรี</t>
  </si>
  <si>
    <t>0300993</t>
  </si>
  <si>
    <t>ธ. ออมสิน สาขา เสริมไทยคอมเพล็กซ์</t>
  </si>
  <si>
    <t>0300994</t>
  </si>
  <si>
    <t>ธ. ออมสิน สาขา บิ๊กซี ศรีนครินทร์</t>
  </si>
  <si>
    <t>0300995</t>
  </si>
  <si>
    <t>ธ. ออมสิน สาขา บิ๊กซี กระบี่</t>
  </si>
  <si>
    <t>0300996</t>
  </si>
  <si>
    <t>ธ. ออมสิน สาขา บัวลาย</t>
  </si>
  <si>
    <t>0300997</t>
  </si>
  <si>
    <t>ธ. ออมสิน สาขา สองแคว</t>
  </si>
  <si>
    <t>0300999</t>
  </si>
  <si>
    <t>ธ. ออมสิน สาขา เซ็นทรัลเฟสติวัล หาดใหญ่</t>
  </si>
  <si>
    <t>0301000</t>
  </si>
  <si>
    <t>ธ. ออมสิน สาขา เซ็นทรัลพลาซ่า บางนา</t>
  </si>
  <si>
    <t>0301001</t>
  </si>
  <si>
    <t>ธ. ออมสิน สาขา แม่ลาน้อย</t>
  </si>
  <si>
    <t>0301002</t>
  </si>
  <si>
    <t>ธ. ออมสิน สาขา โรบินสัน สุรินทร์</t>
  </si>
  <si>
    <t>0301003</t>
  </si>
  <si>
    <t>ธ. ออมสิน สาขา เวียงแหง</t>
  </si>
  <si>
    <t>0301004</t>
  </si>
  <si>
    <t>ธ. ออมสิน สาขา บ้านเขว้า</t>
  </si>
  <si>
    <t>0301005</t>
  </si>
  <si>
    <t>ธ. ออมสิน สาขา ช้างกลาง</t>
  </si>
  <si>
    <t>0301006</t>
  </si>
  <si>
    <t>ธ. ออมสิน สาขา ท่าสองยาง</t>
  </si>
  <si>
    <t>0301007</t>
  </si>
  <si>
    <t>ธ. ออมสิน สาขา ท่าแพ(สตูล)</t>
  </si>
  <si>
    <t>0301008</t>
  </si>
  <si>
    <t>ธ. ออมสิน สาขา โลตัส สงขลา</t>
  </si>
  <si>
    <t>0301009</t>
  </si>
  <si>
    <t>ธ. ออมสิน สาขา เม-ญ่า เชียงใหม่</t>
  </si>
  <si>
    <t>0301010</t>
  </si>
  <si>
    <t>ธ. ออมสิน สาขา เฉลิมพระเกียรติ</t>
  </si>
  <si>
    <t>0301011</t>
  </si>
  <si>
    <t>ธ. ออมสิน สาขา ตลาด อ.ต.ก.</t>
  </si>
  <si>
    <t>0301012</t>
  </si>
  <si>
    <t>ธ. ออมสิน สาขา ศูนย์การค้าสลากไทย</t>
  </si>
  <si>
    <t>0301013</t>
  </si>
  <si>
    <t>ธ. ออมสิน สาขา เอราวัณ</t>
  </si>
  <si>
    <t>0301014</t>
  </si>
  <si>
    <t>ธ. ออมสิน สาขา ปลายพระยา</t>
  </si>
  <si>
    <t>0301015</t>
  </si>
  <si>
    <t>ธ. ออมสิน สาขา สยามสแควร์ วัน</t>
  </si>
  <si>
    <t>0301016</t>
  </si>
  <si>
    <t>ธ. ออมสิน สาขา เซ็นทรัลพลาซา ศาลายา</t>
  </si>
  <si>
    <t>0301017</t>
  </si>
  <si>
    <t>ธ. ออมสิน สาขา อเวนิว รัชโยธิน</t>
  </si>
  <si>
    <t>0301018</t>
  </si>
  <si>
    <t>ธ. ออมสิน สาขา โรบินสัน สมุทรปราการ</t>
  </si>
  <si>
    <t>0301019</t>
  </si>
  <si>
    <t>ธ. ออมสิน สาขา บ้านใหม่ไชยพจน์</t>
  </si>
  <si>
    <t>0301020</t>
  </si>
  <si>
    <t>ธ. ออมสิน สาขา ดอนมดแดง</t>
  </si>
  <si>
    <t>0301021</t>
  </si>
  <si>
    <t>ธ. ออมสิน สาขา โรบินสัน ปราจีนบุรี</t>
  </si>
  <si>
    <t>0301022</t>
  </si>
  <si>
    <t>ธ. ออมสิน สาขา โพธิ์ศรีสุวรรณ</t>
  </si>
  <si>
    <t>0301023</t>
  </si>
  <si>
    <t>ธ. ออมสิน สาขา บิ๊กซี ลำลูกา1</t>
  </si>
  <si>
    <t>0301024</t>
  </si>
  <si>
    <t>ธ. ออมสิน สาขา บิ๊กซี(วี-สแควร์)นครสวรรค์</t>
  </si>
  <si>
    <t>0301025</t>
  </si>
  <si>
    <t>ธ. ออมสิน สาขา กาดลำพูนจตุจักร</t>
  </si>
  <si>
    <t>0301026</t>
  </si>
  <si>
    <t>ธ. ออมสิน สาขา ถนนพระยาสัจจา</t>
  </si>
  <si>
    <t>0301027</t>
  </si>
  <si>
    <t>ธ. ออมสิน สาขา ถนนเศรษฐกิจ 1</t>
  </si>
  <si>
    <t>0301028</t>
  </si>
  <si>
    <t>ธ. ออมสิน สาขา โนนผึ้ง</t>
  </si>
  <si>
    <t>0301029</t>
  </si>
  <si>
    <t>ธ. ออมสิน สาขา ถนนวิทยะธำรงค์</t>
  </si>
  <si>
    <t>0301030</t>
  </si>
  <si>
    <t>ธ. ออมสิน สาขา บ้านลาด</t>
  </si>
  <si>
    <t>0301031</t>
  </si>
  <si>
    <t>ธ. ออมสิน สาขา โรบินสันร้อยเอ็ด</t>
  </si>
  <si>
    <t>0301032</t>
  </si>
  <si>
    <t>ธ. ออมสิน สาขา นาอาน</t>
  </si>
  <si>
    <t>0301033</t>
  </si>
  <si>
    <t>ธ. ออมสิน สาขา แม่ใจ</t>
  </si>
  <si>
    <t>0301034</t>
  </si>
  <si>
    <t>ธ. ออมสิน สาขา สยามพารากอน</t>
  </si>
  <si>
    <t>0301035</t>
  </si>
  <si>
    <t>ธ. ออมสิน สาขา ถนนกองบิน 56(หาดใหญ่)</t>
  </si>
  <si>
    <t>0301036</t>
  </si>
  <si>
    <t>ธ. ออมสิน สาขา ผังเมือง 4</t>
  </si>
  <si>
    <t>0301037</t>
  </si>
  <si>
    <t>ธ. ออมสิน สาขา เซ็นทรัลพลาซา ระยอง</t>
  </si>
  <si>
    <t>0301038</t>
  </si>
  <si>
    <t>ธ. ออมสิน สาขา ถนนสถิตย์นิมานกาล</t>
  </si>
  <si>
    <t>0301039</t>
  </si>
  <si>
    <t>ธ. ออมสิน สาขา เดอะไนน์ พระราม 9</t>
  </si>
  <si>
    <t>0301040</t>
  </si>
  <si>
    <t>ธ. ออมสิน สาขา กุดข้าวปุ้น</t>
  </si>
  <si>
    <t>0301041</t>
  </si>
  <si>
    <t>ธ. ออมสิน สาขา เซ็นทรัล เวสท์เกด</t>
  </si>
  <si>
    <t>0301042</t>
  </si>
  <si>
    <t>ธ. ออมสิน สาขา มาร์เก็ตวิลเลจ สุวรรณภูมิ</t>
  </si>
  <si>
    <t>0301043</t>
  </si>
  <si>
    <t>ธ. ออมสิน สาขา เซ็นทรัลเฟสติวัล อีสต์วิลล์</t>
  </si>
  <si>
    <t>0301044</t>
  </si>
  <si>
    <t>ธ. ออมสิน สาขา เดอะคริสตัล ราชพฤกษ์</t>
  </si>
  <si>
    <t>0301045</t>
  </si>
  <si>
    <t>ธ. ออมสิน สาขา โรบินสัน แม่สอด</t>
  </si>
  <si>
    <t>0301046</t>
  </si>
  <si>
    <t>ธ. ออมสิน สาขา ฮาร์เบอร์ มอลล์ แหลมฉบัง</t>
  </si>
  <si>
    <t>0301047</t>
  </si>
  <si>
    <t>ธ. ออมสิน สาขา โรบินสัน บุรีรัมย์</t>
  </si>
  <si>
    <t>0301048</t>
  </si>
  <si>
    <t>ธ. ออมสิน สาขา เดอะคริสตัล</t>
  </si>
  <si>
    <t>0301049</t>
  </si>
  <si>
    <t>ธ. ออมสิน สาขา นาวัง</t>
  </si>
  <si>
    <t>0301050</t>
  </si>
  <si>
    <t>ธ. ออมสิน สาขา แพลทินัม</t>
  </si>
  <si>
    <t>0301051</t>
  </si>
  <si>
    <t>ธ. ออมสิน สาขา บิ๊กซี สุวินทวงศ์</t>
  </si>
  <si>
    <t>0301052</t>
  </si>
  <si>
    <t>ธ. ออมสิน สาขา เดอะแจส รามอินทรา</t>
  </si>
  <si>
    <t>0301053</t>
  </si>
  <si>
    <t>ธ. ออมสิน สาขา สหไทย สุราษฎร์ธานี</t>
  </si>
  <si>
    <t>0301054</t>
  </si>
  <si>
    <t>ธ. ออมสิน สาขา ท่าอากาศยานดอนเมือง</t>
  </si>
  <si>
    <t>0301055</t>
  </si>
  <si>
    <t>ธ. ออมสิน สาขา สะพานใหม่ ชัยนาท</t>
  </si>
  <si>
    <t>0301056</t>
  </si>
  <si>
    <t>ธ. ออมสิน สาขา สนามกีฬา ตรัง</t>
  </si>
  <si>
    <t>0301057</t>
  </si>
  <si>
    <t>ธ. ออมสิน สาขา มาบุญครอง</t>
  </si>
  <si>
    <t>0301058</t>
  </si>
  <si>
    <t>ธ. ออมสิน สาขา ถนนเพชรบุรีตัดใหม่</t>
  </si>
  <si>
    <t>0301059</t>
  </si>
  <si>
    <t>ธ. ออมสิน สาขา บิ๊กซี ลพบุรี 1</t>
  </si>
  <si>
    <t>0301060</t>
  </si>
  <si>
    <t>ธ. ออมสิน สาขา บิ๊กซี ลำพูน</t>
  </si>
  <si>
    <t>0301061</t>
  </si>
  <si>
    <t>ธ. ออมสิน สาขา เซ็นทรัลพลาซา นครศรีธรรมราช</t>
  </si>
  <si>
    <t>0301062</t>
  </si>
  <si>
    <t>ธ. ออมสิน สาขา บลูพอร์ต หัวหิน</t>
  </si>
  <si>
    <t>0301063</t>
  </si>
  <si>
    <t>ธ. ออมสิน สาขา ยูดี ทาวน์ อุดรธานี</t>
  </si>
  <si>
    <t>0301064</t>
  </si>
  <si>
    <t>ธ. ออมสิน สาขา เทอมินอล21 โคราช</t>
  </si>
  <si>
    <t>0301065</t>
  </si>
  <si>
    <t>ธ. ออมสิน สาขา ตลาดไท</t>
  </si>
  <si>
    <t>0301066</t>
  </si>
  <si>
    <t>ธ. ออมสิน สาขา บิ๊กซี เอ็กซ์ตร้า หาดใหญ่</t>
  </si>
  <si>
    <t>0301067</t>
  </si>
  <si>
    <t>ธ. ออมสิน สาขา เขาพนม</t>
  </si>
  <si>
    <t>0301068</t>
  </si>
  <si>
    <t>ธ. ออมสิน สาขา ตลาดเจ้าพระยา</t>
  </si>
  <si>
    <t>0301069</t>
  </si>
  <si>
    <t>ธ. ออมสิน สาขา โรบินสัน เพชรบุรี</t>
  </si>
  <si>
    <t>0301070</t>
  </si>
  <si>
    <t>ธ. ออมสิน สาขา จอมพระ</t>
  </si>
  <si>
    <t>0301071</t>
  </si>
  <si>
    <t>ธ. ออมสิน สาขา เขาค้อ</t>
  </si>
  <si>
    <t>0301072</t>
  </si>
  <si>
    <t>ธ. ออมสิน สาขา อาคารเพิร์ล แบงก์ค็อก</t>
  </si>
  <si>
    <t>0301073</t>
  </si>
  <si>
    <t>ธ. ออมสิน สาขา เซ็นทรัลพลาซา นครราชสีมา</t>
  </si>
  <si>
    <t>0301074</t>
  </si>
  <si>
    <t>ธ. ออมสิน สาขา ร่องขุ่น</t>
  </si>
  <si>
    <t>0301075</t>
  </si>
  <si>
    <t>ธ. ออมสิน สาขา นาหลวง</t>
  </si>
  <si>
    <t>0301076</t>
  </si>
  <si>
    <t>ธ. ออมสิน สาขา ไอคอนสยาม</t>
  </si>
  <si>
    <t>0301079</t>
  </si>
  <si>
    <t>ธ. ออมสิน สาขา ศูนย์การค้าโอเชี่ยนคอมเพล็กซ์ ชุมพร</t>
  </si>
  <si>
    <t>0301080</t>
  </si>
  <si>
    <t>ธ. ออมสิน สาขา ท็อปส์ พลาซ่า สิงห์บุรี</t>
  </si>
  <si>
    <t>0309500</t>
  </si>
  <si>
    <t>ธ. ออมสิน สำนักงานใหญ่</t>
  </si>
  <si>
    <t>0309990</t>
  </si>
  <si>
    <t>0310001</t>
  </si>
  <si>
    <t>ธ. ฮ่องกงและเซี่ยงไฮ้แบงกิ้งคอร์ปอเรชั่น จำกัด สาขา กรุงเทพฯ</t>
  </si>
  <si>
    <t>0310002</t>
  </si>
  <si>
    <t>ธ. ฮ่องกงและเซี่ยงไฮ้แบงกิ้งคอร์ปอเรชั่น จำกัด สาขา จำลอง-สำนักงานใหญ่</t>
  </si>
  <si>
    <t>0310011</t>
  </si>
  <si>
    <t>ธ. ฮ่องกงและเซี่ยงไฮ้แบงกิ้งคอร์ปอเรชั่น จำกัด สาขา ทองหล่อ</t>
  </si>
  <si>
    <t>0310241</t>
  </si>
  <si>
    <t>ธ. ฮ่องกงและเซี่ยงไฮ้แบงกิ้งคอร์ปอเรชั่น จำกัด สาขา กรุงเทพฯ กิจการวิเทศธนกิจ</t>
  </si>
  <si>
    <t>0310316</t>
  </si>
  <si>
    <t>ธ. ฮ่องกงและเซี่ยงไฮ้แบงกิ้งคอร์ปอเรชั่น จำกัด สาขา สำนักงานวิเทศธนกิจ สาขา ชลบุรี</t>
  </si>
  <si>
    <t>0310415</t>
  </si>
  <si>
    <t>ธ. ฮ่องกงและเซี่ยงไฮ้แบงกิ้งคอร์ปอเรชั่น จำกัด สาขา สำนักงานวิเทศธนกิจ สาขา เชียงใหม่</t>
  </si>
  <si>
    <t>0320001</t>
  </si>
  <si>
    <t>ธ. ดอยซ์แบงก์ สาขา กรุงเทพฯ</t>
  </si>
  <si>
    <t>0320855</t>
  </si>
  <si>
    <t>ธ. ดอยซ์แบงก์ สาขา กรุงเทพฯ กิจการวิเทศธนกิจ</t>
  </si>
  <si>
    <t>0330001</t>
  </si>
  <si>
    <t>ธ. อาคารสงเคราะห์ ศูนย์พระราม 9</t>
  </si>
  <si>
    <t>0330002</t>
  </si>
  <si>
    <t>ธ. อาคารสงเคราะห์ สาขา ราชดำเนิน</t>
  </si>
  <si>
    <t>0330003</t>
  </si>
  <si>
    <t>ธ. อาคารสงเคราะห์ สาขา เชียงใหม่</t>
  </si>
  <si>
    <t>0330004</t>
  </si>
  <si>
    <t>ธ. อาคารสงเคราะห์ สาขา ขอนแก่น</t>
  </si>
  <si>
    <t>0330005</t>
  </si>
  <si>
    <t>ธ. อาคารสงเคราะห์ สาขา ดอนเมือง</t>
  </si>
  <si>
    <t>0330006</t>
  </si>
  <si>
    <t>ธ. อาคารสงเคราะห์ สาขา พัทยา</t>
  </si>
  <si>
    <t>0330007</t>
  </si>
  <si>
    <t>ธ. อาคารสงเคราะห์ สาขา สุขาภิบาล 1</t>
  </si>
  <si>
    <t>0330008</t>
  </si>
  <si>
    <t>ธ. อาคารสงเคราะห์ สาขา พระราม 6</t>
  </si>
  <si>
    <t>0330009</t>
  </si>
  <si>
    <t>ธ. อาคารสงเคราะห์ สาขา หนองแขม</t>
  </si>
  <si>
    <t>0330010</t>
  </si>
  <si>
    <t>ธ. อาคารสงเคราะห์ สาขา สำโรง</t>
  </si>
  <si>
    <t>0330011</t>
  </si>
  <si>
    <t>ธ. อาคารสงเคราะห์ สาขา พิษณุโลก</t>
  </si>
  <si>
    <t>0330012</t>
  </si>
  <si>
    <t>ธ. อาคารสงเคราะห์ สาขา หาดใหญ่</t>
  </si>
  <si>
    <t>0330013</t>
  </si>
  <si>
    <t>ธ. อาคารสงเคราะห์ สาขา นครราชสีมา</t>
  </si>
  <si>
    <t>0330014</t>
  </si>
  <si>
    <t>ธ. อาคารสงเคราะห์ สาขา สยามแสควร์</t>
  </si>
  <si>
    <t>0330015</t>
  </si>
  <si>
    <t>ธ. อาคารสงเคราะห์ สาขา คอนแวนต์</t>
  </si>
  <si>
    <t>0330016</t>
  </si>
  <si>
    <t>ธ. อาคารสงเคราะห์ สาขา นครปฐม</t>
  </si>
  <si>
    <t>0330017</t>
  </si>
  <si>
    <t>ธ. อาคารสงเคราะห์ สาขา บางใหญ่</t>
  </si>
  <si>
    <t>0330018</t>
  </si>
  <si>
    <t>ธ. อาคารสงเคราะห์ สาขา ห้าแยกปากเกร็ด</t>
  </si>
  <si>
    <t>0330019</t>
  </si>
  <si>
    <t>ธ. อาคารสงเคราะห์ สาขา สุขุมวิท</t>
  </si>
  <si>
    <t>0330020</t>
  </si>
  <si>
    <t>ธ. อาคารสงเคราะห์ สาขา เพชรบุรีตัดใหม่</t>
  </si>
  <si>
    <t>0330021</t>
  </si>
  <si>
    <t>ธ. อาคารสงเคราะห์ สาขา ศรีนครินทร์</t>
  </si>
  <si>
    <t>0330022</t>
  </si>
  <si>
    <t>ธ. อาคารสงเคราะห์ สาขา บางเขน</t>
  </si>
  <si>
    <t>0330023</t>
  </si>
  <si>
    <t>ธ. อาคารสงเคราะห์ สาขา ภูเก็ต</t>
  </si>
  <si>
    <t>0330024</t>
  </si>
  <si>
    <t>ธ. อาคารสงเคราะห์ สาขา สุขาภิบาล 3</t>
  </si>
  <si>
    <t>0330025</t>
  </si>
  <si>
    <t>ธ. อาคารสงเคราะห์ สาขา แจ้งวัฒนะ</t>
  </si>
  <si>
    <t>0330026</t>
  </si>
  <si>
    <t>ธ. อาคารสงเคราะห์ สาขา พระราม 2</t>
  </si>
  <si>
    <t>0330027</t>
  </si>
  <si>
    <t>ธ. อาคารสงเคราะห์ สาขา สมุทรสาคร</t>
  </si>
  <si>
    <t>0330028</t>
  </si>
  <si>
    <t>ธ. อาคารสงเคราะห์ สาขา รังสิต</t>
  </si>
  <si>
    <t>0330029</t>
  </si>
  <si>
    <t>ธ. อาคารสงเคราะห์ สาขา ปทุมธานี</t>
  </si>
  <si>
    <t>0330030</t>
  </si>
  <si>
    <t>ธ. อาคารสงเคราะห์ สาขา พุทธมณฑล</t>
  </si>
  <si>
    <t>0330031</t>
  </si>
  <si>
    <t>ธ. อาคารสงเคราะห์ สาขา ลำลูกกา</t>
  </si>
  <si>
    <t>0330032</t>
  </si>
  <si>
    <t>ธ. อาคารสงเคราะห์ สาขา ลาดกระบัง</t>
  </si>
  <si>
    <t>0330033</t>
  </si>
  <si>
    <t>ธ. อาคารสงเคราะห์ สาขา เทพารักษ์</t>
  </si>
  <si>
    <t>0330034</t>
  </si>
  <si>
    <t>ธ. อาคารสงเคราะห์ สาขา สี่แยกบ้านแขก</t>
  </si>
  <si>
    <t>0330035</t>
  </si>
  <si>
    <t>ธ. อาคารสงเคราะห์ สาขา บุญศิริ</t>
  </si>
  <si>
    <t>0330036</t>
  </si>
  <si>
    <t>ธ. อาคารสงเคราะห์ สาขา เซ็นต์หลุยส์ 3</t>
  </si>
  <si>
    <t>0330037</t>
  </si>
  <si>
    <t>ธ. อาคารสงเคราะห์ สาขา ไมตรีจิต</t>
  </si>
  <si>
    <t>0330038</t>
  </si>
  <si>
    <t>ธ. อาคารสงเคราะห์ สาขา สุขสวัสดิ์</t>
  </si>
  <si>
    <t>0330039</t>
  </si>
  <si>
    <t>ธ. อาคารสงเคราะห์ สาขา ลาดพร้าว</t>
  </si>
  <si>
    <t>0330040</t>
  </si>
  <si>
    <t>ธ. อาคารสงเคราะห์ สาขา กิ่งแก้ว</t>
  </si>
  <si>
    <t>0330041</t>
  </si>
  <si>
    <t>ธ. อาคารสงเคราะห์ สาขา พหลโยธิน</t>
  </si>
  <si>
    <t>0330042</t>
  </si>
  <si>
    <t>ธ. อาคารสงเคราะห์ สาขา บางบัวทอง</t>
  </si>
  <si>
    <t>0330043</t>
  </si>
  <si>
    <t>ธ. อาคารสงเคราะห์ สาขา บิ๊กซี นวนคร</t>
  </si>
  <si>
    <t>0330044</t>
  </si>
  <si>
    <t>ธ. อาคารสงเคราะห์ สาขา เมกา บางนา</t>
  </si>
  <si>
    <t>0330045</t>
  </si>
  <si>
    <t>ธ. อาคารสงเคราะห์ สาขา ศรีราชา</t>
  </si>
  <si>
    <t>0330046</t>
  </si>
  <si>
    <t>ธ. อาคารสงเคราะห์ สาขา ตาก</t>
  </si>
  <si>
    <t>0330047</t>
  </si>
  <si>
    <t>ธ. อาคารสงเคราะห์ สาขา ยโสธร</t>
  </si>
  <si>
    <t>0330048</t>
  </si>
  <si>
    <t>ธ. อาคารสงเคราะห์ สาขา อ่างทอง</t>
  </si>
  <si>
    <t>0330050</t>
  </si>
  <si>
    <t>ธ. อาคารสงเคราะห์ สาขา เชียงราย</t>
  </si>
  <si>
    <t>0330051</t>
  </si>
  <si>
    <t>ธ. อาคารสงเคราะห์ สาขา ลำปาง</t>
  </si>
  <si>
    <t>0330052</t>
  </si>
  <si>
    <t>ธ. อาคารสงเคราะห์ สาขา กาฬสินธุ์</t>
  </si>
  <si>
    <t>0330053</t>
  </si>
  <si>
    <t>ธ. อาคารสงเคราะห์ สาขา มหาสารคาม</t>
  </si>
  <si>
    <t>0330055</t>
  </si>
  <si>
    <t>ธ. อาคารสงเคราะห์ สาขา ชลบุรี</t>
  </si>
  <si>
    <t>0330056</t>
  </si>
  <si>
    <t>ธ. อาคารสงเคราะห์ สาขา ระยอง</t>
  </si>
  <si>
    <t>0330057</t>
  </si>
  <si>
    <t>ธ. อาคารสงเคราะห์ สาขา นครสวรรค์</t>
  </si>
  <si>
    <t>0330058</t>
  </si>
  <si>
    <t>ธ. อาคารสงเคราะห์ สาขา สุโขทัย</t>
  </si>
  <si>
    <t>0330059</t>
  </si>
  <si>
    <t>ธ. อาคารสงเคราะห์ สาขา พิจิตร</t>
  </si>
  <si>
    <t>0330060</t>
  </si>
  <si>
    <t>ธ. อาคารสงเคราะห์ สาขา อุตรดิตถ์</t>
  </si>
  <si>
    <t>0330061</t>
  </si>
  <si>
    <t>ธ. อาคารสงเคราะห์ สาขา อุดรธานี</t>
  </si>
  <si>
    <t>0330062</t>
  </si>
  <si>
    <t>ธ. อาคารสงเคราะห์ สาขา แพร่</t>
  </si>
  <si>
    <t>0330063</t>
  </si>
  <si>
    <t>ธ. อาคารสงเคราะห์ สาขา พัทลุง</t>
  </si>
  <si>
    <t>0330064</t>
  </si>
  <si>
    <t>ธ. อาคารสงเคราะห์ สาขา ตรัง</t>
  </si>
  <si>
    <t>0330065</t>
  </si>
  <si>
    <t>ธ. อาคารสงเคราะห์ สาขา ยะลา</t>
  </si>
  <si>
    <t>0330066</t>
  </si>
  <si>
    <t>ธ. อาคารสงเคราะห์ สาขา บุรีรัมย์</t>
  </si>
  <si>
    <t>0330067</t>
  </si>
  <si>
    <t>ธ. อาคารสงเคราะห์ สาขา ชัยภูมิ</t>
  </si>
  <si>
    <t>0330068</t>
  </si>
  <si>
    <t>ธ. อาคารสงเคราะห์ สาขา ปราจีนบุรี</t>
  </si>
  <si>
    <t>0330069</t>
  </si>
  <si>
    <t>ธ. อาคารสงเคราะห์ สาขา กำแพงเพชร</t>
  </si>
  <si>
    <t>0330070</t>
  </si>
  <si>
    <t>ธ. อาคารสงเคราะห์ สาขา พะเยา</t>
  </si>
  <si>
    <t>0330071</t>
  </si>
  <si>
    <t>ธ. อาคารสงเคราะห์ สาขา สุรินทร์</t>
  </si>
  <si>
    <t>0330072</t>
  </si>
  <si>
    <t>ธ. อาคารสงเคราะห์ สาขา ปัตตานี</t>
  </si>
  <si>
    <t>0330073</t>
  </si>
  <si>
    <t>ธ. อาคารสงเคราะห์ สาขา สกลนคร</t>
  </si>
  <si>
    <t>0330074</t>
  </si>
  <si>
    <t>ธ. อาคารสงเคราะห์ สาขา ฉะเชิงเทรา</t>
  </si>
  <si>
    <t>0330075</t>
  </si>
  <si>
    <t>ธ. อาคารสงเคราะห์ สาขา นครศรีธรรมราช</t>
  </si>
  <si>
    <t>0330076</t>
  </si>
  <si>
    <t>ธ. อาคารสงเคราะห์ สาขา สุพรรณบุรี</t>
  </si>
  <si>
    <t>0330077</t>
  </si>
  <si>
    <t>ธ. อาคารสงเคราะห์ สาขา ราชบุรี</t>
  </si>
  <si>
    <t>0330078</t>
  </si>
  <si>
    <t>ธ. อาคารสงเคราะห์ สาขา จันทบุรี</t>
  </si>
  <si>
    <t>0330079</t>
  </si>
  <si>
    <t>ธ. อาคารสงเคราะห์ สาขา เพชรบุรี</t>
  </si>
  <si>
    <t>0330080</t>
  </si>
  <si>
    <t>ธ. อาคารสงเคราะห์ สาขา เพชรบูรณ์</t>
  </si>
  <si>
    <t>0330081</t>
  </si>
  <si>
    <t>ธ. อาคารสงเคราะห์ สาขา อุบลราชธานี</t>
  </si>
  <si>
    <t>0330082</t>
  </si>
  <si>
    <t>ธ. อาคารสงเคราะห์ สาขา กาญจนบุรี</t>
  </si>
  <si>
    <t>0330083</t>
  </si>
  <si>
    <t>ธ. อาคารสงเคราะห์ สาขา พระนครศรีอยุธยา</t>
  </si>
  <si>
    <t>0330084</t>
  </si>
  <si>
    <t>ธ. อาคารสงเคราะห์ สาขา สระบุรี</t>
  </si>
  <si>
    <t>0330085</t>
  </si>
  <si>
    <t>ธ. อาคารสงเคราะห์ สาขา น่าน</t>
  </si>
  <si>
    <t>0330086</t>
  </si>
  <si>
    <t>ธ. อาคารสงเคราะห์ สาขา เลย</t>
  </si>
  <si>
    <t>0330087</t>
  </si>
  <si>
    <t>ธ. อาคารสงเคราะห์ สาขา สุราษฎ์รธานี</t>
  </si>
  <si>
    <t>0330088</t>
  </si>
  <si>
    <t>ธ. อาคารสงเคราะห์ สาขา ประจวบคีรีขันธ์</t>
  </si>
  <si>
    <t>0330089</t>
  </si>
  <si>
    <t>ธ. อาคารสงเคราะห์ สาขา ชุมพร</t>
  </si>
  <si>
    <t>0330090</t>
  </si>
  <si>
    <t>ธ. อาคารสงเคราะห์ สาขา ลำพูน</t>
  </si>
  <si>
    <t>0330091</t>
  </si>
  <si>
    <t>ธ. อาคารสงเคราะห์ สาขา ระนอง</t>
  </si>
  <si>
    <t>0330092</t>
  </si>
  <si>
    <t>ธ. อาคารสงเคราะห์ สาขา ลพบุรี</t>
  </si>
  <si>
    <t>0330093</t>
  </si>
  <si>
    <t>ธ. อาคารสงเคราะห์ สาขา ร้อยเอ็ด</t>
  </si>
  <si>
    <t>0330094</t>
  </si>
  <si>
    <t>ธ. อาคารสงเคราะห์ สาขา นครนายก</t>
  </si>
  <si>
    <t>0330095</t>
  </si>
  <si>
    <t>ธ. อาคารสงเคราะห์ สาขา ตราด</t>
  </si>
  <si>
    <t>0330097</t>
  </si>
  <si>
    <t>ธ. อาคารสงเคราะห์ สาขา กระบี่</t>
  </si>
  <si>
    <t>0330101</t>
  </si>
  <si>
    <t>ธ. อาคารสงเคราะห์ สาขา แม่ฮ่องสอน</t>
  </si>
  <si>
    <t>0330102</t>
  </si>
  <si>
    <t>ธ. อาคารสงเคราะห์ สาขา บ้านฉาง</t>
  </si>
  <si>
    <t>0330104</t>
  </si>
  <si>
    <t>ธ. อาคารสงเคราะห์ สาขา อุทัยธานี</t>
  </si>
  <si>
    <t>0330105</t>
  </si>
  <si>
    <t>ธ. อาคารสงเคราะห์ สาขา ชัยนาท</t>
  </si>
  <si>
    <t>0330106</t>
  </si>
  <si>
    <t>ธ. อาคารสงเคราะห์ สาขา ถนนจอมพล</t>
  </si>
  <si>
    <t>0330107</t>
  </si>
  <si>
    <t>ธ. อาคารสงเคราะห์ สาขา หนองคาย</t>
  </si>
  <si>
    <t>0330110</t>
  </si>
  <si>
    <t>ธ. อาคารสงเคราะห์ สาขา ศรีสะเกษ</t>
  </si>
  <si>
    <t>0330111</t>
  </si>
  <si>
    <t>ธ. อาคารสงเคราะห์ สาขา หัวหมาก ทาวน์ เซ็นเตอร์</t>
  </si>
  <si>
    <t>0330112</t>
  </si>
  <si>
    <t>ธ. อาคารสงเคราะห์ สาขา นครพนม</t>
  </si>
  <si>
    <t>0330113</t>
  </si>
  <si>
    <t>ธ. อาคารสงเคราะห์ สาขา มุกดาหาร</t>
  </si>
  <si>
    <t>0330114</t>
  </si>
  <si>
    <t>ธ. อาคารสงเคราะห์ สาขา ย่อยบ่อวิน</t>
  </si>
  <si>
    <t>0330115</t>
  </si>
  <si>
    <t>ธ. อาคารสงเคราะห์ สาขา ถนนโรจนะ</t>
  </si>
  <si>
    <t>0330116</t>
  </si>
  <si>
    <t>ธ. อาคารสงเคราะห์ สาขา เพียวเพลส รามคำแหง 110</t>
  </si>
  <si>
    <t>0330117</t>
  </si>
  <si>
    <t>ธ. อาคารสงเคราะห์ สาขา อาคารชินวัตร 3</t>
  </si>
  <si>
    <t>0330118</t>
  </si>
  <si>
    <t>ธ. อาคารสงเคราะห์ สาขา วงศ์สว่าง ทาวน์ เซ็นเตอร์</t>
  </si>
  <si>
    <t>0330119</t>
  </si>
  <si>
    <t>ธ. อาคารสงเคราะห์ สาขา สิงห์บุรี</t>
  </si>
  <si>
    <t>0330120</t>
  </si>
  <si>
    <t>ธ. อาคารสงเคราะห์ สาขา ธัญญะ ข็อปปิ้ง พาร์ค</t>
  </si>
  <si>
    <t>0330121</t>
  </si>
  <si>
    <t>ธ. อาคารสงเคราะห์ สาขา บ้านโป่ง</t>
  </si>
  <si>
    <t>0330122</t>
  </si>
  <si>
    <t>ธ. อาคารสงเคราะห์ สาขา หัวหิน</t>
  </si>
  <si>
    <t>0330123</t>
  </si>
  <si>
    <t>ธ. อาคารสงเคราะห์ สาขา สมุทรสงคราม</t>
  </si>
  <si>
    <t>0330124</t>
  </si>
  <si>
    <t>ธ. อาคารสงเคราะห์ สาขา เซ็นทรัลพลาซา อุดรธานี</t>
  </si>
  <si>
    <t>0330125</t>
  </si>
  <si>
    <t>ธ. อาคารสงเคราะห์ สาขา ย่อยเกาะสมุย</t>
  </si>
  <si>
    <t>0330129</t>
  </si>
  <si>
    <t>ธ. อาคารสงเคราะห์ สาขา พังงา</t>
  </si>
  <si>
    <t>0330131</t>
  </si>
  <si>
    <t>ธ. อาคารสงเคราะห์ สาขา นราธิวาส</t>
  </si>
  <si>
    <t>0330132</t>
  </si>
  <si>
    <t>ธ. อาคารสงเคราะห์ สาขา สตูล</t>
  </si>
  <si>
    <t>0330135</t>
  </si>
  <si>
    <t>ธ. อาคารสงเคราะห์ สาขา สระแก้ว</t>
  </si>
  <si>
    <t>0330149</t>
  </si>
  <si>
    <t>ธ. อาคารสงเคราะห์ สาขา หนองบัวลำภู</t>
  </si>
  <si>
    <t>0330165</t>
  </si>
  <si>
    <t>ธ. อาคารสงเคราะห์ สาขา สงขลา</t>
  </si>
  <si>
    <t>0330199</t>
  </si>
  <si>
    <t>ธ. อาคารสงเคราะห์ สาขา สมาร์ท</t>
  </si>
  <si>
    <t>0330201</t>
  </si>
  <si>
    <t>ธ. อาคารสงเคราะห์ สาขา ซีคอน บางแค</t>
  </si>
  <si>
    <t>0330202</t>
  </si>
  <si>
    <t>ธ. อาคารสงเคราะห์ สาขา เพียวเพลส ราชพฤกษ์</t>
  </si>
  <si>
    <t>0330203</t>
  </si>
  <si>
    <t>ธ. อาคารสงเคราะห์ สาขา แม็คโคร จรัญสนิทวงศ์</t>
  </si>
  <si>
    <t>0330204</t>
  </si>
  <si>
    <t>ธ. อาคารสงเคราะห์ สาขา ฟิวเจอร์พาร์ค รังสิต</t>
  </si>
  <si>
    <t>0330205</t>
  </si>
  <si>
    <t>ธ. อาคารสงเคราะห์ สาขา แฟชั่นไอส์แลนด์</t>
  </si>
  <si>
    <t>0330206</t>
  </si>
  <si>
    <t>ธ. อาคารสงเคราะห์ สาขา ย่อยถนนทรงวาด</t>
  </si>
  <si>
    <t>0330207</t>
  </si>
  <si>
    <t>ธ. อาคารสงเคราะห์ สาขา เจริญนคร</t>
  </si>
  <si>
    <t>0330208</t>
  </si>
  <si>
    <t>ธ. อาคารสงเคราะห์ สาขา เซ็นทรัล พลาซา พระราม 9</t>
  </si>
  <si>
    <t>0330209</t>
  </si>
  <si>
    <t>ธ. อาคารสงเคราะห์ สาขา เทสโก้ โลตัส พระราม 4</t>
  </si>
  <si>
    <t>0330210</t>
  </si>
  <si>
    <t>ธ. อาคารสงเคราะห์ สาขา บิ๊กซี สมุทรปราการ</t>
  </si>
  <si>
    <t>0330211</t>
  </si>
  <si>
    <t>ธ. อาคารสงเคราะห์ สาขา เดอะมอลล์ บางแค</t>
  </si>
  <si>
    <t>0330212</t>
  </si>
  <si>
    <t>ธ. อาคารสงเคราะห์ สาขา เซ็นทรัลพลาซา พระราม 3</t>
  </si>
  <si>
    <t>0330213</t>
  </si>
  <si>
    <t>ธ. อาคารสงเคราะห์ สาขา บิ๊กซี รังสิต คลอง 6</t>
  </si>
  <si>
    <t>0330214</t>
  </si>
  <si>
    <t>ธ. อาคารสงเคราะห์ สาขา สุพรีมคอมเพล็กซ์</t>
  </si>
  <si>
    <t>0330215</t>
  </si>
  <si>
    <t>ธ. อาคารสงเคราะห์ สาขา เพลินนารี่มอลล์</t>
  </si>
  <si>
    <t>0330216</t>
  </si>
  <si>
    <t>ธ. อาคารสงเคราะห์ สาขา ศูนย์ราชการเฉลิมพระเกียรติ</t>
  </si>
  <si>
    <t>0330217</t>
  </si>
  <si>
    <t>ธ. อาคารสงเคราะห์ สาขา อาคารเพิร์ล แบงก์ค็อก</t>
  </si>
  <si>
    <t>0330218</t>
  </si>
  <si>
    <t>ธ. อาคารสงเคราะห์ สาขา เซ็นทรัลพลาซา เวสต์เกต</t>
  </si>
  <si>
    <t>0330219</t>
  </si>
  <si>
    <t>ธ. อาคารสงเคราะห์ สาขา เดอะมอลล์ บางกะบิ</t>
  </si>
  <si>
    <t>0330260</t>
  </si>
  <si>
    <t>ธ. อาคารสงเคราะห์ สาขา บิ๊กซี ราชดำริ</t>
  </si>
  <si>
    <t>0330261</t>
  </si>
  <si>
    <t>ธ. อาคารสงเคราะห์ สาขา มีนบุรี</t>
  </si>
  <si>
    <t>0330262</t>
  </si>
  <si>
    <t>ธ. อาคารสงเคราะห์ สาขา เซ็นทรัล พลาซา ปิ่นเกล้า</t>
  </si>
  <si>
    <t>0330264</t>
  </si>
  <si>
    <t>ธ. อาคารสงเคราะห์ สาขา บิ๊กซี บางปะกอก</t>
  </si>
  <si>
    <t>0330300</t>
  </si>
  <si>
    <t>ธ. อาคารสงเคราะห์ สาขา ถนนนิมมานเหมินทร์</t>
  </si>
  <si>
    <t>0330301</t>
  </si>
  <si>
    <t>0330302</t>
  </si>
  <si>
    <t>0330303</t>
  </si>
  <si>
    <t>ธ. อาคารสงเคราะห์ สาขา แม่สาย</t>
  </si>
  <si>
    <t>0330304</t>
  </si>
  <si>
    <t>0330305</t>
  </si>
  <si>
    <t>ธ. อาคารสงเคราะห์ สาขา สันกำแพง</t>
  </si>
  <si>
    <t>0330306</t>
  </si>
  <si>
    <t>ธ. อาคารสงเคราะห์ สาขา แม่สอด</t>
  </si>
  <si>
    <t>0330307</t>
  </si>
  <si>
    <t>ธ. อาคารสงเคราะห์ สาขา บึงสามพัน</t>
  </si>
  <si>
    <t>0330308</t>
  </si>
  <si>
    <t>ธ. อาคารสงเคราะห์ สาขา สันทราย</t>
  </si>
  <si>
    <t>0330309</t>
  </si>
  <si>
    <t>ธ. อาคารสงเคราะห์ สาขา เซ็นทรัลพลาซาเชียงใหม่แอร์พอร์ต</t>
  </si>
  <si>
    <t>0330310</t>
  </si>
  <si>
    <t>ธ. อาคารสงเคราะห์ สาขา เซ็นทรัลพลาซา เชียงราย</t>
  </si>
  <si>
    <t>0330400</t>
  </si>
  <si>
    <t>ธ. อาคารสงเคราะห์ สาขา อำนาจเจริญ</t>
  </si>
  <si>
    <t>0330401</t>
  </si>
  <si>
    <t>ธ. อาคารสงเคราะห์ สาขา ชุมแพ</t>
  </si>
  <si>
    <t>0330402</t>
  </si>
  <si>
    <t>ธ. อาคารสงเคราะห์ สาขา บึงกาฬ</t>
  </si>
  <si>
    <t>0330403</t>
  </si>
  <si>
    <t>ธ. อาคารสงเคราะห์ สาขา เซ็นทรัลพลาซ่า อุบลราชธานี</t>
  </si>
  <si>
    <t>0330404</t>
  </si>
  <si>
    <t>ธ. อาคารสงเคราะห์ สาขา ถนนมิตรภาพ ขอนแก่น</t>
  </si>
  <si>
    <t>0330405</t>
  </si>
  <si>
    <t>ธ. อาคารสงเคราะห์ สาขา ภูเขียว</t>
  </si>
  <si>
    <t>0330406</t>
  </si>
  <si>
    <t>ธ. อาคารสงเคราะห์ สาขา นางรอง</t>
  </si>
  <si>
    <t>0330407</t>
  </si>
  <si>
    <t>ธ. อาคารสงเคราะห์ สาขา บัวใหญ่</t>
  </si>
  <si>
    <t>0330408</t>
  </si>
  <si>
    <t>ธ. อาคารสงเคราะห์ สาขา สว่างแดนดิน</t>
  </si>
  <si>
    <t>0330409</t>
  </si>
  <si>
    <t>ธ. อาคารสงเคราะห์ สาขา พล</t>
  </si>
  <si>
    <t>0330410</t>
  </si>
  <si>
    <t>ธ. อาคารสงเคราะห์ สาขา ปากช่อง</t>
  </si>
  <si>
    <t>0330411</t>
  </si>
  <si>
    <t>ธ. อาคารสงเคราะห์ สาขา เซ็นทรัลพลาซา ขอนแก่น</t>
  </si>
  <si>
    <t>0330412</t>
  </si>
  <si>
    <t>ธ. อาคารสงเคราะห์ สาขา เซ็นทรัลพลาซานครราชสีมา</t>
  </si>
  <si>
    <t>0330500</t>
  </si>
  <si>
    <t>ธ. อาคารสงเคราะห์ สาขา นิคมอุตสาหกรรม 304</t>
  </si>
  <si>
    <t>0330501</t>
  </si>
  <si>
    <t>ธ. อาคารสงเคราะห์ สาขา ศาลายา</t>
  </si>
  <si>
    <t>0330502</t>
  </si>
  <si>
    <t>ธ. อาคารสงเคราะห์ สาขา เซ็นทรัลพลาซา ศาลายา</t>
  </si>
  <si>
    <t>0330600</t>
  </si>
  <si>
    <t>ธ. อาคารสงเคราะห์ สาขา ย่อยอมตะนคร</t>
  </si>
  <si>
    <t>0330601</t>
  </si>
  <si>
    <t>ธ. อาคารสงเคราะห์ สาขา บุญสัมพันธ์</t>
  </si>
  <si>
    <t>0330602</t>
  </si>
  <si>
    <t>ธ. อาคารสงเคราะห์ สาขา ปลวกแดง</t>
  </si>
  <si>
    <t>0330603</t>
  </si>
  <si>
    <t>ธ. อาคารสงเคราะห์ สาขา สัตหีบ</t>
  </si>
  <si>
    <t>0330604</t>
  </si>
  <si>
    <t>ธ. อาคารสงเคราะห์ สาขา เซ็นทรัล เฟสติวัล พัทยา</t>
  </si>
  <si>
    <t>0330605</t>
  </si>
  <si>
    <t>ธ. อาคารสงเคราะห์ สาขา สวนอุตสาหกรรม สหพัฒน์ แหลมฉบัง</t>
  </si>
  <si>
    <t>0330606</t>
  </si>
  <si>
    <t>ธ. อาคารสงเคราะห์ สาขา ย่อยบ้านบึง</t>
  </si>
  <si>
    <t>0330607</t>
  </si>
  <si>
    <t>ธ. อาคารสงเคราะห์ สาขา ย่อยพนมสารคาม</t>
  </si>
  <si>
    <t>0330608</t>
  </si>
  <si>
    <t>ธ. อาคารสงเคราะห์ สาขา ย่อยนิคมพัฒนา</t>
  </si>
  <si>
    <t>0330609</t>
  </si>
  <si>
    <t>ธ. อาคารสงเคราะห์ สาขา เซ็นทรัล พลาซา ระยอง</t>
  </si>
  <si>
    <t>0330610</t>
  </si>
  <si>
    <t>ธ. อาคารสงเคราะห์ สาขา พนัสนิคม</t>
  </si>
  <si>
    <t>0330700</t>
  </si>
  <si>
    <t>ธ. อาคารสงเคราะห์ สาขา เซ็นทรัล สุราษฎร์ธานี</t>
  </si>
  <si>
    <t>0330701</t>
  </si>
  <si>
    <t>ธ. อาคารสงเคราะห์ สาขา ถลาง</t>
  </si>
  <si>
    <t>0330702</t>
  </si>
  <si>
    <t>ธ. อาคารสงเคราะห์ สาขา ทุ่งสง</t>
  </si>
  <si>
    <t>0330703</t>
  </si>
  <si>
    <t>ธ. อาคารสงเคราะห์ สาขา ฉลอง</t>
  </si>
  <si>
    <t>0330704</t>
  </si>
  <si>
    <t>ธ. อาคารสงเคราะห์ สาขา ถนนราษฎร์อุทิศ</t>
  </si>
  <si>
    <t>0330705</t>
  </si>
  <si>
    <t>ธ. อาคารสงเคราะห์ สาขา เซ็นทรัล หาดใหญ่</t>
  </si>
  <si>
    <t>0330706</t>
  </si>
  <si>
    <t>ธ. อาคารสงเคราะห์ สาขา สะเดา-ด่านนอก</t>
  </si>
  <si>
    <t>0330707</t>
  </si>
  <si>
    <t>ธ. อาคารสงเคราะห์ สาขา เซ็นทรัลพลาซา นครศรีธรรมราช</t>
  </si>
  <si>
    <t>0330708</t>
  </si>
  <si>
    <t>ธ. อาคารสงเคราะห์ สาขา เบตง</t>
  </si>
  <si>
    <t>0330888</t>
  </si>
  <si>
    <t>ธ. อาคารสงเคราะห์ DUMMY BRANCH 1</t>
  </si>
  <si>
    <t>0330990</t>
  </si>
  <si>
    <t>ธ. อาคารสงเคราะห์ DUMMY BRANCH 2</t>
  </si>
  <si>
    <t>0340001</t>
  </si>
  <si>
    <t>ธ. เพื่อการเกษตรและสหกรณ์การเกษตร สำนักงานใหญ่</t>
  </si>
  <si>
    <t>0340002</t>
  </si>
  <si>
    <t>ธ. เพื่อการเกษตรและสหกรณ์การเกษตร สาขา เพชรบูรณ์</t>
  </si>
  <si>
    <t>0340003</t>
  </si>
  <si>
    <t>ธ. เพื่อการเกษตรและสหกรณ์การเกษตร สาขา พระนครศรีอยุธยา</t>
  </si>
  <si>
    <t>0340004</t>
  </si>
  <si>
    <t>ธ. เพื่อการเกษตรและสหกรณ์การเกษตร สาขา เพชรบุรี</t>
  </si>
  <si>
    <t>0340005</t>
  </si>
  <si>
    <t>ธ. เพื่อการเกษตรและสหกรณ์การเกษตร สาขา อุดรธานี</t>
  </si>
  <si>
    <t>0340006</t>
  </si>
  <si>
    <t>ธ. เพื่อการเกษตรและสหกรณ์การเกษตร สาขา ขอนแก่น</t>
  </si>
  <si>
    <t>0340007</t>
  </si>
  <si>
    <t>ธ. เพื่อการเกษตรและสหกรณ์การเกษตร สาขา สระบุรี</t>
  </si>
  <si>
    <t>0340008</t>
  </si>
  <si>
    <t>ธ. เพื่อการเกษตรและสหกรณ์การเกษตร สาขา แพร่</t>
  </si>
  <si>
    <t>0340009</t>
  </si>
  <si>
    <t>ธ. เพื่อการเกษตรและสหกรณ์การเกษตร สาขา สุโขทัย</t>
  </si>
  <si>
    <t>0340010</t>
  </si>
  <si>
    <t>ธ. เพื่อการเกษตรและสหกรณ์การเกษตร สาขา ปราจีนบุรี</t>
  </si>
  <si>
    <t>0340011</t>
  </si>
  <si>
    <t>ธ. เพื่อการเกษตรและสหกรณ์การเกษตร สาขา ปัตตานี</t>
  </si>
  <si>
    <t>0340012</t>
  </si>
  <si>
    <t>ธ. เพื่อการเกษตรและสหกรณ์การเกษตร สาขา ชัยภูมิ</t>
  </si>
  <si>
    <t>0340013</t>
  </si>
  <si>
    <t>ธ. เพื่อการเกษตรและสหกรณ์การเกษตร สาขา ระยอง</t>
  </si>
  <si>
    <t>0340014</t>
  </si>
  <si>
    <t>ธ. เพื่อการเกษตรและสหกรณ์การเกษตร สาขา สุพรรณบุรี</t>
  </si>
  <si>
    <t>0340015</t>
  </si>
  <si>
    <t>ธ. เพื่อการเกษตรและสหกรณ์การเกษตร สาขา นครศรีธรรมราช</t>
  </si>
  <si>
    <t>0340016</t>
  </si>
  <si>
    <t>ธ. เพื่อการเกษตรและสหกรณ์การเกษตร สาขา ลพบุรี</t>
  </si>
  <si>
    <t>0340017</t>
  </si>
  <si>
    <t>ธ. เพื่อการเกษตรและสหกรณ์การเกษตร สาขา ชัยนาท</t>
  </si>
  <si>
    <t>0340018</t>
  </si>
  <si>
    <t>ธ. เพื่อการเกษตรและสหกรณ์การเกษตร สาขา นครสวรรค์</t>
  </si>
  <si>
    <t>0340019</t>
  </si>
  <si>
    <t>ธ. เพื่อการเกษตรและสหกรณ์การเกษตร สาขา ชุมพร</t>
  </si>
  <si>
    <t>0340020</t>
  </si>
  <si>
    <t>ธ. เพื่อการเกษตรและสหกรณ์การเกษตร สาขา นนทบุรี</t>
  </si>
  <si>
    <t>0340021</t>
  </si>
  <si>
    <t>ธ. เพื่อการเกษตรและสหกรณ์การเกษตร สาขา นครราชสีมา</t>
  </si>
  <si>
    <t>0340022</t>
  </si>
  <si>
    <t>ธ. เพื่อการเกษตรและสหกรณ์การเกษตร สาขา ร้อยเอ็ด</t>
  </si>
  <si>
    <t>0340023</t>
  </si>
  <si>
    <t>ธ. เพื่อการเกษตรและสหกรณ์การเกษตร สาขา เชียงใหม่</t>
  </si>
  <si>
    <t>0340024</t>
  </si>
  <si>
    <t>ธ. เพื่อการเกษตรและสหกรณ์การเกษตร สาขา นครปฐม</t>
  </si>
  <si>
    <t>0340025</t>
  </si>
  <si>
    <t>ธ. เพื่อการเกษตรและสหกรณ์การเกษตร สาขา ฉะเชิงเทรา</t>
  </si>
  <si>
    <t>0340026</t>
  </si>
  <si>
    <t>ธ. เพื่อการเกษตรและสหกรณ์การเกษตร สาขา สุรินทร์</t>
  </si>
  <si>
    <t>0340027</t>
  </si>
  <si>
    <t>ธ. เพื่อการเกษตรและสหกรณ์การเกษตร สาขา พิษณุโลก</t>
  </si>
  <si>
    <t>0340028</t>
  </si>
  <si>
    <t>ธ. เพื่อการเกษตรและสหกรณ์การเกษตร สาขา พิจิตร</t>
  </si>
  <si>
    <t>0340029</t>
  </si>
  <si>
    <t>ธ. เพื่อการเกษตรและสหกรณ์การเกษตร สาขา ลำปาง</t>
  </si>
  <si>
    <t>0340030</t>
  </si>
  <si>
    <t>ธ. เพื่อการเกษตรและสหกรณ์การเกษตร สาขา อ่างทอง</t>
  </si>
  <si>
    <t>0340031</t>
  </si>
  <si>
    <t>ธ. เพื่อการเกษตรและสหกรณ์การเกษตร สาขา สุราษฎร์ธานี</t>
  </si>
  <si>
    <t>0340032</t>
  </si>
  <si>
    <t>ธ. เพื่อการเกษตรและสหกรณ์การเกษตร สาขา กาฬสินธุ์</t>
  </si>
  <si>
    <t>0340033</t>
  </si>
  <si>
    <t>ธ. เพื่อการเกษตรและสหกรณ์การเกษตร สาขา เลย</t>
  </si>
  <si>
    <t>0340034</t>
  </si>
  <si>
    <t>ธ. เพื่อการเกษตรและสหกรณ์การเกษตร สาขา หาดใหญ่</t>
  </si>
  <si>
    <t>0340035</t>
  </si>
  <si>
    <t>ธ. เพื่อการเกษตรและสหกรณ์การเกษตร สาขา ประจวบคีรีขันธ์</t>
  </si>
  <si>
    <t>0340036</t>
  </si>
  <si>
    <t>ธ. เพื่อการเกษตรและสหกรณ์การเกษตร สาขา กำแพงเพชร</t>
  </si>
  <si>
    <t>0340037</t>
  </si>
  <si>
    <t>ธ. เพื่อการเกษตรและสหกรณ์การเกษตร สาขา สกลนคร</t>
  </si>
  <si>
    <t>0340038</t>
  </si>
  <si>
    <t>ธ. เพื่อการเกษตรและสหกรณ์การเกษตร สาขา นครพนม</t>
  </si>
  <si>
    <t>0340039</t>
  </si>
  <si>
    <t>ธ. เพื่อการเกษตรและสหกรณ์การเกษตร สาขา ศรีสะเกษ</t>
  </si>
  <si>
    <t>0340040</t>
  </si>
  <si>
    <t>ธ. เพื่อการเกษตรและสหกรณ์การเกษตร สาขา บุรีรัมย์</t>
  </si>
  <si>
    <t>0340041</t>
  </si>
  <si>
    <t>ธ. เพื่อการเกษตรและสหกรณ์การเกษตร สาขา นครนายก</t>
  </si>
  <si>
    <t>0340042</t>
  </si>
  <si>
    <t>ธ. เพื่อการเกษตรและสหกรณ์การเกษตร สาขา จันทบุรี</t>
  </si>
  <si>
    <t>0340043</t>
  </si>
  <si>
    <t>ธ. เพื่อการเกษตรและสหกรณ์การเกษตร สาขา ราชบุรี</t>
  </si>
  <si>
    <t>0340044</t>
  </si>
  <si>
    <t>ธ. เพื่อการเกษตรและสหกรณ์การเกษตร สาขา กาญจนบุรี</t>
  </si>
  <si>
    <t>0340045</t>
  </si>
  <si>
    <t>ธ. เพื่อการเกษตรและสหกรณ์การเกษตร สาขา พัทลุง</t>
  </si>
  <si>
    <t>0340046</t>
  </si>
  <si>
    <t>ธ. เพื่อการเกษตรและสหกรณ์การเกษตร สาขา มหาสารคาม</t>
  </si>
  <si>
    <t>0340047</t>
  </si>
  <si>
    <t>ธ. เพื่อการเกษตรและสหกรณ์การเกษตร สาขา ลำพูน</t>
  </si>
  <si>
    <t>0340048</t>
  </si>
  <si>
    <t>ธ. เพื่อการเกษตรและสหกรณ์การเกษตร สาขา อุตรดิตถ์</t>
  </si>
  <si>
    <t>0340049</t>
  </si>
  <si>
    <t>ธ. เพื่อการเกษตรและสหกรณ์การเกษตร สาขา อุทัยธานี</t>
  </si>
  <si>
    <t>0340050</t>
  </si>
  <si>
    <t>ธ. เพื่อการเกษตรและสหกรณ์การเกษตร สาขา อุบลราชธานี</t>
  </si>
  <si>
    <t>0340051</t>
  </si>
  <si>
    <t>ธ. เพื่อการเกษตรและสหกรณ์การเกษตร สาขา ยโสธร</t>
  </si>
  <si>
    <t>0340052</t>
  </si>
  <si>
    <t>ธ. เพื่อการเกษตรและสหกรณ์การเกษตร สาขา หนองคาย</t>
  </si>
  <si>
    <t>0340053</t>
  </si>
  <si>
    <t>ธ. เพื่อการเกษตรและสหกรณ์การเกษตร สาขา ชลบุรี</t>
  </si>
  <si>
    <t>0340054</t>
  </si>
  <si>
    <t>ธ. เพื่อการเกษตรและสหกรณ์การเกษตร สาขา สมุทรสาคร</t>
  </si>
  <si>
    <t>0340055</t>
  </si>
  <si>
    <t>ธ. เพื่อการเกษตรและสหกรณ์การเกษตร สาขา นราธิวาส</t>
  </si>
  <si>
    <t>0340056</t>
  </si>
  <si>
    <t>ธ. เพื่อการเกษตรและสหกรณ์การเกษตร สาขา น่าน</t>
  </si>
  <si>
    <t>0340057</t>
  </si>
  <si>
    <t>ธ. เพื่อการเกษตรและสหกรณ์การเกษตร สาขา ตรัง</t>
  </si>
  <si>
    <t>0340058</t>
  </si>
  <si>
    <t>ธ. เพื่อการเกษตรและสหกรณ์การเกษตร สาขา จตุจักร</t>
  </si>
  <si>
    <t>0340059</t>
  </si>
  <si>
    <t>ธ. เพื่อการเกษตรและสหกรณ์การเกษตร สาขา ตะพานหิน</t>
  </si>
  <si>
    <t>0340060</t>
  </si>
  <si>
    <t>ธ. เพื่อการเกษตรและสหกรณ์การเกษตร สาขา พังงา</t>
  </si>
  <si>
    <t>0340061</t>
  </si>
  <si>
    <t>ธ. เพื่อการเกษตรและสหกรณ์การเกษตร สาขา ยะลา</t>
  </si>
  <si>
    <t>0340062</t>
  </si>
  <si>
    <t>ธ. เพื่อการเกษตรและสหกรณ์การเกษตร สาขา ฝาง</t>
  </si>
  <si>
    <t>0340063</t>
  </si>
  <si>
    <t>ธ. เพื่อการเกษตรและสหกรณ์การเกษตร สาขา เทิง</t>
  </si>
  <si>
    <t>0340064</t>
  </si>
  <si>
    <t>ธ. เพื่อการเกษตรและสหกรณ์การเกษตร สาขา พังโคน</t>
  </si>
  <si>
    <t>0340065</t>
  </si>
  <si>
    <t>ธ. เพื่อการเกษตรและสหกรณ์การเกษตร สาขา บึงสามพัน</t>
  </si>
  <si>
    <t>0340066</t>
  </si>
  <si>
    <t>ธ. เพื่อการเกษตรและสหกรณ์การเกษตร สาขา บ้านนาสาร</t>
  </si>
  <si>
    <t>0340067</t>
  </si>
  <si>
    <t>ธ. เพื่อการเกษตรและสหกรณ์การเกษตร สาขา ตลาดไท</t>
  </si>
  <si>
    <t>0340068</t>
  </si>
  <si>
    <t>ธ. เพื่อการเกษตรและสหกรณ์การเกษตร สาขา พิมาย</t>
  </si>
  <si>
    <t>0340069</t>
  </si>
  <si>
    <t>ธ. เพื่อการเกษตรและสหกรณ์การเกษตร สาขา สิงห์บุรี</t>
  </si>
  <si>
    <t>0340070</t>
  </si>
  <si>
    <t>ธ. เพื่อการเกษตรและสหกรณ์การเกษตร สาขา สามชุก</t>
  </si>
  <si>
    <t>0340071</t>
  </si>
  <si>
    <t>ธ. เพื่อการเกษตรและสหกรณ์การเกษตร สาขา อ่าวลึก</t>
  </si>
  <si>
    <t>0340072</t>
  </si>
  <si>
    <t>ธ. เพื่อการเกษตรและสหกรณ์การเกษตร สาขา พิชัย</t>
  </si>
  <si>
    <t>0340073</t>
  </si>
  <si>
    <t>ธ. เพื่อการเกษตรและสหกรณ์การเกษตร สาขา สมุทรสงคราม</t>
  </si>
  <si>
    <t>0340074</t>
  </si>
  <si>
    <t>ธ. เพื่อการเกษตรและสหกรณ์การเกษตร สาขา พรหมพิราม</t>
  </si>
  <si>
    <t>0340075</t>
  </si>
  <si>
    <t>ธ. เพื่อการเกษตรและสหกรณ์การเกษตร สาขา สลกบาตร</t>
  </si>
  <si>
    <t>0340076</t>
  </si>
  <si>
    <t>ธ. เพื่อการเกษตรและสหกรณ์การเกษตร สาขา สตูล</t>
  </si>
  <si>
    <t>0340077</t>
  </si>
  <si>
    <t>ธ. เพื่อการเกษตรและสหกรณ์การเกษตร สาขา สงขลา</t>
  </si>
  <si>
    <t>0340078</t>
  </si>
  <si>
    <t>ธ. เพื่อการเกษตรและสหกรณ์การเกษตร สาขา โคกโพธิ์</t>
  </si>
  <si>
    <t>0340079</t>
  </si>
  <si>
    <t>ธ. เพื่อการเกษตรและสหกรณ์การเกษตร สาขา พระพุทธบาท</t>
  </si>
  <si>
    <t>0340080</t>
  </si>
  <si>
    <t>ธ. เพื่อการเกษตรและสหกรณ์การเกษตร สาขา จอมทอง</t>
  </si>
  <si>
    <t>0340081</t>
  </si>
  <si>
    <t>ธ. เพื่อการเกษตรและสหกรณ์การเกษตร สาขา น้ำโสม</t>
  </si>
  <si>
    <t>0340082</t>
  </si>
  <si>
    <t>ธ. เพื่อการเกษตรและสหกรณ์การเกษตร สาขา สระแก้ว</t>
  </si>
  <si>
    <t>0340083</t>
  </si>
  <si>
    <t>ธ. เพื่อการเกษตรและสหกรณ์การเกษตร สาขา บ้านไผ่</t>
  </si>
  <si>
    <t>0340084</t>
  </si>
  <si>
    <t>ธ. เพื่อการเกษตรและสหกรณ์การเกษตร สาขา หนองสองห้อง</t>
  </si>
  <si>
    <t>0340085</t>
  </si>
  <si>
    <t>ธ. เพื่อการเกษตรและสหกรณ์การเกษตร สาขา แกลง</t>
  </si>
  <si>
    <t>0340086</t>
  </si>
  <si>
    <t>ธ. เพื่อการเกษตรและสหกรณ์การเกษตร สาขา พัฒนานิคม</t>
  </si>
  <si>
    <t>0340087</t>
  </si>
  <si>
    <t>ธ. เพื่อการเกษตรและสหกรณ์การเกษตร สาขา กุมภวาปี</t>
  </si>
  <si>
    <t>0340088</t>
  </si>
  <si>
    <t>ธ. เพื่อการเกษตรและสหกรณ์การเกษตร สาขา โคกสำโรง</t>
  </si>
  <si>
    <t>0340089</t>
  </si>
  <si>
    <t>ธ. เพื่อการเกษตรและสหกรณ์การเกษตร สาขา หล่มสัก</t>
  </si>
  <si>
    <t>0340090</t>
  </si>
  <si>
    <t>ธ. เพื่อการเกษตรและสหกรณ์การเกษตร สาขา หนองบัวลำภู</t>
  </si>
  <si>
    <t>0340091</t>
  </si>
  <si>
    <t>ธ. เพื่อการเกษตรและสหกรณ์การเกษตร สาขา นาทวี</t>
  </si>
  <si>
    <t>0340092</t>
  </si>
  <si>
    <t>ธ. เพื่อการเกษตรและสหกรณ์การเกษตร สาขา ทุ่งสง</t>
  </si>
  <si>
    <t>0340093</t>
  </si>
  <si>
    <t>ธ. เพื่อการเกษตรและสหกรณ์การเกษตร สาขา บางเลน</t>
  </si>
  <si>
    <t>0340094</t>
  </si>
  <si>
    <t>ธ. เพื่อการเกษตรและสหกรณ์การเกษตร สาขา มวกเหล็ก</t>
  </si>
  <si>
    <t>0340095</t>
  </si>
  <si>
    <t>ธ. เพื่อการเกษตรและสหกรณ์การเกษตร สาขา สันป่าตอง</t>
  </si>
  <si>
    <t>0340096</t>
  </si>
  <si>
    <t>ธ. เพื่อการเกษตรและสหกรณ์การเกษตร สาขา ศรีประจันต์</t>
  </si>
  <si>
    <t>0340097</t>
  </si>
  <si>
    <t>ธ. เพื่อการเกษตรและสหกรณ์การเกษตร สาขา กันทรลักษ์</t>
  </si>
  <si>
    <t>0340098</t>
  </si>
  <si>
    <t>ธ. เพื่อการเกษตรและสหกรณ์การเกษตร สาขา วาปีปทุม</t>
  </si>
  <si>
    <t>0340099</t>
  </si>
  <si>
    <t>ธ. เพื่อการเกษตรและสหกรณ์การเกษตร สาขา พาน</t>
  </si>
  <si>
    <t>0340100</t>
  </si>
  <si>
    <t>ธ. เพื่อการเกษตรและสหกรณ์การเกษตร สาขา เชียงราย</t>
  </si>
  <si>
    <t>0340101</t>
  </si>
  <si>
    <t>ธ. เพื่อการเกษตรและสหกรณ์การเกษตร สาขา เชียงของ</t>
  </si>
  <si>
    <t>0340102</t>
  </si>
  <si>
    <t>ธ. เพื่อการเกษตรและสหกรณ์การเกษตร สาขา สวรรคโลก</t>
  </si>
  <si>
    <t>0340103</t>
  </si>
  <si>
    <t>ธ. เพื่อการเกษตรและสหกรณ์การเกษตร สาขา สีคิ้ว</t>
  </si>
  <si>
    <t>0340104</t>
  </si>
  <si>
    <t>ธ. เพื่อการเกษตรและสหกรณ์การเกษตร สาขา เดชอุดม</t>
  </si>
  <si>
    <t>0340105</t>
  </si>
  <si>
    <t>ธ. เพื่อการเกษตรและสหกรณ์การเกษตร สาขา กุฉินารายณ์</t>
  </si>
  <si>
    <t>0340106</t>
  </si>
  <si>
    <t>ธ. เพื่อการเกษตรและสหกรณ์การเกษตร สาขา โพธิ์ทอง</t>
  </si>
  <si>
    <t>0340107</t>
  </si>
  <si>
    <t>ธ. เพื่อการเกษตรและสหกรณ์การเกษตร สาขา บางบัวทอง</t>
  </si>
  <si>
    <t>0340108</t>
  </si>
  <si>
    <t>ธ. เพื่อการเกษตรและสหกรณ์การเกษตร สาขา สายบุรี</t>
  </si>
  <si>
    <t>0340109</t>
  </si>
  <si>
    <t>ธ. เพื่อการเกษตรและสหกรณ์การเกษตร สาขา สะเดา</t>
  </si>
  <si>
    <t>0340110</t>
  </si>
  <si>
    <t>ธ. เพื่อการเกษตรและสหกรณ์การเกษตร สาขา พุเตย</t>
  </si>
  <si>
    <t>0340111</t>
  </si>
  <si>
    <t>ธ. เพื่อการเกษตรและสหกรณ์การเกษตร สาขา กำแพงแสน</t>
  </si>
  <si>
    <t>0340112</t>
  </si>
  <si>
    <t>ธ. เพื่อการเกษตรและสหกรณ์การเกษตร สาขา บางระกำ</t>
  </si>
  <si>
    <t>0340113</t>
  </si>
  <si>
    <t>ธ. เพื่อการเกษตรและสหกรณ์การเกษตร สาขา เสริมงาม</t>
  </si>
  <si>
    <t>0340114</t>
  </si>
  <si>
    <t>ธ. เพื่อการเกษตรและสหกรณ์การเกษตร สาขา จัตุรัส</t>
  </si>
  <si>
    <t>0340115</t>
  </si>
  <si>
    <t>ธ. เพื่อการเกษตรและสหกรณ์การเกษตร สาขา บัวใหญ่</t>
  </si>
  <si>
    <t>0340116</t>
  </si>
  <si>
    <t>ธ. เพื่อการเกษตรและสหกรณ์การเกษตร สาขา บ้านแพง</t>
  </si>
  <si>
    <t>0340117</t>
  </si>
  <si>
    <t>ธ. เพื่อการเกษตรและสหกรณ์การเกษตร สาขา องครักษ์</t>
  </si>
  <si>
    <t>0340118</t>
  </si>
  <si>
    <t>ธ. เพื่อการเกษตรและสหกรณ์การเกษตร สาขา ชะอำ</t>
  </si>
  <si>
    <t>0340119</t>
  </si>
  <si>
    <t>ธ. เพื่อการเกษตรและสหกรณ์การเกษตร สาขา สันกำแพง</t>
  </si>
  <si>
    <t>0340120</t>
  </si>
  <si>
    <t>ธ. เพื่อการเกษตรและสหกรณ์การเกษตร สาขา บ้านนาเดิม</t>
  </si>
  <si>
    <t>0340121</t>
  </si>
  <si>
    <t>ธ. เพื่อการเกษตรและสหกรณ์การเกษตร สาขา ท่าตะโก</t>
  </si>
  <si>
    <t>0340122</t>
  </si>
  <si>
    <t>ธ. เพื่อการเกษตรและสหกรณ์การเกษตร สาขา คีรีรัฐนิคม</t>
  </si>
  <si>
    <t>0340123</t>
  </si>
  <si>
    <t>ธ. เพื่อการเกษตรและสหกรณ์การเกษตร สาขา เวียงสา</t>
  </si>
  <si>
    <t>0340124</t>
  </si>
  <si>
    <t>ธ. เพื่อการเกษตรและสหกรณ์การเกษตร สาขา สุไหงปาดี</t>
  </si>
  <si>
    <t>0340125</t>
  </si>
  <si>
    <t>ธ. เพื่อการเกษตรและสหกรณ์การเกษตร สาขา ชะอวด</t>
  </si>
  <si>
    <t>0340126</t>
  </si>
  <si>
    <t>ธ. เพื่อการเกษตรและสหกรณ์การเกษตร สาขา พะเยา</t>
  </si>
  <si>
    <t>0340127</t>
  </si>
  <si>
    <t>ธ. เพื่อการเกษตรและสหกรณ์การเกษตร สาขา พนมสารคาม</t>
  </si>
  <si>
    <t>0340128</t>
  </si>
  <si>
    <t>ธ. เพื่อการเกษตรและสหกรณ์การเกษตร สาขา สามง่าม</t>
  </si>
  <si>
    <t>0340129</t>
  </si>
  <si>
    <t>ธ. เพื่อการเกษตรและสหกรณ์การเกษตร สาขา บึงกาฬ</t>
  </si>
  <si>
    <t>0340130</t>
  </si>
  <si>
    <t>ธ. เพื่อการเกษตรและสหกรณ์การเกษตร สาขา ชนแดน</t>
  </si>
  <si>
    <t>0340131</t>
  </si>
  <si>
    <t>ธ. เพื่อการเกษตรและสหกรณ์การเกษตร สาขา ร้องเข็ม</t>
  </si>
  <si>
    <t>0340132</t>
  </si>
  <si>
    <t>ธ. เพื่อการเกษตรและสหกรณ์การเกษตร สาขา ภาษีเจริญ</t>
  </si>
  <si>
    <t>0340133</t>
  </si>
  <si>
    <t>ธ. เพื่อการเกษตรและสหกรณ์การเกษตร สาขา ห้วยสะท้อน</t>
  </si>
  <si>
    <t>0340134</t>
  </si>
  <si>
    <t>ธ. เพื่อการเกษตรและสหกรณ์การเกษตร สาขา พนัสนิคม</t>
  </si>
  <si>
    <t>0340135</t>
  </si>
  <si>
    <t>ธ. เพื่อการเกษตรและสหกรณ์การเกษตร สาขา จันดี</t>
  </si>
  <si>
    <t>0340136</t>
  </si>
  <si>
    <t>ธ. เพื่อการเกษตรและสหกรณ์การเกษตร สาขา ชุมแพ</t>
  </si>
  <si>
    <t>0340137</t>
  </si>
  <si>
    <t>ธ. เพื่อการเกษตรและสหกรณ์การเกษตร สาขา สุวรรณภูมิ</t>
  </si>
  <si>
    <t>0340138</t>
  </si>
  <si>
    <t>ธ. เพื่อการเกษตรและสหกรณ์การเกษตร สาขา วังสะพุง</t>
  </si>
  <si>
    <t>0340139</t>
  </si>
  <si>
    <t>ธ. เพื่อการเกษตรและสหกรณ์การเกษตร สาขา เลิงนกทา</t>
  </si>
  <si>
    <t>0340140</t>
  </si>
  <si>
    <t>ธ. เพื่อการเกษตรและสหกรณ์การเกษตร สาขา ปราณบุรี</t>
  </si>
  <si>
    <t>0340141</t>
  </si>
  <si>
    <t>ธ. เพื่อการเกษตรและสหกรณ์การเกษตร สาขา มุกดาหาร</t>
  </si>
  <si>
    <t>0340142</t>
  </si>
  <si>
    <t>ธ. เพื่อการเกษตรและสหกรณ์การเกษตร สาขา สองพี่น้อง</t>
  </si>
  <si>
    <t>0340143</t>
  </si>
  <si>
    <t>ธ. เพื่อการเกษตรและสหกรณ์การเกษตร สาขา ท่าเรือพระแท่น</t>
  </si>
  <si>
    <t>0340144</t>
  </si>
  <si>
    <t>ธ. เพื่อการเกษตรและสหกรณ์การเกษตร สาขา พรรณานิคม</t>
  </si>
  <si>
    <t>0340145</t>
  </si>
  <si>
    <t>ธ. เพื่อการเกษตรและสหกรณ์การเกษตร สาขา กบินทร์บุรี</t>
  </si>
  <si>
    <t>0340146</t>
  </si>
  <si>
    <t>ธ. เพื่อการเกษตรและสหกรณ์การเกษตร สาขา บ้านผือ</t>
  </si>
  <si>
    <t>0340147</t>
  </si>
  <si>
    <t>ธ. เพื่อการเกษตรและสหกรณ์การเกษตร สาขา นากลาง</t>
  </si>
  <si>
    <t>0340148</t>
  </si>
  <si>
    <t>ธ. เพื่อการเกษตรและสหกรณ์การเกษตร สาขา ท่าแซะ</t>
  </si>
  <si>
    <t>0340149</t>
  </si>
  <si>
    <t>ธ. เพื่อการเกษตรและสหกรณ์การเกษตร สาขา สังขะ</t>
  </si>
  <si>
    <t>0340150</t>
  </si>
  <si>
    <t>ธ. เพื่อการเกษตรและสหกรณ์การเกษตร สาขา กระบี่</t>
  </si>
  <si>
    <t>0340151</t>
  </si>
  <si>
    <t>ธ. เพื่อการเกษตรและสหกรณ์การเกษตร สาขา ป่าซาง</t>
  </si>
  <si>
    <t>0340152</t>
  </si>
  <si>
    <t>ธ. เพื่อการเกษตรและสหกรณ์การเกษตร สาขา ย่านตาขาว</t>
  </si>
  <si>
    <t>0340153</t>
  </si>
  <si>
    <t>ธ. เพื่อการเกษตรและสหกรณ์การเกษตร สาขา ตาก</t>
  </si>
  <si>
    <t>0340154</t>
  </si>
  <si>
    <t>ธ. เพื่อการเกษตรและสหกรณ์การเกษตร สาขา หันคา</t>
  </si>
  <si>
    <t>0340155</t>
  </si>
  <si>
    <t>ธ. เพื่อการเกษตรและสหกรณ์การเกษตร สาขา ลำนารายณ์</t>
  </si>
  <si>
    <t>0340156</t>
  </si>
  <si>
    <t>ธ. เพื่อการเกษตรและสหกรณ์การเกษตร สาขา วานรนิวาส</t>
  </si>
  <si>
    <t>0340157</t>
  </si>
  <si>
    <t>ธ. เพื่อการเกษตรและสหกรณ์การเกษตร สาขา วังน้อย</t>
  </si>
  <si>
    <t>0340158</t>
  </si>
  <si>
    <t>ธ. เพื่อการเกษตรและสหกรณ์การเกษตร สาขา อินทร์บุรี</t>
  </si>
  <si>
    <t>0340159</t>
  </si>
  <si>
    <t>ธ. เพื่อการเกษตรและสหกรณ์การเกษตร สาขา จอมบึง</t>
  </si>
  <si>
    <t>0340160</t>
  </si>
  <si>
    <t>ธ. เพื่อการเกษตรและสหกรณ์การเกษตร สาขา ด่านช้าง</t>
  </si>
  <si>
    <t>0340161</t>
  </si>
  <si>
    <t>ธ. เพื่อการเกษตรและสหกรณ์การเกษตร สาขา ภูเขียว</t>
  </si>
  <si>
    <t>0340162</t>
  </si>
  <si>
    <t>ธ. เพื่อการเกษตรและสหกรณ์การเกษตร สาขา ลานสัก</t>
  </si>
  <si>
    <t>0340163</t>
  </si>
  <si>
    <t>ธ. เพื่อการเกษตรและสหกรณ์การเกษตร สาขา จุน</t>
  </si>
  <si>
    <t>0340164</t>
  </si>
  <si>
    <t>ธ. เพื่อการเกษตรและสหกรณ์การเกษตร สาขา นางรอง</t>
  </si>
  <si>
    <t>0340165</t>
  </si>
  <si>
    <t>ธ. เพื่อการเกษตรและสหกรณ์การเกษตร สาขา บ้านแพ้ว</t>
  </si>
  <si>
    <t>0340166</t>
  </si>
  <si>
    <t>ธ. เพื่อการเกษตรและสหกรณ์การเกษตร สาขา นครชัยศรี</t>
  </si>
  <si>
    <t>0340167</t>
  </si>
  <si>
    <t>ธ. เพื่อการเกษตรและสหกรณ์การเกษตร สาขา น้ำพอง</t>
  </si>
  <si>
    <t>0340168</t>
  </si>
  <si>
    <t>ธ. เพื่อการเกษตรและสหกรณ์การเกษตร สาขา กาญจนดิษฐ์</t>
  </si>
  <si>
    <t>0340169</t>
  </si>
  <si>
    <t>ธ. เพื่อการเกษตรและสหกรณ์การเกษตร สาขา น้ำปาด</t>
  </si>
  <si>
    <t>0340170</t>
  </si>
  <si>
    <t>ธ. เพื่อการเกษตรและสหกรณ์การเกษตร สาขา ควนขนุน</t>
  </si>
  <si>
    <t>0340171</t>
  </si>
  <si>
    <t>ธ. เพื่อการเกษตรและสหกรณ์การเกษตร สาขา ท่ายาง</t>
  </si>
  <si>
    <t>0340172</t>
  </si>
  <si>
    <t>ธ. เพื่อการเกษตรและสหกรณ์การเกษตร สาขา ลอง</t>
  </si>
  <si>
    <t>0340173</t>
  </si>
  <si>
    <t>ธ. เพื่อการเกษตรและสหกรณ์การเกษตร สาขา ปลวกแดง</t>
  </si>
  <si>
    <t>0340174</t>
  </si>
  <si>
    <t>ธ. เพื่อการเกษตรและสหกรณ์การเกษตร สาขา กุยบุรี</t>
  </si>
  <si>
    <t>0340175</t>
  </si>
  <si>
    <t>ธ. เพื่อการเกษตรและสหกรณ์การเกษตร สาขา ระโนด</t>
  </si>
  <si>
    <t>0340176</t>
  </si>
  <si>
    <t>ธ. เพื่อการเกษตรและสหกรณ์การเกษตร สาขา โพนทอง</t>
  </si>
  <si>
    <t>0340177</t>
  </si>
  <si>
    <t>ธ. เพื่อการเกษตรและสหกรณ์การเกษตร สาขา ตราด</t>
  </si>
  <si>
    <t>0340178</t>
  </si>
  <si>
    <t>ธ. เพื่อการเกษตรและสหกรณ์การเกษตร สาขา ระนอง</t>
  </si>
  <si>
    <t>0340179</t>
  </si>
  <si>
    <t>ธ. เพื่อการเกษตรและสหกรณ์การเกษตร สาขา พนมทวน</t>
  </si>
  <si>
    <t>0340180</t>
  </si>
  <si>
    <t>ธ. เพื่อการเกษตรและสหกรณ์การเกษตร สาขา ลาดยาว</t>
  </si>
  <si>
    <t>0340181</t>
  </si>
  <si>
    <t>ธ. เพื่อการเกษตรและสหกรณ์การเกษตร สาขา ลี้</t>
  </si>
  <si>
    <t>0340182</t>
  </si>
  <si>
    <t>ธ. เพื่อการเกษตรและสหกรณ์การเกษตร สาขา บางน้ำเปรี้ยว</t>
  </si>
  <si>
    <t>0340183</t>
  </si>
  <si>
    <t>ธ. เพื่อการเกษตรและสหกรณ์การเกษตร สาขา อู่ทอง</t>
  </si>
  <si>
    <t>0340184</t>
  </si>
  <si>
    <t>ธ. เพื่อการเกษตรและสหกรณ์การเกษตร สาขา ตาคลี</t>
  </si>
  <si>
    <t>0340185</t>
  </si>
  <si>
    <t>ธ. เพื่อการเกษตรและสหกรณ์การเกษตร สาขา พยัคฆภูมิพิสัย</t>
  </si>
  <si>
    <t>0340186</t>
  </si>
  <si>
    <t>ธ. เพื่อการเกษตรและสหกรณ์การเกษตร สาขา บางปะกง</t>
  </si>
  <si>
    <t>0340187</t>
  </si>
  <si>
    <t>ธ. เพื่อการเกษตรและสหกรณ์การเกษตร สาขา บ้านหมี่</t>
  </si>
  <si>
    <t>0340188</t>
  </si>
  <si>
    <t>ธ. เพื่อการเกษตรและสหกรณ์การเกษตร สาขา บางมูลนาก</t>
  </si>
  <si>
    <t>0340189</t>
  </si>
  <si>
    <t>ธ. เพื่อการเกษตรและสหกรณ์การเกษตร สาขา แม่แตง</t>
  </si>
  <si>
    <t>0340190</t>
  </si>
  <si>
    <t>ธ. เพื่อการเกษตรและสหกรณ์การเกษตร สาขา ขุขันธ์</t>
  </si>
  <si>
    <t>0340191</t>
  </si>
  <si>
    <t>ธ. เพื่อการเกษตรและสหกรณ์การเกษตร สาขา เสนา</t>
  </si>
  <si>
    <t>0340192</t>
  </si>
  <si>
    <t>ธ. เพื่อการเกษตรและสหกรณ์การเกษตร สาขา สรรคบุรี</t>
  </si>
  <si>
    <t>0340193</t>
  </si>
  <si>
    <t>ธ. เพื่อการเกษตรและสหกรณ์การเกษตร สาขา เบตง</t>
  </si>
  <si>
    <t>0340194</t>
  </si>
  <si>
    <t>ธ. เพื่อการเกษตรและสหกรณ์การเกษตร สาขา แม่สรวย</t>
  </si>
  <si>
    <t>0340195</t>
  </si>
  <si>
    <t>ธ. เพื่อการเกษตรและสหกรณ์การเกษตร สาขา ปัว</t>
  </si>
  <si>
    <t>0340196</t>
  </si>
  <si>
    <t>ธ. เพื่อการเกษตรและสหกรณ์การเกษตร สาขา ด่านขุนทด</t>
  </si>
  <si>
    <t>0340197</t>
  </si>
  <si>
    <t>ธ. เพื่อการเกษตรและสหกรณ์การเกษตร สาขา ศรีธาตุ</t>
  </si>
  <si>
    <t>0340198</t>
  </si>
  <si>
    <t>ธ. เพื่อการเกษตรและสหกรณ์การเกษตร สาขา แก่งคอย</t>
  </si>
  <si>
    <t>0340199</t>
  </si>
  <si>
    <t>ธ. เพื่อการเกษตรและสหกรณ์การเกษตร สาขา สิชล</t>
  </si>
  <si>
    <t>0340200</t>
  </si>
  <si>
    <t>ธ. เพื่อการเกษตรและสหกรณ์การเกษตร สาขา กงไกรลาศ</t>
  </si>
  <si>
    <t>0340201</t>
  </si>
  <si>
    <t>ธ. เพื่อการเกษตรและสหกรณ์การเกษตร สาขา ครบุรี</t>
  </si>
  <si>
    <t>0340202</t>
  </si>
  <si>
    <t>ธ. เพื่อการเกษตรและสหกรณ์การเกษตร สาขา พุทไธสง</t>
  </si>
  <si>
    <t>0340203</t>
  </si>
  <si>
    <t>ธ. เพื่อการเกษตรและสหกรณ์การเกษตร สาขา อำนาจเจริญ</t>
  </si>
  <si>
    <t>0340204</t>
  </si>
  <si>
    <t>ธ. เพื่อการเกษตรและสหกรณ์การเกษตร สาขา แจ้ห่ม</t>
  </si>
  <si>
    <t>0340205</t>
  </si>
  <si>
    <t>ธ. เพื่อการเกษตรและสหกรณ์การเกษตร สาขา ท่าตูม</t>
  </si>
  <si>
    <t>0340206</t>
  </si>
  <si>
    <t>ธ. เพื่อการเกษตรและสหกรณ์การเกษตร สาขา ตระการพืชผล</t>
  </si>
  <si>
    <t>0340207</t>
  </si>
  <si>
    <t>ธ. เพื่อการเกษตรและสหกรณ์การเกษตร สาขา อรัญประเทศ</t>
  </si>
  <si>
    <t>0340208</t>
  </si>
  <si>
    <t>ธ. เพื่อการเกษตรและสหกรณ์การเกษตร สาขา เชียงคำ</t>
  </si>
  <si>
    <t>0340209</t>
  </si>
  <si>
    <t>ธ. เพื่อการเกษตรและสหกรณ์การเกษตร สาขา สวี</t>
  </si>
  <si>
    <t>0340210</t>
  </si>
  <si>
    <t>ธ. เพื่อการเกษตรและสหกรณ์การเกษตร สาขา สว่างแดนดิน</t>
  </si>
  <si>
    <t>0340211</t>
  </si>
  <si>
    <t>ธ. เพื่อการเกษตรและสหกรณ์การเกษตร สาขา หนองกุงศรี</t>
  </si>
  <si>
    <t>0340212</t>
  </si>
  <si>
    <t>ธ. เพื่อการเกษตรและสหกรณ์การเกษตร สาขา มีนบุรี</t>
  </si>
  <si>
    <t>0340213</t>
  </si>
  <si>
    <t>ธ. เพื่อการเกษตรและสหกรณ์การเกษตร สาขา ท่าเรือ</t>
  </si>
  <si>
    <t>0340214</t>
  </si>
  <si>
    <t>ธ. เพื่อการเกษตรและสหกรณ์การเกษตร สาขา บ้านโป่ง</t>
  </si>
  <si>
    <t>0340215</t>
  </si>
  <si>
    <t>ธ. เพื่อการเกษตรและสหกรณ์การเกษตร สาขา แม่จัน</t>
  </si>
  <si>
    <t>0340216</t>
  </si>
  <si>
    <t>ธ. เพื่อการเกษตรและสหกรณ์การเกษตร สาขา วิเศษชัยชาญ</t>
  </si>
  <si>
    <t>0340217</t>
  </si>
  <si>
    <t>ธ. เพื่อการเกษตรและสหกรณ์การเกษตร สาขา ปทุมธานี</t>
  </si>
  <si>
    <t>0340218</t>
  </si>
  <si>
    <t>ธ. เพื่อการเกษตรและสหกรณ์การเกษตร สาขา กันตัง</t>
  </si>
  <si>
    <t>0340219</t>
  </si>
  <si>
    <t>ธ. เพื่อการเกษตรและสหกรณ์การเกษตร สาขา โพทะเล</t>
  </si>
  <si>
    <t>0340220</t>
  </si>
  <si>
    <t>ธ. เพื่อการเกษตรและสหกรณ์การเกษตร สาขา วังทอง</t>
  </si>
  <si>
    <t>0340221</t>
  </si>
  <si>
    <t>ธ. เพื่อการเกษตรและสหกรณ์การเกษตร สาขา พิบูลมังสาหาร</t>
  </si>
  <si>
    <t>0340222</t>
  </si>
  <si>
    <t>ธ. เพื่อการเกษตรและสหกรณ์การเกษตร สาขา บ้านนา</t>
  </si>
  <si>
    <t>0340223</t>
  </si>
  <si>
    <t>ธ. เพื่อการเกษตรและสหกรณ์การเกษตร สาขา สามพราน</t>
  </si>
  <si>
    <t>0340224</t>
  </si>
  <si>
    <t>ธ. เพื่อการเกษตรและสหกรณ์การเกษตร สาขา แม่ฮ่องสอน</t>
  </si>
  <si>
    <t>0340225</t>
  </si>
  <si>
    <t>ธ. เพื่อการเกษตรและสหกรณ์การเกษตร สาขา มหาชนะชัย</t>
  </si>
  <si>
    <t>0340226</t>
  </si>
  <si>
    <t>ธ. เพื่อการเกษตรและสหกรณ์การเกษตร สาขา แสวงหา</t>
  </si>
  <si>
    <t>0340227</t>
  </si>
  <si>
    <t>ธ. เพื่อการเกษตรและสหกรณ์การเกษตร สาขา ประโคนชัย</t>
  </si>
  <si>
    <t>0340228</t>
  </si>
  <si>
    <t>ธ. เพื่อการเกษตรและสหกรณ์การเกษตร สาขา หนองบัว</t>
  </si>
  <si>
    <t>0340229</t>
  </si>
  <si>
    <t>ธ. เพื่อการเกษตรและสหกรณ์การเกษตร สาขา ศีขรภูมิ</t>
  </si>
  <si>
    <t>0340230</t>
  </si>
  <si>
    <t>ธ. เพื่อการเกษตรและสหกรณ์การเกษตร สาขา บางคล้า</t>
  </si>
  <si>
    <t>0340231</t>
  </si>
  <si>
    <t>ธ. เพื่อการเกษตรและสหกรณ์การเกษตร สาขา ห้วยยอด</t>
  </si>
  <si>
    <t>0340232</t>
  </si>
  <si>
    <t>ธ. เพื่อการเกษตรและสหกรณ์การเกษตร สาขา พร้าว</t>
  </si>
  <si>
    <t>0340233</t>
  </si>
  <si>
    <t>ธ. เพื่อการเกษตรและสหกรณ์การเกษตร สาขา โพนพิสัย</t>
  </si>
  <si>
    <t>0340234</t>
  </si>
  <si>
    <t>ธ. เพื่อการเกษตรและสหกรณ์การเกษตร สาขา ลาดบัวหลวง</t>
  </si>
  <si>
    <t>0340235</t>
  </si>
  <si>
    <t>ธ. เพื่อการเกษตรและสหกรณ์การเกษตร สาขา ด่านซ้าย</t>
  </si>
  <si>
    <t>0340236</t>
  </si>
  <si>
    <t>ธ. เพื่อการเกษตรและสหกรณ์การเกษตร สาขา ตรอน</t>
  </si>
  <si>
    <t>0340237</t>
  </si>
  <si>
    <t>ธ. เพื่อการเกษตรและสหกรณ์การเกษตร สาขา สมเด็จ</t>
  </si>
  <si>
    <t>0340238</t>
  </si>
  <si>
    <t>ธ. เพื่อการเกษตรและสหกรณ์การเกษตร สาขา หลังสวน</t>
  </si>
  <si>
    <t>0340239</t>
  </si>
  <si>
    <t>ธ. เพื่อการเกษตรและสหกรณ์การเกษตร สาขา หล่มเก่า</t>
  </si>
  <si>
    <t>0340240</t>
  </si>
  <si>
    <t>ธ. เพื่อการเกษตรและสหกรณ์การเกษตร สาขา เกษตรวิสัย</t>
  </si>
  <si>
    <t>0340241</t>
  </si>
  <si>
    <t>ธ. เพื่อการเกษตรและสหกรณ์การเกษตร สาขา เวียงสระ</t>
  </si>
  <si>
    <t>0340242</t>
  </si>
  <si>
    <t>ธ. เพื่อการเกษตรและสหกรณ์การเกษตร สาขา คลองขลุง</t>
  </si>
  <si>
    <t>0340243</t>
  </si>
  <si>
    <t>ธ. เพื่อการเกษตรและสหกรณ์การเกษตร สาขา จักราช</t>
  </si>
  <si>
    <t>0340244</t>
  </si>
  <si>
    <t>ธ. เพื่อการเกษตรและสหกรณ์การเกษตร สาขา แม่สอด</t>
  </si>
  <si>
    <t>0340245</t>
  </si>
  <si>
    <t>ธ. เพื่อการเกษตรและสหกรณ์การเกษตร สาขา ราษีไศล</t>
  </si>
  <si>
    <t>0340246</t>
  </si>
  <si>
    <t>ธ. เพื่อการเกษตรและสหกรณ์การเกษตร สาขา ธาตุพนม</t>
  </si>
  <si>
    <t>0340247</t>
  </si>
  <si>
    <t>ธ. เพื่อการเกษตรและสหกรณ์การเกษตร สาขา หนองแค</t>
  </si>
  <si>
    <t>0340248</t>
  </si>
  <si>
    <t>ธ. เพื่อการเกษตรและสหกรณ์การเกษตร สาขา หนองหาน</t>
  </si>
  <si>
    <t>0340249</t>
  </si>
  <si>
    <t>ธ. เพื่อการเกษตรและสหกรณ์การเกษตร สาขา ขลุง</t>
  </si>
  <si>
    <t>0340250</t>
  </si>
  <si>
    <t>ธ. เพื่อการเกษตรและสหกรณ์การเกษตร สาขา งาว</t>
  </si>
  <si>
    <t>0340251</t>
  </si>
  <si>
    <t>ธ. เพื่อการเกษตรและสหกรณ์การเกษตร สาขา ชุมพวง</t>
  </si>
  <si>
    <t>0340252</t>
  </si>
  <si>
    <t>ธ. เพื่อการเกษตรและสหกรณ์การเกษตร สาขา บันนังสตา</t>
  </si>
  <si>
    <t>0340253</t>
  </si>
  <si>
    <t>ธ. เพื่อการเกษตรและสหกรณ์การเกษตร สาขา บ้านไร่</t>
  </si>
  <si>
    <t>0340254</t>
  </si>
  <si>
    <t>ธ. เพื่อการเกษตรและสหกรณ์การเกษตร สาขา วัดสิงห์</t>
  </si>
  <si>
    <t>0340255</t>
  </si>
  <si>
    <t>ธ. เพื่อการเกษตรและสหกรณ์การเกษตร สาขา ตันหยงมัส</t>
  </si>
  <si>
    <t>0340256</t>
  </si>
  <si>
    <t>ธ. เพื่อการเกษตรและสหกรณ์การเกษตร สาขา แม่ขรี</t>
  </si>
  <si>
    <t>0340257</t>
  </si>
  <si>
    <t>ธ. เพื่อการเกษตรและสหกรณ์การเกษตร สาขา สอง</t>
  </si>
  <si>
    <t>0340258</t>
  </si>
  <si>
    <t>ธ. เพื่อการเกษตรและสหกรณ์การเกษตร สาขา ท่าศาลา</t>
  </si>
  <si>
    <t>0340259</t>
  </si>
  <si>
    <t>ธ. เพื่อการเกษตรและสหกรณ์การเกษตร สาขา หนองไผ่</t>
  </si>
  <si>
    <t>0340260</t>
  </si>
  <si>
    <t>ธ. เพื่อการเกษตรและสหกรณ์การเกษตร สาขา ไชยา</t>
  </si>
  <si>
    <t>0340261</t>
  </si>
  <si>
    <t>ธ. เพื่อการเกษตรและสหกรณ์การเกษตร สาขา โพธาราม</t>
  </si>
  <si>
    <t>0340262</t>
  </si>
  <si>
    <t>ธ. เพื่อการเกษตรและสหกรณ์การเกษตร สาขา บางสะพาน</t>
  </si>
  <si>
    <t>0340263</t>
  </si>
  <si>
    <t>ธ. เพื่อการเกษตรและสหกรณ์การเกษตร สาขา ตะกั่วป่า</t>
  </si>
  <si>
    <t>0340264</t>
  </si>
  <si>
    <t>ธ. เพื่อการเกษตรและสหกรณ์การเกษตร สาขา บ้านค่าย</t>
  </si>
  <si>
    <t>0340265</t>
  </si>
  <si>
    <t>ธ. เพื่อการเกษตรและสหกรณ์การเกษตร สาขา ปาลัส</t>
  </si>
  <si>
    <t>0340266</t>
  </si>
  <si>
    <t>ธ. เพื่อการเกษตรและสหกรณ์การเกษตร สาขา แหลมฉบัง</t>
  </si>
  <si>
    <t>0340267</t>
  </si>
  <si>
    <t>ธ. เพื่อการเกษตรและสหกรณ์การเกษตร สาขา คลอง 9</t>
  </si>
  <si>
    <t>0340268</t>
  </si>
  <si>
    <t>ธ. เพื่อการเกษตรและสหกรณ์การเกษตร สาขา บางปะอิน</t>
  </si>
  <si>
    <t>0340269</t>
  </si>
  <si>
    <t>ธ. เพื่อการเกษตรและสหกรณ์การเกษตร สาขา สมุทรปราการ</t>
  </si>
  <si>
    <t>0340270</t>
  </si>
  <si>
    <t>ธ. เพื่อการเกษตรและสหกรณ์การเกษตร สาขา เชียงคาน</t>
  </si>
  <si>
    <t>0340271</t>
  </si>
  <si>
    <t>ธ. เพื่อการเกษตรและสหกรณ์การเกษตร สาขา ประทาย</t>
  </si>
  <si>
    <t>0340272</t>
  </si>
  <si>
    <t>ธ. เพื่อการเกษตรและสหกรณ์การเกษตร สาขา บ้านโพธิ์</t>
  </si>
  <si>
    <t>0340273</t>
  </si>
  <si>
    <t>ธ. เพื่อการเกษตรและสหกรณ์การเกษตร สาขา เชียงแสน</t>
  </si>
  <si>
    <t>0340274</t>
  </si>
  <si>
    <t>ธ. เพื่อการเกษตรและสหกรณ์การเกษตร สาขา บำเหน็จณรงค์</t>
  </si>
  <si>
    <t>0340275</t>
  </si>
  <si>
    <t>ธ. เพื่อการเกษตรและสหกรณ์การเกษตร สาขา สนามชัยเขต</t>
  </si>
  <si>
    <t>0340276</t>
  </si>
  <si>
    <t>ธ. เพื่อการเกษตรและสหกรณ์การเกษตร สาขา บ้านบึง</t>
  </si>
  <si>
    <t>0340277</t>
  </si>
  <si>
    <t>ธ. เพื่อการเกษตรและสหกรณ์การเกษตร สาขา มาบอำมฤต</t>
  </si>
  <si>
    <t>0340278</t>
  </si>
  <si>
    <t>ธ. เพื่อการเกษตรและสหกรณ์การเกษตร สาขา สูงเม่น</t>
  </si>
  <si>
    <t>0340279</t>
  </si>
  <si>
    <t>ธ. เพื่อการเกษตรและสหกรณ์การเกษตร สาขา มัญจาคีรี</t>
  </si>
  <si>
    <t>0340280</t>
  </si>
  <si>
    <t>ธ. เพื่อการเกษตรและสหกรณ์การเกษตร สาขา เขมราฐ</t>
  </si>
  <si>
    <t>0340281</t>
  </si>
  <si>
    <t>ธ. เพื่อการเกษตรและสหกรณ์การเกษตร สาขา ดอกคำใต้</t>
  </si>
  <si>
    <t>0340282</t>
  </si>
  <si>
    <t>ธ. เพื่อการเกษตรและสหกรณ์การเกษตร สาขา โกสุมพิสัย</t>
  </si>
  <si>
    <t>0340283</t>
  </si>
  <si>
    <t>ธ. เพื่อการเกษตรและสหกรณ์การเกษตร สาขา บรบือ</t>
  </si>
  <si>
    <t>0340284</t>
  </si>
  <si>
    <t>ธ. เพื่อการเกษตรและสหกรณ์การเกษตร สาขา ไชยปราการ</t>
  </si>
  <si>
    <t>0340285</t>
  </si>
  <si>
    <t>ธ. เพื่อการเกษตรและสหกรณ์การเกษตร สาขา ยางตลาด</t>
  </si>
  <si>
    <t>0340286</t>
  </si>
  <si>
    <t>ธ. เพื่อการเกษตรและสหกรณ์การเกษตร สาขา บ้านดุง</t>
  </si>
  <si>
    <t>0340287</t>
  </si>
  <si>
    <t>ธ. เพื่อการเกษตรและสหกรณ์การเกษตร สาขา วังจันทร์</t>
  </si>
  <si>
    <t>0340288</t>
  </si>
  <si>
    <t>ธ. เพื่อการเกษตรและสหกรณ์การเกษตร สาขา บ้านโฮ่ง</t>
  </si>
  <si>
    <t>0340289</t>
  </si>
  <si>
    <t>ธ. เพื่อการเกษตรและสหกรณ์การเกษตร สาขา ปราสาท</t>
  </si>
  <si>
    <t>0340290</t>
  </si>
  <si>
    <t>ธ. เพื่อการเกษตรและสหกรณ์การเกษตร สาขา สอยดาว</t>
  </si>
  <si>
    <t>0340291</t>
  </si>
  <si>
    <t>ธ. เพื่อการเกษตรและสหกรณ์การเกษตร สาขา บ้านสร้าง</t>
  </si>
  <si>
    <t>0340292</t>
  </si>
  <si>
    <t>ธ. เพื่อการเกษตรและสหกรณ์การเกษตร สาขา โนนไทย</t>
  </si>
  <si>
    <t>0340293</t>
  </si>
  <si>
    <t>ธ. เพื่อการเกษตรและสหกรณ์การเกษตร สาขา วังน้ำเย็น</t>
  </si>
  <si>
    <t>0340294</t>
  </si>
  <si>
    <t>ธ. เพื่อการเกษตรและสหกรณ์การเกษตร สาขา เทพา</t>
  </si>
  <si>
    <t>0340295</t>
  </si>
  <si>
    <t>ธ. เพื่อการเกษตรและสหกรณ์การเกษตร สาขา โคกกลอย</t>
  </si>
  <si>
    <t>0340296</t>
  </si>
  <si>
    <t>ธ. เพื่อการเกษตรและสหกรณ์การเกษตร สาขา แสนตุ้ง</t>
  </si>
  <si>
    <t>0340297</t>
  </si>
  <si>
    <t>ธ. เพื่อการเกษตรและสหกรณ์การเกษตร สาขา ละงู</t>
  </si>
  <si>
    <t>0340298</t>
  </si>
  <si>
    <t>ธ. เพื่อการเกษตรและสหกรณ์การเกษตร สาขา บางปลาม้า</t>
  </si>
  <si>
    <t>0340299</t>
  </si>
  <si>
    <t>ธ. เพื่อการเกษตรและสหกรณ์การเกษตร สาขา ดอนเจดีย์</t>
  </si>
  <si>
    <t>0340300</t>
  </si>
  <si>
    <t>ธ. เพื่อการเกษตรและสหกรณ์การเกษตร สาขา ดำเนินสะดวก</t>
  </si>
  <si>
    <t>0340301</t>
  </si>
  <si>
    <t>ธ. เพื่อการเกษตรและสหกรณ์การเกษตร สาขา ดอนตูม</t>
  </si>
  <si>
    <t>0340302</t>
  </si>
  <si>
    <t>ธ. เพื่อการเกษตรและสหกรณ์การเกษตร สาขา ทุ่งใหญ่</t>
  </si>
  <si>
    <t>0340303</t>
  </si>
  <si>
    <t>ธ. เพื่อการเกษตรและสหกรณ์การเกษตร สาขา ปากช่อง</t>
  </si>
  <si>
    <t>0340304</t>
  </si>
  <si>
    <t>ธ. เพื่อการเกษตรและสหกรณ์การเกษตร สาขา บางปะหัน</t>
  </si>
  <si>
    <t>0340305</t>
  </si>
  <si>
    <t>ธ. เพื่อการเกษตรและสหกรณ์การเกษตร สาขา บ้านหมอ</t>
  </si>
  <si>
    <t>0340306</t>
  </si>
  <si>
    <t>ธ. เพื่อการเกษตรและสหกรณ์การเกษตร สาขา วาวี</t>
  </si>
  <si>
    <t>0340307</t>
  </si>
  <si>
    <t>ธ. เพื่อการเกษตรและสหกรณ์การเกษตร สาขา เขาคิชฌกูฏ</t>
  </si>
  <si>
    <t>0340308</t>
  </si>
  <si>
    <t>ธ. เพื่อการเกษตรและสหกรณ์การเกษตร สาขา คูหา</t>
  </si>
  <si>
    <t>0340309</t>
  </si>
  <si>
    <t>ธ. เพื่อการเกษตรและสหกรณ์การเกษตร สาขา โนนสูง</t>
  </si>
  <si>
    <t>0340310</t>
  </si>
  <si>
    <t>ธ. เพื่อการเกษตรและสหกรณ์การเกษตร สาขา อุทุมพรพิสัย</t>
  </si>
  <si>
    <t>0340311</t>
  </si>
  <si>
    <t>ธ. เพื่อการเกษตรและสหกรณ์การเกษตร สาขา แก้งคร้อ</t>
  </si>
  <si>
    <t>0340312</t>
  </si>
  <si>
    <t>ธ. เพื่อการเกษตรและสหกรณ์การเกษตร สาขา ท่าบ่อ</t>
  </si>
  <si>
    <t>0340313</t>
  </si>
  <si>
    <t>ธ. เพื่อการเกษตรและสหกรณ์การเกษตร สาขา กุดชุม</t>
  </si>
  <si>
    <t>0340314</t>
  </si>
  <si>
    <t>ธ. เพื่อการเกษตรและสหกรณ์การเกษตร สาขา ภูเวียง</t>
  </si>
  <si>
    <t>0340315</t>
  </si>
  <si>
    <t>ธ. เพื่อการเกษตรและสหกรณ์การเกษตร สาขา เขื่องใน</t>
  </si>
  <si>
    <t>0340316</t>
  </si>
  <si>
    <t>ธ. เพื่อการเกษตรและสหกรณ์การเกษตร สาขา บรรพตพิสัย</t>
  </si>
  <si>
    <t>0340317</t>
  </si>
  <si>
    <t>ธ. เพื่อการเกษตรและสหกรณ์การเกษตร สาขา วัดโบสถ์</t>
  </si>
  <si>
    <t>0340318</t>
  </si>
  <si>
    <t>ธ. เพื่อการเกษตรและสหกรณ์การเกษตร สาขา กมลาไสย</t>
  </si>
  <si>
    <t>0340319</t>
  </si>
  <si>
    <t>ธ. เพื่อการเกษตรและสหกรณ์การเกษตร สาขา จตุรพักตรพิมาน</t>
  </si>
  <si>
    <t>0340320</t>
  </si>
  <si>
    <t>ธ. เพื่อการเกษตรและสหกรณ์การเกษตร สาขา ภูเก็ต</t>
  </si>
  <si>
    <t>0340321</t>
  </si>
  <si>
    <t>ธ. เพื่อการเกษตรและสหกรณ์การเกษตร สาขา ศรีเทพ</t>
  </si>
  <si>
    <t>0340322</t>
  </si>
  <si>
    <t>ธ. เพื่อการเกษตรและสหกรณ์การเกษตร สาขา ทัพทัน</t>
  </si>
  <si>
    <t>0340323</t>
  </si>
  <si>
    <t>ธ. เพื่อการเกษตรและสหกรณ์การเกษตร สาขา ทุ่งยาว</t>
  </si>
  <si>
    <t>0340324</t>
  </si>
  <si>
    <t>ธ. เพื่อการเกษตรและสหกรณ์การเกษตร สาขา วังวิเศษ</t>
  </si>
  <si>
    <t>0340325</t>
  </si>
  <si>
    <t>ธ. เพื่อการเกษตรและสหกรณ์การเกษตร สาขา กระบุรี</t>
  </si>
  <si>
    <t>0340326</t>
  </si>
  <si>
    <t>ธ. เพื่อการเกษตรและสหกรณ์การเกษตร สาขา บ้านตาขุน</t>
  </si>
  <si>
    <t>0340327</t>
  </si>
  <si>
    <t>ธ. เพื่อการเกษตรและสหกรณ์การเกษตร สาขา ศรีมหาโพธิ</t>
  </si>
  <si>
    <t>0340328</t>
  </si>
  <si>
    <t>ธ. เพื่อการเกษตรและสหกรณ์การเกษตร สาขา เถิน</t>
  </si>
  <si>
    <t>0340329</t>
  </si>
  <si>
    <t>ธ. เพื่อการเกษตรและสหกรณ์การเกษตร สาขา ไทรงาม</t>
  </si>
  <si>
    <t>0340330</t>
  </si>
  <si>
    <t>ธ. เพื่อการเกษตรและสหกรณ์การเกษตร สาขา เมืองพล</t>
  </si>
  <si>
    <t>0340331</t>
  </si>
  <si>
    <t>ธ. เพื่อการเกษตรและสหกรณ์การเกษตร สาขา วัฒนานคร</t>
  </si>
  <si>
    <t>0340332</t>
  </si>
  <si>
    <t>ธ. เพื่อการเกษตรและสหกรณ์การเกษตร สาขา ยะหา</t>
  </si>
  <si>
    <t>0340333</t>
  </si>
  <si>
    <t>ธ. เพื่อการเกษตรและสหกรณ์การเกษตร สาขา รือเสาะ</t>
  </si>
  <si>
    <t>0340334</t>
  </si>
  <si>
    <t>ธ. เพื่อการเกษตรและสหกรณ์การเกษตร สาขา แม่สาย</t>
  </si>
  <si>
    <t>0340335</t>
  </si>
  <si>
    <t>ธ. เพื่อการเกษตรและสหกรณ์การเกษตร สาขา ฮอด</t>
  </si>
  <si>
    <t>0340336</t>
  </si>
  <si>
    <t>ธ. เพื่อการเกษตรและสหกรณ์การเกษตร สาขา ชุมพลบุรี</t>
  </si>
  <si>
    <t>0340337</t>
  </si>
  <si>
    <t>ธ. เพื่อการเกษตรและสหกรณ์การเกษตร สาขา ปากพลี</t>
  </si>
  <si>
    <t>0340338</t>
  </si>
  <si>
    <t>ธ. เพื่อการเกษตรและสหกรณ์การเกษตร สาขา คลองท่อม</t>
  </si>
  <si>
    <t>0340339</t>
  </si>
  <si>
    <t>ธ. เพื่อการเกษตรและสหกรณ์การเกษตร สาขา เลาขวัญ</t>
  </si>
  <si>
    <t>0340340</t>
  </si>
  <si>
    <t>ธ. เพื่อการเกษตรและสหกรณ์การเกษตร สาขา ปง</t>
  </si>
  <si>
    <t>0340341</t>
  </si>
  <si>
    <t>ธ. เพื่อการเกษตรและสหกรณ์การเกษตร สาขา วังทรายพูน</t>
  </si>
  <si>
    <t>0340342</t>
  </si>
  <si>
    <t>ธ. เพื่อการเกษตรและสหกรณ์การเกษตร สาขา ขุนหาญ</t>
  </si>
  <si>
    <t>0340343</t>
  </si>
  <si>
    <t>ธ. เพื่อการเกษตรและสหกรณ์การเกษตร สาขา โชคชัย</t>
  </si>
  <si>
    <t>0340344</t>
  </si>
  <si>
    <t>ธ. เพื่อการเกษตรและสหกรณ์การเกษตร สาขา ลำปลายมาศ</t>
  </si>
  <si>
    <t>0340345</t>
  </si>
  <si>
    <t>ธ. เพื่อการเกษตรและสหกรณ์การเกษตร สาขา หัวไทร</t>
  </si>
  <si>
    <t>0340346</t>
  </si>
  <si>
    <t>ธ. เพื่อการเกษตรและสหกรณ์การเกษตร สาขา แม่ทา</t>
  </si>
  <si>
    <t>0340347</t>
  </si>
  <si>
    <t>ธ. เพื่อการเกษตรและสหกรณ์การเกษตร สาขา คอนสวรรค์</t>
  </si>
  <si>
    <t>0340348</t>
  </si>
  <si>
    <t>ธ. เพื่อการเกษตรและสหกรณ์การเกษตร สาขา น้ำยืน</t>
  </si>
  <si>
    <t>0340349</t>
  </si>
  <si>
    <t>ธ. เพื่อการเกษตรและสหกรณ์การเกษตร สาขา เสลภูมิ</t>
  </si>
  <si>
    <t>0340350</t>
  </si>
  <si>
    <t>ธ. เพื่อการเกษตรและสหกรณ์การเกษตร สาขา พญาเม็งราย</t>
  </si>
  <si>
    <t>0340351</t>
  </si>
  <si>
    <t>ธ. เพื่อการเกษตรและสหกรณ์การเกษตร สาขา ลับแล</t>
  </si>
  <si>
    <t>0340352</t>
  </si>
  <si>
    <t>ธ. เพื่อการเกษตรและสหกรณ์การเกษตร สาขา ลำลูกกา</t>
  </si>
  <si>
    <t>0340353</t>
  </si>
  <si>
    <t>ธ. เพื่อการเกษตรและสหกรณ์การเกษตร สาขา หนองฉาง</t>
  </si>
  <si>
    <t>0340354</t>
  </si>
  <si>
    <t>ธ. เพื่อการเกษตรและสหกรณ์การเกษตร สาขา ทับคล้อ</t>
  </si>
  <si>
    <t>0340355</t>
  </si>
  <si>
    <t>ธ. เพื่อการเกษตรและสหกรณ์การเกษตร สาขา แม่ทะ</t>
  </si>
  <si>
    <t>0340356</t>
  </si>
  <si>
    <t>ธ. เพื่อการเกษตรและสหกรณ์การเกษตร สาขา หนองวัวซอ</t>
  </si>
  <si>
    <t>0340357</t>
  </si>
  <si>
    <t>ธ. เพื่อการเกษตรและสหกรณ์การเกษตร สาขา ศรีบุญเรือง</t>
  </si>
  <si>
    <t>0340358</t>
  </si>
  <si>
    <t>ธ. เพื่อการเกษตรและสหกรณ์การเกษตร สาขา นาน้อย</t>
  </si>
  <si>
    <t>0340359</t>
  </si>
  <si>
    <t>ธ. เพื่อการเกษตรและสหกรณ์การเกษตร สาขา ศรีสำโรง</t>
  </si>
  <si>
    <t>0340360</t>
  </si>
  <si>
    <t>ธ. เพื่อการเกษตรและสหกรณ์การเกษตร สาขา คง</t>
  </si>
  <si>
    <t>0340361</t>
  </si>
  <si>
    <t>ธ. เพื่อการเกษตรและสหกรณ์การเกษตร สาขา ละหานทราย</t>
  </si>
  <si>
    <t>0340362</t>
  </si>
  <si>
    <t>ธ. เพื่อการเกษตรและสหกรณ์การเกษตร สาขา สตึก</t>
  </si>
  <si>
    <t>0340363</t>
  </si>
  <si>
    <t>ธ. เพื่อการเกษตรและสหกรณ์การเกษตร สาขา บ้านเขว้า</t>
  </si>
  <si>
    <t>0340364</t>
  </si>
  <si>
    <t>ธ. เพื่อการเกษตรและสหกรณ์การเกษตร สาขา เกษตรสมบูรณ์</t>
  </si>
  <si>
    <t>0340365</t>
  </si>
  <si>
    <t>ธ. เพื่อการเกษตรและสหกรณ์การเกษตร สาขา ไทรน้อย</t>
  </si>
  <si>
    <t>0340366</t>
  </si>
  <si>
    <t>ธ. เพื่อการเกษตรและสหกรณ์การเกษตร สาขา ศรีสัชนาลัย</t>
  </si>
  <si>
    <t>0340367</t>
  </si>
  <si>
    <t>ธ. เพื่อการเกษตรและสหกรณ์การเกษตร สาขา บ้านธิ</t>
  </si>
  <si>
    <t>0340368</t>
  </si>
  <si>
    <t>ธ. เพื่อการเกษตรและสหกรณ์การเกษตร สาขา แม่โจ้</t>
  </si>
  <si>
    <t>0340369</t>
  </si>
  <si>
    <t>ธ. เพื่อการเกษตรและสหกรณ์การเกษตร สาขา แม่วาง</t>
  </si>
  <si>
    <t>0340370</t>
  </si>
  <si>
    <t>ธ. เพื่อการเกษตรและสหกรณ์การเกษตร สาขา แม่อาย</t>
  </si>
  <si>
    <t>0340371</t>
  </si>
  <si>
    <t>ธ. เพื่อการเกษตรและสหกรณ์การเกษตร สาขา ท่าวังผา</t>
  </si>
  <si>
    <t>0340372</t>
  </si>
  <si>
    <t>ธ. เพื่อการเกษตรและสหกรณ์การเกษตร สาขา วังชิ้น</t>
  </si>
  <si>
    <t>0340373</t>
  </si>
  <si>
    <t>ธ. เพื่อการเกษตรและสหกรณ์การเกษตร สาขา เวียงชัย</t>
  </si>
  <si>
    <t>0340374</t>
  </si>
  <si>
    <t>ธ. เพื่อการเกษตรและสหกรณ์การเกษตร สาขา เวียงป่าเป้า</t>
  </si>
  <si>
    <t>0340375</t>
  </si>
  <si>
    <t>ธ. เพื่อการเกษตรและสหกรณ์การเกษตร สาขา นครไทย</t>
  </si>
  <si>
    <t>0340376</t>
  </si>
  <si>
    <t>ธ. เพื่อการเกษตรและสหกรณ์การเกษตร สาขา พยุหะคีรี</t>
  </si>
  <si>
    <t>0340377</t>
  </si>
  <si>
    <t>ธ. เพื่อการเกษตรและสหกรณ์การเกษตร สาขา ห้างฉัตร</t>
  </si>
  <si>
    <t>0340378</t>
  </si>
  <si>
    <t>ธ. เพื่อการเกษตรและสหกรณ์การเกษตร สาขา ธวัชบุรี</t>
  </si>
  <si>
    <t>0340379</t>
  </si>
  <si>
    <t>ธ. เพื่อการเกษตรและสหกรณ์การเกษตร สาขา นิคมคำสร้อย</t>
  </si>
  <si>
    <t>0340380</t>
  </si>
  <si>
    <t>ธ. เพื่อการเกษตรและสหกรณ์การเกษตร สาขา บางบ่อ</t>
  </si>
  <si>
    <t>0340381</t>
  </si>
  <si>
    <t>ธ. เพื่อการเกษตรและสหกรณ์การเกษตร สาขา ท่าชนะ</t>
  </si>
  <si>
    <t>0340382</t>
  </si>
  <si>
    <t>ธ. เพื่อการเกษตรและสหกรณ์การเกษตร สาขา เกาะคา</t>
  </si>
  <si>
    <t>0340383</t>
  </si>
  <si>
    <t>ธ. เพื่อการเกษตรและสหกรณ์การเกษตร สาขา พรานกระต่าย</t>
  </si>
  <si>
    <t>0340384</t>
  </si>
  <si>
    <t>ธ. เพื่อการเกษตรและสหกรณ์การเกษตร สาขา กันทรารมย์</t>
  </si>
  <si>
    <t>0340385</t>
  </si>
  <si>
    <t>ธ. เพื่อการเกษตรและสหกรณ์การเกษตร สาขา วิหารแดง</t>
  </si>
  <si>
    <t>0340386</t>
  </si>
  <si>
    <t>ธ. เพื่อการเกษตรและสหกรณ์การเกษตร สาขา พระแสง</t>
  </si>
  <si>
    <t>0340387</t>
  </si>
  <si>
    <t>ธ. เพื่อการเกษตรและสหกรณ์การเกษตร สาขา จอมพระ</t>
  </si>
  <si>
    <t>0340388</t>
  </si>
  <si>
    <t>ธ. เพื่อการเกษตรและสหกรณ์การเกษตร สาขา ปรางค์กู่</t>
  </si>
  <si>
    <t>0340389</t>
  </si>
  <si>
    <t>ธ. เพื่อการเกษตรและสหกรณ์การเกษตร สาขา ปักธงชัย</t>
  </si>
  <si>
    <t>0340390</t>
  </si>
  <si>
    <t>ธ. เพื่อการเกษตรและสหกรณ์การเกษตร สาขา อาจสามารถ</t>
  </si>
  <si>
    <t>0340391</t>
  </si>
  <si>
    <t>ธ. เพื่อการเกษตรและสหกรณ์การเกษตร สาขา ศรีสงคราม</t>
  </si>
  <si>
    <t>0340392</t>
  </si>
  <si>
    <t>ธ. เพื่อการเกษตรและสหกรณ์การเกษตร สาขา บางบอน</t>
  </si>
  <si>
    <t>0340393</t>
  </si>
  <si>
    <t>ธ. เพื่อการเกษตรและสหกรณ์การเกษตร สาขา พิปูน</t>
  </si>
  <si>
    <t>0340394</t>
  </si>
  <si>
    <t>ธ. เพื่อการเกษตรและสหกรณ์การเกษตร สาขา เซกา</t>
  </si>
  <si>
    <t>0340395</t>
  </si>
  <si>
    <t>ธ. เพื่อการเกษตรและสหกรณ์การเกษตร สาขา อุทัย</t>
  </si>
  <si>
    <t>0340396</t>
  </si>
  <si>
    <t>ธ. เพื่อการเกษตรและสหกรณ์การเกษตร สาขา ปากพะยูน</t>
  </si>
  <si>
    <t>0340397</t>
  </si>
  <si>
    <t>ธ. เพื่อการเกษตรและสหกรณ์การเกษตร สาขา โนนสะอาด</t>
  </si>
  <si>
    <t>0340398</t>
  </si>
  <si>
    <t>ธ. เพื่อการเกษตรและสหกรณ์การเกษตร สาขา นายายอาม</t>
  </si>
  <si>
    <t>0340399</t>
  </si>
  <si>
    <t>ธ. เพื่อการเกษตรและสหกรณ์การเกษตร สาขา ร่อนพิบูลย์</t>
  </si>
  <si>
    <t>0340400</t>
  </si>
  <si>
    <t>ธ. เพื่อการเกษตรและสหกรณ์การเกษตร สาขา คำเขื่อนแก้ว</t>
  </si>
  <si>
    <t>0340401</t>
  </si>
  <si>
    <t>ธ. เพื่อการเกษตรและสหกรณ์การเกษตร สาขา เขาชะเมา</t>
  </si>
  <si>
    <t>0340402</t>
  </si>
  <si>
    <t>ธ. เพื่อการเกษตรและสหกรณ์การเกษตร สาขา สิเกา</t>
  </si>
  <si>
    <t>0340403</t>
  </si>
  <si>
    <t>ธ. เพื่อการเกษตรและสหกรณ์การเกษตร สาขา เชียงยืน</t>
  </si>
  <si>
    <t>0340404</t>
  </si>
  <si>
    <t>ธ. เพื่อการเกษตรและสหกรณ์การเกษตร สาขา เขาพนม</t>
  </si>
  <si>
    <t>0340405</t>
  </si>
  <si>
    <t>ธ. เพื่อการเกษตรและสหกรณ์การเกษตร สาขา นาเชือก</t>
  </si>
  <si>
    <t>0340406</t>
  </si>
  <si>
    <t>ธ. เพื่อการเกษตรและสหกรณ์การเกษตร สาขา หนองเรือ</t>
  </si>
  <si>
    <t>0340407</t>
  </si>
  <si>
    <t>ธ. เพื่อการเกษตรและสหกรณ์การเกษตร สาขา เฉลิมพระเกียรติ (หัวหิน)</t>
  </si>
  <si>
    <t>0340408</t>
  </si>
  <si>
    <t>ธ. เพื่อการเกษตรและสหกรณ์การเกษตร สาขา กระนวน</t>
  </si>
  <si>
    <t>0340409</t>
  </si>
  <si>
    <t>ธ. เพื่อการเกษตรและสหกรณ์การเกษตร สาขา เดิมบางนางบวช</t>
  </si>
  <si>
    <t>0340410</t>
  </si>
  <si>
    <t>ธ. เพื่อการเกษตรและสหกรณ์การเกษตร สาขา กระสัง</t>
  </si>
  <si>
    <t>0340411</t>
  </si>
  <si>
    <t>ธ. เพื่อการเกษตรและสหกรณ์การเกษตร สาขา วารินชำราบ</t>
  </si>
  <si>
    <t>0340412</t>
  </si>
  <si>
    <t>ธ. เพื่อการเกษตรและสหกรณ์การเกษตร สาขา บางสะพานน้อย</t>
  </si>
  <si>
    <t>0340413</t>
  </si>
  <si>
    <t>ธ. เพื่อการเกษตรและสหกรณ์การเกษตร สาขา เพ็ญ</t>
  </si>
  <si>
    <t>0340414</t>
  </si>
  <si>
    <t>ธ. เพื่อการเกษตรและสหกรณ์การเกษตร สาขา ทับสะแก</t>
  </si>
  <si>
    <t>0340415</t>
  </si>
  <si>
    <t>ธ. เพื่อการเกษตรและสหกรณ์การเกษตร สาขา บ่อพลอย</t>
  </si>
  <si>
    <t>0340416</t>
  </si>
  <si>
    <t>ธ. เพื่อการเกษตรและสหกรณ์การเกษตร สาขา สรรพยา</t>
  </si>
  <si>
    <t>0340417</t>
  </si>
  <si>
    <t>ธ. เพื่อการเกษตรและสหกรณ์การเกษตร สาขา เขาวง</t>
  </si>
  <si>
    <t>0340418</t>
  </si>
  <si>
    <t>ธ. เพื่อการเกษตรและสหกรณ์การเกษตร สาขา อุโมงค์</t>
  </si>
  <si>
    <t>0340419</t>
  </si>
  <si>
    <t>ธ. เพื่อการเกษตรและสหกรณ์การเกษตร สาขา เวียงหนองล่อง</t>
  </si>
  <si>
    <t>0340420</t>
  </si>
  <si>
    <t>ธ. เพื่อการเกษตรและสหกรณ์การเกษตร สาขา ดอนสัก</t>
  </si>
  <si>
    <t>0340421</t>
  </si>
  <si>
    <t>ธ. เพื่อการเกษตรและสหกรณ์การเกษตร สาขา ดอยสะเก็ด</t>
  </si>
  <si>
    <t>0340422</t>
  </si>
  <si>
    <t>ธ. เพื่อการเกษตรและสหกรณ์การเกษตร สาขา บุณฑริก</t>
  </si>
  <si>
    <t>0340423</t>
  </si>
  <si>
    <t>ธ. เพื่อการเกษตรและสหกรณ์การเกษตร สาขา บางใหญ่</t>
  </si>
  <si>
    <t>0340424</t>
  </si>
  <si>
    <t>ธ. เพื่อการเกษตรและสหกรณ์การเกษตร สาขา บางกระทุ่ม</t>
  </si>
  <si>
    <t>0340425</t>
  </si>
  <si>
    <t>ธ. เพื่อการเกษตรและสหกรณ์การเกษตร สาขา หนองม่วง</t>
  </si>
  <si>
    <t>0340426</t>
  </si>
  <si>
    <t>ธ. เพื่อการเกษตรและสหกรณ์การเกษตร สาขา ปทุมรัตต์</t>
  </si>
  <si>
    <t>0340427</t>
  </si>
  <si>
    <t>ธ. เพื่อการเกษตรและสหกรณ์การเกษตร สาขา คูเมือง</t>
  </si>
  <si>
    <t>0340428</t>
  </si>
  <si>
    <t>ธ. เพื่อการเกษตรและสหกรณ์การเกษตร สาขา หัวตะพาน</t>
  </si>
  <si>
    <t>0340429</t>
  </si>
  <si>
    <t>ธ. เพื่อการเกษตรและสหกรณ์การเกษตร สาขา แม่ใจ</t>
  </si>
  <si>
    <t>0340430</t>
  </si>
  <si>
    <t>ธ. เพื่อการเกษตรและสหกรณ์การเกษตร สาขา ตากฟ้า</t>
  </si>
  <si>
    <t>0340431</t>
  </si>
  <si>
    <t>ธ. เพื่อการเกษตรและสหกรณ์การเกษตร สาขา หางดง</t>
  </si>
  <si>
    <t>0340432</t>
  </si>
  <si>
    <t>ธ. เพื่อการเกษตรและสหกรณ์การเกษตร สาขา สูงเนิน</t>
  </si>
  <si>
    <t>0340433</t>
  </si>
  <si>
    <t>ธ. เพื่อการเกษตรและสหกรณ์การเกษตร สาขา ชนบท</t>
  </si>
  <si>
    <t>0340434</t>
  </si>
  <si>
    <t>ธ. เพื่อการเกษตรและสหกรณ์การเกษตร สาขา ลาดหลุมแก้ว</t>
  </si>
  <si>
    <t>0340435</t>
  </si>
  <si>
    <t>ธ. เพื่อการเกษตรและสหกรณ์การเกษตร สาขา ฉวาง</t>
  </si>
  <si>
    <t>0340436</t>
  </si>
  <si>
    <t>ธ. เพื่อการเกษตรและสหกรณ์การเกษตร สาขา ท่าพล</t>
  </si>
  <si>
    <t>0340437</t>
  </si>
  <si>
    <t>ธ. เพื่อการเกษตรและสหกรณ์การเกษตร สาขา หนองหิน</t>
  </si>
  <si>
    <t>0340438</t>
  </si>
  <si>
    <t>ธ. เพื่อการเกษตรและสหกรณ์การเกษตร สาขา หนองบัวแดง</t>
  </si>
  <si>
    <t>0340439</t>
  </si>
  <si>
    <t>ธ. เพื่อการเกษตรและสหกรณ์การเกษตร สาขา ทุ่งเสลี่ยม</t>
  </si>
  <si>
    <t>0340440</t>
  </si>
  <si>
    <t>ธ. เพื่อการเกษตรและสหกรณ์การเกษตร สาขา ขนอม</t>
  </si>
  <si>
    <t>0340441</t>
  </si>
  <si>
    <t>ธ. เพื่อการเกษตรและสหกรณ์การเกษตร สาขา นาประดู่</t>
  </si>
  <si>
    <t>0340442</t>
  </si>
  <si>
    <t>ธ. เพื่อการเกษตรและสหกรณ์การเกษตร สาขา วิเชียรบุรี</t>
  </si>
  <si>
    <t>0340443</t>
  </si>
  <si>
    <t>ธ. เพื่อการเกษตรและสหกรณ์การเกษตร สาขา ภูซาง</t>
  </si>
  <si>
    <t>0340444</t>
  </si>
  <si>
    <t>ธ. เพื่อการเกษตรและสหกรณ์การเกษตร สาขา โพธิ์ประทับช้าง</t>
  </si>
  <si>
    <t>0340445</t>
  </si>
  <si>
    <t>ธ. เพื่อการเกษตรและสหกรณ์การเกษตร สาขา สีชมพู</t>
  </si>
  <si>
    <t>0340446</t>
  </si>
  <si>
    <t>ธ. เพื่อการเกษตรและสหกรณ์การเกษตร สาขา พนมไพร</t>
  </si>
  <si>
    <t>0340447</t>
  </si>
  <si>
    <t>ธ. เพื่อการเกษตรและสหกรณ์การเกษตร สาขา ชุมแสง</t>
  </si>
  <si>
    <t>0340448</t>
  </si>
  <si>
    <t>ธ. เพื่อการเกษตรและสหกรณ์การเกษตร สาขา สำโรง</t>
  </si>
  <si>
    <t>0340449</t>
  </si>
  <si>
    <t>ธ. เพื่อการเกษตรและสหกรณ์การเกษตร สาขา สวนผึ้ง</t>
  </si>
  <si>
    <t>0340450</t>
  </si>
  <si>
    <t>ธ. เพื่อการเกษตรและสหกรณ์การเกษตร สาขา ลืออำนาจ</t>
  </si>
  <si>
    <t>0340451</t>
  </si>
  <si>
    <t>ธ. เพื่อการเกษตรและสหกรณ์การเกษตร สาขา ม่วงสามสิบ</t>
  </si>
  <si>
    <t>0340452</t>
  </si>
  <si>
    <t>ธ. เพื่อการเกษตรและสหกรณ์การเกษตร สาขา ขามสะแกแสง</t>
  </si>
  <si>
    <t>0340453</t>
  </si>
  <si>
    <t>ธ. เพื่อการเกษตรและสหกรณ์การเกษตร สาขา กุดรัง</t>
  </si>
  <si>
    <t>0340454</t>
  </si>
  <si>
    <t>ธ. เพื่อการเกษตรและสหกรณ์การเกษตร สาขา หนองบัวระเหว</t>
  </si>
  <si>
    <t>0340455</t>
  </si>
  <si>
    <t>ธ. เพื่อการเกษตรและสหกรณ์การเกษตร สาขา เชียงกลาง</t>
  </si>
  <si>
    <t>0340456</t>
  </si>
  <si>
    <t>ธ. เพื่อการเกษตรและสหกรณ์การเกษตร สาขา แวงน้อย</t>
  </si>
  <si>
    <t>0340457</t>
  </si>
  <si>
    <t>ธ. เพื่อการเกษตรและสหกรณ์การเกษตร สาขา โคกศรีสุพรรณ</t>
  </si>
  <si>
    <t>0340458</t>
  </si>
  <si>
    <t>ธ. เพื่อการเกษตรและสหกรณ์การเกษตร สาขา ไพศาลี</t>
  </si>
  <si>
    <t>0340459</t>
  </si>
  <si>
    <t>ธ. เพื่อการเกษตรและสหกรณ์การเกษตร สาขา กุดจับ</t>
  </si>
  <si>
    <t>0340460</t>
  </si>
  <si>
    <t>ธ. เพื่อการเกษตรและสหกรณ์การเกษตร สาขา วังม่วง</t>
  </si>
  <si>
    <t>0340461</t>
  </si>
  <si>
    <t>ธ. เพื่อการเกษตรและสหกรณ์การเกษตร สาขา ละแม</t>
  </si>
  <si>
    <t>0340462</t>
  </si>
  <si>
    <t>ธ. เพื่อการเกษตรและสหกรณ์การเกษตร สาขา บ้านกรวด</t>
  </si>
  <si>
    <t>0340463</t>
  </si>
  <si>
    <t>ธ. เพื่อการเกษตรและสหกรณ์การเกษตร สาขา ห้วยเม็ก</t>
  </si>
  <si>
    <t>0340464</t>
  </si>
  <si>
    <t>ธ. เพื่อการเกษตรและสหกรณ์การเกษตร สาขา เขาชัยสน</t>
  </si>
  <si>
    <t>0340465</t>
  </si>
  <si>
    <t>ธ. เพื่อการเกษตรและสหกรณ์การเกษตร สาขา ป่าพะยอม</t>
  </si>
  <si>
    <t>0340466</t>
  </si>
  <si>
    <t>ธ. เพื่อการเกษตรและสหกรณ์การเกษตร สาขา ป่าแดด</t>
  </si>
  <si>
    <t>0340467</t>
  </si>
  <si>
    <t>ธ. เพื่อการเกษตรและสหกรณ์การเกษตร สาขา ห้วยแถลง</t>
  </si>
  <si>
    <t>0340468</t>
  </si>
  <si>
    <t>ธ. เพื่อการเกษตรและสหกรณ์การเกษตร สาขา บ่อทอง</t>
  </si>
  <si>
    <t>0340469</t>
  </si>
  <si>
    <t>ธ. เพื่อการเกษตรและสหกรณ์การเกษตร สาขา ปล้อง</t>
  </si>
  <si>
    <t>0340470</t>
  </si>
  <si>
    <t>ธ. เพื่อการเกษตรและสหกรณ์การเกษตร สาขา แม่ริม</t>
  </si>
  <si>
    <t>0340471</t>
  </si>
  <si>
    <t>ธ. เพื่อการเกษตรและสหกรณ์การเกษตร สาขา สว่างอารมณ์</t>
  </si>
  <si>
    <t>0340472</t>
  </si>
  <si>
    <t>ธ. เพื่อการเกษตรและสหกรณ์การเกษตร สาขา คำชะอี</t>
  </si>
  <si>
    <t>0340473</t>
  </si>
  <si>
    <t>ธ. เพื่อการเกษตรและสหกรณ์การเกษตร สาขา สุวรรณคูหา</t>
  </si>
  <si>
    <t>0340474</t>
  </si>
  <si>
    <t>ธ. เพื่อการเกษตรและสหกรณ์การเกษตร สาขา บางพลี</t>
  </si>
  <si>
    <t>0340475</t>
  </si>
  <si>
    <t>ธ. เพื่อการเกษตรและสหกรณ์การเกษตร สาขา พานทอง</t>
  </si>
  <si>
    <t>0340476</t>
  </si>
  <si>
    <t>ธ. เพื่อการเกษตรและสหกรณ์การเกษตร สาขา สทิงพระ</t>
  </si>
  <si>
    <t>0340477</t>
  </si>
  <si>
    <t>ธ. เพื่อการเกษตรและสหกรณ์การเกษตร สาขา นาโยง</t>
  </si>
  <si>
    <t>0340478</t>
  </si>
  <si>
    <t>ธ. เพื่อการเกษตรและสหกรณ์การเกษตร สาขา เสิงสาง</t>
  </si>
  <si>
    <t>0340479</t>
  </si>
  <si>
    <t>ธ. เพื่อการเกษตรและสหกรณ์การเกษตร สาขา พัทยา</t>
  </si>
  <si>
    <t>0340480</t>
  </si>
  <si>
    <t>ธ. เพื่อการเกษตรและสหกรณ์การเกษตร สาขา คอนสาร</t>
  </si>
  <si>
    <t>0340481</t>
  </si>
  <si>
    <t>ธ. เพื่อการเกษตรและสหกรณ์การเกษตร สาขา บางแพ</t>
  </si>
  <si>
    <t>0340482</t>
  </si>
  <si>
    <t>ธ. เพื่อการเกษตรและสหกรณ์การเกษตร สาขา ลานสกา</t>
  </si>
  <si>
    <t>0340483</t>
  </si>
  <si>
    <t>ธ. เพื่อการเกษตรและสหกรณ์การเกษตร สาขา หนองหญ้าไซ</t>
  </si>
  <si>
    <t>0340484</t>
  </si>
  <si>
    <t>ธ. เพื่อการเกษตรและสหกรณ์การเกษตร สาขา คลองลาน</t>
  </si>
  <si>
    <t>0340485</t>
  </si>
  <si>
    <t>ธ. เพื่อการเกษตรและสหกรณ์การเกษตร สาขา คีรีมาศ</t>
  </si>
  <si>
    <t>0340486</t>
  </si>
  <si>
    <t>ธ. เพื่อการเกษตรและสหกรณ์การเกษตร สาขา ประจันตคาม</t>
  </si>
  <si>
    <t>0340487</t>
  </si>
  <si>
    <t>ธ. เพื่อการเกษตรและสหกรณ์การเกษตร สาขา บ้านลาด</t>
  </si>
  <si>
    <t>0340488</t>
  </si>
  <si>
    <t>ธ. เพื่อการเกษตรและสหกรณ์การเกษตร สาขา สระโบสถ์</t>
  </si>
  <si>
    <t>0340489</t>
  </si>
  <si>
    <t>ธ. เพื่อการเกษตรและสหกรณ์การเกษตร สาขา พุนพิน</t>
  </si>
  <si>
    <t>0340490</t>
  </si>
  <si>
    <t>ธ. เพื่อการเกษตรและสหกรณ์การเกษตร สาขา ปากพนัง</t>
  </si>
  <si>
    <t>0340491</t>
  </si>
  <si>
    <t>ธ. เพื่อการเกษตรและสหกรณ์การเกษตร สาขา วังโป่ง</t>
  </si>
  <si>
    <t>0340492</t>
  </si>
  <si>
    <t>ธ. เพื่อการเกษตรและสหกรณ์การเกษตร สาขา ปากท่อ</t>
  </si>
  <si>
    <t>0340493</t>
  </si>
  <si>
    <t>ธ. เพื่อการเกษตรและสหกรณ์การเกษตร สาขา ดอยหล่อ</t>
  </si>
  <si>
    <t>0340494</t>
  </si>
  <si>
    <t>ธ. เพื่อการเกษตรและสหกรณ์การเกษตร สาขา ขุนตาล</t>
  </si>
  <si>
    <t>0340495</t>
  </si>
  <si>
    <t>ธ. เพื่อการเกษตรและสหกรณ์การเกษตร สาขา บางระจัน</t>
  </si>
  <si>
    <t>0340496</t>
  </si>
  <si>
    <t>ธ. เพื่อการเกษตรและสหกรณ์การเกษตร สาขา นาโพธิ์</t>
  </si>
  <si>
    <t>0340497</t>
  </si>
  <si>
    <t>ธ. เพื่อการเกษตรและสหกรณ์การเกษตร สาขา ปากคาด</t>
  </si>
  <si>
    <t>0340498</t>
  </si>
  <si>
    <t>ธ. เพื่อการเกษตรและสหกรณ์การเกษตร สาขา เกาะสมุย</t>
  </si>
  <si>
    <t>0340499</t>
  </si>
  <si>
    <t>ธ. เพื่อการเกษตรและสหกรณ์การเกษตร สาขา ศรีรัตนะ</t>
  </si>
  <si>
    <t>0340500</t>
  </si>
  <si>
    <t>ธ. เพื่อการเกษตรและสหกรณ์การเกษตร สาขา ท่าวุ้ง</t>
  </si>
  <si>
    <t>0340501</t>
  </si>
  <si>
    <t>ธ. เพื่อการเกษตรและสหกรณ์การเกษตร สาขา เวียงแก่น</t>
  </si>
  <si>
    <t>0340502</t>
  </si>
  <si>
    <t>ธ. เพื่อการเกษตรและสหกรณ์การเกษตร สาขา ควนกาหลง</t>
  </si>
  <si>
    <t>0340503</t>
  </si>
  <si>
    <t>ธ. เพื่อการเกษตรและสหกรณ์การเกษตร สาขา อากาศอำนวย</t>
  </si>
  <si>
    <t>0340504</t>
  </si>
  <si>
    <t>ธ. เพื่อการเกษตรและสหกรณ์การเกษตร สาขา แก้งสนามนาง</t>
  </si>
  <si>
    <t>0340505</t>
  </si>
  <si>
    <t>ธ. เพื่อการเกษตรและสหกรณ์การเกษตร สาขา บ้านม่วง</t>
  </si>
  <si>
    <t>0340506</t>
  </si>
  <si>
    <t>ธ. เพื่อการเกษตรและสหกรณ์การเกษตร สาขา กุสุมาลย์</t>
  </si>
  <si>
    <t>0340507</t>
  </si>
  <si>
    <t>ธ. เพื่อการเกษตรและสหกรณ์การเกษตร สาขา เขาฉกรรจ์</t>
  </si>
  <si>
    <t>0340508</t>
  </si>
  <si>
    <t>ธ. เพื่อการเกษตรและสหกรณ์การเกษตร สาขา หนองกี่</t>
  </si>
  <si>
    <t>0340509</t>
  </si>
  <si>
    <t>ธ. เพื่อการเกษตรและสหกรณ์การเกษตร สาขา ลาดกระบัง</t>
  </si>
  <si>
    <t>0340510</t>
  </si>
  <si>
    <t>ธ. เพื่อการเกษตรและสหกรณ์การเกษตร สาขา เขาย้อย</t>
  </si>
  <si>
    <t>0340511</t>
  </si>
  <si>
    <t>ธ. เพื่อการเกษตรและสหกรณ์การเกษตร สาขา ดอนตาล</t>
  </si>
  <si>
    <t>0340512</t>
  </si>
  <si>
    <t>ธ. เพื่อการเกษตรและสหกรณ์การเกษตร สาขา พบพระ</t>
  </si>
  <si>
    <t>0340513</t>
  </si>
  <si>
    <t>ธ. เพื่อการเกษตรและสหกรณ์การเกษตร สาขา บ้านฝาง</t>
  </si>
  <si>
    <t>0340514</t>
  </si>
  <si>
    <t>ธ. เพื่อการเกษตรและสหกรณ์การเกษตร สาขา กันทรวิชัย</t>
  </si>
  <si>
    <t>0340515</t>
  </si>
  <si>
    <t>ธ. เพื่อการเกษตรและสหกรณ์การเกษตร สาขา คำม่วง</t>
  </si>
  <si>
    <t>0340516</t>
  </si>
  <si>
    <t>ธ. เพื่อการเกษตรและสหกรณ์การเกษตร สาขา นางเลิ้ง</t>
  </si>
  <si>
    <t>0340517</t>
  </si>
  <si>
    <t>ธ. เพื่อการเกษตรและสหกรณ์การเกษตร สาขา ปางศิลาทอง</t>
  </si>
  <si>
    <t>0340518</t>
  </si>
  <si>
    <t>ธ. เพื่อการเกษตรและสหกรณ์การเกษตร สาขา แม่สะเรียง</t>
  </si>
  <si>
    <t>0340519</t>
  </si>
  <si>
    <t>ธ. เพื่อการเกษตรและสหกรณ์การเกษตร สาขา เชียงดาว</t>
  </si>
  <si>
    <t>0340520</t>
  </si>
  <si>
    <t>ธ. เพื่อการเกษตรและสหกรณ์การเกษตร สาขา บึงสามัคคี</t>
  </si>
  <si>
    <t>0340521</t>
  </si>
  <si>
    <t>ธ. เพื่อการเกษตรและสหกรณ์การเกษตร สาขา ทุ่งฝน</t>
  </si>
  <si>
    <t>0340522</t>
  </si>
  <si>
    <t>ธ. เพื่อการเกษตรและสหกรณ์การเกษตร สาขา เอราวัณ</t>
  </si>
  <si>
    <t>0340523</t>
  </si>
  <si>
    <t>ธ. เพื่อการเกษตรและสหกรณ์การเกษตร สาขา กะเปอร์</t>
  </si>
  <si>
    <t>0340524</t>
  </si>
  <si>
    <t>ธ. เพื่อการเกษตรและสหกรณ์การเกษตร สาขา แม่แจ่ม</t>
  </si>
  <si>
    <t>0340525</t>
  </si>
  <si>
    <t>ธ. เพื่อการเกษตรและสหกรณ์การเกษตร สาขา ปาย</t>
  </si>
  <si>
    <t>0340526</t>
  </si>
  <si>
    <t>ธ. เพื่อการเกษตรและสหกรณ์การเกษตร สาขา ทุ่งตะโก</t>
  </si>
  <si>
    <t>0340527</t>
  </si>
  <si>
    <t>ธ. เพื่อการเกษตรและสหกรณ์การเกษตร สาขา วังสามหมอ</t>
  </si>
  <si>
    <t>0340528</t>
  </si>
  <si>
    <t>ธ. เพื่อการเกษตรและสหกรณ์การเกษตร สาขา ภูเรือ</t>
  </si>
  <si>
    <t>0340529</t>
  </si>
  <si>
    <t>ธ. เพื่อการเกษตรและสหกรณ์การเกษตร สาขา เสนางคนิคม</t>
  </si>
  <si>
    <t>0340530</t>
  </si>
  <si>
    <t>ธ. เพื่อการเกษตรและสหกรณ์การเกษตร สาขา แปลงยาว</t>
  </si>
  <si>
    <t>0340531</t>
  </si>
  <si>
    <t>ธ. เพื่อการเกษตรและสหกรณ์การเกษตร สาขา พรหมคีรี</t>
  </si>
  <si>
    <t>0340532</t>
  </si>
  <si>
    <t>ธ. เพื่อการเกษตรและสหกรณ์การเกษตร สาขา ท่าคันโท</t>
  </si>
  <si>
    <t>0340533</t>
  </si>
  <si>
    <t>ธ. เพื่อการเกษตรและสหกรณ์การเกษตร สาขา น้ำตกไทรโยคน้อย</t>
  </si>
  <si>
    <t>0340534</t>
  </si>
  <si>
    <t>ธ. เพื่อการเกษตรและสหกรณ์การเกษตร สาขา สารภี</t>
  </si>
  <si>
    <t>0340535</t>
  </si>
  <si>
    <t>ธ. เพื่อการเกษตรและสหกรณ์การเกษตร สาขา ขามทะเลสอ</t>
  </si>
  <si>
    <t>0340536</t>
  </si>
  <si>
    <t>ธ. เพื่อการเกษตรและสหกรณ์การเกษตร สาขา รัตนบุรี</t>
  </si>
  <si>
    <t>0340537</t>
  </si>
  <si>
    <t>ธ. เพื่อการเกษตรและสหกรณ์การเกษตร สาขา อัมพวา</t>
  </si>
  <si>
    <t>0340538</t>
  </si>
  <si>
    <t>ธ. เพื่อการเกษตรและสหกรณ์การเกษตร สาขา นาแก</t>
  </si>
  <si>
    <t>0340539</t>
  </si>
  <si>
    <t>ธ. เพื่อการเกษตรและสหกรณ์การเกษตร สาขา ลานกระบือ</t>
  </si>
  <si>
    <t>0340540</t>
  </si>
  <si>
    <t>ธ. เพื่อการเกษตรและสหกรณ์การเกษตร สาขา แม่วงก์</t>
  </si>
  <si>
    <t>0340541</t>
  </si>
  <si>
    <t>ธ. เพื่อการเกษตรและสหกรณ์การเกษตร สาขา วังเหนือ</t>
  </si>
  <si>
    <t>0340542</t>
  </si>
  <si>
    <t>ธ. เพื่อการเกษตรและสหกรณ์การเกษตร สาขา ป่าติ้ว</t>
  </si>
  <si>
    <t>0340543</t>
  </si>
  <si>
    <t>ธ. เพื่อการเกษตรและสหกรณ์การเกษตร สาขา ท้ายเหมือง</t>
  </si>
  <si>
    <t>0340544</t>
  </si>
  <si>
    <t>ธ. เพื่อการเกษตรและสหกรณ์การเกษตร สาขา เนินมะปราง</t>
  </si>
  <si>
    <t>0340545</t>
  </si>
  <si>
    <t>ธ. เพื่อการเกษตรและสหกรณ์การเกษตร สาขา สามเงา</t>
  </si>
  <si>
    <t>0340546</t>
  </si>
  <si>
    <t>ธ. เพื่อการเกษตรและสหกรณ์การเกษตร สาขา ชานุมาน</t>
  </si>
  <si>
    <t>0340547</t>
  </si>
  <si>
    <t>ธ. เพื่อการเกษตรและสหกรณ์การเกษตร สาขา ท่าฉาง</t>
  </si>
  <si>
    <t>0340548</t>
  </si>
  <si>
    <t>ธ. เพื่อการเกษตรและสหกรณ์การเกษตร สาขา ชาติตระการ</t>
  </si>
  <si>
    <t>0340549</t>
  </si>
  <si>
    <t>ธ. เพื่อการเกษตรและสหกรณ์การเกษตร สาขา ฟากท่า</t>
  </si>
  <si>
    <t>0340550</t>
  </si>
  <si>
    <t>ธ. เพื่อการเกษตรและสหกรณ์การเกษตร สาขา เขาสวนกวาง</t>
  </si>
  <si>
    <t>0340551</t>
  </si>
  <si>
    <t>ธ. เพื่อการเกษตรและสหกรณ์การเกษตร สาขา สังคม</t>
  </si>
  <si>
    <t>0340552</t>
  </si>
  <si>
    <t>ธ. เพื่อการเกษตรและสหกรณ์การเกษตร สาขา ทับปุด</t>
  </si>
  <si>
    <t>0340553</t>
  </si>
  <si>
    <t>ธ. เพื่อการเกษตรและสหกรณ์การเกษตร สาขา เด่นชัย</t>
  </si>
  <si>
    <t>0340554</t>
  </si>
  <si>
    <t>ธ. เพื่อการเกษตรและสหกรณ์การเกษตร สาขา โซ่พิสัย</t>
  </si>
  <si>
    <t>0340555</t>
  </si>
  <si>
    <t>ธ. เพื่อการเกษตรและสหกรณ์การเกษตร สาขา ทุ่งหว้า</t>
  </si>
  <si>
    <t>0340556</t>
  </si>
  <si>
    <t>ธ. เพื่อการเกษตรและสหกรณ์การเกษตร สาขา ศรีนคร</t>
  </si>
  <si>
    <t>0340557</t>
  </si>
  <si>
    <t>ธ. เพื่อการเกษตรและสหกรณ์การเกษตร สาขา สบปราบ</t>
  </si>
  <si>
    <t>0340558</t>
  </si>
  <si>
    <t>ธ. เพื่อการเกษตรและสหกรณ์การเกษตร สาขา สันติสุข</t>
  </si>
  <si>
    <t>0340559</t>
  </si>
  <si>
    <t>ธ. เพื่อการเกษตรและสหกรณ์การเกษตร สาขา เชียงม่วน</t>
  </si>
  <si>
    <t>0340560</t>
  </si>
  <si>
    <t>ธ. เพื่อการเกษตรและสหกรณ์การเกษตร สาขา ท่าอุเทน</t>
  </si>
  <si>
    <t>0340561</t>
  </si>
  <si>
    <t>ธ. เพื่อการเกษตรและสหกรณ์การเกษตร สาขา ผักไห่</t>
  </si>
  <si>
    <t>0340562</t>
  </si>
  <si>
    <t>ธ. เพื่อการเกษตรและสหกรณ์การเกษตร สาขา โพธิ์ชัย</t>
  </si>
  <si>
    <t>0340563</t>
  </si>
  <si>
    <t>ธ. เพื่อการเกษตรและสหกรณ์การเกษตร สาขา คลองแงะ</t>
  </si>
  <si>
    <t>0340564</t>
  </si>
  <si>
    <t>ธ. เพื่อการเกษตรและสหกรณ์การเกษตร สาขา ดงเจริญ</t>
  </si>
  <si>
    <t>0340565</t>
  </si>
  <si>
    <t>ธ. เพื่อการเกษตรและสหกรณ์การเกษตร สาขา หนองจอก</t>
  </si>
  <si>
    <t>0340566</t>
  </si>
  <si>
    <t>ธ. เพื่อการเกษตรและสหกรณ์การเกษตร สาขา อุ้มผาง</t>
  </si>
  <si>
    <t>0340567</t>
  </si>
  <si>
    <t>ธ. เพื่อการเกษตรและสหกรณ์การเกษตร สาขา ถลาง</t>
  </si>
  <si>
    <t>0340568</t>
  </si>
  <si>
    <t>ธ. เพื่อการเกษตรและสหกรณ์การเกษตร สาขา ตลาดกลางสินค้าเกษตรขอนแก่น</t>
  </si>
  <si>
    <t>0340569</t>
  </si>
  <si>
    <t>ธ. เพื่อการเกษตรและสหกรณ์การเกษตร สาขา คำตากล้า</t>
  </si>
  <si>
    <t>0340570</t>
  </si>
  <si>
    <t>ธ. เพื่อการเกษตรและสหกรณ์การเกษตร สาขา ป่าบอน</t>
  </si>
  <si>
    <t>0340571</t>
  </si>
  <si>
    <t>ธ. เพื่อการเกษตรและสหกรณ์การเกษตร สาขา ควนเนียง</t>
  </si>
  <si>
    <t>0340572</t>
  </si>
  <si>
    <t>ธ. เพื่อการเกษตรและสหกรณ์การเกษตร สาขา วาริชภูมิ</t>
  </si>
  <si>
    <t>0340573</t>
  </si>
  <si>
    <t>ธ. เพื่อการเกษตรและสหกรณ์การเกษตร สาขา แม่ระมาด</t>
  </si>
  <si>
    <t>0340574</t>
  </si>
  <si>
    <t>ธ. เพื่อการเกษตรและสหกรณ์การเกษตร สาขา เก้าเลี้ยว</t>
  </si>
  <si>
    <t>0340575</t>
  </si>
  <si>
    <t>ธ. เพื่อการเกษตรและสหกรณ์การเกษตร สาขา  คลองหาด</t>
  </si>
  <si>
    <t>0340576</t>
  </si>
  <si>
    <t>ธ. เพื่อการเกษตรและสหกรณ์การเกษตร สาขา โกรกพระ</t>
  </si>
  <si>
    <t>0340577</t>
  </si>
  <si>
    <t>ธ. เพื่อการเกษตรและสหกรณ์การเกษตร สาขา โนนสัง</t>
  </si>
  <si>
    <t>0340578</t>
  </si>
  <si>
    <t>ธ. เพื่อการเกษตรและสหกรณ์การเกษตร สาขา ตาพระยา</t>
  </si>
  <si>
    <t>0340579</t>
  </si>
  <si>
    <t>ธ. เพื่อการเกษตรและสหกรณ์การเกษตร สาขา กงหรา</t>
  </si>
  <si>
    <t>0340580</t>
  </si>
  <si>
    <t>ธ. เพื่อการเกษตรและสหกรณ์การเกษตร สาขา โนนคูณ</t>
  </si>
  <si>
    <t>0340581</t>
  </si>
  <si>
    <t>ธ. เพื่อการเกษตรและสหกรณ์การเกษตร สาขา หนองม่วงไข่</t>
  </si>
  <si>
    <t>0340582</t>
  </si>
  <si>
    <t>ธ. เพื่อการเกษตรและสหกรณ์การเกษตร สาขา  ปะทิว</t>
  </si>
  <si>
    <t>0340583</t>
  </si>
  <si>
    <t>ธ. เพื่อการเกษตรและสหกรณ์การเกษตร สาขา ปลายพระยา</t>
  </si>
  <si>
    <t>0340584</t>
  </si>
  <si>
    <t>ธ. เพื่อการเกษตรและสหกรณ์การเกษตร สาขา วังชมภู</t>
  </si>
  <si>
    <t>0340585</t>
  </si>
  <si>
    <t>ธ. เพื่อการเกษตรและสหกรณ์การเกษตร สาขา คลองแม่ลาย</t>
  </si>
  <si>
    <t>0340586</t>
  </si>
  <si>
    <t>ธ. เพื่อการเกษตรและสหกรณ์การเกษตร สาขา กาบเชิง</t>
  </si>
  <si>
    <t>0340587</t>
  </si>
  <si>
    <t>ธ. เพื่อการเกษตรและสหกรณ์การเกษตร สาขา ทรายทองวัฒนา</t>
  </si>
  <si>
    <t>0340588</t>
  </si>
  <si>
    <t>ธ. เพื่อการเกษตรและสหกรณ์การเกษตร สาขา ปากชม</t>
  </si>
  <si>
    <t>0340589</t>
  </si>
  <si>
    <t>ธ. เพื่อการเกษตรและสหกรณ์การเกษตร สาขา บุญเรือง</t>
  </si>
  <si>
    <t>0340590</t>
  </si>
  <si>
    <t>ธ. เพื่อการเกษตรและสหกรณ์การเกษตร สาขา หนองตม</t>
  </si>
  <si>
    <t>0340591</t>
  </si>
  <si>
    <t>ธ. เพื่อการเกษตรและสหกรณ์การเกษตร สาขา ขาณุวรลักษบุรี</t>
  </si>
  <si>
    <t>0340592</t>
  </si>
  <si>
    <t>ธ. เพื่อการเกษตรและสหกรณ์การเกษตร สาขา ศูนย์ราชการเฉลิมพระเกียรติ</t>
  </si>
  <si>
    <t>0340593</t>
  </si>
  <si>
    <t>ธ. เพื่อการเกษตรและสหกรณ์การเกษตร สาขา บางหลวง</t>
  </si>
  <si>
    <t>0340594</t>
  </si>
  <si>
    <t>ธ. เพื่อการเกษตรและสหกรณ์การเกษตร สาขา เขลางค์</t>
  </si>
  <si>
    <t>0340595</t>
  </si>
  <si>
    <t>ธ. เพื่อการเกษตรและสหกรณ์การเกษตร สาขา  ภูเพียง</t>
  </si>
  <si>
    <t>0340596</t>
  </si>
  <si>
    <t>ธ. เพื่อการเกษตรและสหกรณ์การเกษตร สาขา เคียนซา</t>
  </si>
  <si>
    <t>0340597</t>
  </si>
  <si>
    <t>ธ. เพื่อการเกษตรและสหกรณ์การเกษตร สาขา หนองกุลา</t>
  </si>
  <si>
    <t>0340598</t>
  </si>
  <si>
    <t>ธ. เพื่อการเกษตรและสหกรณ์การเกษตร สาขา พญาแมน</t>
  </si>
  <si>
    <t>0340599</t>
  </si>
  <si>
    <t>ธ. เพื่อการเกษตรและสหกรณ์การเกษตร สาขา ปฐมพร</t>
  </si>
  <si>
    <t>0340600</t>
  </si>
  <si>
    <t>ธ. เพื่อการเกษตรและสหกรณ์การเกษตร สาขา ทรัพย์ไพรวัลย์</t>
  </si>
  <si>
    <t>0340601</t>
  </si>
  <si>
    <t>ธ. เพื่อการเกษตรและสหกรณ์การเกษตร สาขา ทุ่งคอก</t>
  </si>
  <si>
    <t>0340602</t>
  </si>
  <si>
    <t>ธ. เพื่อการเกษตรและสหกรณ์การเกษตร สาขา สะบ้าย้อย</t>
  </si>
  <si>
    <t>0340603</t>
  </si>
  <si>
    <t>ธ. เพื่อการเกษตรและสหกรณ์การเกษตร สาขา นาเฉลียง</t>
  </si>
  <si>
    <t>0340604</t>
  </si>
  <si>
    <t>ธ. เพื่อการเกษตรและสหกรณ์การเกษตร สาขา บางขัน</t>
  </si>
  <si>
    <t>0340605</t>
  </si>
  <si>
    <t>ธ. เพื่อการเกษตรและสหกรณ์การเกษตร สาขา ไม้เสียบ</t>
  </si>
  <si>
    <t>0340606</t>
  </si>
  <si>
    <t>ธ. เพื่อการเกษตรและสหกรณ์การเกษตร สาขา ภูกระดึง</t>
  </si>
  <si>
    <t>0340607</t>
  </si>
  <si>
    <t>ธ. เพื่อการเกษตรและสหกรณ์การเกษตร สาขา พะโต๊ะ</t>
  </si>
  <si>
    <t>0340608</t>
  </si>
  <si>
    <t>ธ. เพื่อการเกษตรและสหกรณ์การเกษตร สาขา ลำทับ</t>
  </si>
  <si>
    <t>0340609</t>
  </si>
  <si>
    <t>ธ. เพื่อการเกษตรและสหกรณ์การเกษตร สาขา ท่าม่วง</t>
  </si>
  <si>
    <t>0340610</t>
  </si>
  <si>
    <t>ธ. เพื่อการเกษตรและสหกรณ์การเกษตร สาขา สะเมิง</t>
  </si>
  <si>
    <t>0340611</t>
  </si>
  <si>
    <t>ธ. เพื่อการเกษตรและสหกรณ์การเกษตร สาขา แม่สูน</t>
  </si>
  <si>
    <t>0340612</t>
  </si>
  <si>
    <t>ธ. เพื่อการเกษตรและสหกรณ์การเกษตร สาขา บ้านด่านลานหอย</t>
  </si>
  <si>
    <t>0340613</t>
  </si>
  <si>
    <t>ธ. เพื่อการเกษตรและสหกรณ์การเกษตร สาขา หนองบุญมาก</t>
  </si>
  <si>
    <t>0340614</t>
  </si>
  <si>
    <t>ธ. เพื่อการเกษตรและสหกรณ์การเกษตร สาขา บึงนาราง</t>
  </si>
  <si>
    <t>0340615</t>
  </si>
  <si>
    <t>ธ. เพื่อการเกษตรและสหกรณ์การเกษตร สาขา บางไทร</t>
  </si>
  <si>
    <t>0340616</t>
  </si>
  <si>
    <t>ธ. เพื่อการเกษตรและสหกรณ์การเกษตร สาขา บ้านกอก</t>
  </si>
  <si>
    <t>0340617</t>
  </si>
  <si>
    <t>ธ. เพื่อการเกษตรและสหกรณ์การเกษตร สาขา ค้อวัง</t>
  </si>
  <si>
    <t>0340618</t>
  </si>
  <si>
    <t>ธ. เพื่อการเกษตรและสหกรณ์การเกษตร สาขา ภาชี</t>
  </si>
  <si>
    <t>0340619</t>
  </si>
  <si>
    <t>ธ. เพื่อการเกษตรและสหกรณ์การเกษตร สาขา คุระบุรี</t>
  </si>
  <si>
    <t>0340620</t>
  </si>
  <si>
    <t>ธ. เพื่อการเกษตรและสหกรณ์การเกษตร สาขา หนองเบน</t>
  </si>
  <si>
    <t>0340621</t>
  </si>
  <si>
    <t>ธ. เพื่อการเกษตรและสหกรณ์การเกษตร สาขา เหนือคลอง</t>
  </si>
  <si>
    <t>0340622</t>
  </si>
  <si>
    <t>ธ. เพื่อการเกษตรและสหกรณ์การเกษตร สาขา เจริญเมือง</t>
  </si>
  <si>
    <t>0340623</t>
  </si>
  <si>
    <t>ธ. เพื่อการเกษตรและสหกรณ์การเกษตร สาขา กกกะทอน</t>
  </si>
  <si>
    <t>0340624</t>
  </si>
  <si>
    <t>ธ. เพื่อการเกษตรและสหกรณ์การเกษตร สาขา สากเหล็ก</t>
  </si>
  <si>
    <t>0340625</t>
  </si>
  <si>
    <t>ธ. เพื่อการเกษตรและสหกรณ์การเกษตร สาขา ท่าลี่</t>
  </si>
  <si>
    <t>0340626</t>
  </si>
  <si>
    <t>ธ. เพื่อการเกษตรและสหกรณ์การเกษตร สาขา พนม</t>
  </si>
  <si>
    <t>0340627</t>
  </si>
  <si>
    <t>ธ. เพื่อการเกษตรและสหกรณ์การเกษตร สาขา ชัยบุรี</t>
  </si>
  <si>
    <t>0340628</t>
  </si>
  <si>
    <t>ธ. เพื่อการเกษตรและสหกรณ์การเกษตร สาขา นบพิตำ</t>
  </si>
  <si>
    <t>0340629</t>
  </si>
  <si>
    <t>ธ. เพื่อการเกษตรและสหกรณ์การเกษตร สาขา จะนะ</t>
  </si>
  <si>
    <t>0340630</t>
  </si>
  <si>
    <t>ธ. เพื่อการเกษตรและสหกรณ์การเกษตร สาขา บ้านกร่าง</t>
  </si>
  <si>
    <t>0340631</t>
  </si>
  <si>
    <t>ธ. เพื่อการเกษตรและสหกรณ์การเกษตร สาขา ดงขวาง</t>
  </si>
  <si>
    <t>0340632</t>
  </si>
  <si>
    <t>ธ. เพื่อการเกษตรและสหกรณ์การเกษตร สาขา นาด้วง</t>
  </si>
  <si>
    <t>0340633</t>
  </si>
  <si>
    <t>ธ. เพื่อการเกษตรและสหกรณ์การเกษตร สาขา บัวเชด</t>
  </si>
  <si>
    <t>0340634</t>
  </si>
  <si>
    <t>ธ. เพื่อการเกษตรและสหกรณ์การเกษตร สาขา สำโรงทาบ</t>
  </si>
  <si>
    <t>0340635</t>
  </si>
  <si>
    <t>ธ. เพื่อการเกษตรและสหกรณ์การเกษตร สาขา คลองหอยโข่ง</t>
  </si>
  <si>
    <t>0340636</t>
  </si>
  <si>
    <t>ธ. เพื่อการเกษตรและสหกรณ์การเกษตร สาขา นาวง</t>
  </si>
  <si>
    <t>0340637</t>
  </si>
  <si>
    <t>ธ. เพื่อการเกษตรและสหกรณ์การเกษตร สาขา ต้นเหรียง</t>
  </si>
  <si>
    <t>0340638</t>
  </si>
  <si>
    <t>ธ. เพื่อการเกษตรและสหกรณ์การเกษตร สาขา เมืองการุ้ง</t>
  </si>
  <si>
    <t>0340639</t>
  </si>
  <si>
    <t>ธ. เพื่อการเกษตรและสหกรณ์การเกษตร สาขา ยางสีสุราช</t>
  </si>
  <si>
    <t>0340640</t>
  </si>
  <si>
    <t>ธ. เพื่อการเกษตรและสหกรณ์การเกษตร สาขา กำเนิดเพชร</t>
  </si>
  <si>
    <t>0340641</t>
  </si>
  <si>
    <t>ธ. เพื่อการเกษตรและสหกรณ์การเกษตร สาขา เฉลิมพระเกียรติ</t>
  </si>
  <si>
    <t>0340642</t>
  </si>
  <si>
    <t>ธ. เพื่อการเกษตรและสหกรณ์การเกษตร สาขา พระทองคำ</t>
  </si>
  <si>
    <t>0340643</t>
  </si>
  <si>
    <t>ธ. เพื่อการเกษตรและสหกรณ์การเกษตร สาขา ลำดวน</t>
  </si>
  <si>
    <t>0340644</t>
  </si>
  <si>
    <t>ธ. เพื่อการเกษตรและสหกรณ์การเกษตร สาขา โนนแดง</t>
  </si>
  <si>
    <t>0340645</t>
  </si>
  <si>
    <t>ธ. เพื่อการเกษตรและสหกรณ์การเกษตร สาขา รัษฎา</t>
  </si>
  <si>
    <t>0340646</t>
  </si>
  <si>
    <t>ธ. เพื่อการเกษตรและสหกรณ์การเกษตร สาขา แม่ต๋ำ</t>
  </si>
  <si>
    <t>0340647</t>
  </si>
  <si>
    <t>ธ. เพื่อการเกษตรและสหกรณ์การเกษตร สาขา ดอยเต่า</t>
  </si>
  <si>
    <t>0340648</t>
  </si>
  <si>
    <t>ธ. เพื่อการเกษตรและสหกรณ์การเกษตร สาขา เจดีย์แม่ครัว</t>
  </si>
  <si>
    <t>0340649</t>
  </si>
  <si>
    <t>ธ. เพื่อการเกษตรและสหกรณ์การเกษตร สาขา เมืองปาน</t>
  </si>
  <si>
    <t>0340650</t>
  </si>
  <si>
    <t>ธ. เพื่อการเกษตรและสหกรณ์การเกษตร สาขา แม่เมาะ</t>
  </si>
  <si>
    <t>0340651</t>
  </si>
  <si>
    <t>ธ. เพื่อการเกษตรและสหกรณ์การเกษตร สาขา แม่ลาว</t>
  </si>
  <si>
    <t>0340652</t>
  </si>
  <si>
    <t>ธ. เพื่อการเกษตรและสหกรณ์การเกษตร สาขา นาดูน</t>
  </si>
  <si>
    <t>0340653</t>
  </si>
  <si>
    <t>ธ. เพื่อการเกษตรและสหกรณ์การเกษตร สาขา ศรีนครินทร์</t>
  </si>
  <si>
    <t>0340654</t>
  </si>
  <si>
    <t>ธ. เพื่อการเกษตรและสหกรณ์การเกษตร สาขา วังพิกุล</t>
  </si>
  <si>
    <t>0340655</t>
  </si>
  <si>
    <t>ธ. เพื่อการเกษตรและสหกรณ์การเกษตร สาขา ช่องแค</t>
  </si>
  <si>
    <t>0340656</t>
  </si>
  <si>
    <t>ธ. เพื่อการเกษตรและสหกรณ์การเกษตร สาขา เทพสถิต</t>
  </si>
  <si>
    <t>0340657</t>
  </si>
  <si>
    <t>ธ. เพื่อการเกษตรและสหกรณ์การเกษตร สาขา ศรีเมืองใหม่</t>
  </si>
  <si>
    <t>0340658</t>
  </si>
  <si>
    <t>ธ. เพื่อการเกษตรและสหกรณ์การเกษตร สาขา น้ำเกลี้ยง</t>
  </si>
  <si>
    <t>0340659</t>
  </si>
  <si>
    <t>ธ. เพื่อการเกษตรและสหกรณ์การเกษตร สาขา ยางชุมน้อย</t>
  </si>
  <si>
    <t>0340660</t>
  </si>
  <si>
    <t>ธ. เพื่อการเกษตรและสหกรณ์การเกษตร สาขา ห้วยทับทัน</t>
  </si>
  <si>
    <t>0340661</t>
  </si>
  <si>
    <t>ธ. เพื่อการเกษตรและสหกรณ์การเกษตร สาขา ปทุมราชวงศา</t>
  </si>
  <si>
    <t>0340662</t>
  </si>
  <si>
    <t>ธ. เพื่อการเกษตรและสหกรณ์การเกษตร สาขา แม่ตืน</t>
  </si>
  <si>
    <t>0340663</t>
  </si>
  <si>
    <t>ธ. เพื่อการเกษตรและสหกรณ์การเกษตร สาขา ภูกามยาว</t>
  </si>
  <si>
    <t>0340664</t>
  </si>
  <si>
    <t>ธ. เพื่อการเกษตรและสหกรณ์การเกษตร สาขา ท่าปลา</t>
  </si>
  <si>
    <t>0340665</t>
  </si>
  <si>
    <t>ธ. เพื่อการเกษตรและสหกรณ์การเกษตร สาขา เจริญศิลป์</t>
  </si>
  <si>
    <t>0340666</t>
  </si>
  <si>
    <t>ธ. เพื่อการเกษตรและสหกรณ์การเกษตร สาขา ปลาปาก</t>
  </si>
  <si>
    <t>0340667</t>
  </si>
  <si>
    <t>ธ. เพื่อการเกษตรและสหกรณ์การเกษตร สาขา นาคู</t>
  </si>
  <si>
    <t>0340668</t>
  </si>
  <si>
    <t>ธ. เพื่อการเกษตรและสหกรณ์การเกษตร สาขา เกาะยายฉิม</t>
  </si>
  <si>
    <t>0340669</t>
  </si>
  <si>
    <t>ธ. เพื่อการเกษตรและสหกรณ์การเกษตร สาขา สามร้อยยอด</t>
  </si>
  <si>
    <t>0340670</t>
  </si>
  <si>
    <t>ธ. เพื่อการเกษตรและสหกรณ์การเกษตร สาขา พระนั่งดิน</t>
  </si>
  <si>
    <t>0340671</t>
  </si>
  <si>
    <t>ธ. เพื่อการเกษตรและสหกรณ์การเกษตร สาขา ถ้ำปิน</t>
  </si>
  <si>
    <t>0340672</t>
  </si>
  <si>
    <t>ธ. เพื่อการเกษตรและสหกรณ์การเกษตร สาขา เรณูนคร</t>
  </si>
  <si>
    <t>0340673</t>
  </si>
  <si>
    <t>ธ. เพื่อการเกษตรและสหกรณ์การเกษตร สาขา ไชยวาน</t>
  </si>
  <si>
    <t>0340674</t>
  </si>
  <si>
    <t>ธ. เพื่อการเกษตรและสหกรณ์การเกษตร สาขา นิคมพัฒนา</t>
  </si>
  <si>
    <t>0340675</t>
  </si>
  <si>
    <t>ธ. เพื่อการเกษตรและสหกรณ์การเกษตร สาขา กระทุ่มแบน</t>
  </si>
  <si>
    <t>0340676</t>
  </si>
  <si>
    <t>ธ. เพื่อการเกษตรและสหกรณ์การเกษตร สาขา พันดอน</t>
  </si>
  <si>
    <t>0340677</t>
  </si>
  <si>
    <t>ธ. เพื่อการเกษตรและสหกรณ์การเกษตร สาขา ธงธานี</t>
  </si>
  <si>
    <t>0340678</t>
  </si>
  <si>
    <t>ธ. เพื่อการเกษตรและสหกรณ์การเกษตร สาขา ท่าตะเกียบ</t>
  </si>
  <si>
    <t>0340679</t>
  </si>
  <si>
    <t>ธ. เพื่อการเกษตรและสหกรณ์การเกษตร สาขา นาวัง</t>
  </si>
  <si>
    <t>0340680</t>
  </si>
  <si>
    <t>ธ. เพื่อการเกษตรและสหกรณ์การเกษตร สาขา จังหาร</t>
  </si>
  <si>
    <t>0340681</t>
  </si>
  <si>
    <t>ธ. เพื่อการเกษตรและสหกรณ์การเกษตร สาขา ศรีสมเด็จ</t>
  </si>
  <si>
    <t>0340682</t>
  </si>
  <si>
    <t>ธ. เพื่อการเกษตรและสหกรณ์การเกษตร สาขา เมืองโนนสูง</t>
  </si>
  <si>
    <t>0340683</t>
  </si>
  <si>
    <t>ธ. เพื่อการเกษตรและสหกรณ์การเกษตร สาขา พรเจริญ</t>
  </si>
  <si>
    <t>0340684</t>
  </si>
  <si>
    <t>ธ. เพื่อการเกษตรและสหกรณ์การเกษตร สาขา หนองพอก</t>
  </si>
  <si>
    <t>0340685</t>
  </si>
  <si>
    <t>ธ. เพื่อการเกษตรและสหกรณ์การเกษตร สาขา ทุ่งโฮ้ง</t>
  </si>
  <si>
    <t>0340686</t>
  </si>
  <si>
    <t>ธ. เพื่อการเกษตรและสหกรณ์การเกษตร สาขา แพง</t>
  </si>
  <si>
    <t>0340687</t>
  </si>
  <si>
    <t>ธ. เพื่อการเกษตรและสหกรณ์การเกษตร สาขา ศรีวิไล</t>
  </si>
  <si>
    <t>0340688</t>
  </si>
  <si>
    <t>ธ. เพื่อการเกษตรและสหกรณ์การเกษตร สาขา นิคมอุตสาหกรรมลำพูน</t>
  </si>
  <si>
    <t>0340689</t>
  </si>
  <si>
    <t>ธ. เพื่อการเกษตรและสหกรณ์การเกษตร สาขา แม่ออน</t>
  </si>
  <si>
    <t>0340690</t>
  </si>
  <si>
    <t>ธ. เพื่อการเกษตรและสหกรณ์การเกษตร สาขา ท่ามิหรำ</t>
  </si>
  <si>
    <t>0340691</t>
  </si>
  <si>
    <t>ธ. เพื่อการเกษตรและสหกรณ์การเกษตร สาขา โพนสวรรค์</t>
  </si>
  <si>
    <t>0340692</t>
  </si>
  <si>
    <t>ธ. เพื่อการเกษตรและสหกรณ์การเกษตร สาขา ลำสนธิ</t>
  </si>
  <si>
    <t>0340693</t>
  </si>
  <si>
    <t>ธ. เพื่อการเกษตรและสหกรณ์การเกษตร สาขา แว้ง</t>
  </si>
  <si>
    <t>0340694</t>
  </si>
  <si>
    <t>ธ. เพื่อการเกษตรและสหกรณ์การเกษตร สาขา สนม</t>
  </si>
  <si>
    <t>0340695</t>
  </si>
  <si>
    <t>ธ. เพื่อการเกษตรและสหกรณ์การเกษตร สาขา จุฬาภรณ์</t>
  </si>
  <si>
    <t>0340696</t>
  </si>
  <si>
    <t>ธ. เพื่อการเกษตรและสหกรณ์การเกษตร สาขา แก่งหางแมว</t>
  </si>
  <si>
    <t>0340697</t>
  </si>
  <si>
    <t>ธ. เพื่อการเกษตรและสหกรณ์การเกษตร สาขา ทรัพย์อนันต์</t>
  </si>
  <si>
    <t>0340698</t>
  </si>
  <si>
    <t>ธ. เพื่อการเกษตรและสหกรณ์การเกษตร สาขา ชุมตาบง</t>
  </si>
  <si>
    <t>0340699</t>
  </si>
  <si>
    <t>ธ. เพื่อการเกษตรและสหกรณ์การเกษตร สาขา ผาขาว</t>
  </si>
  <si>
    <t>0340700</t>
  </si>
  <si>
    <t>ธ. เพื่อการเกษตรและสหกรณ์การเกษตร สาขา เฝ้าไร่</t>
  </si>
  <si>
    <t>0340701</t>
  </si>
  <si>
    <t>ธ. เพื่อการเกษตรและสหกรณ์การเกษตร สาขา ลำทะเมนชัย</t>
  </si>
  <si>
    <t>0340702</t>
  </si>
  <si>
    <t>ธ. เพื่อการเกษตรและสหกรณ์การเกษตร สาขา ศรีณรงค์</t>
  </si>
  <si>
    <t>0340703</t>
  </si>
  <si>
    <t>ธ. เพื่อการเกษตรและสหกรณ์การเกษตร สาขา บ้านแหลม</t>
  </si>
  <si>
    <t>0340704</t>
  </si>
  <si>
    <t>ธ. เพื่อการเกษตรและสหกรณ์การเกษตร สาขา ดงหลวง</t>
  </si>
  <si>
    <t>0340705</t>
  </si>
  <si>
    <t>ธ. เพื่อการเกษตรและสหกรณ์การเกษตร สาขา สามง่ามท่าโบสถ์</t>
  </si>
  <si>
    <t>0340706</t>
  </si>
  <si>
    <t>ธ. เพื่อการเกษตรและสหกรณ์การเกษตร สาขา สันต้นหมื้อ</t>
  </si>
  <si>
    <t>0340707</t>
  </si>
  <si>
    <t>ธ. เพื่อการเกษตรและสหกรณ์การเกษตร สาขา ไพรบึง</t>
  </si>
  <si>
    <t>0340708</t>
  </si>
  <si>
    <t>ธ. เพื่อการเกษตรและสหกรณ์การเกษตร สาขา เทพารักษ์</t>
  </si>
  <si>
    <t>0340709</t>
  </si>
  <si>
    <t>ธ. เพื่อการเกษตรและสหกรณ์การเกษตร สาขา ทองแสนขัน</t>
  </si>
  <si>
    <t>0340710</t>
  </si>
  <si>
    <t>ธ. เพื่อการเกษตรและสหกรณ์การเกษตร สาขา พระสมุทรเจดีย์</t>
  </si>
  <si>
    <t>0340711</t>
  </si>
  <si>
    <t>ธ. เพื่อการเกษตรและสหกรณ์การเกษตร สาขา โนนหัน</t>
  </si>
  <si>
    <t>0340712</t>
  </si>
  <si>
    <t>ธ. เพื่อการเกษตรและสหกรณ์การเกษตร สาขา เชียรใหญ่</t>
  </si>
  <si>
    <t>0340713</t>
  </si>
  <si>
    <t>ธ. เพื่อการเกษตรและสหกรณ์การเกษตร สาขา โพนทราย</t>
  </si>
  <si>
    <t>0340714</t>
  </si>
  <si>
    <t>ธ. เพื่อการเกษตรและสหกรณ์การเกษตร สาขา โนนหวาย</t>
  </si>
  <si>
    <t>0340715</t>
  </si>
  <si>
    <t>ธ. เพื่อการเกษตรและสหกรณ์การเกษตร สาขา นาดี</t>
  </si>
  <si>
    <t>0340716</t>
  </si>
  <si>
    <t>ธ. เพื่อการเกษตรและสหกรณ์การเกษตร สาขา เกาะพะงัน</t>
  </si>
  <si>
    <t>0340717</t>
  </si>
  <si>
    <t>ธ. เพื่อการเกษตรและสหกรณ์การเกษตร สาขา โป่งน้ำร้อน</t>
  </si>
  <si>
    <t>0340718</t>
  </si>
  <si>
    <t>ธ. เพื่อการเกษตรและสหกรณ์การเกษตร สาขา เขาวิเศษ</t>
  </si>
  <si>
    <t>0340719</t>
  </si>
  <si>
    <t>ธ. เพื่อการเกษตรและสหกรณ์การเกษตร สาขา เฉลิมพระเกียรติ (บุรีรัมย์)</t>
  </si>
  <si>
    <t>0340720</t>
  </si>
  <si>
    <t>ธ. เพื่อการเกษตรและสหกรณ์การเกษตร สาขา โนนสุวรรณ</t>
  </si>
  <si>
    <t>0340721</t>
  </si>
  <si>
    <t>ธ. เพื่อการเกษตรและสหกรณ์การเกษตร สาขา หนองหงส์</t>
  </si>
  <si>
    <t>0340722</t>
  </si>
  <si>
    <t>ธ. เพื่อการเกษตรและสหกรณ์การเกษตร สาขา เขวาสินรินทร์</t>
  </si>
  <si>
    <t>0340723</t>
  </si>
  <si>
    <t>ธ. เพื่อการเกษตรและสหกรณ์การเกษตร สาขา รักษ์จันทน์</t>
  </si>
  <si>
    <t>0340724</t>
  </si>
  <si>
    <t>ธ. เพื่อการเกษตรและสหกรณ์การเกษตร สาขา เดอะฟิล สุขุมวิท 54</t>
  </si>
  <si>
    <t>0340725</t>
  </si>
  <si>
    <t>ธ. เพื่อการเกษตรและสหกรณ์การเกษตร สาขา สามแยกตรอกจันทน์</t>
  </si>
  <si>
    <t>0340726</t>
  </si>
  <si>
    <t>ธ. เพื่อการเกษตรและสหกรณ์การเกษตร สาขา ถนนสิรินธร</t>
  </si>
  <si>
    <t>0340727</t>
  </si>
  <si>
    <t>ธ. เพื่อการเกษตรและสหกรณ์การเกษตร สาขา บางสวรรค์</t>
  </si>
  <si>
    <t>0340728</t>
  </si>
  <si>
    <t>ธ. เพื่อการเกษตรและสหกรณ์การเกษตร สาขา วิภาวดี</t>
  </si>
  <si>
    <t>0340729</t>
  </si>
  <si>
    <t>ธ. เพื่อการเกษตรและสหกรณ์การเกษตร สาขา เขาทะลุ</t>
  </si>
  <si>
    <t>0340730</t>
  </si>
  <si>
    <t>ธ. เพื่อการเกษตรและสหกรณ์การเกษตร สาขา กะปง</t>
  </si>
  <si>
    <t>0340731</t>
  </si>
  <si>
    <t>ธ. เพื่อการเกษตรและสหกรณ์การเกษตร สาขา สิงหนคร</t>
  </si>
  <si>
    <t>0340732</t>
  </si>
  <si>
    <t>ธ. เพื่อการเกษตรและสหกรณ์การเกษตร สาขา ปากคลอง</t>
  </si>
  <si>
    <t>0340733</t>
  </si>
  <si>
    <t>ธ. เพื่อการเกษตรและสหกรณ์การเกษตร สาขา ที่วัง</t>
  </si>
  <si>
    <t>0340734</t>
  </si>
  <si>
    <t>ธ. เพื่อการเกษตรและสหกรณ์การเกษตร สาขา โกสัมพีนคร</t>
  </si>
  <si>
    <t>0340735</t>
  </si>
  <si>
    <t>ธ. เพื่อการเกษตรและสหกรณ์การเกษตร สาขา ห้วยคต - ทุ่งนา</t>
  </si>
  <si>
    <t>0340736</t>
  </si>
  <si>
    <t>ธ. เพื่อการเกษตรและสหกรณ์การเกษตร สาขา บ้านโคก</t>
  </si>
  <si>
    <t>0340737</t>
  </si>
  <si>
    <t>ธ. เพื่อการเกษตรและสหกรณ์การเกษตร สาขา โคกศรี</t>
  </si>
  <si>
    <t>0340738</t>
  </si>
  <si>
    <t>ธ. เพื่อการเกษตรและสหกรณ์การเกษตร สาขา โพนนาแก้ว</t>
  </si>
  <si>
    <t>0340739</t>
  </si>
  <si>
    <t>ธ. เพื่อการเกษตรและสหกรณ์การเกษตร สาขา ทุ่งศรีอุดม</t>
  </si>
  <si>
    <t>0340740</t>
  </si>
  <si>
    <t>ธ. เพื่อการเกษตรและสหกรณ์การเกษตร สาขา วังหิน</t>
  </si>
  <si>
    <t>0340741</t>
  </si>
  <si>
    <t>ธ. เพื่อการเกษตรและสหกรณ์การเกษตร สาขา น้ำปั้ว</t>
  </si>
  <si>
    <t>0340742</t>
  </si>
  <si>
    <t>ธ. เพื่อการเกษตรและสหกรณ์การเกษตร สาขา เวียงเชียงรุ้ง</t>
  </si>
  <si>
    <t>0340743</t>
  </si>
  <si>
    <t>ธ. เพื่อการเกษตรและสหกรณ์การเกษตร สาขา บ่อสร้าง</t>
  </si>
  <si>
    <t>0340744</t>
  </si>
  <si>
    <t>ธ. เพื่อการเกษตรและสหกรณ์การเกษตร สาขา ทุ่งเสี้ยว</t>
  </si>
  <si>
    <t>0340745</t>
  </si>
  <si>
    <t>ธ. เพื่อการเกษตรและสหกรณ์การเกษตร สาขา วชิรบารมี</t>
  </si>
  <si>
    <t>0340746</t>
  </si>
  <si>
    <t>ธ. เพื่อการเกษตรและสหกรณ์การเกษตร สาขา ฆะมัง</t>
  </si>
  <si>
    <t>0340747</t>
  </si>
  <si>
    <t>ธ. เพื่อการเกษตรและสหกรณ์การเกษตร สาขา บ้านใหม่</t>
  </si>
  <si>
    <t>0340748</t>
  </si>
  <si>
    <t>ธ. เพื่อการเกษตรและสหกรณ์การเกษตร สาขา บ้านไร่ศรีสำโรง</t>
  </si>
  <si>
    <t>0340749</t>
  </si>
  <si>
    <t>ธ. เพื่อการเกษตรและสหกรณ์การเกษตร สาขา ท่าชัย</t>
  </si>
  <si>
    <t>0340750</t>
  </si>
  <si>
    <t>ธ. เพื่อการเกษตรและสหกรณ์การเกษตร สาขา บ้านโคกเพชรบูรณ์</t>
  </si>
  <si>
    <t>0340751</t>
  </si>
  <si>
    <t>ธ. เพื่อการเกษตรและสหกรณ์การเกษตร สาขา ดงขุย</t>
  </si>
  <si>
    <t>0340752</t>
  </si>
  <si>
    <t>ธ. เพื่อการเกษตรและสหกรณ์การเกษตร สาขา โค้งไผ่</t>
  </si>
  <si>
    <t>0340753</t>
  </si>
  <si>
    <t>ธ. เพื่อการเกษตรและสหกรณ์การเกษตร สาขา บ้านธาตุ</t>
  </si>
  <si>
    <t>0340754</t>
  </si>
  <si>
    <t>ธ. เพื่อการเกษตรและสหกรณ์การเกษตร สาขา วังสมบูรณ์</t>
  </si>
  <si>
    <t>0340755</t>
  </si>
  <si>
    <t>ธ. เพื่อการเกษตรและสหกรณ์การเกษตร สาขา นางแล</t>
  </si>
  <si>
    <t>0340756</t>
  </si>
  <si>
    <t>ธ. เพื่อการเกษตรและสหกรณ์การเกษตร สาขา น้ำหนาว</t>
  </si>
  <si>
    <t>0340757</t>
  </si>
  <si>
    <t>ธ. เพื่อการเกษตรและสหกรณ์การเกษตร สาขา ภูหลวง</t>
  </si>
  <si>
    <t>0340758</t>
  </si>
  <si>
    <t>ธ. เพื่อการเกษตรและสหกรณ์การเกษตร สาขา เบญจลักษณ์</t>
  </si>
  <si>
    <t>0340759</t>
  </si>
  <si>
    <t>ธ. เพื่อการเกษตรและสหกรณ์การเกษตร สาขา ถ้ำพรรณรา</t>
  </si>
  <si>
    <t>0340760</t>
  </si>
  <si>
    <t>ธ. เพื่อการเกษตรและสหกรณ์การเกษตร สาขา โพธิ์ไทร-นาตาล</t>
  </si>
  <si>
    <t>0340761</t>
  </si>
  <si>
    <t>ธ. เพื่อการเกษตรและสหกรณ์การเกษตร สาขา นาบอน</t>
  </si>
  <si>
    <t>0340762</t>
  </si>
  <si>
    <t>ธ. เพื่อการเกษตรและสหกรณ์การเกษตร สาขา บ้านกล้วย</t>
  </si>
  <si>
    <t>0340763</t>
  </si>
  <si>
    <t>ธ. เพื่อการเกษตรและสหกรณ์การเกษตร สาขา ไกรกลาง</t>
  </si>
  <si>
    <t>0340764</t>
  </si>
  <si>
    <t>ธ. เพื่อการเกษตรและสหกรณ์การเกษตร สาขา นายูง</t>
  </si>
  <si>
    <t>0340765</t>
  </si>
  <si>
    <t>ธ. เพื่อการเกษตรและสหกรณ์การเกษตร สาขา แคนดง</t>
  </si>
  <si>
    <t>0340766</t>
  </si>
  <si>
    <t>ธ. เพื่อการเกษตรและสหกรณ์การเกษตร สาขา น้ำขุ่น</t>
  </si>
  <si>
    <t>0340767</t>
  </si>
  <si>
    <t>ธ. เพื่อการเกษตรและสหกรณ์การเกษตร สาขา พนา</t>
  </si>
  <si>
    <t>0340768</t>
  </si>
  <si>
    <t>ธ. เพื่อการเกษตรและสหกรณ์การเกษตร สาขา อ่าวน้อย</t>
  </si>
  <si>
    <t>0340769</t>
  </si>
  <si>
    <t>ธ. เพื่อการเกษตรและสหกรณ์การเกษตร สาขา ลำไพล</t>
  </si>
  <si>
    <t>0340770</t>
  </si>
  <si>
    <t>ธ. เพื่อการเกษตรและสหกรณ์การเกษตร สาขา ศรีสาคร</t>
  </si>
  <si>
    <t>0340771</t>
  </si>
  <si>
    <t>ธ. เพื่อการเกษตรและสหกรณ์การเกษตร สาขา ควนหนองหงษ์</t>
  </si>
  <si>
    <t>0340772</t>
  </si>
  <si>
    <t>ธ. เพื่อการเกษตรและสหกรณ์การเกษตร สาขา รามัน</t>
  </si>
  <si>
    <t>0340773</t>
  </si>
  <si>
    <t>ธ. เพื่อการเกษตรและสหกรณ์การเกษตร สาขา เมืองแกน</t>
  </si>
  <si>
    <t>0340774</t>
  </si>
  <si>
    <t>ธ. เพื่อการเกษตรและสหกรณ์การเกษตร สาขา หนองหญ้าปล้อง</t>
  </si>
  <si>
    <t>0340775</t>
  </si>
  <si>
    <t>ธ. เพื่อการเกษตรและสหกรณ์การเกษตร สาขา ชำนิ</t>
  </si>
  <si>
    <t>0340776</t>
  </si>
  <si>
    <t>ธ. เพื่อการเกษตรและสหกรณ์การเกษตร สาขา นาจะหลวย</t>
  </si>
  <si>
    <t>0340777</t>
  </si>
  <si>
    <t>ธ. เพื่อการเกษตรและสหกรณ์การเกษตร สาขา ดอนแค</t>
  </si>
  <si>
    <t>0340778</t>
  </si>
  <si>
    <t>ธ. เพื่อการเกษตรและสหกรณ์การเกษตร สาขา รวมโชค</t>
  </si>
  <si>
    <t>0340779</t>
  </si>
  <si>
    <t>ธ. เพื่อการเกษตรและสหกรณ์การเกษตร สาขา ปะคำ</t>
  </si>
  <si>
    <t>0340780</t>
  </si>
  <si>
    <t>ธ. เพื่อการเกษตรและสหกรณ์การเกษตร สาขา แวงใหญ่</t>
  </si>
  <si>
    <t>0340781</t>
  </si>
  <si>
    <t>ธ. เพื่อการเกษตรและสหกรณ์การเกษตร สาขา ม่วงคำ</t>
  </si>
  <si>
    <t>0340782</t>
  </si>
  <si>
    <t>ธ. เพื่อการเกษตรและสหกรณ์การเกษตร สาขา สามแยกวิเชียรบุรี</t>
  </si>
  <si>
    <t>0340783</t>
  </si>
  <si>
    <t>ธ. เพื่อการเกษตรและสหกรณ์การเกษตร สาขา แม่สิน</t>
  </si>
  <si>
    <t>0340784</t>
  </si>
  <si>
    <t>ธ. เพื่อการเกษตรและสหกรณ์การเกษตร สาขา นาทุ่ง</t>
  </si>
  <si>
    <t>0340785</t>
  </si>
  <si>
    <t>ธ. เพื่อการเกษตรและสหกรณ์การเกษตร สาขา พระยืน</t>
  </si>
  <si>
    <t>0340786</t>
  </si>
  <si>
    <t>ธ. เพื่อการเกษตรและสหกรณ์การเกษตร สาขา บ้านแท่น</t>
  </si>
  <si>
    <t>0340787</t>
  </si>
  <si>
    <t>ธ. เพื่อการเกษตรและสหกรณ์การเกษตร สาขา สิรินธร</t>
  </si>
  <si>
    <t>0340788</t>
  </si>
  <si>
    <t>ธ. เพื่อการเกษตรและสหกรณ์การเกษตร สาขา หาดใหญ่ใน</t>
  </si>
  <si>
    <t>0340789</t>
  </si>
  <si>
    <t>ธ. เพื่อการเกษตรและสหกรณ์การเกษตร สาขา ทุ่งรวงทอง</t>
  </si>
  <si>
    <t>0340790</t>
  </si>
  <si>
    <t>ธ. เพื่อการเกษตรและสหกรณ์การเกษตร สาขา บึงโขงหลง</t>
  </si>
  <si>
    <t>0340791</t>
  </si>
  <si>
    <t>ธ. เพื่อการเกษตรและสหกรณ์การเกษตร สาขา วังเจ้า</t>
  </si>
  <si>
    <t>0340792</t>
  </si>
  <si>
    <t>ธ. เพื่อการเกษตรและสหกรณ์การเกษตร สาขา หนองแสง</t>
  </si>
  <si>
    <t>0340793</t>
  </si>
  <si>
    <t>ธ. เพื่อการเกษตรและสหกรณ์การเกษตร สาขา หนองตอง</t>
  </si>
  <si>
    <t>0340794</t>
  </si>
  <si>
    <t>ธ. เพื่อการเกษตรและสหกรณ์การเกษตร สาขา ซำสูง</t>
  </si>
  <si>
    <t>0340795</t>
  </si>
  <si>
    <t>ธ. เพื่อการเกษตรและสหกรณ์การเกษตร สาขา โนนศิลา</t>
  </si>
  <si>
    <t>0340796</t>
  </si>
  <si>
    <t>ธ. เพื่อการเกษตรและสหกรณ์การเกษตร สาขา ศรีเชียงใหม่</t>
  </si>
  <si>
    <t>0340797</t>
  </si>
  <si>
    <t>ธ. เพื่อการเกษตรและสหกรณ์การเกษตร สาขา ห้วยผึ้ง</t>
  </si>
  <si>
    <t>0340798</t>
  </si>
  <si>
    <t>ธ. เพื่อการเกษตรและสหกรณ์การเกษตร สาขา ห้วยขุนราม</t>
  </si>
  <si>
    <t>0340799</t>
  </si>
  <si>
    <t>ธ. เพื่อการเกษตรและสหกรณ์การเกษตร สาขา หนองปรือ</t>
  </si>
  <si>
    <t>0340800</t>
  </si>
  <si>
    <t>ธ. เพื่อการเกษตรและสหกรณ์การเกษตร สาขา กระแสสินธุ์</t>
  </si>
  <si>
    <t>0340801</t>
  </si>
  <si>
    <t>ธ. เพื่อการเกษตรและสหกรณ์การเกษตร สาขา หาดเลา</t>
  </si>
  <si>
    <t>0340802</t>
  </si>
  <si>
    <t>ธ. เพื่อการเกษตรและสหกรณ์การเกษตร สาขา บางแก้ว</t>
  </si>
  <si>
    <t>0340803</t>
  </si>
  <si>
    <t>ธ. เพื่อการเกษตรและสหกรณ์การเกษตร สาขา ศรีบรรพต</t>
  </si>
  <si>
    <t>0340804</t>
  </si>
  <si>
    <t>ธ. เพื่อการเกษตรและสหกรณ์การเกษตร สาขา แม่ปั๋ง</t>
  </si>
  <si>
    <t>0340805</t>
  </si>
  <si>
    <t>ธ. เพื่อการเกษตรและสหกรณ์การเกษตร สาขา ห้วยสัก</t>
  </si>
  <si>
    <t>0340806</t>
  </si>
  <si>
    <t>ธ. เพื่อการเกษตรและสหกรณ์การเกษตร สาขา อุบลรัตน์</t>
  </si>
  <si>
    <t>0340807</t>
  </si>
  <si>
    <t>ธ. เพื่อการเกษตรและสหกรณ์การเกษตร สาขา นาหว้า</t>
  </si>
  <si>
    <t>0340808</t>
  </si>
  <si>
    <t>ธ. เพื่อการเกษตรและสหกรณ์การเกษตร สาขา ส่องดาว</t>
  </si>
  <si>
    <t>0340809</t>
  </si>
  <si>
    <t>ธ. เพื่อการเกษตรและสหกรณ์การเกษตร สาขา สีดา</t>
  </si>
  <si>
    <t>0340810</t>
  </si>
  <si>
    <t>ธ. เพื่อการเกษตรและสหกรณ์การเกษตร สาขา บ้านเหลื่อม</t>
  </si>
  <si>
    <t>0340811</t>
  </si>
  <si>
    <t>ธ. เพื่อการเกษตรและสหกรณ์การเกษตร สาขา ภูสิงห์</t>
  </si>
  <si>
    <t>0340812</t>
  </si>
  <si>
    <t>ธ. เพื่อการเกษตรและสหกรณ์การเกษตร สาขา ไทยเจริญ</t>
  </si>
  <si>
    <t>0340813</t>
  </si>
  <si>
    <t>ธ. เพื่อการเกษตรและสหกรณ์การเกษตร สาขา ท่าโรงช้าง</t>
  </si>
  <si>
    <t>0340814</t>
  </si>
  <si>
    <t>ธ. เพื่อการเกษตรและสหกรณ์การเกษตร สาขา ค่ายบางระจัน</t>
  </si>
  <si>
    <t>0340815</t>
  </si>
  <si>
    <t>ธ. เพื่อการเกษตรและสหกรณ์การเกษตร สาขา แม่เหียะ</t>
  </si>
  <si>
    <t>0340816</t>
  </si>
  <si>
    <t>ธ. เพื่อการเกษตรและสหกรณ์การเกษตร สาขา ท่าต้นเกี๋ยง</t>
  </si>
  <si>
    <t>0340817</t>
  </si>
  <si>
    <t>ธ. เพื่อการเกษตรและสหกรณ์การเกษตร สาขา จันจว้า</t>
  </si>
  <si>
    <t>0340818</t>
  </si>
  <si>
    <t>ธ. เพื่อการเกษตรและสหกรณ์การเกษตร สาขา เวียงทอง</t>
  </si>
  <si>
    <t>0340819</t>
  </si>
  <si>
    <t>ธ. เพื่อการเกษตรและสหกรณ์การเกษตร สาขา สหัสขันธ์</t>
  </si>
  <si>
    <t>0340820</t>
  </si>
  <si>
    <t>ธ. เพื่อการเกษตรและสหกรณ์การเกษตร สาขา พยุห์</t>
  </si>
  <si>
    <t>0340821</t>
  </si>
  <si>
    <t>ธ. เพื่อการเกษตรและสหกรณ์การเกษตร สาขา โคกตูม</t>
  </si>
  <si>
    <t>0340822</t>
  </si>
  <si>
    <t>ธ. เพื่อการเกษตรและสหกรณ์การเกษตร สาขา ดอนคา</t>
  </si>
  <si>
    <t>0340823</t>
  </si>
  <si>
    <t>ธ. เพื่อการเกษตรและสหกรณ์การเกษตร สาขา กรูด</t>
  </si>
  <si>
    <t>0340824</t>
  </si>
  <si>
    <t>ธ. เพื่อการเกษตรและสหกรณ์การเกษตร สาขา บ้านพรุ</t>
  </si>
  <si>
    <t>0340825</t>
  </si>
  <si>
    <t>ธ. เพื่อการเกษตรและสหกรณ์การเกษตร สาขา สะท้อน</t>
  </si>
  <si>
    <t>0340826</t>
  </si>
  <si>
    <t>ธ. เพื่อการเกษตรและสหกรณ์การเกษตร สาขา ลาดพร้าว 101</t>
  </si>
  <si>
    <t>0340827</t>
  </si>
  <si>
    <t>ธ. เพื่อการเกษตรและสหกรณ์การเกษตร สาขา บางเขน</t>
  </si>
  <si>
    <t>0340828</t>
  </si>
  <si>
    <t>ธ. เพื่อการเกษตรและสหกรณ์การเกษตร สาขา ทุ่งครุ</t>
  </si>
  <si>
    <t>0340829</t>
  </si>
  <si>
    <t>ธ. เพื่อการเกษตรและสหกรณ์การเกษตร สาขา พระนคร</t>
  </si>
  <si>
    <t>0340830</t>
  </si>
  <si>
    <t>ธ. เพื่อการเกษตรและสหกรณ์การเกษตร สาขา อิสาณ</t>
  </si>
  <si>
    <t>0340831</t>
  </si>
  <si>
    <t>ธ. เพื่อการเกษตรและสหกรณ์การเกษตร สาขา พลาญชัย</t>
  </si>
  <si>
    <t>0340832</t>
  </si>
  <si>
    <t>ธ. เพื่อการเกษตรและสหกรณ์การเกษตร สาขา ห้วยราช</t>
  </si>
  <si>
    <t>0340833</t>
  </si>
  <si>
    <t>ธ. เพื่อการเกษตรและสหกรณ์การเกษตร สาขา บ้านกลาง</t>
  </si>
  <si>
    <t>0340834</t>
  </si>
  <si>
    <t>ธ. เพื่อการเกษตรและสหกรณ์การเกษตร สาขา เมยวดี</t>
  </si>
  <si>
    <t>0340835</t>
  </si>
  <si>
    <t>ธ. เพื่อการเกษตรและสหกรณ์การเกษตร สาขา หนองฮี</t>
  </si>
  <si>
    <t>0340836</t>
  </si>
  <si>
    <t>ธ. เพื่อการเกษตรและสหกรณ์การเกษตร สาขา รัตนวาปี</t>
  </si>
  <si>
    <t>0340837</t>
  </si>
  <si>
    <t>ธ. เพื่อการเกษตรและสหกรณ์การเกษตร สาขา เซิม</t>
  </si>
  <si>
    <t>0340838</t>
  </si>
  <si>
    <t>ธ. เพื่อการเกษตรและสหกรณ์การเกษตร สาขา ยางหล่อ</t>
  </si>
  <si>
    <t>0340839</t>
  </si>
  <si>
    <t>ธ. เพื่อการเกษตรและสหกรณ์การเกษตร สาขา พลับพลาชัย</t>
  </si>
  <si>
    <t>0340840</t>
  </si>
  <si>
    <t>ธ. เพื่อการเกษตรและสหกรณ์การเกษตร สาขา วังสีสูบ</t>
  </si>
  <si>
    <t>0340841</t>
  </si>
  <si>
    <t>ธ. เพื่อการเกษตรและสหกรณ์การเกษตร สาขา ปากน้ำ</t>
  </si>
  <si>
    <t>0340842</t>
  </si>
  <si>
    <t>ธ. เพื่อการเกษตรและสหกรณ์การเกษตร สาขา กู่แก้ว</t>
  </si>
  <si>
    <t>0340843</t>
  </si>
  <si>
    <t>ธ. เพื่อการเกษตรและสหกรณ์การเกษตร สาขา โคกโพธิ์ไชย</t>
  </si>
  <si>
    <t>0340844</t>
  </si>
  <si>
    <t>ธ. เพื่อการเกษตรและสหกรณ์การเกษตร สาขา เชียงขวัญ</t>
  </si>
  <si>
    <t>0340845</t>
  </si>
  <si>
    <t>ธ. เพื่อการเกษตรและสหกรณ์การเกษตร สาขา นามน</t>
  </si>
  <si>
    <t>0340846</t>
  </si>
  <si>
    <t>ธ. เพื่อการเกษตรและสหกรณ์การเกษตร สาขา ภูพาน</t>
  </si>
  <si>
    <t>0340847</t>
  </si>
  <si>
    <t>ธ. เพื่อการเกษตรและสหกรณ์การเกษตร สาขา ตาลสุม</t>
  </si>
  <si>
    <t>0340848</t>
  </si>
  <si>
    <t>ธ. เพื่อการเกษตรและสหกรณ์การเกษตร สาขา สวนแตง</t>
  </si>
  <si>
    <t>0340849</t>
  </si>
  <si>
    <t>ธ. เพื่อการเกษตรและสหกรณ์การเกษตร สาขา ท่าสัก</t>
  </si>
  <si>
    <t>0340850</t>
  </si>
  <si>
    <t>ธ. เพื่อการเกษตรและสหกรณ์การเกษตร สาขา เปือยน้อย</t>
  </si>
  <si>
    <t>0340851</t>
  </si>
  <si>
    <t>ธ. เพื่อการเกษตรและสหกรณ์การเกษตร สาขา หนองบัวตะเกียด</t>
  </si>
  <si>
    <t>0340852</t>
  </si>
  <si>
    <t>ธ. เพื่อการเกษตรและสหกรณ์การเกษตร สาขา เนินขาม</t>
  </si>
  <si>
    <t>0340853</t>
  </si>
  <si>
    <t>ธ. เพื่อการเกษตรและสหกรณ์การเกษตร สาขา จตุรพัตรพิมาน บ้านข่า</t>
  </si>
  <si>
    <t>0340854</t>
  </si>
  <si>
    <t>ธ. เพื่อการเกษตรและสหกรณ์การเกษตร สาขา วังท่าช้าง</t>
  </si>
  <si>
    <t>0340855</t>
  </si>
  <si>
    <t>ธ. เพื่อการเกษตรและสหกรณ์การเกษตร สาขา รัตภูมิ</t>
  </si>
  <si>
    <t>0340856</t>
  </si>
  <si>
    <t>ธ. เพื่อการเกษตรและสหกรณ์การเกษตร สาขา บ้านเขื่อน</t>
  </si>
  <si>
    <t>0340857</t>
  </si>
  <si>
    <t>ธ. เพื่อการเกษตรและสหกรณ์การเกษตร สาขา สามแยกปัก</t>
  </si>
  <si>
    <t>0340858</t>
  </si>
  <si>
    <t>ธ. เพื่อการเกษตรและสหกรณ์การเกษตร สาขา เขาลูกช้าง</t>
  </si>
  <si>
    <t>0340859</t>
  </si>
  <si>
    <t>ธ. เพื่อการเกษตรและสหกรณ์การเกษตร สาขา ตะเครียะ</t>
  </si>
  <si>
    <t>0340860</t>
  </si>
  <si>
    <t>ธ. เพื่อการเกษตรและสหกรณ์การเกษตร สาขา หาดสำราญ</t>
  </si>
  <si>
    <t>0340861</t>
  </si>
  <si>
    <t>ธ. เพื่อการเกษตรและสหกรณ์การเกษตร สาขา หนองบัวใหญ่</t>
  </si>
  <si>
    <t>0340862</t>
  </si>
  <si>
    <t>ธ. เพื่อการเกษตรและสหกรณ์การเกษตร สาขา จอหอ</t>
  </si>
  <si>
    <t>0340863</t>
  </si>
  <si>
    <t>ธ. เพื่อการเกษตรและสหกรณ์การเกษตร สาขา บ้านใหม่ไชยพจน์</t>
  </si>
  <si>
    <t>0340864</t>
  </si>
  <si>
    <t>ธ. เพื่อการเกษตรและสหกรณ์การเกษตร สาขา ชัยมงคล</t>
  </si>
  <si>
    <t>0340865</t>
  </si>
  <si>
    <t>ธ. เพื่อการเกษตรและสหกรณ์การเกษตร สาขา เสาไห้</t>
  </si>
  <si>
    <t>0340866</t>
  </si>
  <si>
    <t>ธ. เพื่อการเกษตรและสหกรณ์การเกษตร สาขา ราชภัฎนครปฐม</t>
  </si>
  <si>
    <t>0340867</t>
  </si>
  <si>
    <t>ธ. เพื่อการเกษตรและสหกรณ์การเกษตร สาขา ละอุ่น</t>
  </si>
  <si>
    <t>0340868</t>
  </si>
  <si>
    <t>ธ. เพื่อการเกษตรและสหกรณ์การเกษตร สาขา พรุพ้อ</t>
  </si>
  <si>
    <t>0340869</t>
  </si>
  <si>
    <t>ธ. เพื่อการเกษตรและสหกรณ์การเกษตร สาขา เจดีย์หลวง</t>
  </si>
  <si>
    <t>0340870</t>
  </si>
  <si>
    <t>ธ. เพื่อการเกษตรและสหกรณ์การเกษตร สาขา ชัยสามหมอ</t>
  </si>
  <si>
    <t>0340871</t>
  </si>
  <si>
    <t>ธ. เพื่อการเกษตรและสหกรณ์การเกษตร สาขา มโนรมย์</t>
  </si>
  <si>
    <t>0340872</t>
  </si>
  <si>
    <t>ธ. เพื่อการเกษตรและสหกรณ์การเกษตร สาขา โคกเจริญ</t>
  </si>
  <si>
    <t>0340873</t>
  </si>
  <si>
    <t>ธ. เพื่อการเกษตรและสหกรณ์การเกษตร สาขา ควนมะพร้าว</t>
  </si>
  <si>
    <t>0340874</t>
  </si>
  <si>
    <t>ธ. เพื่อการเกษตรและสหกรณ์การเกษตร สาขา บ้านแซม</t>
  </si>
  <si>
    <t>0340875</t>
  </si>
  <si>
    <t>ธ. เพื่อการเกษตรและสหกรณ์การเกษตร สาขา ตลาดวาปีปทุม</t>
  </si>
  <si>
    <t>0340876</t>
  </si>
  <si>
    <t>ธ. เพื่อการเกษตรและสหกรณ์การเกษตร สาขา เหล่าเสือโก้ก</t>
  </si>
  <si>
    <t>0340877</t>
  </si>
  <si>
    <t>ธ. เพื่อการเกษตรและสหกรณ์การเกษตร สาขา ปากพนังฝั่ง</t>
  </si>
  <si>
    <t>0340878</t>
  </si>
  <si>
    <t>ธ. เพื่อการเกษตรและสหกรณ์การเกษตร สาขา บ้านตาก</t>
  </si>
  <si>
    <t>0340879</t>
  </si>
  <si>
    <t>ธ. เพื่อการเกษตรและสหกรณ์การเกษตร สาขา สี่แยกพยัคฆ์</t>
  </si>
  <si>
    <t>0340880</t>
  </si>
  <si>
    <t>ธ. เพื่อการเกษตรและสหกรณ์การเกษตร สาขา ตักสิลา</t>
  </si>
  <si>
    <t>0340881</t>
  </si>
  <si>
    <t>ธ. เพื่อการเกษตรและสหกรณ์การเกษตร สาขา คำเจริญ</t>
  </si>
  <si>
    <t>0340882</t>
  </si>
  <si>
    <t>ธ. เพื่อการเกษตรและสหกรณ์การเกษตร สาขา กุดข้าวปุ้น</t>
  </si>
  <si>
    <t>0340883</t>
  </si>
  <si>
    <t>ธ. เพื่อการเกษตรและสหกรณ์การเกษตร สาขา เกาะโพธิ์</t>
  </si>
  <si>
    <t>0340884</t>
  </si>
  <si>
    <t>ธ. เพื่อการเกษตรและสหกรณ์การเกษตร สาขา ห้วยกระเจา</t>
  </si>
  <si>
    <t>0340885</t>
  </si>
  <si>
    <t>ธ. เพื่อการเกษตรและสหกรณ์การเกษตร สาขา ทวดทอง</t>
  </si>
  <si>
    <t>0340886</t>
  </si>
  <si>
    <t>ธ. เพื่อการเกษตรและสหกรณ์การเกษตร สาขา เมืองพญาแล</t>
  </si>
  <si>
    <t>0340887</t>
  </si>
  <si>
    <t>ธ. เพื่อการเกษตรและสหกรณ์การเกษตร สาขา หนองมะโมง</t>
  </si>
  <si>
    <t>0340888</t>
  </si>
  <si>
    <t>ธ. เพื่อการเกษตรและสหกรณ์การเกษตร DUMMY BRANCH 1</t>
  </si>
  <si>
    <t>0340889</t>
  </si>
  <si>
    <t>ธ. เพื่อการเกษตรและสหกรณ์การเกษตร สาขา พระพรหม</t>
  </si>
  <si>
    <t>0340890</t>
  </si>
  <si>
    <t>ธ. เพื่อการเกษตรและสหกรณ์การเกษตร สาขา วัดร่องขุ่น</t>
  </si>
  <si>
    <t>0340891</t>
  </si>
  <si>
    <t>ธ. เพื่อการเกษตรและสหกรณ์การเกษตร สาขา แม่สอย</t>
  </si>
  <si>
    <t>0340892</t>
  </si>
  <si>
    <t>ธ. เพื่อการเกษตรและสหกรณ์การเกษตร สาขา ดอนหวาย</t>
  </si>
  <si>
    <t>0340893</t>
  </si>
  <si>
    <t>ธ. เพื่อการเกษตรและสหกรณ์การเกษตร สาขา ดอนไชย</t>
  </si>
  <si>
    <t>0340894</t>
  </si>
  <si>
    <t>ธ. เพื่อการเกษตรและสหกรณ์การเกษตร สาขา วังน้ำเขียว</t>
  </si>
  <si>
    <t>0340895</t>
  </si>
  <si>
    <t>ธ. เพื่อการเกษตรและสหกรณ์การเกษตร สาขา ระแงง</t>
  </si>
  <si>
    <t>0340896</t>
  </si>
  <si>
    <t>ธ. เพื่อการเกษตรและสหกรณ์การเกษตร สาขา เจ้าปลุก</t>
  </si>
  <si>
    <t>0340897</t>
  </si>
  <si>
    <t>ธ. เพื่อการเกษตรและสหกรณ์การเกษตร สาขา แม่ขะจาน</t>
  </si>
  <si>
    <t>0340898</t>
  </si>
  <si>
    <t>ธ. เพื่อการเกษตรและสหกรณ์การเกษตร สาขา ไผ่ท่าโพ</t>
  </si>
  <si>
    <t>0340899</t>
  </si>
  <si>
    <t>ธ. เพื่อการเกษตรและสหกรณ์การเกษตร สาขา บ้านต๋อม</t>
  </si>
  <si>
    <t>0340900</t>
  </si>
  <si>
    <t>ธ. เพื่อการเกษตรและสหกรณ์การเกษตร สาขา คลองพิไกร</t>
  </si>
  <si>
    <t>0340901</t>
  </si>
  <si>
    <t>ธ. เพื่อการเกษตรและสหกรณ์การเกษตร สาขา ถนนปัทมานนท์</t>
  </si>
  <si>
    <t>0340902</t>
  </si>
  <si>
    <t>ธ. เพื่อการเกษตรและสหกรณ์การเกษตร สาขา ถนนพระวิหาร</t>
  </si>
  <si>
    <t>0340903</t>
  </si>
  <si>
    <t>ธ. เพื่อการเกษตรและสหกรณ์การเกษตร สาขา ท่าแพ</t>
  </si>
  <si>
    <t>0340904</t>
  </si>
  <si>
    <t>ธ. เพื่อการเกษตรและสหกรณ์การเกษตร สาขา บ้านติ้ว</t>
  </si>
  <si>
    <t>0340905</t>
  </si>
  <si>
    <t>ธ. เพื่อการเกษตรและสหกรณ์การเกษตร สาขา เมืองใต้</t>
  </si>
  <si>
    <t>0340906</t>
  </si>
  <si>
    <t>ธ. เพื่อการเกษตรและสหกรณ์การเกษตร สาขา หนองยาว</t>
  </si>
  <si>
    <t>0340907</t>
  </si>
  <si>
    <t>ธ. เพื่อการเกษตรและสหกรณ์การเกษตร สาขา คลอง 16</t>
  </si>
  <si>
    <t>0340908</t>
  </si>
  <si>
    <t>ธ. เพื่อการเกษตรและสหกรณ์การเกษตร สาขา หนองฝ้าย</t>
  </si>
  <si>
    <t>0340909</t>
  </si>
  <si>
    <t>ธ. เพื่อการเกษตรและสหกรณ์การเกษตร สาขา โพธิ์ศรีสุวรรณ</t>
  </si>
  <si>
    <t>0340910</t>
  </si>
  <si>
    <t>ธ. เพื่อการเกษตรและสหกรณ์การเกษตร สาขา ปางค่า</t>
  </si>
  <si>
    <t>0340911</t>
  </si>
  <si>
    <t>ธ. เพื่อการเกษตรและสหกรณ์การเกษตร สาขา เมืองตลุง</t>
  </si>
  <si>
    <t>0340912</t>
  </si>
  <si>
    <t>ธ. เพื่อการเกษตรและสหกรณ์การเกษตร สาขา ระกา</t>
  </si>
  <si>
    <t>0340913</t>
  </si>
  <si>
    <t>ธ. เพื่อการเกษตรและสหกรณ์การเกษตร สาขา ปากน้ำกลาย</t>
  </si>
  <si>
    <t>0340914</t>
  </si>
  <si>
    <t>ธ. เพื่อการเกษตรและสหกรณ์การเกษตร สาขา ป่าตอง</t>
  </si>
  <si>
    <t>0340915</t>
  </si>
  <si>
    <t>ธ. เพื่อการเกษตรและสหกรณ์การเกษตร สาขา นครชุม</t>
  </si>
  <si>
    <t>0340916</t>
  </si>
  <si>
    <t>ธ. เพื่อการเกษตรและสหกรณ์การเกษตร สาขา เมืองบัว</t>
  </si>
  <si>
    <t>0340917</t>
  </si>
  <si>
    <t>ธ. เพื่อการเกษตรและสหกรณ์การเกษตร สาขา ศรีพิลา</t>
  </si>
  <si>
    <t>0340918</t>
  </si>
  <si>
    <t>ธ. เพื่อการเกษตรและสหกรณ์การเกษตร สาขา เมืองเลิง</t>
  </si>
  <si>
    <t>0340919</t>
  </si>
  <si>
    <t>ธ. เพื่อการเกษตรและสหกรณ์การเกษตร สาขา คลองพน</t>
  </si>
  <si>
    <t>0340920</t>
  </si>
  <si>
    <t>ธ. เพื่อการเกษตรและสหกรณ์การเกษตร สาขา ท่าแดง</t>
  </si>
  <si>
    <t>0340921</t>
  </si>
  <si>
    <t>ธ. เพื่อการเกษตรและสหกรณ์การเกษตร สาขา นาหมื่น</t>
  </si>
  <si>
    <t>0340922</t>
  </si>
  <si>
    <t>ธ. เพื่อการเกษตรและสหกรณ์การเกษตร สาขา สงเปลือย</t>
  </si>
  <si>
    <t>0340923</t>
  </si>
  <si>
    <t>ธ. เพื่อการเกษตรและสหกรณ์การเกษตร สาขา พนมดงรัก</t>
  </si>
  <si>
    <t>0340924</t>
  </si>
  <si>
    <t>ธ. เพื่อการเกษตรและสหกรณ์การเกษตร สาขา ปราสาทเมืองใหม่</t>
  </si>
  <si>
    <t>0340925</t>
  </si>
  <si>
    <t>ธ. เพื่อการเกษตรและสหกรณ์การเกษตร สาขา ปากเกร็ด</t>
  </si>
  <si>
    <t>0340926</t>
  </si>
  <si>
    <t>ธ. เพื่อการเกษตรและสหกรณ์การเกษตร สาขา ท่าข้าม</t>
  </si>
  <si>
    <t>0340927</t>
  </si>
  <si>
    <t>ธ. เพื่อการเกษตรและสหกรณ์การเกษตร สาขา บาเจาะ</t>
  </si>
  <si>
    <t>0340928</t>
  </si>
  <si>
    <t>ธ. เพื่อการเกษตรและสหกรณ์การเกษตร สาขา อาลัมภางค์</t>
  </si>
  <si>
    <t>0340929</t>
  </si>
  <si>
    <t>ธ. เพื่อการเกษตรและสหกรณ์การเกษตร สาขา ทุ่งช้าง</t>
  </si>
  <si>
    <t>0340930</t>
  </si>
  <si>
    <t>ธ. เพื่อการเกษตรและสหกรณ์การเกษตร สาขา ขุนยวม</t>
  </si>
  <si>
    <t>0340931</t>
  </si>
  <si>
    <t>ธ. เพื่อการเกษตรและสหกรณ์การเกษตร สาขา แม่ลาน้อย</t>
  </si>
  <si>
    <t>0340932</t>
  </si>
  <si>
    <t>ธ. เพื่อการเกษตรและสหกรณ์การเกษตร สาขา ท่าสองยาง</t>
  </si>
  <si>
    <t>0340933</t>
  </si>
  <si>
    <t>ธ. เพื่อการเกษตรและสหกรณ์การเกษตร สาขา เมืองใหม่สุวรรณภูมิ</t>
  </si>
  <si>
    <t>0340934</t>
  </si>
  <si>
    <t>ธ. เพื่อการเกษตรและสหกรณ์การเกษตร สาขา อมก๋อย</t>
  </si>
  <si>
    <t>0340935</t>
  </si>
  <si>
    <t>ธ. เพื่อการเกษตรและสหกรณ์การเกษตร สาขา บุ่งคล้า</t>
  </si>
  <si>
    <t>0340936</t>
  </si>
  <si>
    <t>ธ. เพื่อการเกษตรและสหกรณ์การเกษตร สาขา หนองจิก</t>
  </si>
  <si>
    <t>0340937</t>
  </si>
  <si>
    <t>ธ. เพื่อการเกษตรและสหกรณ์การเกษตร สาขา แม่หล่าย</t>
  </si>
  <si>
    <t>0340938</t>
  </si>
  <si>
    <t>ธ. เพื่อการเกษตรและสหกรณ์การเกษตร สาขา เวียงแหง</t>
  </si>
  <si>
    <t>0340939</t>
  </si>
  <si>
    <t>ธ. เพื่อการเกษตรและสหกรณ์การเกษตร สาขา เกาะยาว</t>
  </si>
  <si>
    <t>0340940</t>
  </si>
  <si>
    <t>ธ. เพื่อการเกษตรและสหกรณ์การเกษตร สาขา สามชัย</t>
  </si>
  <si>
    <t>0340941</t>
  </si>
  <si>
    <t>ธ. เพื่อการเกษตรและสหกรณ์การเกษตร สาขา ทรายมูล</t>
  </si>
  <si>
    <t>0340942</t>
  </si>
  <si>
    <t>ธ. เพื่อการเกษตรและสหกรณ์การเกษตร สาขา ชื่นชม</t>
  </si>
  <si>
    <t>0340943</t>
  </si>
  <si>
    <t>ธ. เพื่อการเกษตรและสหกรณ์การเกษตร สาขา บางกล่ำ</t>
  </si>
  <si>
    <t>0340944</t>
  </si>
  <si>
    <t>ธ. เพื่อการเกษตรและสหกรณ์การเกษตร สาขา กุดดินจี่</t>
  </si>
  <si>
    <t>0340945</t>
  </si>
  <si>
    <t>ธ. เพื่อการเกษตรและสหกรณ์การเกษตร สาขา สร้างคอม</t>
  </si>
  <si>
    <t>0340946</t>
  </si>
  <si>
    <t>ธ. เพื่อการเกษตรและสหกรณ์การเกษตร สาขา สี่แยกอินโดจีน</t>
  </si>
  <si>
    <t>0340947</t>
  </si>
  <si>
    <t>ธ. เพื่อการเกษตรและสหกรณ์การเกษตร สาขา เขาชนกัน</t>
  </si>
  <si>
    <t>0340948</t>
  </si>
  <si>
    <t>ธ. เพื่อการเกษตรและสหกรณ์การเกษตร สาขา เชียงกลม</t>
  </si>
  <si>
    <t>0340949</t>
  </si>
  <si>
    <t>ธ. เพื่อการเกษตรและสหกรณ์การเกษตร สาขา แกดำ</t>
  </si>
  <si>
    <t>0340950</t>
  </si>
  <si>
    <t>ธ. เพื่อการเกษตรและสหกรณ์การเกษตร สาขา สถานีขนส่งสายใต้</t>
  </si>
  <si>
    <t>0340951</t>
  </si>
  <si>
    <t>ธ. เพื่อการเกษตรและสหกรณ์การเกษตร สาขา ผึ่งแดด</t>
  </si>
  <si>
    <t>0340952</t>
  </si>
  <si>
    <t>ธ. เพื่อการเกษตรและสหกรณ์การเกษตร สาขา พญาแถน</t>
  </si>
  <si>
    <t>0340953</t>
  </si>
  <si>
    <t>ธ. เพื่อการเกษตรและสหกรณ์การเกษตร สาขา ท่าพุทรา</t>
  </si>
  <si>
    <t>0340954</t>
  </si>
  <si>
    <t>ธ. เพื่อการเกษตรและสหกรณ์การเกษตร สาขา หนองตางู</t>
  </si>
  <si>
    <t>0340955</t>
  </si>
  <si>
    <t>ธ. เพื่อการเกษตรและสหกรณ์การเกษตร สาขา ศาลเจ้าไก่ต่อ</t>
  </si>
  <si>
    <t>0340956</t>
  </si>
  <si>
    <t>ธ. เพื่อการเกษตรและสหกรณ์การเกษตร สาขา เขาขวาง</t>
  </si>
  <si>
    <t>0340957</t>
  </si>
  <si>
    <t>ธ. เพื่อการเกษตรและสหกรณ์การเกษตร สาขา ด่านมะขามเตี้ย</t>
  </si>
  <si>
    <t>0340958</t>
  </si>
  <si>
    <t>ธ. เพื่อการเกษตรและสหกรณ์การเกษตร สาขา เมืองสรวง</t>
  </si>
  <si>
    <t>0340959</t>
  </si>
  <si>
    <t>ธ. เพื่อการเกษตรและสหกรณ์การเกษตร สาขา บ้านแฮด</t>
  </si>
  <si>
    <t>0340960</t>
  </si>
  <si>
    <t>ธ. เพื่อการเกษตรและสหกรณ์การเกษตร สาขา ดอนโมง</t>
  </si>
  <si>
    <t>0340961</t>
  </si>
  <si>
    <t>ธ. เพื่อการเกษตรและสหกรณ์การเกษตร สาขา หนองนาคำ</t>
  </si>
  <si>
    <t>0340962</t>
  </si>
  <si>
    <t>ธ. เพื่อการเกษตรและสหกรณ์การเกษตร สาขา นาแห้ว</t>
  </si>
  <si>
    <t>0340963</t>
  </si>
  <si>
    <t>ธ. เพื่อการเกษตรและสหกรณ์การเกษตร สาขา ฆ้องชัย</t>
  </si>
  <si>
    <t>0340964</t>
  </si>
  <si>
    <t>ธ. เพื่อการเกษตรและสหกรณ์การเกษตร สาขา สันทราย</t>
  </si>
  <si>
    <t>0340965</t>
  </si>
  <si>
    <t>ธ. เพื่อการเกษตรและสหกรณ์การเกษตร สาขา นาทม</t>
  </si>
  <si>
    <t>0340966</t>
  </si>
  <si>
    <t>ธ. เพื่อการเกษตรและสหกรณ์การเกษตร สาขา บ้านด่าน</t>
  </si>
  <si>
    <t>0340967</t>
  </si>
  <si>
    <t>ธ. เพื่อการเกษตรและสหกรณ์การเกษตร สาขา ท่าบัว</t>
  </si>
  <si>
    <t>0340968</t>
  </si>
  <si>
    <t>ธ. เพื่อการเกษตรและสหกรณ์การเกษตร สาขา ดงสุวรรณ</t>
  </si>
  <si>
    <t>0340969</t>
  </si>
  <si>
    <t>ธ. เพื่อการเกษตรและสหกรณ์การเกษตร สาขา สว่างวีระวงศ์</t>
  </si>
  <si>
    <t>0340970</t>
  </si>
  <si>
    <t>ธ. เพื่อการเกษตรและสหกรณ์การเกษตร สาขา ดอยหลวง</t>
  </si>
  <si>
    <t>0340971</t>
  </si>
  <si>
    <t>ธ. เพื่อการเกษตรและสหกรณ์การเกษตร สาขา ภักดีชุมพล</t>
  </si>
  <si>
    <t>0340972</t>
  </si>
  <si>
    <t>ธ. เพื่อการเกษตรและสหกรณ์การเกษตร สาขา ร้องกวาง</t>
  </si>
  <si>
    <t>0340973</t>
  </si>
  <si>
    <t>ธ. เพื่อการเกษตรและสหกรณ์การเกษตร สาขา หนองสูง</t>
  </si>
  <si>
    <t>0340974</t>
  </si>
  <si>
    <t>ธ. เพื่อการเกษตรและสหกรณ์การเกษตร สาขา ดอนจิก</t>
  </si>
  <si>
    <t>0340975</t>
  </si>
  <si>
    <t>ธ. เพื่อการเกษตรและสหกรณ์การเกษตร สาขา โนนดินแดง</t>
  </si>
  <si>
    <t>0340976</t>
  </si>
  <si>
    <t>ธ. เพื่อการเกษตรและสหกรณ์การเกษตร สาขา ห้วยบง</t>
  </si>
  <si>
    <t>0340977</t>
  </si>
  <si>
    <t>ธ. เพื่อการเกษตรและสหกรณ์การเกษตร สาขา บ้านเป้า</t>
  </si>
  <si>
    <t>0340978</t>
  </si>
  <si>
    <t>ธ. เพื่อการเกษตรและสหกรณ์การเกษตร สาขา หอคำ</t>
  </si>
  <si>
    <t>0340979</t>
  </si>
  <si>
    <t>ธ. เพื่อการเกษตรและสหกรณ์การเกษตร สาขา ศรีจันทร์</t>
  </si>
  <si>
    <t>0340980</t>
  </si>
  <si>
    <t>ธ. เพื่อการเกษตรและสหกรณ์การเกษตร สาขา หนองเม็ก</t>
  </si>
  <si>
    <t>0340981</t>
  </si>
  <si>
    <t>ธ. เพื่อการเกษตรและสหกรณ์การเกษตร สาขา สระบุศย์</t>
  </si>
  <si>
    <t>0340982</t>
  </si>
  <si>
    <t>ธ. เพื่อการเกษตรและสหกรณ์การเกษตร สาขา แก่งกระจาน</t>
  </si>
  <si>
    <t>0340983</t>
  </si>
  <si>
    <t>ธ. เพื่อการเกษตรและสหกรณ์การเกษตร สาขา ทุ่งน้าว</t>
  </si>
  <si>
    <t>0340984</t>
  </si>
  <si>
    <t>ธ. เพื่อการเกษตรและสหกรณ์การเกษตร สาขา หนองกุงน้ำพอง</t>
  </si>
  <si>
    <t>0340985</t>
  </si>
  <si>
    <t>ธ. เพื่อการเกษตรและสหกรณ์การเกษตร สาขา ดอนหว้า</t>
  </si>
  <si>
    <t>0340986</t>
  </si>
  <si>
    <t>ธ. เพื่อการเกษตรและสหกรณ์การเกษตร สาขา มะนัง</t>
  </si>
  <si>
    <t>0340987</t>
  </si>
  <si>
    <t>ธ. เพื่อการเกษตรและสหกรณ์การเกษตร สาขา เขาใหญ่</t>
  </si>
  <si>
    <t>0340988</t>
  </si>
  <si>
    <t>ธ. เพื่อการเกษตรและสหกรณ์การเกษตร สาขา ทุ่งเตา</t>
  </si>
  <si>
    <t>0340989</t>
  </si>
  <si>
    <t>ธ. เพื่อการเกษตรและสหกรณ์การเกษตร สาขา บิ๊กซีนาดี</t>
  </si>
  <si>
    <t>0340990</t>
  </si>
  <si>
    <t>ธ. เพื่อการเกษตรและสหกรณ์การเกษตร DUMMY BRANCH 2</t>
  </si>
  <si>
    <t>0340991</t>
  </si>
  <si>
    <t>ธ. เพื่อการเกษตรและสหกรณ์การเกษตร สาขา เหล่าหลวง</t>
  </si>
  <si>
    <t>0340992</t>
  </si>
  <si>
    <t>ธ. เพื่อการเกษตรและสหกรณ์การเกษตร สาขา บางเสาธง</t>
  </si>
  <si>
    <t>0340993</t>
  </si>
  <si>
    <t>ธ. เพื่อการเกษตรและสหกรณ์การเกษตร สาขา บ้านเสด็จ</t>
  </si>
  <si>
    <t>0340994</t>
  </si>
  <si>
    <t>ธ. เพื่อการเกษตรและสหกรณ์การเกษตร สาขา หนองตาด</t>
  </si>
  <si>
    <t>0340995</t>
  </si>
  <si>
    <t>ธ. เพื่อการเกษตรและสหกรณ์การเกษตร สาขา บ่อไร่</t>
  </si>
  <si>
    <t>0340996</t>
  </si>
  <si>
    <t>ธ. เพื่อการเกษตรและสหกรณ์การเกษตร สาขา ช้างแรก</t>
  </si>
  <si>
    <t>0340997</t>
  </si>
  <si>
    <t>ธ. เพื่อการเกษตรและสหกรณ์การเกษตร สาขา วังกะพี้</t>
  </si>
  <si>
    <t>0340998</t>
  </si>
  <si>
    <t>ธ. เพื่อการเกษตรและสหกรณ์การเกษตร สาขา ห้วยไร่</t>
  </si>
  <si>
    <t>0340999</t>
  </si>
  <si>
    <t>ธ. เพื่อการเกษตรและสหกรณ์การเกษตร สาขา สุวินทวงศ์</t>
  </si>
  <si>
    <t>0341001</t>
  </si>
  <si>
    <t>ธ. เพื่อการเกษตรและสหกรณ์การเกษตร สาขา เขาค้อ</t>
  </si>
  <si>
    <t>0341002</t>
  </si>
  <si>
    <t>ธ. เพื่อการเกษตรและสหกรณ์การเกษตร สาขา ไพรขลา</t>
  </si>
  <si>
    <t>0341003</t>
  </si>
  <si>
    <t>ธ. เพื่อการเกษตรและสหกรณ์การเกษตร สาขา เกาะช้าง</t>
  </si>
  <si>
    <t>0341004</t>
  </si>
  <si>
    <t>ธ. เพื่อการเกษตรและสหกรณ์การเกษตร สาขา ปางมะผ้า</t>
  </si>
  <si>
    <t>0341005</t>
  </si>
  <si>
    <t>ธ. เพื่อการเกษตรและสหกรณ์การเกษตร สาขา หนองใหญ่</t>
  </si>
  <si>
    <t>0341006</t>
  </si>
  <si>
    <t>ธ. เพื่อการเกษตรและสหกรณ์การเกษตร สาขา บ้านทุ่ม</t>
  </si>
  <si>
    <t>0341007</t>
  </si>
  <si>
    <t>ธ. เพื่อการเกษตรและสหกรณ์การเกษตร สาขา นาฝาย</t>
  </si>
  <si>
    <t>0341008</t>
  </si>
  <si>
    <t>ธ. เพื่อการเกษตรและสหกรณ์การเกษตร สาขา บ้านหนองไผ่</t>
  </si>
  <si>
    <t>0341009</t>
  </si>
  <si>
    <t>ธ. เพื่อการเกษตรและสหกรณ์การเกษตร สาขา ทองผาภูมิ</t>
  </si>
  <si>
    <t>0341010</t>
  </si>
  <si>
    <t>ธ. เพื่อการเกษตรและสหกรณ์การเกษตร สาขา ปากจั่น</t>
  </si>
  <si>
    <t>0341011</t>
  </si>
  <si>
    <t>ธ. เพื่อการเกษตรและสหกรณ์การเกษตร สาขา หนองปลิง</t>
  </si>
  <si>
    <t>0341012</t>
  </si>
  <si>
    <t>ธ. เพื่อการเกษตรและสหกรณ์การเกษตร สาขา ลำพญากลาง</t>
  </si>
  <si>
    <t>0341013</t>
  </si>
  <si>
    <t>ธ. เพื่อการเกษตรและสหกรณ์การเกษตร สาขา เฉลียง</t>
  </si>
  <si>
    <t>0341014</t>
  </si>
  <si>
    <t>ธ. เพื่อการเกษตรและสหกรณ์การเกษตร สาขา บางบาล</t>
  </si>
  <si>
    <t>0341015</t>
  </si>
  <si>
    <t>ธ. เพื่อการเกษตรและสหกรณ์การเกษตร สาขา อ่าวนาง</t>
  </si>
  <si>
    <t>0341016</t>
  </si>
  <si>
    <t>ธ. เพื่อการเกษตรและสหกรณ์การเกษตร สาขา ตลาดกลางสินค้าเกษตรสุพรรณบุรี</t>
  </si>
  <si>
    <t>0341017</t>
  </si>
  <si>
    <t>ธ. เพื่อการเกษตรและสหกรณ์การเกษตร สาขา จตุจักรลำพูน</t>
  </si>
  <si>
    <t>0341018</t>
  </si>
  <si>
    <t>ธ. เพื่อการเกษตรและสหกรณ์การเกษตร สาขา มะขาม</t>
  </si>
  <si>
    <t>0341019</t>
  </si>
  <si>
    <t>ธ. เพื่อการเกษตรและสหกรณ์การเกษตร สาขา พุทธมณฑล</t>
  </si>
  <si>
    <t>0341020</t>
  </si>
  <si>
    <t>ธ. เพื่อการเกษตรและสหกรณ์การเกษตร สาขา โคกสุวรรณ</t>
  </si>
  <si>
    <t>0341021</t>
  </si>
  <si>
    <t>ธ. เพื่อการเกษตรและสหกรณ์การเกษตร สาขา พระธาตุผาแดง</t>
  </si>
  <si>
    <t>0341022</t>
  </si>
  <si>
    <t>ธ. เพื่อการเกษตรและสหกรณ์การเกษตร สาขา นางลือ</t>
  </si>
  <si>
    <t>0341023</t>
  </si>
  <si>
    <t>ธ. เพื่อการเกษตรและสหกรณ์การเกษตร สาขา ธาตุนาเวง</t>
  </si>
  <si>
    <t>0341024</t>
  </si>
  <si>
    <t>ธ. เพื่อการเกษตรและสหกรณ์การเกษตร สาขา ปะโค</t>
  </si>
  <si>
    <t>0341025</t>
  </si>
  <si>
    <t>ธ. เพื่อการเกษตรและสหกรณ์การเกษตร สาขา บางซ้าย</t>
  </si>
  <si>
    <t>0350200</t>
  </si>
  <si>
    <t>ธ. เพื่อการส่งออกและนำเข้าแห่งประเทศไทย สาขา หาดใหญ่</t>
  </si>
  <si>
    <t>0350201</t>
  </si>
  <si>
    <t>ธ. เพื่อการส่งออกและนำเข้าแห่งประเทศไทย สาขา พระราม 4</t>
  </si>
  <si>
    <t>0350202</t>
  </si>
  <si>
    <t>ธ. เพื่อการส่งออกและนำเข้าแห่งประเทศไทย สาขา รังสิต</t>
  </si>
  <si>
    <t>0350203</t>
  </si>
  <si>
    <t>ธ. เพื่อการส่งออกและนำเข้าแห่งประเทศไทย สาขา แหลมฉบัง</t>
  </si>
  <si>
    <t>0350204</t>
  </si>
  <si>
    <t>ธ. เพื่อการส่งออกและนำเข้าแห่งประเทศไทย สาขา พระราม 2</t>
  </si>
  <si>
    <t>0350205</t>
  </si>
  <si>
    <t>ธ. เพื่อการส่งออกและนำเข้าแห่งประเทศไทย สาขา เสรีไทย</t>
  </si>
  <si>
    <t>0350206</t>
  </si>
  <si>
    <t>ธ. เพื่อการส่งออกและนำเข้าแห่งประเทศไทย สาขา บางนา-ตราด กม.3</t>
  </si>
  <si>
    <t>0350207</t>
  </si>
  <si>
    <t>ธ. เพื่อการส่งออกและนำเข้าแห่งประเทศไทย สาขา สำนักงานประจำกรมส่งเสริมการส่งออก</t>
  </si>
  <si>
    <t>0350208</t>
  </si>
  <si>
    <t>ธ. เพื่อการส่งออกและนำเข้าแห่งประเทศไทย สาขา เชียงใหม่</t>
  </si>
  <si>
    <t>0350209</t>
  </si>
  <si>
    <t>ธ. เพื่อการส่งออกและนำเข้าแห่งประเทศไทย สาขา ขอนแก่น</t>
  </si>
  <si>
    <t>0350888</t>
  </si>
  <si>
    <t>ธ. เพื่อการส่งออกและนำเข้าแห่งประเทศไทย DUMMY BRANCH 1</t>
  </si>
  <si>
    <t>0350990</t>
  </si>
  <si>
    <t>ธ. เพื่อการส่งออกและนำเข้าแห่งประเทศไทย DUMMY BRANCH 2</t>
  </si>
  <si>
    <t>0350999</t>
  </si>
  <si>
    <t>ธ. เพื่อการส่งออกและนำเข้าแห่งประเทศไทย สำนักงานใหญ่</t>
  </si>
  <si>
    <t>0390001</t>
  </si>
  <si>
    <t>ธ. มิซูโฮ คอร์ปอเรต จำกัด สาขา กรุงเทพฯ</t>
  </si>
  <si>
    <t>0390002</t>
  </si>
  <si>
    <t>ธ. มิซูโฮ จำกัด สาขากรุงเทพฯ สาขา อีสเทิร์น ซีบอร์ด</t>
  </si>
  <si>
    <t>0390757</t>
  </si>
  <si>
    <t>ธ. มิซูโฮ จำกัด สาขากรุงเทพฯ สาขา สำนักงานวิเทศธนกิจชลบุรี</t>
  </si>
  <si>
    <t>0390758</t>
  </si>
  <si>
    <t>ธ. มิซูโฮ จำกัด สาขากรุงเทพฯ สาขา สำนักงานวิเทศธนกิจอยุธยา</t>
  </si>
  <si>
    <t>0390788</t>
  </si>
  <si>
    <t>ธ. มิซูโฮ จำกัด สาขากรุงเทพฯ สาขา สำนักงานวิเทศธนกิจ กรุงเทพฯ</t>
  </si>
  <si>
    <t>0450001</t>
  </si>
  <si>
    <t>ธ. บีเอ็นพี พารีบาส์ สาขา กรุงเทพฯ</t>
  </si>
  <si>
    <t>0450479</t>
  </si>
  <si>
    <t>ธ. บีเอ็นพี พารีบาส์ สาขา สำนักงานวิเทศธนกิจ กรุงเทพฯ</t>
  </si>
  <si>
    <t>0450480</t>
  </si>
  <si>
    <t>ธ. บีเอ็นพี พารีบาส์ สาขา สำนักงานวิเทศธนกิจ สาขา ชลบุรี</t>
  </si>
  <si>
    <t>0520001</t>
  </si>
  <si>
    <t>ธ. แห่งประเทศจีน (ไทย) จำกัด (มหาชน) สำนักงานใหญ่</t>
  </si>
  <si>
    <t>0520002</t>
  </si>
  <si>
    <t>ธ. แห่งประเทศจีน (ไทย) จำกัด (มหาชน) สาขา รัชดา</t>
  </si>
  <si>
    <t>0520003</t>
  </si>
  <si>
    <t>ธ. แห่งประเทศจีน (ไทย) จำกัด (มหาชน) สาขา ระยอง</t>
  </si>
  <si>
    <t>0520004</t>
  </si>
  <si>
    <t>ธ. แห่งประเทศจีน (ไทย) จำกัด (มหาชน) สาขา ตลาดไท</t>
  </si>
  <si>
    <t>0520005</t>
  </si>
  <si>
    <t>ธ. แห่งประเทศจีน (ไทย) จำกัด (มหาชน) สาขา บางนา</t>
  </si>
  <si>
    <t>0520006</t>
  </si>
  <si>
    <t>ธ. แห่งประเทศจีน (ไทย) จำกัด (มหาชน) สาขา ขอนแก่น</t>
  </si>
  <si>
    <t>0520007</t>
  </si>
  <si>
    <t>ธ. แห่งประเทศจีน (ไทย) จำกัด (มหาชน) สาขา หาดใหญ่</t>
  </si>
  <si>
    <t>0520008</t>
  </si>
  <si>
    <t>ธ. แห่งประเทศจีน (ไทย) จำกัด (มหาชน) สาขา นครราชสีมา</t>
  </si>
  <si>
    <t>0520009</t>
  </si>
  <si>
    <t>ธ. แห่งประเทศจีน (ไทย) จำกัด (มหาชน) สาขา เชียงใหม่</t>
  </si>
  <si>
    <t>0520888</t>
  </si>
  <si>
    <t>ธ. แห่งประเทศจีน (ไทย) จำกัด (มหาชน) สาขา สำนักงานวิเทศธนกิจ กรุงเทพฯ</t>
  </si>
  <si>
    <t>0650001</t>
  </si>
  <si>
    <t>ธ. ธนชาต จำกัด (มหาชน) สำนักชิดลม</t>
  </si>
  <si>
    <t>0650002</t>
  </si>
  <si>
    <t>ธ. ธนชาต จำกัด (มหาชน) สาขา สีลม</t>
  </si>
  <si>
    <t>0650014</t>
  </si>
  <si>
    <t>ธ. ธนชาต จำกัด (มหาชน) สาขา รัชดาภิเษก (อาคารกลาสเฮ้าส์)</t>
  </si>
  <si>
    <t>0650015</t>
  </si>
  <si>
    <t>ธ. ธนชาต จำกัด (มหาชน) สาขา เยาวราช</t>
  </si>
  <si>
    <t>0650020</t>
  </si>
  <si>
    <t>ธ. ธนชาต จำกัด (มหาชน) สาขา ถนนนางลิ้นจี่</t>
  </si>
  <si>
    <t>0650021</t>
  </si>
  <si>
    <t>ธ. ธนชาต จำกัด (มหาชน) สาขา ย่อยคลองถม</t>
  </si>
  <si>
    <t>0650024</t>
  </si>
  <si>
    <t>ธ. ธนชาต จำกัด (มหาชน) สาขา ทองหล่อ</t>
  </si>
  <si>
    <t>0650025</t>
  </si>
  <si>
    <t>ธ. ธนชาต จำกัด (มหาชน) สาขา สยามพารากอน   {T-Next]</t>
  </si>
  <si>
    <t>0650027</t>
  </si>
  <si>
    <t>ธ. ธนชาต จำกัด (มหาชน) สาขา เทสโก้ โลตัส รัตนาธิเบศร์</t>
  </si>
  <si>
    <t>0650035</t>
  </si>
  <si>
    <t>ธ. ธนชาต จำกัด (มหาชน) สาขา ศรีวรา</t>
  </si>
  <si>
    <t>0650038</t>
  </si>
  <si>
    <t>ธ. ธนชาต จำกัด (มหาชน) สาขา ย่อยแฟชั่น ไอส์แลนด์</t>
  </si>
  <si>
    <t>0650039</t>
  </si>
  <si>
    <t>ธ. ธนชาต จำกัด (มหาชน) สาขา บิ๊กซี บางบอน</t>
  </si>
  <si>
    <t>0650042</t>
  </si>
  <si>
    <t>ธ. ธนชาต จำกัด (มหาชน) สาขา ถนนสิรินธร</t>
  </si>
  <si>
    <t>0650043</t>
  </si>
  <si>
    <t>ธ. ธนชาต จำกัด (มหาชน) สาขา เดอะมอลล์ ท่าพระ</t>
  </si>
  <si>
    <t>0650045</t>
  </si>
  <si>
    <t>ธ. ธนชาต จำกัด (มหาชน) สาขา บางใหญ่</t>
  </si>
  <si>
    <t>0650054</t>
  </si>
  <si>
    <t>ธ. ธนชาต จำกัด (มหาชน) สาขา ถนนเพชรบุรีตัดใหม่</t>
  </si>
  <si>
    <t>0650057</t>
  </si>
  <si>
    <t>ธ. ธนชาต จำกัด (มหาชน) สาขา เอสพละนาด รัชดา</t>
  </si>
  <si>
    <t>0650059</t>
  </si>
  <si>
    <t>ธ. ธนชาต จำกัด (มหาชน) สาขา ถนนพัฒนาการ</t>
  </si>
  <si>
    <t>0650061</t>
  </si>
  <si>
    <t>ธ. ธนชาต จำกัด (มหาชน) สาขา ประตูน้ำ</t>
  </si>
  <si>
    <t>0650068</t>
  </si>
  <si>
    <t>ธ. ธนชาต จำกัด (มหาชน) สาขา บิ๊กซี สมุทรปราการ</t>
  </si>
  <si>
    <t>0650069</t>
  </si>
  <si>
    <t>ธ. ธนชาต จำกัด (มหาชน) สาขา ยูเนี่ยน มอลล์ ลาดพร้าว</t>
  </si>
  <si>
    <t>0650071</t>
  </si>
  <si>
    <t>ธ. ธนชาต จำกัด (มหาชน) สาขา เตาปูน</t>
  </si>
  <si>
    <t>0650073</t>
  </si>
  <si>
    <t>ธ. ธนชาต จำกัด (มหาชน) สาขา ดิ อเวนิว แจ้งวัฒนะ</t>
  </si>
  <si>
    <t>0650077</t>
  </si>
  <si>
    <t>ธ. ธนชาต จำกัด (มหาชน) สาขา โบ๊เบ๊</t>
  </si>
  <si>
    <t>0650078</t>
  </si>
  <si>
    <t>ธ. ธนชาต จำกัด (มหาชน) สาขา บิ๊กซี บางนา</t>
  </si>
  <si>
    <t>0650079</t>
  </si>
  <si>
    <t>ธ. ธนชาต จำกัด (มหาชน) สาขา ย่อยอินเดีย เอ็มโพเรี่ยม</t>
  </si>
  <si>
    <t>0650082</t>
  </si>
  <si>
    <t>ธ. ธนชาต จำกัด (มหาชน) สาขา วัชรพล</t>
  </si>
  <si>
    <t>0650083</t>
  </si>
  <si>
    <t>ธ. ธนชาต จำกัด (มหาชน) สาขา รามคำแหง ซอย 122</t>
  </si>
  <si>
    <t>0650084</t>
  </si>
  <si>
    <t>ธ. ธนชาต จำกัด (มหาชน) สาขา ประชาอุทิศ</t>
  </si>
  <si>
    <t>0650086</t>
  </si>
  <si>
    <t>ธ. ธนชาต จำกัด (มหาชน) สาขา ย่อยราชดำเนินกาลาง</t>
  </si>
  <si>
    <t>0650088</t>
  </si>
  <si>
    <t>ธ. ธนชาต จำกัด (มหาชน) สาขา วัน-โอ-วัน เดอะเทิร์ดเพลส</t>
  </si>
  <si>
    <t>0650092</t>
  </si>
  <si>
    <t>ธ. ธนชาต จำกัด (มหาชน) สาขา ศรีวรจักร</t>
  </si>
  <si>
    <t>0650093</t>
  </si>
  <si>
    <t>ธ. ธนชาต จำกัด (มหาชน) สาขา ย่อยกรีนเพลส (ซอยวัดไผ่เงิน)</t>
  </si>
  <si>
    <t>0650095</t>
  </si>
  <si>
    <t>ธ. ธนชาต จำกัด (มหาชน) สาขา เซ็นทรัล รัตนาธิเบศร์</t>
  </si>
  <si>
    <t>0650099</t>
  </si>
  <si>
    <t>ธ. ธนชาต จำกัด (มหาชน) สาขา สวนอุตสาหกรรมบางกะดี</t>
  </si>
  <si>
    <t>0650103</t>
  </si>
  <si>
    <t>ธ. ธนชาต จำกัด (มหาชน) สาขา ถนนพระราม 2 (การเคหะธนบุรี 3)</t>
  </si>
  <si>
    <t>0650104</t>
  </si>
  <si>
    <t>ธ. ธนชาต จำกัด (มหาชน) สาขา ย่อยถนนประชาอุทิศ (ทุ่งครุ)</t>
  </si>
  <si>
    <t>0650105</t>
  </si>
  <si>
    <t>ธ. ธนชาต จำกัด (มหาชน) สาขา เดอะพาซิโอ (ลาดกระบัง)</t>
  </si>
  <si>
    <t>0650109</t>
  </si>
  <si>
    <t>ธ. ธนชาต จำกัด (มหาชน) สาขา แจส เออเบิร์น ศรีนครินทร์</t>
  </si>
  <si>
    <t>0650112</t>
  </si>
  <si>
    <t>ธ. ธนชาต จำกัด (มหาชน) สาขา เซ็นทรัล แจ้งวัฒนะ</t>
  </si>
  <si>
    <t>0650113</t>
  </si>
  <si>
    <t>ธ. ธนชาต จำกัด (มหาชน) สาขา บิ๊กซี สุขาภิบาล 3 (รามคำแหง)</t>
  </si>
  <si>
    <t>0650119</t>
  </si>
  <si>
    <t>ธ. ธนชาต จำกัด (มหาชน) สาขา ย่อยบางบัวทอง</t>
  </si>
  <si>
    <t>0650127</t>
  </si>
  <si>
    <t>ธ. ธนชาต จำกัด (มหาชน) สาขา รามคำแหง ซอย 129</t>
  </si>
  <si>
    <t>0650130</t>
  </si>
  <si>
    <t>ธ. ธนชาต จำกัด (มหาชน) สาขา คลองตัน</t>
  </si>
  <si>
    <t>0650132</t>
  </si>
  <si>
    <t>ธ. ธนชาต จำกัด (มหาชน) สาขา พุทธมณฑลสาย 4</t>
  </si>
  <si>
    <t>0650133</t>
  </si>
  <si>
    <t>ธ. ธนชาต จำกัด (มหาชน) สาขา ถนนเจริญนคร</t>
  </si>
  <si>
    <t>0650135</t>
  </si>
  <si>
    <t>ธ. ธนชาต จำกัด (มหาชน) สาขา ทองหล่อ ซอย 3</t>
  </si>
  <si>
    <t>0650136</t>
  </si>
  <si>
    <t>ธ. ธนชาต จำกัด (มหาชน) สาขา เจริญผล</t>
  </si>
  <si>
    <t>0650139</t>
  </si>
  <si>
    <t>ธ. ธนชาต จำกัด (มหาชน) สาขา เทสโก้ โลตัส ลำลูกกา คลอง 6</t>
  </si>
  <si>
    <t>0650141</t>
  </si>
  <si>
    <t>ธ. ธนชาต จำกัด (มหาชน) สาขา คลองจั่น</t>
  </si>
  <si>
    <t>0650142</t>
  </si>
  <si>
    <t>ธ. ธนชาต จำกัด (มหาชน) สาขา เทสโก้ โลตัส ศรีนครินทร์</t>
  </si>
  <si>
    <t>0650147</t>
  </si>
  <si>
    <t>ธ. ธนชาต จำกัด (มหาชน) สาขา นครชัยศรี</t>
  </si>
  <si>
    <t>0650148</t>
  </si>
  <si>
    <t>ธ. ธนชาต จำกัด (มหาชน) สาขา ถนนพัฒนาการ 22</t>
  </si>
  <si>
    <t>0650149</t>
  </si>
  <si>
    <t>ธ. ธนชาต จำกัด (มหาชน) สาขา รามอินทรา (กม.8)</t>
  </si>
  <si>
    <t>0650153</t>
  </si>
  <si>
    <t>ธ. ธนชาต จำกัด (มหาชน) สาขา เทสโก้ โลตัส พระราม 4</t>
  </si>
  <si>
    <t>0650158</t>
  </si>
  <si>
    <t>ธ. ธนชาต จำกัด (มหาชน) สาขา นิคมอุตสาหกรรมบางปู</t>
  </si>
  <si>
    <t>0650159</t>
  </si>
  <si>
    <t>ธ. ธนชาต จำกัด (มหาชน) สาขา จรัญสนิทวงศ์ 86/2</t>
  </si>
  <si>
    <t>0650163</t>
  </si>
  <si>
    <t>ธ. ธนชาต จำกัด (มหาชน) สาขา มีนบุรี</t>
  </si>
  <si>
    <t>0650165</t>
  </si>
  <si>
    <t>ธ. ธนชาต จำกัด (มหาชน) สาขา ถนนพระราม 9</t>
  </si>
  <si>
    <t>0650166</t>
  </si>
  <si>
    <t>ธ. ธนชาต จำกัด (มหาชน) สาขา ถนนสามัคคี</t>
  </si>
  <si>
    <t>0650168</t>
  </si>
  <si>
    <t>ธ. ธนชาต จำกัด (มหาชน) สาขา มหาวิทยาลัยหัวเฉียวเฉลิมพระเกียรติ</t>
  </si>
  <si>
    <t>0650170</t>
  </si>
  <si>
    <t>ธ. ธนชาต จำกัด (มหาชน) สาขา ลำสาลี</t>
  </si>
  <si>
    <t>0650171</t>
  </si>
  <si>
    <t>ธ. ธนชาต จำกัด (มหาชน) สาขา หนามแดง</t>
  </si>
  <si>
    <t>0650173</t>
  </si>
  <si>
    <t>ธ. ธนชาต จำกัด (มหาชน) สาขา เซียร์-รังสิต</t>
  </si>
  <si>
    <t>0650174</t>
  </si>
  <si>
    <t>ธ. ธนชาต จำกัด (มหาชน) สาขา ลาดพร้าว 53</t>
  </si>
  <si>
    <t>0650177</t>
  </si>
  <si>
    <t>ธ. ธนชาต จำกัด (มหาชน) สาขา ลาดพร้าว 118</t>
  </si>
  <si>
    <t>0650180</t>
  </si>
  <si>
    <t>ธ. ธนชาต จำกัด (มหาชน) สาขา รามอินทรา (กม.7)</t>
  </si>
  <si>
    <t>0650181</t>
  </si>
  <si>
    <t>ธ. ธนชาต จำกัด (มหาชน) สาขา สี่แยกประเวศ</t>
  </si>
  <si>
    <t>0650182</t>
  </si>
  <si>
    <t>ธ. ธนชาต จำกัด (มหาชน) สาขา บางกรวย</t>
  </si>
  <si>
    <t>0650184</t>
  </si>
  <si>
    <t>ธ. ธนชาต จำกัด (มหาชน) สาขา ถนนบรมราชชนนี</t>
  </si>
  <si>
    <t>0650190</t>
  </si>
  <si>
    <t>ธ. ธนชาต จำกัด (มหาชน) สาขา ไอที สแควร์</t>
  </si>
  <si>
    <t>0650198</t>
  </si>
  <si>
    <t>ธ. ธนชาต จำกัด (มหาชน) สาขา ถนนฉลองกรุง</t>
  </si>
  <si>
    <t>0650200</t>
  </si>
  <si>
    <t>ธ. ธนชาต จำกัด (มหาชน) สาขา ถนนเคหะร่มเกล้า</t>
  </si>
  <si>
    <t>0650209</t>
  </si>
  <si>
    <t>ธ. ธนชาต จำกัด (มหาชน) สาขา คริสตัลดีไซน์เซ็นเตอร์</t>
  </si>
  <si>
    <t>0650214</t>
  </si>
  <si>
    <t>ธ. ธนชาต จำกัด (มหาชน) สาขา บำรุงเมือง</t>
  </si>
  <si>
    <t>0650218</t>
  </si>
  <si>
    <t>ธ. ธนชาต จำกัด (มหาชน) สาขา สีลม (ถนนปั้น)</t>
  </si>
  <si>
    <t>0650221</t>
  </si>
  <si>
    <t>ธ. ธนชาต จำกัด (มหาชน) สาขา ลาดพร้าว</t>
  </si>
  <si>
    <t>0650223</t>
  </si>
  <si>
    <t>ธ. ธนชาต จำกัด (มหาชน) สาขา ตลาดบางบัวทอง</t>
  </si>
  <si>
    <t>0650224</t>
  </si>
  <si>
    <t>ธ. ธนชาต จำกัด (มหาชน) สาขา ท่าพระจันทร์</t>
  </si>
  <si>
    <t>0650232</t>
  </si>
  <si>
    <t>ธ. ธนชาต จำกัด (มหาชน) สาขา ปากเกร็ด</t>
  </si>
  <si>
    <t>0650234</t>
  </si>
  <si>
    <t>ธ. ธนชาต จำกัด (มหาชน) สาขา เทเวศร์</t>
  </si>
  <si>
    <t>0650238</t>
  </si>
  <si>
    <t>ธ. ธนชาต จำกัด (มหาชน) สาขา คลองหลวง</t>
  </si>
  <si>
    <t>0650239</t>
  </si>
  <si>
    <t>ธ. ธนชาต จำกัด (มหาชน) สาขา กิ่งแก้ว</t>
  </si>
  <si>
    <t>0650240</t>
  </si>
  <si>
    <t>ธ. ธนชาต จำกัด (มหาชน) สาขา อโศก</t>
  </si>
  <si>
    <t>0650243</t>
  </si>
  <si>
    <t>ธ. ธนชาต จำกัด (มหาชน) สาขา มหาชัยเมืองใหม่</t>
  </si>
  <si>
    <t>0650244</t>
  </si>
  <si>
    <t>ธ. ธนชาต จำกัด (มหาชน) สาขา รามอินทรา</t>
  </si>
  <si>
    <t>0650246</t>
  </si>
  <si>
    <t>ธ. ธนชาต จำกัด (มหาชน) สาขา เสรีไทย 32</t>
  </si>
  <si>
    <t>0650248</t>
  </si>
  <si>
    <t>ธ. ธนชาต จำกัด (มหาชน) สาขา เทพารักษ์</t>
  </si>
  <si>
    <t>0650249</t>
  </si>
  <si>
    <t>ธ. ธนชาต จำกัด (มหาชน) สาขา บางปู</t>
  </si>
  <si>
    <t>0650250</t>
  </si>
  <si>
    <t>ธ. ธนชาต จำกัด (มหาชน) สาขา รามคำแหง 73</t>
  </si>
  <si>
    <t>0650252</t>
  </si>
  <si>
    <t>ธ. ธนชาต จำกัด (มหาชน) สาขา บางมด</t>
  </si>
  <si>
    <t>0650253</t>
  </si>
  <si>
    <t>ธ. ธนชาต จำกัด (มหาชน) สาขา ชาญอิสสระทาวเวอร์ 2</t>
  </si>
  <si>
    <t>0650258</t>
  </si>
  <si>
    <t>ธ. ธนชาต จำกัด (มหาชน) สาขา เจริญกรุง 17</t>
  </si>
  <si>
    <t>0650259</t>
  </si>
  <si>
    <t>ธ. ธนชาต จำกัด (มหาชน) สาขา พัฒนาการ</t>
  </si>
  <si>
    <t>0650260</t>
  </si>
  <si>
    <t>ธ. ธนชาต จำกัด (มหาชน) สาขา รัชดาภิเษก</t>
  </si>
  <si>
    <t>0650263</t>
  </si>
  <si>
    <t>ธ. ธนชาต จำกัด (มหาชน) สาขา สุทธิสาร</t>
  </si>
  <si>
    <t>0650264</t>
  </si>
  <si>
    <t>ธ. ธนชาต จำกัด (มหาชน) สาขา พี.บี. ทาวเวอร์ (คลองตัน)</t>
  </si>
  <si>
    <t>0650265</t>
  </si>
  <si>
    <t>ธ. ธนชาต จำกัด (มหาชน) สาขา ตลาดพลู</t>
  </si>
  <si>
    <t>0650266</t>
  </si>
  <si>
    <t>ธ. ธนชาต จำกัด (มหาชน) สาขา รังสิต-คลอง 3</t>
  </si>
  <si>
    <t>0650267</t>
  </si>
  <si>
    <t>ธ. ธนชาต จำกัด (มหาชน) สาขา รามคำแหง 160</t>
  </si>
  <si>
    <t>0650268</t>
  </si>
  <si>
    <t>ธ. ธนชาต จำกัด (มหาชน) สาขา โชคชัย 4</t>
  </si>
  <si>
    <t>0650269</t>
  </si>
  <si>
    <t>ธ. ธนชาต จำกัด (มหาชน) สาขา ตลาดมหาชัย</t>
  </si>
  <si>
    <t>0650270</t>
  </si>
  <si>
    <t>ธ. ธนชาต จำกัด (มหาชน) สาขา ปากคลองตลาด</t>
  </si>
  <si>
    <t>0650271</t>
  </si>
  <si>
    <t>ธ. ธนชาต จำกัด (มหาชน) สาขา รัตนาธิเบศร์</t>
  </si>
  <si>
    <t>0650273</t>
  </si>
  <si>
    <t>ธ. ธนชาต จำกัด (มหาชน) สาขา แฟชั่น ไอส์แลนด์</t>
  </si>
  <si>
    <t>0650274</t>
  </si>
  <si>
    <t>ธ. ธนชาต จำกัด (มหาชน) สาขา ถนนเศรษฐกิจ 1 (อ้อมน้อย)</t>
  </si>
  <si>
    <t>0650276</t>
  </si>
  <si>
    <t>ธ. ธนชาต จำกัด (มหาชน) สาขา โบ๊เบ๊ ทาวเวอร์</t>
  </si>
  <si>
    <t>0650279</t>
  </si>
  <si>
    <t>ธ. ธนชาต จำกัด (มหาชน) สาขา สาธุประดิษฐ์ 49</t>
  </si>
  <si>
    <t>0650281</t>
  </si>
  <si>
    <t>ธ. ธนชาต จำกัด (มหาชน) สาขา บางบอน</t>
  </si>
  <si>
    <t>0650283</t>
  </si>
  <si>
    <t>ธ. ธนชาต จำกัด (มหาชน) สาขา เพชรเกษม 69</t>
  </si>
  <si>
    <t>0650286</t>
  </si>
  <si>
    <t>ธ. ธนชาต จำกัด (มหาชน) สาขา เจริญนคร ซอย 36</t>
  </si>
  <si>
    <t>0650288</t>
  </si>
  <si>
    <t>ธ. ธนชาต จำกัด (มหาชน) สาขา อโศก-ดินแดง</t>
  </si>
  <si>
    <t>0650290</t>
  </si>
  <si>
    <t>ธ. ธนชาต จำกัด (มหาชน) สาขา นวนคร</t>
  </si>
  <si>
    <t>0650291</t>
  </si>
  <si>
    <t>ธ. ธนชาต จำกัด (มหาชน) สาขา จรัญสนิทวงศ์ 13</t>
  </si>
  <si>
    <t>0650293</t>
  </si>
  <si>
    <t>ธ. ธนชาต จำกัด (มหาชน) สาขา บางครุ</t>
  </si>
  <si>
    <t>0650295</t>
  </si>
  <si>
    <t>ธ. ธนชาต จำกัด (มหาชน) สาขา รัชดา-ห้วยขวาง</t>
  </si>
  <si>
    <t>0650296</t>
  </si>
  <si>
    <t>ธ. ธนชาต จำกัด (มหาชน) สาขา เมืองใหม่-บางพลี</t>
  </si>
  <si>
    <t>0650298</t>
  </si>
  <si>
    <t>ธ. ธนชาต จำกัด (มหาชน) สาขา ศาลายา</t>
  </si>
  <si>
    <t>0650303</t>
  </si>
  <si>
    <t>ธ. ธนชาต จำกัด (มหาชน) สาขา ถนนธรรมนูญวิถี (หาดใหญ่)</t>
  </si>
  <si>
    <t>0650306</t>
  </si>
  <si>
    <t>ธ. ธนชาต จำกัด (มหาชน) สาขา ปากพนัง</t>
  </si>
  <si>
    <t>0650307</t>
  </si>
  <si>
    <t>ธ. ธนชาต จำกัด (มหาชน) สาขา ลำพูน</t>
  </si>
  <si>
    <t>0650309</t>
  </si>
  <si>
    <t>ธ. ธนชาต จำกัด (มหาชน) สาขา ยะลา</t>
  </si>
  <si>
    <t>0650323</t>
  </si>
  <si>
    <t>ธ. ธนชาต จำกัด (มหาชน) สาขา ตาก</t>
  </si>
  <si>
    <t>0650324</t>
  </si>
  <si>
    <t>ธ. ธนชาต จำกัด (มหาชน) สาขา ตลาดสุพรรณบุรี</t>
  </si>
  <si>
    <t>0650328</t>
  </si>
  <si>
    <t>ธ. ธนชาต จำกัด (มหาชน) สาขา ทุ่งสง</t>
  </si>
  <si>
    <t>0650333</t>
  </si>
  <si>
    <t>ธ. ธนชาต จำกัด (มหาชน) สาขา ห้าแยกน้ำพุ (อุดรธานี)</t>
  </si>
  <si>
    <t>0650335</t>
  </si>
  <si>
    <t>ธ. ธนชาต จำกัด (มหาชน) สาขา กาญจนบุรี</t>
  </si>
  <si>
    <t>0650339</t>
  </si>
  <si>
    <t>ธ. ธนชาต จำกัด (มหาชน) สาขา ถนนหน้าเมือง (ขอนแก่น)</t>
  </si>
  <si>
    <t>0650346</t>
  </si>
  <si>
    <t>ธ. ธนชาต จำกัด (มหาชน) สาขา สามชุก</t>
  </si>
  <si>
    <t>0650349</t>
  </si>
  <si>
    <t>ธ. ธนชาต จำกัด (มหาชน) สาขา ตาคลี</t>
  </si>
  <si>
    <t>0650353</t>
  </si>
  <si>
    <t>ธ. ธนชาต จำกัด (มหาชน) สาขา สวรรคโลก</t>
  </si>
  <si>
    <t>0650362</t>
  </si>
  <si>
    <t>ธ. ธนชาต จำกัด (มหาชน) สาขา สงขลา</t>
  </si>
  <si>
    <t>0650366</t>
  </si>
  <si>
    <t>ธ. ธนชาต จำกัด (มหาชน) สาขา ระนอง</t>
  </si>
  <si>
    <t>0650369</t>
  </si>
  <si>
    <t>ธ. ธนชาต จำกัด (มหาชน) สาขา นางรอง</t>
  </si>
  <si>
    <t>0650376</t>
  </si>
  <si>
    <t>ธ. ธนชาต จำกัด (มหาชน) สาขา สุรินทร์</t>
  </si>
  <si>
    <t>0650378</t>
  </si>
  <si>
    <t>ธ. ธนชาต จำกัด (มหาชน) สาขา ห้วยสะท้อน</t>
  </si>
  <si>
    <t>0650384</t>
  </si>
  <si>
    <t>ธ. ธนชาต จำกัด (มหาชน) สาขา ด่านช้าง</t>
  </si>
  <si>
    <t>0650385</t>
  </si>
  <si>
    <t>ธ. ธนชาต จำกัด (มหาชน) สาขา ถนนขุนสรรค์ (สิงห์บุรี)</t>
  </si>
  <si>
    <t>0650387</t>
  </si>
  <si>
    <t>ธ. ธนชาต จำกัด (มหาชน) สาขา วังน้ำเย็น</t>
  </si>
  <si>
    <t>0650390</t>
  </si>
  <si>
    <t>ธ. ธนชาต จำกัด (มหาชน) สาขา บิ๊กซี กำแพงเพชร</t>
  </si>
  <si>
    <t>0650401</t>
  </si>
  <si>
    <t>ธ. ธนชาต จำกัด (มหาชน) สาขา บุรีรัมย์</t>
  </si>
  <si>
    <t>0650405</t>
  </si>
  <si>
    <t>ธ. ธนชาต จำกัด (มหาชน) สาขา สามแยก</t>
  </si>
  <si>
    <t>0650407</t>
  </si>
  <si>
    <t>ธ. ธนชาต จำกัด (มหาชน) สาขา ถนนพระสุเมรุ (บางลำพู)</t>
  </si>
  <si>
    <t>0650410</t>
  </si>
  <si>
    <t>ธ. ธนชาต จำกัด (มหาชน) สาขา คลองเตย</t>
  </si>
  <si>
    <t>0650418</t>
  </si>
  <si>
    <t>ธ. ธนชาต จำกัด (มหาชน) สาขา ถนนสำราญรื่น (อุตรดิตถ์)</t>
  </si>
  <si>
    <t>0650434</t>
  </si>
  <si>
    <t>ธ. ธนชาต จำกัด (มหาชน) สาขา ถนนกวงเฮง (ศรีสะเกษ)</t>
  </si>
  <si>
    <t>0650436</t>
  </si>
  <si>
    <t>ธ. ธนชาต จำกัด (มหาชน) สาขา หล่มสัก</t>
  </si>
  <si>
    <t>0650439</t>
  </si>
  <si>
    <t>ธ. ธนชาต จำกัด (มหาชน) สาขา อุตสาหกรรมกบินทร์บุรี (หนองกี่)</t>
  </si>
  <si>
    <t>0650445</t>
  </si>
  <si>
    <t>ธ. ธนชาต จำกัด (มหาชน) สาขา สุวรรณคูหา</t>
  </si>
  <si>
    <t>0650447</t>
  </si>
  <si>
    <t>ธ. ธนชาต จำกัด (มหาชน) สาขา ทุ่งคอก</t>
  </si>
  <si>
    <t>0650451</t>
  </si>
  <si>
    <t>ธ. ธนชาต จำกัด (มหาชน) สาขา ปลวกแดง</t>
  </si>
  <si>
    <t>0650453</t>
  </si>
  <si>
    <t>ธ. ธนชาต จำกัด (มหาชน) สาขา หล่มเก่า</t>
  </si>
  <si>
    <t>0650464</t>
  </si>
  <si>
    <t>ธ. ธนชาต จำกัด (มหาชน) สาขา ตลาดท่าแพ  นครศรีธรรมราช</t>
  </si>
  <si>
    <t>0650475</t>
  </si>
  <si>
    <t>ธ. ธนชาต จำกัด (มหาชน) สาขา เล่งเน่ยยี่</t>
  </si>
  <si>
    <t>0650477</t>
  </si>
  <si>
    <t>ธ. ธนชาต จำกัด (มหาชน) สาขา นางเลิ้ง</t>
  </si>
  <si>
    <t>0650479</t>
  </si>
  <si>
    <t>ธ. ธนชาต จำกัด (มหาชน) สาขา สามแยกไฟฉาย</t>
  </si>
  <si>
    <t>0650485</t>
  </si>
  <si>
    <t>ธ. ธนชาต จำกัด (มหาชน) สาขา ดอนเมือง</t>
  </si>
  <si>
    <t>0650488</t>
  </si>
  <si>
    <t>ธ. ธนชาต จำกัด (มหาชน) สาขา สี่แยกเกษตร</t>
  </si>
  <si>
    <t>0650489</t>
  </si>
  <si>
    <t>ธ. ธนชาต จำกัด (มหาชน) สาขา เอกมัย 28</t>
  </si>
  <si>
    <t>0650490</t>
  </si>
  <si>
    <t>ธ. ธนชาต จำกัด (มหาชน) สาขา โรงพยาบาลพญาไท 1</t>
  </si>
  <si>
    <t>0650491</t>
  </si>
  <si>
    <t>ธ. ธนชาต จำกัด (มหาชน) สาขา เกทเวย์ แอท บางซื่อ</t>
  </si>
  <si>
    <t>0650493</t>
  </si>
  <si>
    <t>ธ. ธนชาต จำกัด (มหาชน) สาขา กล้วยน้ำไท</t>
  </si>
  <si>
    <t>0650501</t>
  </si>
  <si>
    <t>ธ. ธนชาต จำกัด (มหาชน) สาขา ท่าแพ</t>
  </si>
  <si>
    <t>0650502</t>
  </si>
  <si>
    <t>ธ. ธนชาต จำกัด (มหาชน) สาขา นครปฐม</t>
  </si>
  <si>
    <t>0650504</t>
  </si>
  <si>
    <t>ธ. ธนชาต จำกัด (มหาชน) สาขา นครสวรรค์</t>
  </si>
  <si>
    <t>0650505</t>
  </si>
  <si>
    <t>ธ. ธนชาต จำกัด (มหาชน) สาขา พระนครศรีอยุธยา</t>
  </si>
  <si>
    <t>0650506</t>
  </si>
  <si>
    <t>ธ. ธนชาต จำกัด (มหาชน) สาขา สระบุรี</t>
  </si>
  <si>
    <t>0650510</t>
  </si>
  <si>
    <t>ธ. ธนชาต จำกัด (มหาชน) สาขา ห้าแยกพ่อขุนเม็งราย (เชียงราย)</t>
  </si>
  <si>
    <t>0650515</t>
  </si>
  <si>
    <t>ธ. ธนชาต จำกัด (มหาชน) สาขา อยุธยาพาร์ค</t>
  </si>
  <si>
    <t>0650517</t>
  </si>
  <si>
    <t>ธ. ธนชาต จำกัด (มหาชน) สาขา เทสโก้ โลตัส พิษณุโลก</t>
  </si>
  <si>
    <t>0650519</t>
  </si>
  <si>
    <t>ธ. ธนชาต จำกัด (มหาชน) สาขา สุโขทัย</t>
  </si>
  <si>
    <t>0650523</t>
  </si>
  <si>
    <t>ธ. ธนชาต จำกัด (มหาชน) สาขา โรบินสัน สุพรรณบุรี</t>
  </si>
  <si>
    <t>0650524</t>
  </si>
  <si>
    <t>ธ. ธนชาต จำกัด (มหาชน) สาขา พิจิตร</t>
  </si>
  <si>
    <t>0650526</t>
  </si>
  <si>
    <t>ธ. ธนชาต จำกัด (มหาชน) สาขา กำแพงเพชร</t>
  </si>
  <si>
    <t>0650528</t>
  </si>
  <si>
    <t>ธ. ธนชาต จำกัด (มหาชน) สาขา ถนนบรมไตรโลกนารถ 2 (พิษณุโลก)</t>
  </si>
  <si>
    <t>0650532</t>
  </si>
  <si>
    <t>ธ. ธนชาต จำกัด (มหาชน) สาขา สิงห์บุรี</t>
  </si>
  <si>
    <t>0650537</t>
  </si>
  <si>
    <t>ธ. ธนชาต จำกัด (มหาชน) สาขา บิ๊กซี สระแก้ว</t>
  </si>
  <si>
    <t>0650538</t>
  </si>
  <si>
    <t>ธ. ธนชาต จำกัด (มหาชน) สาขา อู่ทอง</t>
  </si>
  <si>
    <t>0650541</t>
  </si>
  <si>
    <t>ธ. ธนชาต จำกัด (มหาชน) สาขา เวิ้งนครเขษม</t>
  </si>
  <si>
    <t>0650542</t>
  </si>
  <si>
    <t>ธ. ธนชาต จำกัด (มหาชน) สาขา ปู่เจ้าสมิงพราย</t>
  </si>
  <si>
    <t>0650546</t>
  </si>
  <si>
    <t>ธ. ธนชาต จำกัด (มหาชน) สาขา แพร่</t>
  </si>
  <si>
    <t>0650547</t>
  </si>
  <si>
    <t>ธ. ธนชาต จำกัด (มหาชน) สาขา เพชรบุรี</t>
  </si>
  <si>
    <t>0650550</t>
  </si>
  <si>
    <t>ธ. ธนชาต จำกัด (มหาชน) สาขา ครุใน</t>
  </si>
  <si>
    <t>0650557</t>
  </si>
  <si>
    <t>ธ. ธนชาต จำกัด (มหาชน) สาขา วัดพระยาไกร</t>
  </si>
  <si>
    <t>0650581</t>
  </si>
  <si>
    <t>ธ. ธนชาต จำกัด (มหาชน) สาขา ห้าแยกปากเกร็ด</t>
  </si>
  <si>
    <t>0650582</t>
  </si>
  <si>
    <t>ธ. ธนชาต จำกัด (มหาชน) สาขา บางขุนนนท์</t>
  </si>
  <si>
    <t>0650591</t>
  </si>
  <si>
    <t>ธ. ธนชาต จำกัด (มหาชน) สาขา ยโสธร</t>
  </si>
  <si>
    <t>0650592</t>
  </si>
  <si>
    <t>ธ. ธนชาต จำกัด (มหาชน) สาขา สกลนคร</t>
  </si>
  <si>
    <t>0650593</t>
  </si>
  <si>
    <t>ธ. ธนชาต จำกัด (มหาชน) สาขา ถนนปุณณกัณฑ์ (หาดใหญ่)</t>
  </si>
  <si>
    <t>0650602</t>
  </si>
  <si>
    <t>ธ. ธนชาต จำกัด (มหาชน) สาขา ขอนแก่น</t>
  </si>
  <si>
    <t>0650610</t>
  </si>
  <si>
    <t>ธ. ธนชาต จำกัด (มหาชน) สาขา ถนนเจตน์จำนงค์ (ชลบุรี)</t>
  </si>
  <si>
    <t>0650616</t>
  </si>
  <si>
    <t>ธ. ธนชาต จำกัด (มหาชน) สาขา หนองคาย</t>
  </si>
  <si>
    <t>0650617</t>
  </si>
  <si>
    <t>ธ. ธนชาต จำกัด (มหาชน) สาขา ถนนหายโศรก (ร้อยเอ็ด)</t>
  </si>
  <si>
    <t>0650633</t>
  </si>
  <si>
    <t>ธ. ธนชาต จำกัด (มหาชน) สาขา มหาสารคาม</t>
  </si>
  <si>
    <t>0650635</t>
  </si>
  <si>
    <t>ธ. ธนชาต จำกัด (มหาชน) สาขา ตราด</t>
  </si>
  <si>
    <t>0650639</t>
  </si>
  <si>
    <t>ธ. ธนชาต จำกัด (มหาชน) สาขา เลย</t>
  </si>
  <si>
    <t>0650640</t>
  </si>
  <si>
    <t>ธ. ธนชาต จำกัด (มหาชน) สาขา บิ๊กซี ยโสธร</t>
  </si>
  <si>
    <t>0650643</t>
  </si>
  <si>
    <t>0650651</t>
  </si>
  <si>
    <t>ธ. ธนชาต จำกัด (มหาชน) สาขา กบินทร์บุรี</t>
  </si>
  <si>
    <t>0650655</t>
  </si>
  <si>
    <t>ธ. ธนชาต จำกัด (มหาชน) สาขา พนมสารคาม</t>
  </si>
  <si>
    <t>0650660</t>
  </si>
  <si>
    <t>ธ. ธนชาต จำกัด (มหาชน) สาขา ช่องแค</t>
  </si>
  <si>
    <t>0650661</t>
  </si>
  <si>
    <t>ธ. ธนชาต จำกัด (มหาชน) สาขา ลาดบัวหลวง</t>
  </si>
  <si>
    <t>0650662</t>
  </si>
  <si>
    <t>ธ. ธนชาต จำกัด (มหาชน) สาขา บ้านนาเดิม</t>
  </si>
  <si>
    <t>0650664</t>
  </si>
  <si>
    <t>ธ. ธนชาต จำกัด (มหาชน) สาขา วังเจ้า</t>
  </si>
  <si>
    <t>0650665</t>
  </si>
  <si>
    <t>ธ. ธนชาต จำกัด (มหาชน) สาขา บางซ้าย</t>
  </si>
  <si>
    <t>0650672</t>
  </si>
  <si>
    <t>ธ. ธนชาต จำกัด (มหาชน) สาขา สัตหีบ</t>
  </si>
  <si>
    <t>0650690</t>
  </si>
  <si>
    <t>ธ. ธนชาต จำกัด (มหาชน) สาขา ร้อยเอ็ด</t>
  </si>
  <si>
    <t>0650703</t>
  </si>
  <si>
    <t>ธ. ธนชาต จำกัด (มหาชน) สาขา หาดใหญ่</t>
  </si>
  <si>
    <t>0650716</t>
  </si>
  <si>
    <t>ธ. ธนชาต จำกัด (มหาชน) สาขา ไดอาน่า ศรีภูวนารถ</t>
  </si>
  <si>
    <t>0650727</t>
  </si>
  <si>
    <t>ธ. ธนชาต จำกัด (มหาชน) สาขา ย่อยห้าแยกฉลอง (ภูเก็ต)</t>
  </si>
  <si>
    <t>0650728</t>
  </si>
  <si>
    <t>ธ. ธนชาต จำกัด (มหาชน) สาขา เทสโก้ โลตัส กระบี่</t>
  </si>
  <si>
    <t>0650729</t>
  </si>
  <si>
    <t>ธ. ธนชาต จำกัด (มหาชน) สาขา พัทลุง</t>
  </si>
  <si>
    <t>0650731</t>
  </si>
  <si>
    <t>ธ. ธนชาต จำกัด (มหาชน) สาขา หาดใหญ่ใน</t>
  </si>
  <si>
    <t>0650733</t>
  </si>
  <si>
    <t>ธ. ธนชาต จำกัด (มหาชน) สาขา เทสโก้ โลตัส ปราณบุรี</t>
  </si>
  <si>
    <t>0650777</t>
  </si>
  <si>
    <t>ธ. ธนชาต จำกัด (มหาชน) สาขา สำนักเพชรบุรี</t>
  </si>
  <si>
    <t>0650789</t>
  </si>
  <si>
    <t>ธ. ธนชาต จำกัด (มหาชน) สาขา สำนักสวนมะลิ</t>
  </si>
  <si>
    <t>0660001</t>
  </si>
  <si>
    <t>ธ. อิสลามแห่งประเทศไทย สาขา คลองตัน</t>
  </si>
  <si>
    <t>0660002</t>
  </si>
  <si>
    <t>ธ. อิสลามแห่งประเทศไทย สาขา ทุ่งครุ</t>
  </si>
  <si>
    <t>0660003</t>
  </si>
  <si>
    <t>ธ. อิสลามแห่งประเทศไทย สาขา ถนนเจริญกรุง</t>
  </si>
  <si>
    <t>0660008</t>
  </si>
  <si>
    <t>ธ. อิสลามแห่งประเทศไทย สาขา สำนักอโศก</t>
  </si>
  <si>
    <t>0660027</t>
  </si>
  <si>
    <t>ธ. อิสลามแห่งประเทศไทย สาขา พระนครศรีอยุธยา</t>
  </si>
  <si>
    <t>0660028</t>
  </si>
  <si>
    <t>ธ. อิสลามแห่งประเทศไทย สาขา ศูนย์ราชการเฉลิมพระเกียรติ</t>
  </si>
  <si>
    <t>0660029</t>
  </si>
  <si>
    <t>ธ. อิสลามแห่งประเทศไทย สาขา เดอะมอลล์ บางกะปิ</t>
  </si>
  <si>
    <t>0660030</t>
  </si>
  <si>
    <t>ธ. อิสลามแห่งประเทศไทย สาขา นครราชสีมา</t>
  </si>
  <si>
    <t>0660031</t>
  </si>
  <si>
    <t>ธ. อิสลามแห่งประเทศไทย สาขา สุวรรณภูมิ</t>
  </si>
  <si>
    <t>0660032</t>
  </si>
  <si>
    <t>ธ. อิสลามแห่งประเทศไทย สาขา พาราไดซ์ พาร์ค</t>
  </si>
  <si>
    <t>0660033</t>
  </si>
  <si>
    <t>ธ. อิสลามแห่งประเทศไทย สาขา ยูดี ทาวน์(อุดรธานี)</t>
  </si>
  <si>
    <t>0660034</t>
  </si>
  <si>
    <t>ธ. อิสลามแห่งประเทศไทย สาขา หนองจอก</t>
  </si>
  <si>
    <t>0660035</t>
  </si>
  <si>
    <t>ธ. อิสลามแห่งประเทศไทย สาขา สุราษฎร์ธานี</t>
  </si>
  <si>
    <t>0660036</t>
  </si>
  <si>
    <t>ธ. อิสลามแห่งประเทศไทย สาขา บิ๊กซี ปัตตานี</t>
  </si>
  <si>
    <t>0660037</t>
  </si>
  <si>
    <t>ธ. อิสลามแห่งประเทศไทย สาขา นครศรีธรรมราช</t>
  </si>
  <si>
    <t>0660038</t>
  </si>
  <si>
    <t>ธ. อิสลามแห่งประเทศไทย สาขา สถานีขนส่งสายใต้</t>
  </si>
  <si>
    <t>0660039</t>
  </si>
  <si>
    <t>ธ. อิสลามแห่งประเทศไทย สาขา นนทบุรี</t>
  </si>
  <si>
    <t>0660040</t>
  </si>
  <si>
    <t>ธ. อิสลามแห่งประเทศไทย สาขา ประจวบคีรีขันธ์</t>
  </si>
  <si>
    <t>0660041</t>
  </si>
  <si>
    <t>ธ. อิสลามแห่งประเทศไทย สาขา ตันหยงมัส</t>
  </si>
  <si>
    <t>0660042</t>
  </si>
  <si>
    <t>ธ. อิสลามแห่งประเทศไทย สาขา ประตูน้ำ</t>
  </si>
  <si>
    <t>0660043</t>
  </si>
  <si>
    <t>ธ. อิสลามแห่งประเทศไทย สาขา ถนนวมินทร์</t>
  </si>
  <si>
    <t>0660044</t>
  </si>
  <si>
    <t>ธ. อิสลามแห่งประเทศไทย สาขา เกาะสมุย</t>
  </si>
  <si>
    <t>0660045</t>
  </si>
  <si>
    <t>ธ. อิสลามแห่งประเทศไทย สาขา มาบุญครอง เซ็นเตอร์</t>
  </si>
  <si>
    <t>0660046</t>
  </si>
  <si>
    <t>ธ. อิสลามแห่งประเทศไทย สาขา สีลม</t>
  </si>
  <si>
    <t>0660047</t>
  </si>
  <si>
    <t>ธ. อิสลามแห่งประเทศไทย สาขา เซ็นทรัลพลาซา ขอนแก่น</t>
  </si>
  <si>
    <t>0660048</t>
  </si>
  <si>
    <t>ธ. อิสลามแห่งประเทศไทย สาขา เซ็นทรัลพลาซา รัตนาธิเบศร์</t>
  </si>
  <si>
    <t>0660049</t>
  </si>
  <si>
    <t>ธ. อิสลามแห่งประเทศไทย สาขา เซ็นทรัลพลาซา ชลบุรี</t>
  </si>
  <si>
    <t>0660050</t>
  </si>
  <si>
    <t>ธ. อิสลามแห่งประเทศไทย สาขา ตรัง</t>
  </si>
  <si>
    <t>0660051</t>
  </si>
  <si>
    <t>ธ. อิสลามแห่งประเทศไทย สาขา สุไหงโก-ลก</t>
  </si>
  <si>
    <t>0660052</t>
  </si>
  <si>
    <t>ธ. อิสลามแห่งประเทศไทย สาขา ถนนช้างเผือก เชียงใหม่</t>
  </si>
  <si>
    <t>0660053</t>
  </si>
  <si>
    <t>ธ. อิสลามแห่งประเทศไทย สาขา เซ็นทรัลแอร์พอร์ต เชียงใหม่</t>
  </si>
  <si>
    <t>0660054</t>
  </si>
  <si>
    <t>ธ. อิสลามแห่งประเทศไทย สาขา ถนนภูมาชีพ ยะลา 2</t>
  </si>
  <si>
    <t>0660055</t>
  </si>
  <si>
    <t>ธ. อิสลามแห่งประเทศไทย สาขา เบตง</t>
  </si>
  <si>
    <t>0660056</t>
  </si>
  <si>
    <t>ธ. อิสลามแห่งประเทศไทย สาขา ฉะเชิงเทรา</t>
  </si>
  <si>
    <t>0660057</t>
  </si>
  <si>
    <t>ธ. อิสลามแห่งประเทศไทย สาขา เดอะมอลล์งามวงศ์วาน</t>
  </si>
  <si>
    <t>0660058</t>
  </si>
  <si>
    <t>ธ. อิสลามแห่งประเทศไทย สาขา เซ็นทรัลพลาซา เชียงราย</t>
  </si>
  <si>
    <t>0660059</t>
  </si>
  <si>
    <t>ธ. อิสลามแห่งประเทศไทย สาขา แม่สาย</t>
  </si>
  <si>
    <t>0660060</t>
  </si>
  <si>
    <t>ธ. อิสลามแห่งประเทศไทย สาขา ตาก</t>
  </si>
  <si>
    <t>0660061</t>
  </si>
  <si>
    <t>ธ. อิสลามแห่งประเทศไทย สาขา ถนนนิพัทธ์อุทิศ 1 หาดใหญ่</t>
  </si>
  <si>
    <t>0660062</t>
  </si>
  <si>
    <t>ธ. อิสลามแห่งประเทศไทย สาขา แม่สอด</t>
  </si>
  <si>
    <t>0660063</t>
  </si>
  <si>
    <t>ธ. อิสลามแห่งประเทศไทย สาขา บางแสน</t>
  </si>
  <si>
    <t>0660064</t>
  </si>
  <si>
    <t>ธ. อิสลามแห่งประเทศไทย สาขา ระนอง</t>
  </si>
  <si>
    <t>0660065</t>
  </si>
  <si>
    <t>ธ. อิสลามแห่งประเทศไทย สาขา นครสวรรค์</t>
  </si>
  <si>
    <t>0660066</t>
  </si>
  <si>
    <t>ธ. อิสลามแห่งประเทศไทย สาขา เดอะมอลล์ท่าพระ</t>
  </si>
  <si>
    <t>0660067</t>
  </si>
  <si>
    <t>ธ. อิสลามแห่งประเทศไทย สาขา เดอะมอลล์ บางแค</t>
  </si>
  <si>
    <t>0660068</t>
  </si>
  <si>
    <t>ธ. อิสลามแห่งประเทศไทย สาขา บางพลัด</t>
  </si>
  <si>
    <t>0660069</t>
  </si>
  <si>
    <t>ธ. อิสลามแห่งประเทศไทย สาขา เซ็นทรัลพลาซา พระราม 3</t>
  </si>
  <si>
    <t>0660070</t>
  </si>
  <si>
    <t>ธ. อิสลามแห่งประเทศไทย สาขา เซ็นทรัลเวิลด์พลาซ่า</t>
  </si>
  <si>
    <t>0660071</t>
  </si>
  <si>
    <t>ธ. อิสลามแห่งประเทศไทย สาขา เซ็นทรัลพลาซ่า แจ้งวัฒนะ</t>
  </si>
  <si>
    <t>0660072</t>
  </si>
  <si>
    <t>ธ. อิสลามแห่งประเทศไทย สาขา เดอะไนน์ พระราม 9</t>
  </si>
  <si>
    <t>0660073</t>
  </si>
  <si>
    <t>ธ. อิสลามแห่งประเทศไทย สาขา เซ็นทรัลพลาซ่า ปิ่นเกล้า</t>
  </si>
  <si>
    <t>0660074</t>
  </si>
  <si>
    <t>ธ. อิสลามแห่งประเทศไทย สาขา ระยอง</t>
  </si>
  <si>
    <t>0660075</t>
  </si>
  <si>
    <t>ธ. อิสลามแห่งประเทศไทย สาขา ถนนรามอินทรา กม. 12</t>
  </si>
  <si>
    <t>0660076</t>
  </si>
  <si>
    <t>ธ. อิสลามแห่งประเทศไทย สาขา ฟิวเจอร์ปาร์ค รังสิต</t>
  </si>
  <si>
    <t>0660077</t>
  </si>
  <si>
    <t>ธ. อิสลามแห่งประเทศไทย สาขา พังงา</t>
  </si>
  <si>
    <t>0660078</t>
  </si>
  <si>
    <t>ธ. อิสลามแห่งประเทศไทย สาขา แม่ขรี พัทลุง</t>
  </si>
  <si>
    <t>0660079</t>
  </si>
  <si>
    <t>ธ. อิสลามแห่งประเทศไทย สาขา สะพานใหม่</t>
  </si>
  <si>
    <t>0660080</t>
  </si>
  <si>
    <t>ธ. อิสลามแห่งประเทศไทย สาขา หางดง เชียงใหม่</t>
  </si>
  <si>
    <t>0660081</t>
  </si>
  <si>
    <t>ธ. อิสลามแห่งประเทศไทย สาขา สี่แยกทศกัณฑ์</t>
  </si>
  <si>
    <t>0660082</t>
  </si>
  <si>
    <t>ธ. อิสลามแห่งประเทศไทย สาขา สันป่าข่อย เชียงใหม่</t>
  </si>
  <si>
    <t>0660083</t>
  </si>
  <si>
    <t>ธ. อิสลามแห่งประเทศไทย สาขา เซ็นทรัลพลาซ่า พิษณุโลก</t>
  </si>
  <si>
    <t>0660084</t>
  </si>
  <si>
    <t>ธ. อิสลามแห่งประเทศไทย สาขา รามัน ยะลา</t>
  </si>
  <si>
    <t>0660085</t>
  </si>
  <si>
    <t>ธ. อิสลามแห่งประเทศไทย สาขา ตากใบ นราธิวาส</t>
  </si>
  <si>
    <t>0660086</t>
  </si>
  <si>
    <t>ธ. อิสลามแห่งประเทศไทย สาขา ปาลัส ปัตตานี</t>
  </si>
  <si>
    <t>0660087</t>
  </si>
  <si>
    <t>ธ. อิสลามแห่งประเทศไทย สาขา ยะรัง ปัตตานี</t>
  </si>
  <si>
    <t>0660088</t>
  </si>
  <si>
    <t>ธ. อิสลามแห่งประเทศไทย สาขา เซ็นทรัล เฟสติวัล ภูเก็ต</t>
  </si>
  <si>
    <t>0660089</t>
  </si>
  <si>
    <t>ธ. อิสลามแห่งประเทศไทย สาขา แว้ง นราธิวาส</t>
  </si>
  <si>
    <t>0660090</t>
  </si>
  <si>
    <t>ธ. อิสลามแห่งประเทศไทย สาขา รือเสาะ นราธิวาส</t>
  </si>
  <si>
    <t>0660091</t>
  </si>
  <si>
    <t>ธ. อิสลามแห่งประเทศไทย สาขา บันนังสตา ยะลา</t>
  </si>
  <si>
    <t>0660092</t>
  </si>
  <si>
    <t>ธ. อิสลามแห่งประเทศไทย สาขา โรบินสัน นครศรีธรรมราช</t>
  </si>
  <si>
    <t>0660093</t>
  </si>
  <si>
    <t>ธ. อิสลามแห่งประเทศไทย สาขา เซ็นทรัลพลาซา แกรนด์ พระราม 9</t>
  </si>
  <si>
    <t>0660094</t>
  </si>
  <si>
    <t>ธ. อิสลามแห่งประเทศไทย สาขา เทสโก้ โลตัส ถลาง</t>
  </si>
  <si>
    <t>0660095</t>
  </si>
  <si>
    <t>ธ. อิสลามแห่งประเทศไทย สาขา โรบินสัน ตรัง</t>
  </si>
  <si>
    <t>0660096</t>
  </si>
  <si>
    <t>ธ. อิสลามแห่งประเทศไทย สาขา โคกโพธิ์ ปัตตานี</t>
  </si>
  <si>
    <t>0660097</t>
  </si>
  <si>
    <t>ธ. อิสลามแห่งประเทศไทย สาขา ยะหา ยะลา</t>
  </si>
  <si>
    <t>0660098</t>
  </si>
  <si>
    <t>ธ. อิสลามแห่งประเทศไทย สาขา สายบุรี ปัตตานี</t>
  </si>
  <si>
    <t>0660099</t>
  </si>
  <si>
    <t>ธ. อิสลามแห่งประเทศไทย สำนักงานใหญ่</t>
  </si>
  <si>
    <t>0660101</t>
  </si>
  <si>
    <t>ธ. อิสลามแห่งประเทศไทย สาขา หาดใหญ่</t>
  </si>
  <si>
    <t>0660102</t>
  </si>
  <si>
    <t>ธ. อิสลามแห่งประเทศไทย สาขา ยะลา</t>
  </si>
  <si>
    <t>0660103</t>
  </si>
  <si>
    <t>ธ. อิสลามแห่งประเทศไทย สาขา ปัตตานี</t>
  </si>
  <si>
    <t>0660104</t>
  </si>
  <si>
    <t>ธ. อิสลามแห่งประเทศไทย สาขา นราธิวาส</t>
  </si>
  <si>
    <t>0660106</t>
  </si>
  <si>
    <t>ธ. อิสลามแห่งประเทศไทย สาขา กระบี่</t>
  </si>
  <si>
    <t>0660107</t>
  </si>
  <si>
    <t>ธ. อิสลามแห่งประเทศไทย สาขา ภูเก็ต</t>
  </si>
  <si>
    <t>0660109</t>
  </si>
  <si>
    <t>ธ. อิสลามแห่งประเทศไทย สาขา ถนนรามคำแหง 87</t>
  </si>
  <si>
    <t>0660110</t>
  </si>
  <si>
    <t>ธ. อิสลามแห่งประเทศไทย สาขา ทาวน์ อิน ทาวน์</t>
  </si>
  <si>
    <t>0660111</t>
  </si>
  <si>
    <t>ธ. อิสลามแห่งประเทศไทย สาขา พหลโยธิน 18/1</t>
  </si>
  <si>
    <t>0660112</t>
  </si>
  <si>
    <t>ธ. อิสลามแห่งประเทศไทย สาขา เซ็นทรัลพลาซา อุดรธานี</t>
  </si>
  <si>
    <t>0660113</t>
  </si>
  <si>
    <t>ธ. อิสลามแห่งประเทศไทย สาขา เซ็นทรัลพลาซา รามอินทรา</t>
  </si>
  <si>
    <t>0660114</t>
  </si>
  <si>
    <t>ธ. อิสลามแห่งประเทศไทย สาขา แฟชั่น ไอส์แลนด์</t>
  </si>
  <si>
    <t>0660115</t>
  </si>
  <si>
    <t>ธ. อิสลามแห่งประเทศไทย สาขา ถนนสุขุมวิท 3/1</t>
  </si>
  <si>
    <t>0660116</t>
  </si>
  <si>
    <t>ธ. อิสลามแห่งประเทศไทย สาขา เซ็นทรัลพลาซา สุราษฎร์ธานี</t>
  </si>
  <si>
    <t>0660117</t>
  </si>
  <si>
    <t>ธ. อิสลามแห่งประเทศไทย สาขา สกลนคร</t>
  </si>
  <si>
    <t>0660118</t>
  </si>
  <si>
    <t>ธ. อิสลามแห่งประเทศไทย สาขา ร้อยเอ็ด</t>
  </si>
  <si>
    <t>0660119</t>
  </si>
  <si>
    <t>ธ. อิสลามแห่งประเทศไทย สาขา ยโสธร</t>
  </si>
  <si>
    <t>0660120</t>
  </si>
  <si>
    <t>ธ. อิสลามแห่งประเทศไทย สาขา มหาสารคาม</t>
  </si>
  <si>
    <t>0660121</t>
  </si>
  <si>
    <t>ธ. อิสลามแห่งประเทศไทย สาขา สุพรรณบุรี</t>
  </si>
  <si>
    <t>0660122</t>
  </si>
  <si>
    <t>ธ. อิสลามแห่งประเทศไทย สาขา ศรีสะเกษ</t>
  </si>
  <si>
    <t>0660123</t>
  </si>
  <si>
    <t>ธ. อิสลามแห่งประเทศไทย สาขา ลำพูน</t>
  </si>
  <si>
    <t>0660124</t>
  </si>
  <si>
    <t>ธ. อิสลามแห่งประเทศไทย สาขา อุบลราชธานี</t>
  </si>
  <si>
    <t>0660125</t>
  </si>
  <si>
    <t>ธ. อิสลามแห่งประเทศไทย สาขา พิจิตร</t>
  </si>
  <si>
    <t>0660126</t>
  </si>
  <si>
    <t>ธ. อิสลามแห่งประเทศไทย สาขา สมุทรสาคร</t>
  </si>
  <si>
    <t>0660127</t>
  </si>
  <si>
    <t>ธ. อิสลามแห่งประเทศไทย สาขา นครปฐม</t>
  </si>
  <si>
    <t>0660128</t>
  </si>
  <si>
    <t>ธ. อิสลามแห่งประเทศไทย สาขา สุโขทัย</t>
  </si>
  <si>
    <t>0660129</t>
  </si>
  <si>
    <t>ธ. อิสลามแห่งประเทศไทย สาขา อุตรดิตถ์</t>
  </si>
  <si>
    <t>0660130</t>
  </si>
  <si>
    <t>ธ. อิสลามแห่งประเทศไทย สาขา กาฬสินธุ์</t>
  </si>
  <si>
    <t>0660131</t>
  </si>
  <si>
    <t>ธ. อิสลามแห่งประเทศไทย สาขา จันทบุรี</t>
  </si>
  <si>
    <t>0660132</t>
  </si>
  <si>
    <t>ธ. อิสลามแห่งประเทศไทย สาขา บุรีรัมย์</t>
  </si>
  <si>
    <t>0660133</t>
  </si>
  <si>
    <t>ธ. อิสลามแห่งประเทศไทย สาขา พะเยา</t>
  </si>
  <si>
    <t>0660134</t>
  </si>
  <si>
    <t>ธ. อิสลามแห่งประเทศไทย สาขา หัวหิน ประจวบคีรีขันธ์</t>
  </si>
  <si>
    <t>0660135</t>
  </si>
  <si>
    <t>ธ. อิสลามแห่งประเทศไทย สาขา ราชบุรี</t>
  </si>
  <si>
    <t>0660136</t>
  </si>
  <si>
    <t>ธ. อิสลามแห่งประเทศไทย สาขา ทุ่งสง นครศรีธรรมราช</t>
  </si>
  <si>
    <t>0660137</t>
  </si>
  <si>
    <t>ธ. อิสลามแห่งประเทศไทย สาขา กาญจนบุรี</t>
  </si>
  <si>
    <t>0660138</t>
  </si>
  <si>
    <t>ธ. อิสลามแห่งประเทศไทย สาขา สุรินทร์</t>
  </si>
  <si>
    <t>0660139</t>
  </si>
  <si>
    <t>ธ. อิสลามแห่งประเทศไทย สาขา ละงู สตูล</t>
  </si>
  <si>
    <t>0660140</t>
  </si>
  <si>
    <t>ธ. อิสลามแห่งประเทศไทย สาขา ถนนชนเกษม สุราษฎร์ธานี</t>
  </si>
  <si>
    <t>0660298</t>
  </si>
  <si>
    <t>ธ. อิสลามแห่งประเทศไทย สาขา ลำปาง</t>
  </si>
  <si>
    <t>0660351</t>
  </si>
  <si>
    <t>ธ. อิสลามแห่งประเทศไทย สาขา พิษณุโลก</t>
  </si>
  <si>
    <t>0660358</t>
  </si>
  <si>
    <t>ธ. อิสลามแห่งประเทศไทย สาขา เพชรบุรี</t>
  </si>
  <si>
    <t>0660360</t>
  </si>
  <si>
    <t>ธ. อิสลามแห่งประเทศไทย สาขา ชุมพร</t>
  </si>
  <si>
    <t>0660366</t>
  </si>
  <si>
    <t>ธ. อิสลามแห่งประเทศไทย สาขา ถนนวิจิตรไชยบูรณ์ นราธิวาส</t>
  </si>
  <si>
    <t>0660449</t>
  </si>
  <si>
    <t>ธ. อิสลามแห่งประเทศไทย สาขา ขอนแก่น</t>
  </si>
  <si>
    <t>0660543</t>
  </si>
  <si>
    <t>ธ. อิสลามแห่งประเทศไทย สาขา เชียงใหม่</t>
  </si>
  <si>
    <t>0660551</t>
  </si>
  <si>
    <t>ธ. อิสลามแห่งประเทศไทย สาขา เชียงราย</t>
  </si>
  <si>
    <t>0660581</t>
  </si>
  <si>
    <t>ธ. อิสลามแห่งประเทศไทย สาขา จะบังติกอ ปัตตานี</t>
  </si>
  <si>
    <t>0660583</t>
  </si>
  <si>
    <t>ธ. อิสลามแห่งประเทศไทย สาขา สงขลา</t>
  </si>
  <si>
    <t>0660584</t>
  </si>
  <si>
    <t>0660585</t>
  </si>
  <si>
    <t>ธ. อิสลามแห่งประเทศไทย สาขา จะนะ</t>
  </si>
  <si>
    <t>0660586</t>
  </si>
  <si>
    <t>ธ. อิสลามแห่งประเทศไทย สาขา สตูล</t>
  </si>
  <si>
    <t>0660587</t>
  </si>
  <si>
    <t>ธ. อิสลามแห่งประเทศไทย สาขา มีนบุรี</t>
  </si>
  <si>
    <t>0660588</t>
  </si>
  <si>
    <t>ธ. อิสลามแห่งประเทศไทย สาขา ศรีนครินทร์</t>
  </si>
  <si>
    <t>0660589</t>
  </si>
  <si>
    <t>ธ. อิสลามแห่งประเทศไทย สาขา พัทยา</t>
  </si>
  <si>
    <t>0660590</t>
  </si>
  <si>
    <t>ธ. อิสลามแห่งประเทศไทย สาขา ปทุมธานี</t>
  </si>
  <si>
    <t>0660888</t>
  </si>
  <si>
    <t>ธ. อิสลามแห่งประเทศไทย DUMMY BRANCH 1</t>
  </si>
  <si>
    <t>0660934</t>
  </si>
  <si>
    <t>0660990</t>
  </si>
  <si>
    <t>ธ. อิสลามแห่งประเทศไทย DUMMY BRANCH 2</t>
  </si>
  <si>
    <t>0670001</t>
  </si>
  <si>
    <t>ธ. ทิสโก้ จำกัด (มหาชน) สำนักงานใหญ่</t>
  </si>
  <si>
    <t>0670002</t>
  </si>
  <si>
    <t>ธ. ทิสโก้ จำกัด (มหาชน) สาขา ฝ่ายปฏิบัติการชำระเงิน</t>
  </si>
  <si>
    <t>0670101</t>
  </si>
  <si>
    <t>ธ. ทิสโก้ จำกัด (มหาชน) สาขา อุดรธานี</t>
  </si>
  <si>
    <t>0670102</t>
  </si>
  <si>
    <t>ธ. ทิสโก้ จำกัด (มหาชน) สาขา เชียงใหม่</t>
  </si>
  <si>
    <t>0670103</t>
  </si>
  <si>
    <t>ธ. ทิสโก้ จำกัด (มหาชน) สาขา พิษณุโลก</t>
  </si>
  <si>
    <t>0670104</t>
  </si>
  <si>
    <t>ธ. ทิสโก้ จำกัด (มหาชน) สาขา นครราชสีมา</t>
  </si>
  <si>
    <t>0670105</t>
  </si>
  <si>
    <t>ธ. ทิสโก้ จำกัด (มหาชน) สาขา ขอนแก่น</t>
  </si>
  <si>
    <t>0670106</t>
  </si>
  <si>
    <t>ธ. ทิสโก้ จำกัด (มหาชน) สาขา นครสวรรค์</t>
  </si>
  <si>
    <t>0670107</t>
  </si>
  <si>
    <t>ธ. ทิสโก้ จำกัด (มหาชน) สาขา จันทบุรี</t>
  </si>
  <si>
    <t>0670108</t>
  </si>
  <si>
    <t>ธ. ทิสโก้ จำกัด (มหาชน) สาขา สงขลา</t>
  </si>
  <si>
    <t>0670109</t>
  </si>
  <si>
    <t>ธ. ทิสโก้ จำกัด (มหาชน) สาขา ชลบุรี</t>
  </si>
  <si>
    <t>0670110</t>
  </si>
  <si>
    <t>ธ. ทิสโก้ จำกัด (มหาชน) สาขา ภูเก็ต</t>
  </si>
  <si>
    <t>0670111</t>
  </si>
  <si>
    <t>ธ. ทิสโก้ จำกัด (มหาชน) สาขา อุบลราชธานี</t>
  </si>
  <si>
    <t>0670112</t>
  </si>
  <si>
    <t>ธ. ทิสโก้ จำกัด (มหาชน) สาขา สุราษฎร์ธานี</t>
  </si>
  <si>
    <t>0670113</t>
  </si>
  <si>
    <t>ธ. ทิสโก้ จำกัด (มหาชน) สาขา ราชบุรี</t>
  </si>
  <si>
    <t>0670114</t>
  </si>
  <si>
    <t>ธ. ทิสโก้ จำกัด (มหาชน) สาขา สระบุรี</t>
  </si>
  <si>
    <t>0670115</t>
  </si>
  <si>
    <t>ธ. ทิสโก้ จำกัด (มหาชน) สาขา รัตนาธิเบศร์</t>
  </si>
  <si>
    <t>0670116</t>
  </si>
  <si>
    <t>ธ. ทิสโก้ จำกัด (มหาชน) สาขา  เพชรบุรีตัดใหม่</t>
  </si>
  <si>
    <t>0670117</t>
  </si>
  <si>
    <t>ธ. ทิสโก้ จำกัด (มหาชน) สาขา นครปฐม</t>
  </si>
  <si>
    <t>0670118</t>
  </si>
  <si>
    <t>ธ. ทิสโก้ จำกัด (มหาชน) สาขา  ศรีราชา</t>
  </si>
  <si>
    <t>0670119</t>
  </si>
  <si>
    <t>ธ. ทิสโก้ จำกัด (มหาชน) สาขา ศรีนครินทร์</t>
  </si>
  <si>
    <t>0670120</t>
  </si>
  <si>
    <t>ธ. ทิสโก้ จำกัด (มหาชน) สาขา ระยอง</t>
  </si>
  <si>
    <t>0670121</t>
  </si>
  <si>
    <t>ธ. ทิสโก้ จำกัด (มหาชน) สาขา  เซ็นทรัลเวิล์ด</t>
  </si>
  <si>
    <t>0670122</t>
  </si>
  <si>
    <t>ธ. ทิสโก้ จำกัด (มหาชน) สาขา รังสิต</t>
  </si>
  <si>
    <t>0670123</t>
  </si>
  <si>
    <t>ธ. ทิสโก้ จำกัด (มหาชน) สาขา พรอมานาด</t>
  </si>
  <si>
    <t>0670124</t>
  </si>
  <si>
    <t>ธ. ทิสโก้ จำกัด (มหาชน) สาขา อยุธยา</t>
  </si>
  <si>
    <t>0670125</t>
  </si>
  <si>
    <t>ธ. ทิสโก้ จำกัด (มหาชน) สาขา  ดิโอลด์สยาม</t>
  </si>
  <si>
    <t>0670126</t>
  </si>
  <si>
    <t>ธ. ทิสโก้ จำกัด (มหาชน) สาขา ตรัง</t>
  </si>
  <si>
    <t>0670127</t>
  </si>
  <si>
    <t>ธ. ทิสโก้ จำกัด (มหาชน) สาขา  อโศก</t>
  </si>
  <si>
    <t>0670128</t>
  </si>
  <si>
    <t>ธ. ทิสโก้ จำกัด (มหาชน) สาขา สุรินทร์</t>
  </si>
  <si>
    <t>0670129</t>
  </si>
  <si>
    <t>ธ. ทิสโก้ จำกัด (มหาชน) สาขา กระบี่</t>
  </si>
  <si>
    <t>0670130</t>
  </si>
  <si>
    <t>ธ. ทิสโก้ จำกัด (มหาชน) สาขา สมุทรสาคร</t>
  </si>
  <si>
    <t>0670131</t>
  </si>
  <si>
    <t>ธ. ทิสโก้ จำกัด (มหาชน) สาขา  มหาวิทยาลัยหอการค้าไทย</t>
  </si>
  <si>
    <t>0670132</t>
  </si>
  <si>
    <t>ธ. ทิสโก้ จำกัด (มหาชน) สาขา อาคารภคินทร์</t>
  </si>
  <si>
    <t>0670133</t>
  </si>
  <si>
    <t>ธ. ทิสโก้ จำกัด (มหาชน) สาขา  เซ็นทรัลแจ้งวัฒนะ</t>
  </si>
  <si>
    <t>0670134</t>
  </si>
  <si>
    <t>ธ. ทิสโก้ จำกัด (มหาชน) สาขา  รัชดาภิเษกห้วยขวาง</t>
  </si>
  <si>
    <t>0670135</t>
  </si>
  <si>
    <t>ธ. ทิสโก้ จำกัด (มหาชน) สาขา  ซีคอนสแควร์</t>
  </si>
  <si>
    <t>0670136</t>
  </si>
  <si>
    <t>ธ. ทิสโก้ จำกัด (มหาชน) สาขา  เยาวราช</t>
  </si>
  <si>
    <t>0670137</t>
  </si>
  <si>
    <t>ธ. ทิสโก้ จำกัด (มหาชน) สาขา  โฮมเวิร์ค ราชพฤกษ์</t>
  </si>
  <si>
    <t>0670138</t>
  </si>
  <si>
    <t>ธ. ทิสโก้ จำกัด (มหาชน) สาขา  สยามพารากอน</t>
  </si>
  <si>
    <t>0670139</t>
  </si>
  <si>
    <t>ธ. ทิสโก้ จำกัด (มหาชน) สาขา  เซ็นทรัลพระราม 3</t>
  </si>
  <si>
    <t>0670140</t>
  </si>
  <si>
    <t>ธ. ทิสโก้ จำกัด (มหาชน) สาขา  เดอะมอลล์บางแค</t>
  </si>
  <si>
    <t>0670141</t>
  </si>
  <si>
    <t>ธ. ทิสโก้ จำกัด (มหาชน) สาขา วรจักร</t>
  </si>
  <si>
    <t>0670142</t>
  </si>
  <si>
    <t>ธ. ทิสโก้ จำกัด (มหาชน) สาขา เซ็นทรัล ปิ่นเกล้า</t>
  </si>
  <si>
    <t>0670143</t>
  </si>
  <si>
    <t>ธ. ทิสโก้ จำกัด (มหาชน) สาขา เทสโก้ โลตัส โคราช</t>
  </si>
  <si>
    <t>0670144</t>
  </si>
  <si>
    <t>ธ. ทิสโก้ จำกัด (มหาชน) สาขา เดอะมอลล์ ท่าพระ</t>
  </si>
  <si>
    <t>0670145</t>
  </si>
  <si>
    <t>ธ. ทิสโก้ จำกัด (มหาชน) สาขา เซ็นทรัลบางนา</t>
  </si>
  <si>
    <t>0670146</t>
  </si>
  <si>
    <t>ธ. ทิสโก้ จำกัด (มหาชน) สาขา เดอะมอลล์ บางกะปิ</t>
  </si>
  <si>
    <t>0670147</t>
  </si>
  <si>
    <t>ธ. ทิสโก้ จำกัด (มหาชน) สาขา ฟิวเจอร์พาร์ครังสิต</t>
  </si>
  <si>
    <t>0670148</t>
  </si>
  <si>
    <t>ธ. ทิสโก้ จำกัด (มหาชน) สาขา เซ็นทรัลรามอินทรา</t>
  </si>
  <si>
    <t>0670149</t>
  </si>
  <si>
    <t>ธ. ทิสโก้ จำกัด (มหาชน) สาขา เซ็นทรัลลาดพร้าว</t>
  </si>
  <si>
    <t>0670150</t>
  </si>
  <si>
    <t>ธ. ทิสโก้ จำกัด (มหาชน) สาขา เกตเวย์เอกมัย</t>
  </si>
  <si>
    <t>0670151</t>
  </si>
  <si>
    <t>ธ. ทิสโก้ จำกัด (มหาชน) สาขา ราชวงศ์</t>
  </si>
  <si>
    <t>0670152</t>
  </si>
  <si>
    <t>ธ. ทิสโก้ จำกัด (มหาชน) สาขา ซีคอน บางแค</t>
  </si>
  <si>
    <t>0670153</t>
  </si>
  <si>
    <t>ธ. ทิสโก้ จำกัด (มหาชน) สาขา เดอะมอลล์ งามวงศ์วาน</t>
  </si>
  <si>
    <t>0670154</t>
  </si>
  <si>
    <t>ธ. ทิสโก้ จำกัด (มหาชน) สาขา  พัทยา</t>
  </si>
  <si>
    <t>0670155</t>
  </si>
  <si>
    <t>ธ. ทิสโก้ จำกัด (มหาชน) สาขา ถนนรัษฎา ภูเก็ต</t>
  </si>
  <si>
    <t>0670156</t>
  </si>
  <si>
    <t>ธ. ทิสโก้ จำกัด (มหาชน) สาขา  บางลำพู</t>
  </si>
  <si>
    <t>0670157</t>
  </si>
  <si>
    <t>ธ. ทิสโก้ จำกัด (มหาชน) สาขา  ถนนนิพัทธ์อุทิศ 2 หาดใหญ่</t>
  </si>
  <si>
    <t>0670158</t>
  </si>
  <si>
    <t>ธ. ทิสโก้ จำกัด (มหาชน) สาขา สยามสแควร์วัน</t>
  </si>
  <si>
    <t>0670159</t>
  </si>
  <si>
    <t>ธ. ทิสโก้ จำกัด (มหาชน) สาขา เมกาบางนา</t>
  </si>
  <si>
    <t>0670160</t>
  </si>
  <si>
    <t>ธ. ทิสโก้ จำกัด (มหาชน) สาขา เซ็นทรัลอีสต์วิลล์</t>
  </si>
  <si>
    <t>0670161</t>
  </si>
  <si>
    <t>ธ. ทิสโก้ จำกัด (มหาชน) สาขา เซ็นทรัล พระราม 2</t>
  </si>
  <si>
    <t>0670162</t>
  </si>
  <si>
    <t>ธ. ทิสโก้ จำกัด (มหาชน) สาขา ทองหล่อ</t>
  </si>
  <si>
    <t>0670163</t>
  </si>
  <si>
    <t>ธ. ทิสโก้ จำกัด (มหาชน) สาขา อเวนิว  รัชโยธิน</t>
  </si>
  <si>
    <t>0670164</t>
  </si>
  <si>
    <t>ธ. ทิสโก้ จำกัด (มหาชน) สาขา เทสโก้โลตัส พระราม 3</t>
  </si>
  <si>
    <t>0670165</t>
  </si>
  <si>
    <t>ธ. ทิสโก้ จำกัด (มหาชน) สาขา เทสโก้โลตัส รัตนาธิเบศร์</t>
  </si>
  <si>
    <t>0670166</t>
  </si>
  <si>
    <t>ธ. ทิสโก้ จำกัด (มหาชน) สาขา ไอคอนสยาม</t>
  </si>
  <si>
    <t>0690001</t>
  </si>
  <si>
    <t>ธ. เกียรตินาคินภัทร จำกัด (มหาชน) สำนักงานใหญ่</t>
  </si>
  <si>
    <t>0690003</t>
  </si>
  <si>
    <t>ธ. เกียรตินาคินภัทร จำกัด (มหาชน) สาขา อโศก</t>
  </si>
  <si>
    <t>0690004</t>
  </si>
  <si>
    <t>ธ. เกียรตินาคินภัทร จำกัด (มหาชน) สาขา ซีคอนสแควร์ ศรีนครินทร์</t>
  </si>
  <si>
    <t>0690005</t>
  </si>
  <si>
    <t>ธ. เกียรตินาคิน จำกัด (มหาชน) สาขา เดอะมอลล์ บางแค</t>
  </si>
  <si>
    <t>0690006</t>
  </si>
  <si>
    <t>ธ. เกียรตินาคินภัทร จำกัด (มหาชน) สาขา เยาวราช</t>
  </si>
  <si>
    <t>0690007</t>
  </si>
  <si>
    <t>ธ. เกียรตินาคินภัทร จำกัด (มหาชน) สาขา สี่พระยา</t>
  </si>
  <si>
    <t>0690008</t>
  </si>
  <si>
    <t>ธ. เกียรตินาคินภัทร จำกัด (มหาชน) สาขา รามอินทรา</t>
  </si>
  <si>
    <t>0690009</t>
  </si>
  <si>
    <t>ธ. เกียรตินาคินภัทร จำกัด (มหาชน) สาขา สุขสวัสดิ์</t>
  </si>
  <si>
    <t>0690010</t>
  </si>
  <si>
    <t>ธ. เกียรตินาคินภัทร จำกัด (มหาชน) สาขา เมเจอร์ รัชโยธิน</t>
  </si>
  <si>
    <t>0690011</t>
  </si>
  <si>
    <t>ธ. เกียรตินาคินภัทร จำกัด (มหาชน) สาขา นครราชสีมา</t>
  </si>
  <si>
    <t>0690012</t>
  </si>
  <si>
    <t>ธ. เกียรตินาคิน จำกัด (มหาชน) สาขา หาดใหญ่</t>
  </si>
  <si>
    <t>0690013</t>
  </si>
  <si>
    <t>ธ. เกียรตินาคินภัทร จำกัด (มหาชน) สาขา ราชบุรี</t>
  </si>
  <si>
    <t>0690014</t>
  </si>
  <si>
    <t>ธ. เกียรตินาคินภัทร จำกัด (มหาชน) สาขา พิษณุโลก</t>
  </si>
  <si>
    <t>0690015</t>
  </si>
  <si>
    <t>ธ. เกียรตินาคินภัทร จำกัด (มหาชน) สาขา เชียงใหม่</t>
  </si>
  <si>
    <t>0690016</t>
  </si>
  <si>
    <t>ธ. เกียรตินาคินภัทร จำกัด (มหาชน) สาขา ชลบุรี</t>
  </si>
  <si>
    <t>0690017</t>
  </si>
  <si>
    <t>ธ. เกียรตินาคินภัทร จำกัด (มหาชน) สาขา ขอนแก่น</t>
  </si>
  <si>
    <t>0690018</t>
  </si>
  <si>
    <t>ธ. เกียรตินาคินภัทร จำกัด (มหาชน) สาขา สุนีย์ ทาวเวอร์</t>
  </si>
  <si>
    <t>0690019</t>
  </si>
  <si>
    <t>ธ. เกียรตินาคินภัทร จำกัด (มหาชน) สาขา เซ็นทรัลพลาซา ระยอง</t>
  </si>
  <si>
    <t>0690020</t>
  </si>
  <si>
    <t>ธ. เกียรตินาคินภัทร จำกัด (มหาชน) สาขา สุราษฎร์ธานี</t>
  </si>
  <si>
    <t>0690022</t>
  </si>
  <si>
    <t>ธ. เกียรตินาคินภัทร จำกัด (มหาชน) สาขา นครสวรรค์</t>
  </si>
  <si>
    <t>0690023</t>
  </si>
  <si>
    <t>ธ. เกียรตินาคินภัทร จำกัด (มหาชน) สาขา อุดรธานี</t>
  </si>
  <si>
    <t>0690024</t>
  </si>
  <si>
    <t>ธ. เกียรตินาคินภัทร จำกัด (มหาชน) สาขา นครศรีธรรมราช</t>
  </si>
  <si>
    <t>0690025</t>
  </si>
  <si>
    <t>ธ. เกียรตินาคินภัทร จำกัด (มหาชน) สาขา เชียงราย</t>
  </si>
  <si>
    <t>0690026</t>
  </si>
  <si>
    <t>ธ. เกียรตินาคินภัทร จำกัด (มหาชน) สาขา ภูเก็ต</t>
  </si>
  <si>
    <t>0690027</t>
  </si>
  <si>
    <t>ธ. เกียรตินาคินภัทร จำกัด (มหาชน) สาขา จันทบุรี</t>
  </si>
  <si>
    <t>0690028</t>
  </si>
  <si>
    <t>ธ. เกียรตินาคินภัทร จำกัด (มหาชน) สาขา ฉะเชิงเทรา</t>
  </si>
  <si>
    <t>0690029</t>
  </si>
  <si>
    <t>ธ. เกียรตินาคินภัทร จำกัด (มหาชน) สาขา ชุมพร</t>
  </si>
  <si>
    <t>0690030</t>
  </si>
  <si>
    <t>ธ. เกียรตินาคินภัทร จำกัด (มหาชน) สาขา สระบุรี</t>
  </si>
  <si>
    <t>0690031</t>
  </si>
  <si>
    <t>ธ. เกียรตินาคินภัทร จำกัด (มหาชน) สาขา นครปฐม</t>
  </si>
  <si>
    <t>0690032</t>
  </si>
  <si>
    <t>ธ. เกียรตินาคินภัทร จำกัด (มหาชน) สาขา พัทยา</t>
  </si>
  <si>
    <t>0690033</t>
  </si>
  <si>
    <t>ธ. เกียรตินาคินภัทร จำกัด (มหาชน) สาขา กาญจนบุรี</t>
  </si>
  <si>
    <t>0690034</t>
  </si>
  <si>
    <t>ธ. เกียรตินาคินภัทร จำกัด (มหาชน) สาขา ลำปาง</t>
  </si>
  <si>
    <t>0690035</t>
  </si>
  <si>
    <t>ธ. เกียรตินาคิน จำกัด (มหาชน) สาขา กระบี่</t>
  </si>
  <si>
    <t>0690036</t>
  </si>
  <si>
    <t>ธ. เกียรตินาคินภัทร จำกัด (มหาชน) สาขา สุรินทร์</t>
  </si>
  <si>
    <t>0690037</t>
  </si>
  <si>
    <t>ธ. เกียรตินาคินภัทร จำกัด (มหาชน) สาขา ร้อยเอ็ด</t>
  </si>
  <si>
    <t>0690038</t>
  </si>
  <si>
    <t>ธ. เกียรตินาคินภัทร จำกัด (มหาชน) สาขา หัวหิน</t>
  </si>
  <si>
    <t>0690039</t>
  </si>
  <si>
    <t>ธ. เกียรตินาคินภัทร จำกัด (มหาชน) สาขา ปราจีนบุรี</t>
  </si>
  <si>
    <t>0690040</t>
  </si>
  <si>
    <t>ธ. เกียรตินาคินภัทร จำกัด (มหาชน) สาขา สุพรรณบุรี</t>
  </si>
  <si>
    <t>0690041</t>
  </si>
  <si>
    <t>ธ. เกียรตินาคินภัทร จำกัด (มหาชน) สาขา เพชรบูรณ์</t>
  </si>
  <si>
    <t>0690042</t>
  </si>
  <si>
    <t>ธ. เกียรตินาคินภัทร จำกัด (มหาชน) สาขา ตรัง</t>
  </si>
  <si>
    <t>0690043</t>
  </si>
  <si>
    <t>ธ. เกียรตินาคินภัทร จำกัด (มหาชน) สาขา พระนครศรีอยุธยา</t>
  </si>
  <si>
    <t>0690044</t>
  </si>
  <si>
    <t>ธ. เกียรตินาคินภัทร จำกัด (มหาชน) สาขา สมุทรปราการ</t>
  </si>
  <si>
    <t>0690045</t>
  </si>
  <si>
    <t>ธ. เกียรตินาคิน จำกัด (มหาชน) สาขา ฟิวเจอร์พาร์ค รังสิต</t>
  </si>
  <si>
    <t>0690046</t>
  </si>
  <si>
    <t>ธ. เกียรตินาคินภัทร จำกัด (มหาชน) สาขา นนทบุรี</t>
  </si>
  <si>
    <t>0690047</t>
  </si>
  <si>
    <t>ธ. เกียรตินาคินภัทร จำกัด (มหาชน) สาขา แพร่</t>
  </si>
  <si>
    <t>0690048</t>
  </si>
  <si>
    <t>ธ. เกียรตินาคินภัทร จำกัด (มหาชน) สาขา สกลนคร</t>
  </si>
  <si>
    <t>0690049</t>
  </si>
  <si>
    <t>ธ. เกียรตินาคินภัทร จำกัด (มหาชน) สาขา สมุทรสาคร</t>
  </si>
  <si>
    <t>0690050</t>
  </si>
  <si>
    <t>ธ. เกียรตินาคินภัทร จำกัด (มหาชน) สาขา ชัยภูมิ</t>
  </si>
  <si>
    <t>0690051</t>
  </si>
  <si>
    <t>ธ. เกียรตินาคินภัทร จำกัด (มหาชน) สาขา ลพบุรี</t>
  </si>
  <si>
    <t>0690052</t>
  </si>
  <si>
    <t>ธ. เกียรตินาคินภัทร จำกัด (มหาชน) สาขา กำแพงเพชร</t>
  </si>
  <si>
    <t>0690053</t>
  </si>
  <si>
    <t>ธ. เกียรตินาคินภัทร จำกัด (มหาชน) สาขา ศรีสะเกษ</t>
  </si>
  <si>
    <t>0690054</t>
  </si>
  <si>
    <t>ธ. เกียรตินาคินภัทร จำกัด (มหาชน) สาขา เพชรบุรี</t>
  </si>
  <si>
    <t>0690055</t>
  </si>
  <si>
    <t>ธ. เกียรตินาคิน จำกัด (มหาชน) สาขา เลย</t>
  </si>
  <si>
    <t>0690056</t>
  </si>
  <si>
    <t>ธ. เกียรตินาคินภัทร จำกัด (มหาชน) สาขา พิจิตร</t>
  </si>
  <si>
    <t>0690057</t>
  </si>
  <si>
    <t>ธ. เกียรตินาคินภัทร จำกัด (มหาชน) สาขา สีลม</t>
  </si>
  <si>
    <t>0690058</t>
  </si>
  <si>
    <t>ธ. เกียรตินาคินภัทร จำกัด (มหาชน) สาขา สุวรรณภูมิ</t>
  </si>
  <si>
    <t>0690059</t>
  </si>
  <si>
    <t>ธ. เกียรตินาคินภัทร จำกัด (มหาชน) สาขา เดอะมอลล์บางกะปิ</t>
  </si>
  <si>
    <t>0690060</t>
  </si>
  <si>
    <t>ธ. เกียรตินาคินภัทร จำกัด (มหาชน) สาขา เซ็นทรัลเฟสติวัล อีสต์วิลล์</t>
  </si>
  <si>
    <t>0690061</t>
  </si>
  <si>
    <t>ธ. เกียรตินาคินภัทร จำกัด (มหาชน) สาขา สระแก้ว</t>
  </si>
  <si>
    <t>0690062</t>
  </si>
  <si>
    <t>ธ. เกียรตินาคินภัทร จำกัด (มหาชน) สาขา เจริญกรุง</t>
  </si>
  <si>
    <t>0690063</t>
  </si>
  <si>
    <t>ธ. เกียรตินาคินภัทร จำกัด (มหาชน) สาขา กาฬสินธุ์</t>
  </si>
  <si>
    <t>0690064</t>
  </si>
  <si>
    <t>ธ. เกียรตินาคินภัทร จำกัด (มหาชน) สาขา เซ็นทรัลพลาซา ปิ่นเกล้า</t>
  </si>
  <si>
    <t>0690065</t>
  </si>
  <si>
    <t>ธ. เกียรตินาคินภัทร จำกัด (มหาชน) สาขา ลำพูน</t>
  </si>
  <si>
    <t>0690066</t>
  </si>
  <si>
    <t>ธ. เกียรตินาคินภัทร จำกัด (มหาชน) สาขา ยโสธร</t>
  </si>
  <si>
    <t>0690067</t>
  </si>
  <si>
    <t>ธ. เกียรตินาคินภัทร จำกัด (มหาชน) สาขา เซ็นทรัลพลาซา พระราม 3</t>
  </si>
  <si>
    <t>0690068</t>
  </si>
  <si>
    <t>ธ. เกียรตินาคินภัทร จำกัด (มหาชน) สาขา พะเยา</t>
  </si>
  <si>
    <t>0690069</t>
  </si>
  <si>
    <t>ธ. เกียรตินาคินภัทร จำกัด (มหาชน) สาขา ทองหล่อ</t>
  </si>
  <si>
    <t>0690070</t>
  </si>
  <si>
    <t>ธ. เกียรตินาคินภัทร จำกัด (มหาชน) สาขา ชัยนาท</t>
  </si>
  <si>
    <t>0690071</t>
  </si>
  <si>
    <t>ธ. เกียรตินาคินภัทร จำกัด (มหาชน) สาขา หนองคาย</t>
  </si>
  <si>
    <t>0690072</t>
  </si>
  <si>
    <t>ธ. เกียรตินาคินภัทร จำกัด (มหาชน) สาขา พหลโยธินเพลส</t>
  </si>
  <si>
    <t>0690073</t>
  </si>
  <si>
    <t>ธ. เกียรตินาคินภัทร จำกัด (มหาชน) สาขา ประจวบคีรีขันธ์</t>
  </si>
  <si>
    <t>0690074</t>
  </si>
  <si>
    <t>ธ. เกียรตินาคินภัทร จำกัด (มหาชน) สาขา บุรีรัมย์</t>
  </si>
  <si>
    <t>0690075</t>
  </si>
  <si>
    <t>ธ. เกียรตินาคินภัทร จำกัด (มหาชน) สาขา เซ็นทรัลพลาซา เวสต์เกต</t>
  </si>
  <si>
    <t>0690076</t>
  </si>
  <si>
    <t>ธ. เกียรตินาคินภัทร จำกัด (มหาชน) สาขา พระราม 4</t>
  </si>
  <si>
    <t>0690077</t>
  </si>
  <si>
    <t>ธ. เกียรตินาคินภัทร จำกัด (มหาชน) สาขา ปากช่อง</t>
  </si>
  <si>
    <t>0690078</t>
  </si>
  <si>
    <t>ธ. เกียรตินาคินภัทร จำกัด (มหาชน) สาขา เดอะมอลล์ท่าพระ</t>
  </si>
  <si>
    <t>0690079</t>
  </si>
  <si>
    <t>ธ. เกียรตินาคินภัทร จำกัด (มหาชน) สาขา มุกดาหาร</t>
  </si>
  <si>
    <t>0690080</t>
  </si>
  <si>
    <t>ธ. เกียรตินาคินภัทร จำกัด (มหาชน) สาขา มหานาค</t>
  </si>
  <si>
    <t>0690082</t>
  </si>
  <si>
    <t>ธ. เกียรตินาคิน จำกัด (มหาชน) สาขา แฟชั่นไอส์แลนด์</t>
  </si>
  <si>
    <t>0690083</t>
  </si>
  <si>
    <t>ธ. เกียรตินาคินภัทร จำกัด (มหาชน) สาขา เซ็ลทรัลพลาซา บางนา</t>
  </si>
  <si>
    <t>0690084</t>
  </si>
  <si>
    <t>ธ. เกียรตินาคินภัทร จำกัด (มหาชน) สาขา พาราไดซ์ พาร์ค</t>
  </si>
  <si>
    <t>0690085</t>
  </si>
  <si>
    <t>ธ. เกียรตินาคินภัทร จำกัด (มหาชน) สาขา สยามพารากอน</t>
  </si>
  <si>
    <t>0690086</t>
  </si>
  <si>
    <t>ธ. เกียรตินาคินภัทร จำกัด (มหาชน) สาขา ซีคอน บางแค</t>
  </si>
  <si>
    <t>0690087</t>
  </si>
  <si>
    <t>ธ. เกียรตินาคินภัทร จำกัด (มหาชน) สาขา บางบอน</t>
  </si>
  <si>
    <t>0690089</t>
  </si>
  <si>
    <t>ธ. เกียรตินาคินภัทร จำกัด (มหาชน) สาขา ทุ่งสง</t>
  </si>
  <si>
    <t>0690090</t>
  </si>
  <si>
    <t>ธ. เกียรตินาคินภัทร จำกัด (มหาชน) สาขา สุโขทัย</t>
  </si>
  <si>
    <t>0690091</t>
  </si>
  <si>
    <t>ธ. เกียรตินาคินภัทร จำกัด (มหาชน) สาขา วงเวียน 22 กรกฎา</t>
  </si>
  <si>
    <t>0690092</t>
  </si>
  <si>
    <t>ธ. เกียรตินาคิน จำกัด (มหาชน) สาขา อาคารเมืองไทย-ภัทร คอมเพล็กซ์</t>
  </si>
  <si>
    <t>0690093</t>
  </si>
  <si>
    <t>ธ. เกียรตินาคินภัทร จำกัด (มหาชน) สาขา เซ็นทรัลเฟสติวัล เชียงใหม่</t>
  </si>
  <si>
    <t>0690094</t>
  </si>
  <si>
    <t>ธ. เกียรตินาคินภัทร จำกัด (มหาชน) สาขา ศรีราชา</t>
  </si>
  <si>
    <t>0690095</t>
  </si>
  <si>
    <t>ธ. เกียรตินาคินภัทร จำกัด (มหาชน) สาขา เซ็นทรัลเวิลด์</t>
  </si>
  <si>
    <t>0690096</t>
  </si>
  <si>
    <t>ธ. เกียรตินาคินภัทร จำกัด (มหาชน) สาขา เซ็นทรัลพลาซา ลาดพร้าว</t>
  </si>
  <si>
    <t>0700001</t>
  </si>
  <si>
    <t>ธ. ไอซีบีซี (ไทย) จำกัด (มหาชน) สำนักงานใหญ่</t>
  </si>
  <si>
    <t>0700101</t>
  </si>
  <si>
    <t>ธ. ไอซีบีซี (ไทย) จำกัด (มหาชน) สาขา สำนักงานใหญ่</t>
  </si>
  <si>
    <t>0700103</t>
  </si>
  <si>
    <t>ธ. ไอซีบีซี (ไทย) จำกัด (มหาชน) สาขา บางขุนเทียน</t>
  </si>
  <si>
    <t>0700104</t>
  </si>
  <si>
    <t>ธ. ไอซีบีซี (ไทย) จำกัด (มหาชน) สาขา สมุทรสาคร</t>
  </si>
  <si>
    <t>0700105</t>
  </si>
  <si>
    <t>ธ. ไอซีบีซี (ไทย) จำกัด (มหาชน) สาขา วิภาวดีรังสิต-ดอนเมือง</t>
  </si>
  <si>
    <t>0700106</t>
  </si>
  <si>
    <t>ธ. ไอซีบีซี (ไทย) จำกัด (มหาชน) สาขา เพชรเกษม</t>
  </si>
  <si>
    <t>0700107</t>
  </si>
  <si>
    <t>ธ. ไอซีบีซี (ไทย) จำกัด (มหาชน) สาขา ศรีนครินทร์</t>
  </si>
  <si>
    <t>0700108</t>
  </si>
  <si>
    <t>ธ. ไอซีบีซี (ไทย) จำกัด (มหาชน) สาขา เยาวราช</t>
  </si>
  <si>
    <t>0700109</t>
  </si>
  <si>
    <t>ธ. ไอซีบีซี (ไทย) จำกัด (มหาชน) สาขา ลาดพร้าว</t>
  </si>
  <si>
    <t>0700110</t>
  </si>
  <si>
    <t>ธ. ไอซีบีซี (ไทย) จำกัด (มหาชน) สาขา สาทร</t>
  </si>
  <si>
    <t>0700111</t>
  </si>
  <si>
    <t>ธ. ไอซีบีซี (ไทย) จำกัด (มหาชน) สาขา รัชดาภิเษก</t>
  </si>
  <si>
    <t>0700112</t>
  </si>
  <si>
    <t>ธ. ไอซีบีซี (ไทย) จำกัด (มหาชน) สาขา โชว์ ดีซี</t>
  </si>
  <si>
    <t>0700501</t>
  </si>
  <si>
    <t>ธ. ไอซีบีซี (ไทย) จำกัด (มหาชน) สาขา หาดใหญ่</t>
  </si>
  <si>
    <t>0700502</t>
  </si>
  <si>
    <t>ธ. ไอซีบีซี (ไทย) จำกัด (มหาชน) สาขา ขอนแก่น</t>
  </si>
  <si>
    <t>0700503</t>
  </si>
  <si>
    <t>ธ. ไอซีบีซี (ไทย) จำกัด (มหาชน) สาขา ภูเก็ต</t>
  </si>
  <si>
    <t>0700504</t>
  </si>
  <si>
    <t>ธ. ไอซีบีซี (ไทย) จำกัด (มหาชน) สาขา ศรีราชา</t>
  </si>
  <si>
    <t>0700505</t>
  </si>
  <si>
    <t>ธ. ไอซีบีซี (ไทย) จำกัด (มหาชน) สาขา นครราชสีมา</t>
  </si>
  <si>
    <t>0700506</t>
  </si>
  <si>
    <t>ธ. ไอซีบีซี (ไทย) จำกัด (มหาชน) สาขา เชียงใหม่</t>
  </si>
  <si>
    <t>0700507</t>
  </si>
  <si>
    <t>ธ. ไอซีบีซี (ไทย) จำกัด (มหาชน) สาขา อุบลราชธานี</t>
  </si>
  <si>
    <t>0700508</t>
  </si>
  <si>
    <t>ธ. ไอซีบีซี (ไทย) จำกัด (มหาชน) สาขา อุดรธานี</t>
  </si>
  <si>
    <t>0700509</t>
  </si>
  <si>
    <t>ธ. ไอซีบีซี (ไทย) จำกัด (มหาชน) สาขา ระยอง</t>
  </si>
  <si>
    <t>0700510</t>
  </si>
  <si>
    <t>ธ. ไอซีบีซี (ไทย) จำกัด (มหาชน) สาขา อมตะซิตี้ ระยอง</t>
  </si>
  <si>
    <t>0700511</t>
  </si>
  <si>
    <t>ธ. ไอซีบีซี (ไทย) จำกัด (มหาชน) สาขา สุราษฎร์ธานี</t>
  </si>
  <si>
    <t>0700512</t>
  </si>
  <si>
    <t>ธ. ไอซีบีซี (ไทย) จำกัด (มหาชน) สาขา พัทยา</t>
  </si>
  <si>
    <t>0710001</t>
  </si>
  <si>
    <t>ธ. ไทยเครดิต เพื่อรายย่อย จำกัด (มหาชน) สาขา ห้วยขวาง</t>
  </si>
  <si>
    <t>0710002</t>
  </si>
  <si>
    <t>ธ. ไทยเครดิต เพื่อรายย่อย จำกัด (มหาชน) สาขา รังสิต ศูนย์การค้าฟิวเจอร์พาร์ค</t>
  </si>
  <si>
    <t>0710003</t>
  </si>
  <si>
    <t>ธ. ไทยเครดิต เพื่อรายย่อย จำกัด (มหาชน) สาขา ซีคอน บางแค</t>
  </si>
  <si>
    <t>0710004</t>
  </si>
  <si>
    <t>ธ. ไทยเครดิต เพื่อรายย่อย จำกัด (มหาชน) สาขา นครปฐม</t>
  </si>
  <si>
    <t>0710005</t>
  </si>
  <si>
    <t>ธ. ไทยเครดิต เพื่อรายย่อย จำกัด (มหาชน) สาขา สมุทรปราการ</t>
  </si>
  <si>
    <t>0710006</t>
  </si>
  <si>
    <t>ธ. ไทยเครดิต เพื่อรายย่อย จำกัด (มหาชน) สาขา แฟชั่นไอส์แลนด์ รามอินทรา</t>
  </si>
  <si>
    <t>0710007</t>
  </si>
  <si>
    <t>ธ. ไทยเครดิต เพื่อรายย่อย จำกัด (มหาชน) สาขา บางกะปิ ศูนย์การค้าเดอะมอลล์</t>
  </si>
  <si>
    <t>0710008</t>
  </si>
  <si>
    <t>ธ. ไทยเครดิต เพื่อรายย่อย จำกัด (มหาชน) สาขา บางพูน</t>
  </si>
  <si>
    <t>0710009</t>
  </si>
  <si>
    <t>ธ. ไทยเครดิต เพื่อรายย่อย จำกัด (มหาชน) สาขา ศรีนครินทร์ศูนย์การค้าพาราไดซ์พาร์ค</t>
  </si>
  <si>
    <t>0710010</t>
  </si>
  <si>
    <t>ธ. ไทยเครดิต เพื่อรายย่อย จำกัด (มหาชน) สาขา  อโศก พีเอส ทาวเวอร์</t>
  </si>
  <si>
    <t>0710011</t>
  </si>
  <si>
    <t>ธ. ไทยเครดิต เพื่อรายย่อย จำกัด (มหาชน) สาขา  สำนักธุรกิจเยาวราช</t>
  </si>
  <si>
    <t>0710012</t>
  </si>
  <si>
    <t>ธ. ไทยเครดิต เพื่อรายย่อย จำกัด (มหาชน) สาขา สะพานใหม่ ตลาดยิ่งเจริญ</t>
  </si>
  <si>
    <t>0710013</t>
  </si>
  <si>
    <t>ธ. ไทยเครดิต เพื่อรายย่อย จำกัด (มหาชน) สาขา งามวงศ์วาน ศูนย์การค้าเดอะมอลล์</t>
  </si>
  <si>
    <t>0710014</t>
  </si>
  <si>
    <t>ธ. ไทยเครดิต เพื่อรายย่อย จำกัด (มหาชน) สาขา อ้อมใหญ่ บิ๊กซี ซูเปอร์เซ็ฯเตอร์</t>
  </si>
  <si>
    <t>0710015</t>
  </si>
  <si>
    <t>ธ. ไทยเครดิต เพื่อรายย่อย จำกัด (มหาชน) สาขา เซ็นทรัล เวสต์เกต</t>
  </si>
  <si>
    <t>0710016</t>
  </si>
  <si>
    <t>ธ. ไทยเครดิต เพื่อรายย่อย จำกัด (มหาชน) สาขา เซ็นทรัลพลาซา พระราม 2</t>
  </si>
  <si>
    <t>0710017</t>
  </si>
  <si>
    <t>ธ. ไทยเครดิต เพื่อรายย่อย จำกัด (มหาชน) สาขา สมุทรสาคร</t>
  </si>
  <si>
    <t>0710018</t>
  </si>
  <si>
    <t>ธ. ไทยเครดิต เพื่อรายย่อย จำกัด (มหาชน) สาขา เดอะมอลล์ บางแค</t>
  </si>
  <si>
    <t>0710019</t>
  </si>
  <si>
    <t>ธ. ไทยเครดิต เพื่อรายย่อย จำกัด (มหาชน) สาขา เซ็นทรัล ปิ่นเกล้า</t>
  </si>
  <si>
    <t>0710020</t>
  </si>
  <si>
    <t>ธ. ไทยเครดิต เพื่อรายย่อย จำกัด (มหาชน) สาขา เซ็นทรัลพลาซา ลาดพร้าว</t>
  </si>
  <si>
    <t>0710201</t>
  </si>
  <si>
    <t>ธ. ไทยเครดิต เพื่อรายย่อย จำกัด (มหาชน) สาขา สินเชื่อเพื่อรายย่อย รังสิต</t>
  </si>
  <si>
    <t>0710202</t>
  </si>
  <si>
    <t>ธ. ไทยเครดิต เพื่อรายย่อย จำกัด (มหาชน) สาขา สินเชื่อเพื่อรายย่อย บางใหญ่</t>
  </si>
  <si>
    <t>0710203</t>
  </si>
  <si>
    <t>ธ. ไทยเครดิต เพื่อรายย่อย จำกัด (มหาชน) สาขา สินเชื่อเพื่อรายย่อย มีนบุรี</t>
  </si>
  <si>
    <t>0710204</t>
  </si>
  <si>
    <t>ธ. ไทยเครดิต เพื่อรายย่อย จำกัด (มหาชน) สาขา สินเชื่อเพื่อรายย่อย ระยอง</t>
  </si>
  <si>
    <t>0710205</t>
  </si>
  <si>
    <t>ธ. ไทยเครดิต เพื่อรายย่อย จำกัด (มหาชน) สาขา สินเชื่อเพื่อรายย่อย อุดรธานี</t>
  </si>
  <si>
    <t>0710206</t>
  </si>
  <si>
    <t>ธ. ไทยเครดิต เพื่อรายย่อย จำกัด (มหาชน) สาขา สินเชื่อเพื่อรายย่อยสุราษฏร์ธานี</t>
  </si>
  <si>
    <t>0710207</t>
  </si>
  <si>
    <t>ธ. ไทยเครดิต เพื่อรายย่อย จำกัด (มหาชน) สาขา สินเชื่อเพื่อรายย่อย บางเขน-วัชรพล</t>
  </si>
  <si>
    <t>0710208</t>
  </si>
  <si>
    <t>ธ. ไทยเครดิต เพื่อรายย่อย จำกัด (มหาชน) สาขา สินเชื่อเพื่อรายย่อย สกลนคร</t>
  </si>
  <si>
    <t>0710209</t>
  </si>
  <si>
    <t>ธ. ไทยเครดิต เพื่อรายย่อย จำกัด (มหาชน) สาขา สินเชื่อเพื่อรายย่อย เพชรบุรี</t>
  </si>
  <si>
    <t>0710210</t>
  </si>
  <si>
    <t>ธ. ไทยเครดิต เพื่อรายย่อย จำกัด (มหาชน) สาขา สินเชื่อเพื่อรายย่อย นครศรีธรรมราช</t>
  </si>
  <si>
    <t>0710211</t>
  </si>
  <si>
    <t>ธ. ไทยเครดิต เพื่อรายย่อย จำกัด (มหาชน) สาขา สินเชื่อเพื่อรายย่อย ชลบุรี</t>
  </si>
  <si>
    <t>0710212</t>
  </si>
  <si>
    <t>ธ. ไทยเครดิต เพื่อรายย่อย จำกัด (มหาชน) สาขา สินเชื่อเพื่อรายย่อย หัวหิน</t>
  </si>
  <si>
    <t>0710213</t>
  </si>
  <si>
    <t>ธ. ไทยเครดิต เพื่อรายย่อย จำกัด (มหาชน) สาขา สินเชื่อเพื่อรายย่อย ภูเก็ต</t>
  </si>
  <si>
    <t>0710214</t>
  </si>
  <si>
    <t>ธ. ไทยเครดิต เพื่อรายย่อย จำกัด (มหาชน) สาขา สินเชื่อเพื่อรายย่อย ภูเก็ต-ถลาง</t>
  </si>
  <si>
    <t>0710215</t>
  </si>
  <si>
    <t>ธ. ไทยเครดิต เพื่อรายย่อย จำกัด (มหาชน) สาขา สินเชื่อเพื่อรายย่อย เลย</t>
  </si>
  <si>
    <t>0710216</t>
  </si>
  <si>
    <t>ธ. ไทยเครดิต เพื่อรายย่อย จำกัด (มหาชน) สาขา สินเชื่อเพื่อรายย่อย  บุรีรัมย์</t>
  </si>
  <si>
    <t>0710217</t>
  </si>
  <si>
    <t>ธ. ไทยเครดิต เพื่อรายย่อย จำกัด (มหาชน) สาขา สินเชื่อเพื่อรายย่อย ชะอำ</t>
  </si>
  <si>
    <t>0710218</t>
  </si>
  <si>
    <t>ธ. ไทยเครดิต เพื่อรายย่อย จำกัด (มหาชน) สาขา สินเชื่อเพื่อรายย่อย ขอนแก่น</t>
  </si>
  <si>
    <t>0710219</t>
  </si>
  <si>
    <t>ธ. ไทยเครดิต เพื่อรายย่อย จำกัด (มหาชน) สาขา สินเชื่อเพื่อรายย่อย พัทยา</t>
  </si>
  <si>
    <t>0710220</t>
  </si>
  <si>
    <t>ธ. ไทยเครดิต เพื่อรายย่อย จำกัด (มหาชน) สาขา สินเชื่อเพื่อรายย่อย กาญจนบุรี</t>
  </si>
  <si>
    <t>0710221</t>
  </si>
  <si>
    <t>ธ. ไทยเครดิต เพื่อรายย่อย จำกัด (มหาชน) สาขา สินเชื่อเพื่อรายย่อย หาดใหญ่</t>
  </si>
  <si>
    <t>0710222</t>
  </si>
  <si>
    <t>ธ. ไทยเครดิต เพื่อรายย่อย จำกัด (มหาชน) สาขา สินเชื่อเพื่อรายย่อย สุรินทร์</t>
  </si>
  <si>
    <t>0710223</t>
  </si>
  <si>
    <t>ธ. ไทยเครดิต เพื่อรายย่อย จำกัด (มหาชน) สาขา สินเชื่อเพื่อรายย่อย ระยอง-แกลง</t>
  </si>
  <si>
    <t>0710224</t>
  </si>
  <si>
    <t>ธ. ไทยเครดิต เพื่อรายย่อย จำกัด (มหาชน) สาขา สินเชื่อเพื่อรายย่อย ระยอง-ปลวกแดง</t>
  </si>
  <si>
    <t>0710225</t>
  </si>
  <si>
    <t>ธ. ไทยเครดิต เพื่อรายย่อย จำกัด (มหาชน) สาขา สินเชื่อเพื่อรายย่อย อยุธยา</t>
  </si>
  <si>
    <t>0710226</t>
  </si>
  <si>
    <t>ธ. ไทยเครดิต เพื่อรายย่อย จำกัด (มหาชน) สาขา สินเชื่อเพื่อรายย่อย ร้อยเอ็ด</t>
  </si>
  <si>
    <t>0710227</t>
  </si>
  <si>
    <t>ธ. ไทยเครดิต เพื่อรายย่อย จำกัด (มหาชน) สาขา สินเชื่อเพื่อรายย่อย เชียงใหม่</t>
  </si>
  <si>
    <t>0710228</t>
  </si>
  <si>
    <t>ธ. ไทยเครดิต เพื่อรายย่อย จำกัด (มหาชน) สาขา สินเชื่อเพื่อรายย่อย มหาสารคาม</t>
  </si>
  <si>
    <t>0710229</t>
  </si>
  <si>
    <t>ธ. ไทยเครดิต เพื่อรายย่อย จำกัด (มหาชน) สาขา สินเชื่อเพื่อรายย่อย พิษณุโลก</t>
  </si>
  <si>
    <t>0710230</t>
  </si>
  <si>
    <t>ธ. ไทยเครดิต เพื่อรายย่อย จำกัด (มหาชน) สาขา สินเชื่อเพื่อรายย่อย ตรัง</t>
  </si>
  <si>
    <t>0710231</t>
  </si>
  <si>
    <t>ธ. ไทยเครดิต เพื่อรายย่อย จำกัด (มหาชน) สาขา สินเชื่อเพื่อรายย่อย บางสะพาน</t>
  </si>
  <si>
    <t>0710232</t>
  </si>
  <si>
    <t>ธ. ไทยเครดิต เพื่อรายย่อย จำกัด (มหาชน) สาขา สินเชื่อเพื่อรายย่อย อุบลราชธานี</t>
  </si>
  <si>
    <t>0710233</t>
  </si>
  <si>
    <t>ธ. ไทยเครดิต เพื่อรายย่อย จำกัด (มหาชน) สาขา สินเชื่อเพื่อรายย่อยจันทบุรี</t>
  </si>
  <si>
    <t>0710234</t>
  </si>
  <si>
    <t>ธ. ไทยเครดิต เพื่อรายย่อย จำกัด (มหาชน) สาขา สินเชื่อเพื่อรายย่อย ราชบุรี</t>
  </si>
  <si>
    <t>0710235</t>
  </si>
  <si>
    <t>ธ. ไทยเครดิต เพื่อรายย่อย จำกัด (มหาชน) สาขา สินเชื่อเพื่อรายย่อย พัทลุง</t>
  </si>
  <si>
    <t>0710236</t>
  </si>
  <si>
    <t>ธ. ไทยเครดิต เพื่อรายย่อย จำกัด (มหาชน) สาขา สินเชื่อเพื่อรายย่อย ชัยภูมิ</t>
  </si>
  <si>
    <t>0710237</t>
  </si>
  <si>
    <t>ธ. ไทยเครดิต เพื่อรายย่อย จำกัด (มหาชน) สาขา สินเชื่อเพื่อรายย่อย สระบุรี</t>
  </si>
  <si>
    <t>0710238</t>
  </si>
  <si>
    <t>ธ. ไทยเครดิต เพื่อรายย่อย จำกัด (มหาชน) สาขา สินเขื่อเพื่อรายย่อย อรัญประเทศ</t>
  </si>
  <si>
    <t>0710239</t>
  </si>
  <si>
    <t>ธ. ไทยเครดิต เพื่อรายย่อย จำกัด (มหาชน) สาขา สินเชื่อเพื่อรายย่อย ทุ่งสง</t>
  </si>
  <si>
    <t>0710240</t>
  </si>
  <si>
    <t>ธ. ไทยเครดิต เพื่อรายย่อย จำกัด (มหาชน) สาขา สินเชื่อเพื่อรายย่อย ลำลูกกา</t>
  </si>
  <si>
    <t>0710241</t>
  </si>
  <si>
    <t>ธ. ไทยเครดิต เพื่อรายย่อย จำกัด (มหาชน) สาขา สินเขื่อเพื่อรายย่อย ลพบุรี</t>
  </si>
  <si>
    <t>0710242</t>
  </si>
  <si>
    <t>ธ. ไทยเครดิต เพื่อรายย่อย จำกัด (มหาชน) สาขา สินเชื่อเพื่อรายย่อย ชุมพร</t>
  </si>
  <si>
    <t>0710243</t>
  </si>
  <si>
    <t>ธ. ไทยเครดิต เพื่อรายย่อย จำกัด (มหาชน) สาขา สินเขื่อเพื่อรายย่อย เชียงราย</t>
  </si>
  <si>
    <t>0710244</t>
  </si>
  <si>
    <t>ธ. ไทยเครดิต เพื่อรายย่อย จำกัด (มหาชน) สาขา สินเขื่อเพื่อรายย่อย บึงกาฬ</t>
  </si>
  <si>
    <t>0710245</t>
  </si>
  <si>
    <t>ธ. ไทยเครดิต เพื่อรายย่อย จำกัด (มหาชน) สาขา สินเชื่อเพื่อรายย่อย บางบอน</t>
  </si>
  <si>
    <t>0710246</t>
  </si>
  <si>
    <t>ธ. ไทยเครดิต เพื่อรายย่อย จำกัด (มหาชน) สาขา สินเชื่อเพื่อรายย่อย นครสวรรค์</t>
  </si>
  <si>
    <t>0710247</t>
  </si>
  <si>
    <t>ธ. ไทยเครดิต เพื่อรายย่อย จำกัด (มหาชน) สาขา สินเชื่อเพื่อรายย่อย แม่สอด</t>
  </si>
  <si>
    <t>0710248</t>
  </si>
  <si>
    <t>ธ. ไทยเครดิต เพื่อรายย่อย จำกัด (มหาชน) สาขา สินเชื่อเพื่อรายย่อย สุพรรณบุรี</t>
  </si>
  <si>
    <t>0710249</t>
  </si>
  <si>
    <t>ธ. ไทยเครดิต เพื่อรายย่อย จำกัด (มหาชน) สาขา สินเชื่อเพื่อรายย่อย บางพลี</t>
  </si>
  <si>
    <t>0710250</t>
  </si>
  <si>
    <t>ธ. ไทยเครดิต เพื่อรายย่อย จำกัด (มหาชน) สาขา สินเชื่อเพื่อรายย่อย กระบี่</t>
  </si>
  <si>
    <t>0710251</t>
  </si>
  <si>
    <t>ธ. ไทยเครดิต เพื่อรายย่อย จำกัด (มหาชน) สาขา สินเชื่อเพื่อรายย่อย ศรีมหาโพธิ</t>
  </si>
  <si>
    <t>0710252</t>
  </si>
  <si>
    <t>ธ. ไทยเครดิต เพื่อรายย่อย จำกัด (มหาชน) สาขา สินเชื่อเพื่อรายย่อย บางขุนนนท์</t>
  </si>
  <si>
    <t>0710253</t>
  </si>
  <si>
    <t>ธ. ไทยเครดิต เพื่อรายย่อย จำกัด (มหาชน) สาขา สินเชื่อเพื่อรายย่อย ฉะเชิงเทรา</t>
  </si>
  <si>
    <t>0710254</t>
  </si>
  <si>
    <t>ธ. ไทยเครดิต เพื่อรายย่อย จำกัด (มหาชน) สาขา สินเชื่อเพื่อรายย่อย บางกะปิ</t>
  </si>
  <si>
    <t>0710255</t>
  </si>
  <si>
    <t>ธ. ไทยเครดิต เพื่อรายย่อย จำกัด (มหาชน) สาขา สินเชื่อเพื่อรายย่อย รามคำแหง</t>
  </si>
  <si>
    <t>0710256</t>
  </si>
  <si>
    <t>ธ. ไทยเครดิต เพื่อรายย่อย จำกัด (มหาชน) สาขา สินเชื่อเพื่อรายย่อย ปากเกร็ด</t>
  </si>
  <si>
    <t>0710257</t>
  </si>
  <si>
    <t>ธ. ไทยเครดิต เพื่อรายย่อย จำกัด (มหาชน) สาขา สินเชื่อเพื่อรายย่อย นนทบุรี</t>
  </si>
  <si>
    <t>0710258</t>
  </si>
  <si>
    <t>ธ. ไทยเครดิต เพื่อรายย่อย จำกัด (มหาชน) สาขา สินเชื่อเพื่อรายย่อย ประชานิเวศน์</t>
  </si>
  <si>
    <t>0710259</t>
  </si>
  <si>
    <t>ธ. ไทยเครดิต เพื่อรายย่อย จำกัด (มหาชน) สาขา สินเชื่อเพื่อรายย่อย พระราม 2</t>
  </si>
  <si>
    <t>0710260</t>
  </si>
  <si>
    <t>ธ. ไทยเครดิต เพื่อรายย่อย จำกัด (มหาชน) สาขา สินเชื่อเพื่อรายย่อย ปทุมธานี</t>
  </si>
  <si>
    <t>0710261</t>
  </si>
  <si>
    <t>ธ. ไทยเครดิต เพื่อรายย่อย จำกัด (มหาชน) สาขา สินเชื่อเพื่อรายย่อย ทุ่งครุ</t>
  </si>
  <si>
    <t>0710262</t>
  </si>
  <si>
    <t>ธ. ไทยเครดิต เพื่อรายย่อย จำกัด (มหาชน) สาขา สินเชื่อเพื่อรายย่อย พระประแดง</t>
  </si>
  <si>
    <t>0710263</t>
  </si>
  <si>
    <t>ธ. ไทยเครดิต เพื่อรายย่อย จำกัด (มหาชน) สาขา สินเชื่อเพื่อรายย่อย วงเวียนใหญ่</t>
  </si>
  <si>
    <t>0710264</t>
  </si>
  <si>
    <t>ธ. ไทยเครดิต เพื่อรายย่อย จำกัด (มหาชน) สาขา สินเชื่อเพื่อรายย่อย บางแค</t>
  </si>
  <si>
    <t>0710265</t>
  </si>
  <si>
    <t>ธ. ไทยเครดิต เพื่อรายย่อย จำกัด (มหาชน) สาขา สินเชื่อเพื่อรายย่อย สุขุมวิท 101/1</t>
  </si>
  <si>
    <t>0710266</t>
  </si>
  <si>
    <t>ธ. ไทยเครดิต เพื่อรายย่อย จำกัด (มหาชน) สาขา สินเชื่อเพื่อรายย่อย ลาดกระบัง</t>
  </si>
  <si>
    <t>0710267</t>
  </si>
  <si>
    <t>ธ. ไทยเครดิต เพื่อรายย่อย จำกัด (มหาชน) สาขา  ประตูน้ำพระอินทร์</t>
  </si>
  <si>
    <t>0710268</t>
  </si>
  <si>
    <t>ธ. ไทยเครดิต เพื่อรายย่อย จำกัด (มหาชน) สาขา สินเชื่อเพื่อรายย่อย ศรีราชา</t>
  </si>
  <si>
    <t>0710269</t>
  </si>
  <si>
    <t>ธ. ไทยเครดิต เพื่อรายย่อย จำกัด (มหาชน) สาขา สินเชื่อเพื่อรายย่อย ถนนจันทน์</t>
  </si>
  <si>
    <t>0710278</t>
  </si>
  <si>
    <t>ธ. ไทยเครดิต เพื่อรายย่อย จำกัด (มหาชน) สาขา สินเชื่อเพื่อรายย่อย เพชรบูรณ์</t>
  </si>
  <si>
    <t>0710282</t>
  </si>
  <si>
    <t>ธ. ไทยเครดิต เพื่อรายย่อย จำกัด (มหาชน) สาขา สินเชื่อเพื่อรายย่อย เกาะสมุย</t>
  </si>
  <si>
    <t>0710284</t>
  </si>
  <si>
    <t>ธ. ไทยเครดิต เพื่อรายย่อย จำกัด (มหาชน) สาขา สินเชื่อเพื่อรายย่อย ตลาดไท</t>
  </si>
  <si>
    <t>0710285</t>
  </si>
  <si>
    <t>ธ. ไทยเครดิต เพื่อรายย่อย จำกัด (มหาชน) สาขา สินเชื่อเพื่อรายย่อย ธัญบุรี คลอง 6</t>
  </si>
  <si>
    <t>0710286</t>
  </si>
  <si>
    <t>ธ. ไทยเครดิต เพื่อรายย่อย จำกัด (มหาชน) สาขา สินเชื่อเพื่อรายย่อย หนองแขม</t>
  </si>
  <si>
    <t>0710287</t>
  </si>
  <si>
    <t>ธ. ไทยเครดิต เพื่อรายย่อย จำกัด (มหาชน) สาขา สินเชื่อเพื่อรายย่อย ศรีย่าน</t>
  </si>
  <si>
    <t>0710288</t>
  </si>
  <si>
    <t>ธ. ไทยเครดิต เพื่อรายย่อย จำกัด (มหาชน) สาขา สินเชื่อเพื่อรายย่อย หนองจอก</t>
  </si>
  <si>
    <t>0710289</t>
  </si>
  <si>
    <t>ธ. ไทยเครดิต เพื่อรายย่อย จำกัด (มหาชน) สาขา สินเชื่อเพื่อรายย่อย ปราณบุรี</t>
  </si>
  <si>
    <t>0710290</t>
  </si>
  <si>
    <t>ธ. ไทยเครดิต เพื่อรายย่อย จำกัด (มหาชน) สาขา สินเชื่อเพื่อรายย่อย ระนอง</t>
  </si>
  <si>
    <t>0710291</t>
  </si>
  <si>
    <t>ธ. ไทยเครดิต เพื่อรายย่อย จำกัด (มหาชน) สาขา สินเชื่อเพื่อรายย่อย สันกำแพง</t>
  </si>
  <si>
    <t>0710293</t>
  </si>
  <si>
    <t>ธ. ไทยเครดิต เพื่อรายย่อย จำกัด (มหาชน) สาขา สินเชื่อเพื่อรายย่อย มุกดาหาร</t>
  </si>
  <si>
    <t>0710294</t>
  </si>
  <si>
    <t>ธ. ไทยเครดิต เพื่อรายย่อย จำกัด (มหาชน) สาขา สินเชื่อเพื่อรายย่อย ตลาดเซฟวัน</t>
  </si>
  <si>
    <t>0710295</t>
  </si>
  <si>
    <t>ธ. ไทยเครดิต เพื่อรายย่อย จำกัด (มหาชน) สาขา สินเชื่อเพื่อรายย่อย ศรีสะเกษ</t>
  </si>
  <si>
    <t>0710296</t>
  </si>
  <si>
    <t>ธ. ไทยเครดิต เพื่อรายย่อย จำกัด (มหาชน) สาขา สินเชื่อเพื่อรายย่อย สัตหีบ</t>
  </si>
  <si>
    <t>0710297</t>
  </si>
  <si>
    <t>ธ. ไทยเครดิต เพื่อรายย่อย จำกัด (มหาชน) สาขา  นาคนิวาส-ลาดพร้าว</t>
  </si>
  <si>
    <t>0710298</t>
  </si>
  <si>
    <t>ธ. ไทยเครดิต เพื่อรายย่อย จำกัด (มหาชน) สาขา สินเชื่อเพื่อรายย่อย ปราจีนบุรี</t>
  </si>
  <si>
    <t>0710299</t>
  </si>
  <si>
    <t>ธ. ไทยเครดิต เพื่อรายย่อย จำกัด (มหาชน) สาขา สินเชื่อเพื่อรายย่อย อ่างทอง</t>
  </si>
  <si>
    <t>0710300</t>
  </si>
  <si>
    <t>ธ. ไทยเครดิต เพื่อรายย่อย จำกัด (มหาชน) สาขา สินเชื่อเพื่อรายย่อยประจวบคีรีขันธ์</t>
  </si>
  <si>
    <t>0710301</t>
  </si>
  <si>
    <t>ธ. ไทยเครดิต เพื่อรายย่อย จำกัด (มหาชน) สาขา สินเชื่อเพื่อรายย่อย แพร่</t>
  </si>
  <si>
    <t>0710302</t>
  </si>
  <si>
    <t>ธ. ไทยเครดิต เพื่อรายย่อย จำกัด (มหาชน) สาขา สินเชื่อเพื่อรายย่อย สงขลา</t>
  </si>
  <si>
    <t>0710303</t>
  </si>
  <si>
    <t>ธ. ไทยเครดิต เพื่อรายย่อย จำกัด (มหาชน) สาขา สินเชื่อเพื่อรายย่อย ชุมแพ</t>
  </si>
  <si>
    <t>0710304</t>
  </si>
  <si>
    <t>ธ. ไทยเครดิต เพื่อรายย่อย จำกัด (มหาชน) สาขา สินเชื่อเพื่อรายย่อย หนองคาย</t>
  </si>
  <si>
    <t>0710305</t>
  </si>
  <si>
    <t>ธ. ไทยเครดิต เพื่อรายย่อย จำกัด (มหาชน) สาขา สินเชื่อเพื่อรายย่อย อุดร(บ้านจั่น)</t>
  </si>
  <si>
    <t>0710314</t>
  </si>
  <si>
    <t>ธ. ไทยเครดิต เพื่อรายย่อย จำกัด (มหาชน) สาขา สินเชื่อเพื่อรายย่อยกำแพงแสน</t>
  </si>
  <si>
    <t>0710316</t>
  </si>
  <si>
    <t>ธ. ไทยเครดิต เพื่อรายย่อย จำกัด (มหาชน) สาขา สินเชื่อเพื่อรายย่อย สระแก้ว</t>
  </si>
  <si>
    <t>0710317</t>
  </si>
  <si>
    <t>ธ. ไทยเครดิต เพื่อรายย่อย จำกัด (มหาชน) สาขา สินเชื่อเพื่อรายย่อย สิงห์บุรี</t>
  </si>
  <si>
    <t>0710318</t>
  </si>
  <si>
    <t>ธ. ไทยเครดิต เพื่อรายย่อย จำกัด (มหาชน) สาขา  บ้านโป่ง(ราชบุรี)</t>
  </si>
  <si>
    <t>0710319</t>
  </si>
  <si>
    <t>ธ. ไทยเครดิต เพื่อรายย่อย จำกัด (มหาชน) สาขา สินเชื่อเพื่อรายย่อย กำแพงเพชร</t>
  </si>
  <si>
    <t>0710320</t>
  </si>
  <si>
    <t>ธ. ไทยเครดิต เพื่อรายย่อย จำกัด (มหาชน) สาขา สินเชื่อเพื่อรายย่อย ลำปาง</t>
  </si>
  <si>
    <t>0710321</t>
  </si>
  <si>
    <t>ธ. ไทยเครดิต เพื่อรายย่อย จำกัด (มหาชน) สาขา สินเชื่อเพื่อรายย่อยแม่สาข-เชียงราย</t>
  </si>
  <si>
    <t>0710322</t>
  </si>
  <si>
    <t>ธ. ไทยเครดิต เพื่อรายย่อย จำกัด (มหาชน) สาขา สินเชื่อเพื่อรายย่อย ตาก</t>
  </si>
  <si>
    <t>0710323</t>
  </si>
  <si>
    <t>ธ. ไทยเครดิต เพื่อรายย่อย จำกัด (มหาชน) สาขา  สิชล (นครศรีธรรมราช)</t>
  </si>
  <si>
    <t>0710324</t>
  </si>
  <si>
    <t>ธ. ไทยเครดิต เพื่อรายย่อย จำกัด (มหาชน) สาขา  ปากช่อง (นครราชสีมา)</t>
  </si>
  <si>
    <t>0710325</t>
  </si>
  <si>
    <t>ธ. ไทยเครดิต เพื่อรายย่อย จำกัด (มหาชน) สาขา สินเชื่อเพื่อรายย่อย สมุทรสงคราม</t>
  </si>
  <si>
    <t>0710326</t>
  </si>
  <si>
    <t>ธ. ไทยเครดิต เพื่อรายย่อย จำกัด (มหาชน) สาขา สินเชื่อเพื่อรายย่อย หลังสวน(ชุมพร)</t>
  </si>
  <si>
    <t>0710327</t>
  </si>
  <si>
    <t>ธ. ไทยเครดิต เพื่อรายย่อย จำกัด (มหาชน) สาขา สินเชื่อเพื่อรายย่อย อุตรดิตถ์</t>
  </si>
  <si>
    <t>0710328</t>
  </si>
  <si>
    <t>ธ. ไทยเครดิต เพื่อรายย่อย จำกัด (มหาชน) สาขา สินเชื่อเพื่อรายย่อย พิจิตร</t>
  </si>
  <si>
    <t>0710329</t>
  </si>
  <si>
    <t>ธ. ไทยเครดิต เพื่อรายย่อย จำกัด (มหาชน) สาขา สินเชื่อเพื่อรายย่อย พะเยา</t>
  </si>
  <si>
    <t>0710330</t>
  </si>
  <si>
    <t>ธ. ไทยเครดิต เพื่อรายย่อย จำกัด (มหาชน) สาขา  ท่าศาลา(นครศรีธรรมราช)</t>
  </si>
  <si>
    <t>0710331</t>
  </si>
  <si>
    <t>ธ. ไทยเครดิต เพื่อรายย่อย จำกัด (มหาชน) สาขา สินเชื่อเพื่อรายย่อย กาฬสินธุ์</t>
  </si>
  <si>
    <t>0710332</t>
  </si>
  <si>
    <t>ธ. ไทยเครดิต เพื่อรายย่อย จำกัด (มหาชน) สาขา  บัวใหญ่(นครราชสีมา)</t>
  </si>
  <si>
    <t>0710334</t>
  </si>
  <si>
    <t>ธ. ไทยเครดิต เพื่อรายย่อย จำกัด (มหาชน) สาขา สินเชื่อเพื่อรายย่อย กล้วยน้ำไท</t>
  </si>
  <si>
    <t>0710341</t>
  </si>
  <si>
    <t>ธ. ไทยเครดิต เพื่อรายย่อย จำกัด (มหาชน) สาขา  เวียงสระ (สุราษฎร์ธานี)</t>
  </si>
  <si>
    <t>0710342</t>
  </si>
  <si>
    <t>ธ. ไทยเครดิต เพื่อรายย่อย จำกัด (มหาชน) สาขา  สี่แยกท่าเรือ (ภูเก็ต)</t>
  </si>
  <si>
    <t>0710360</t>
  </si>
  <si>
    <t>ธ. ไทยเครดิต เพื่อรายย่อย จำกัด (มหาชน) สาขา  ดอนหัวฬ่อ(ชลบุรี)</t>
  </si>
  <si>
    <t>0710362</t>
  </si>
  <si>
    <t>ธ. ไทยเครดิต เพื่อรายย่อย จำกัด (มหาชน) สาขา สินเชื่อเพื่อรายย่อย นครนายก</t>
  </si>
  <si>
    <t>0710363</t>
  </si>
  <si>
    <t>ธ. ไทยเครดิต เพื่อรายย่อย จำกัด (มหาชน) สาขา สินเชื่อเพื่อรายย่อยพนัสนิคม-ชลบุรี</t>
  </si>
  <si>
    <t>0710364</t>
  </si>
  <si>
    <t>ธ. ไทยเครดิต เพื่อรายย่อย จำกัด (มหาชน) สาขา สินเชื่อเพื่อรายย่อย ตราด</t>
  </si>
  <si>
    <t>0710365</t>
  </si>
  <si>
    <t>ธ. ไทยเครดิต เพื่อรายย่อย จำกัด (มหาชน) สาขา สินเชื่อเพื่อรายย่อยนครหลวง(อยุธยา)</t>
  </si>
  <si>
    <t>0710366</t>
  </si>
  <si>
    <t>ธ. ไทยเครดิต เพื่อรายย่อย จำกัด (มหาชน) สาขา  บ้านแพ้ว (สมุทรสาคร)</t>
  </si>
  <si>
    <t>0710367</t>
  </si>
  <si>
    <t>ธ. ไทยเครดิต เพื่อรายย่อย จำกัด (มหาชน) สาขา สินเชื่อเพื่อรายย่อย ลำพูน</t>
  </si>
  <si>
    <t>0710368</t>
  </si>
  <si>
    <t>ธ. ไทยเครดิต เพื่อรายย่อย จำกัด (มหาชน) สาขา สินเชื่อเพื่อรายย่อย สุโขทัย</t>
  </si>
  <si>
    <t>0710369</t>
  </si>
  <si>
    <t>ธ. ไทยเครดิต เพื่อรายย่อย จำกัด (มหาชน) สาขา  ร่อนพิบูลย์ (นครศรีธรรมราช)</t>
  </si>
  <si>
    <t>0710370</t>
  </si>
  <si>
    <t>ธ. ไทยเครดิต เพื่อรายย่อย จำกัด (มหาชน) สาขา  กาญจนดิษฐ์ (สุราษฎร์ธานี)</t>
  </si>
  <si>
    <t>0710372</t>
  </si>
  <si>
    <t>ธ. ไทยเครดิต เพื่อรายย่อย จำกัด (มหาชน) สาขา สินเชื่อเพื่อรายย่อย นาแก (นครพนม)</t>
  </si>
  <si>
    <t>0710373</t>
  </si>
  <si>
    <t>ธ. ไทยเครดิต เพื่อรายย่อย จำกัด (มหาชน) สาขา สินเชื่อเพื่อรายย่อย อำนาจเจริญ</t>
  </si>
  <si>
    <t>0710374</t>
  </si>
  <si>
    <t>ธ. ไทยเครดิต เพื่อรายย่อย จำกัด (มหาชน) สาขา  ถนนกสิกรทุ่งสร้าง(ขอนแก่น)</t>
  </si>
  <si>
    <t>0710375</t>
  </si>
  <si>
    <t>ธ. ไทยเครดิต เพื่อรายย่อย จำกัด (มหาชน) สาขา สินเชื่อเพื่อรายย่อย พระโขนง</t>
  </si>
  <si>
    <t>0710379</t>
  </si>
  <si>
    <t>ธ. ไทยเครดิต เพื่อรายย่อย จำกัด (มหาชน) สาขา สินเชื่อเพื่อรายย่อยบ้านบึง(ชลบุรี)</t>
  </si>
  <si>
    <t>0710380</t>
  </si>
  <si>
    <t>ธ. ไทยเครดิต เพื่อรายย่อย จำกัด (มหาชน) สาขา สินเชื่อเพื่อรายย่อยนิคมพัฒนา-ระยอง</t>
  </si>
  <si>
    <t>0710381</t>
  </si>
  <si>
    <t>ธ. ไทยเครดิต เพื่อรายย่อย จำกัด (มหาชน) สาขา สินเชื่อเพื่อรายย่อยโพธาราม-ราชบุรี</t>
  </si>
  <si>
    <t>0710382</t>
  </si>
  <si>
    <t>ธ. ไทยเครดิต เพื่อรายย่อย จำกัด (มหาชน) สาขา  สองพี่น้อง (สุพรรณบุรี)</t>
  </si>
  <si>
    <t>0710383</t>
  </si>
  <si>
    <t>ธ. ไทยเครดิต เพื่อรายย่อย จำกัด (มหาชน) สาขา  หล่มสัก (เพชรบูรณ์)</t>
  </si>
  <si>
    <t>0710384</t>
  </si>
  <si>
    <t>ธ. ไทยเครดิต เพื่อรายย่อย จำกัด (มหาชน) สาขา  บึงสามพัน (เพชรบูรณ์)</t>
  </si>
  <si>
    <t>0710385</t>
  </si>
  <si>
    <t>ธ. ไทยเครดิต เพื่อรายย่อย จำกัด (มหาชน) สาขา  ห้าแยกฉลอง (ภูเก็ต)</t>
  </si>
  <si>
    <t>0710386</t>
  </si>
  <si>
    <t>ธ. ไทยเครดิต เพื่อรายย่อย จำกัด (มหาชน) สาขา  จันดี(นครศรีธรรมราช)</t>
  </si>
  <si>
    <t>0710387</t>
  </si>
  <si>
    <t>ธ. ไทยเครดิต เพื่อรายย่อย จำกัด (มหาชน) สาขา สินเชื่อเพื่อรายย่อย นครพนม</t>
  </si>
  <si>
    <t>0710388</t>
  </si>
  <si>
    <t>ธ. ไทยเครดิต เพื่อรายย่อย จำกัด (มหาชน) สาขา สินเชื่อเพื่อรายย่อย พล (ขอนแก่น)</t>
  </si>
  <si>
    <t>0710389</t>
  </si>
  <si>
    <t>ธ. ไทยเครดิต เพื่อรายย่อย จำกัด (มหาชน) สาขา  ปักธงชัย (นครราชสีมา)</t>
  </si>
  <si>
    <t>0710390</t>
  </si>
  <si>
    <t>ธ. ไทยเครดิต เพื่อรายย่อย จำกัด (มหาชน) สาขา  ถนนสุขาภิบาล5ซอย45</t>
  </si>
  <si>
    <t>0710391</t>
  </si>
  <si>
    <t>ธ. ไทยเครดิต เพื่อรายย่อย จำกัด (มหาชน) สาขา สินเชื่อเพื่อรายย่อยถ.พระยาสุเรนทร์</t>
  </si>
  <si>
    <t>0710397</t>
  </si>
  <si>
    <t>ธ. ไทยเครดิต เพื่อรายย่อย จำกัด (มหาชน) สาขา สินเชื่อเพื่อรายย่อย ห้วยขวาง</t>
  </si>
  <si>
    <t>0710398</t>
  </si>
  <si>
    <t>ธ. ไทยเครดิต เพื่อรายย่อย จำกัด (มหาชน) สาขา สินเชื่อเพื่อรายย่อยหนองแค(สระบุรี)</t>
  </si>
  <si>
    <t>0710399</t>
  </si>
  <si>
    <t>ธ. ไทยเครดิต เพื่อรายย่อย จำกัด (มหาชน) สาขา สินเชื่อเพื่อรายย่อยโคกสำโรง-ลพบุรี</t>
  </si>
  <si>
    <t>0710400</t>
  </si>
  <si>
    <t>ธ. ไทยเครดิต เพื่อรายย่อย จำกัด (มหาชน) สาขา  แม่ริม (เชียงใหม่)</t>
  </si>
  <si>
    <t>0710401</t>
  </si>
  <si>
    <t>ธ. ไทยเครดิต เพื่อรายย่อย จำกัด (มหาชน) สาขา  หนองหอย (เชียงใหม่)</t>
  </si>
  <si>
    <t>0710402</t>
  </si>
  <si>
    <t>ธ. ไทยเครดิต เพื่อรายย่อย จำกัด (มหาชน) สาขา สินเชื่อเพื่อรายย่อย ท่าแซะ (ชุมพร)</t>
  </si>
  <si>
    <t>0710403</t>
  </si>
  <si>
    <t>ธ. ไทยเครดิต เพื่อรายย่อย จำกัด (มหาชน) สาขา สินเชื่อเพื่อรายย่อย สตูล</t>
  </si>
  <si>
    <t>0710404</t>
  </si>
  <si>
    <t>ธ. ไทยเครดิต เพื่อรายย่อย จำกัด (มหาชน) สาขา สินเชื่อเพื่อรายย่อย ยโสธร</t>
  </si>
  <si>
    <t>0710405</t>
  </si>
  <si>
    <t>ธ. ไทยเครดิต เพื่อรายย่อย จำกัด (มหาชน) สาขา สินเชื่อเพื่อรายย่อย หนองบัวลำภู</t>
  </si>
  <si>
    <t>0710435</t>
  </si>
  <si>
    <t>ธ. ไทยเครดิต เพื่อรายย่อย จำกัด (มหาชน) สาขา สินเชื่อเพื่อรายย่อย พานทอง(ชลบุรี)</t>
  </si>
  <si>
    <t>0710442</t>
  </si>
  <si>
    <t>ธ. ไทยเครดิต เพื่อรายย่อย จำกัด (มหาชน) สาขา  ห้วยสะท้อน (จันทบุรี)</t>
  </si>
  <si>
    <t>0710446</t>
  </si>
  <si>
    <t>ธ. ไทยเครดิต เพื่อรายย่อย จำกัด (มหาชน) สาขา สินเชื่อเพื่อรายย่อย บ้านเพ (ระยอง)</t>
  </si>
  <si>
    <t>0710447</t>
  </si>
  <si>
    <t>ธ. ไทยเครดิต เพื่อรายย่อย จำกัด (มหาชน) สาขา สินเชื่อเพื่อรายย่อย สวี (ชุมพร)</t>
  </si>
  <si>
    <t>0710448</t>
  </si>
  <si>
    <t>ธ. ไทยเครดิต เพื่อรายย่อย จำกัด (มหาชน) สาขา  สลกบาตร (กำแพงเพชร)</t>
  </si>
  <si>
    <t>0710449</t>
  </si>
  <si>
    <t>ธ. ไทยเครดิต เพื่อรายย่อย จำกัด (มหาชน) สาขา  กันทรลักษ์ (ศรีสะเกษ)</t>
  </si>
  <si>
    <t>0710450</t>
  </si>
  <si>
    <t>ธ. ไทยเครดิต เพื่อรายย่อย จำกัด (มหาชน) สาขา  ดำเนินสะดวก(ราชบุรี)</t>
  </si>
  <si>
    <t>0710453</t>
  </si>
  <si>
    <t>ธ. ไทยเครดิต เพื่อรายย่อย จำกัด (มหาชน) สาขา  นางรอง(บุรีรัมย์)</t>
  </si>
  <si>
    <t>0710464</t>
  </si>
  <si>
    <t>ธ. ไทยเครดิต เพื่อรายย่อย จำกัด (มหาชน) สาขา  วารินชำราบ (อุบลราชธานี)</t>
  </si>
  <si>
    <t>0710467</t>
  </si>
  <si>
    <t>ธ. ไทยเครดิต เพื่อรายย่อย จำกัด (มหาชน) สาขา  อู่ทอง (สุพรรณบุรี)</t>
  </si>
  <si>
    <t>0710470</t>
  </si>
  <si>
    <t>ธ. ไทยเครดิต เพื่อรายย่อย จำกัด (มหาชน) สาขา  ดอนเจดีย์(สุพรรณบุรี)</t>
  </si>
  <si>
    <t>0710471</t>
  </si>
  <si>
    <t>ธ. ไทยเครดิต เพื่อรายย่อย จำกัด (มหาชน) สาขา สินเชื่อเพื่อรายย่อย เชียงคำ(พะเยา)</t>
  </si>
  <si>
    <t>0710473</t>
  </si>
  <si>
    <t>ธ. ไทยเครดิต เพื่อรายย่อย จำกัด (มหาชน) สาขา  ลาดยาว (นครสวรรค์)</t>
  </si>
  <si>
    <t>0710474</t>
  </si>
  <si>
    <t>ธ. ไทยเครดิต เพื่อรายย่อย จำกัด (มหาชน) สาขา สินเชื่อเพื่อรายย่อย สะเดา (สงขลา)</t>
  </si>
  <si>
    <t>0710476</t>
  </si>
  <si>
    <t>ธ. ไทยเครดิต เพื่อรายย่อย จำกัด (มหาชน) สาขา สินเชื่อเพื่อรายย่อยตะกั่วป่า-พังงา</t>
  </si>
  <si>
    <t>0710483</t>
  </si>
  <si>
    <t>ธ. ไทยเครดิต เพื่อรายย่อย จำกัด (มหาชน) สาขา  กุยบุรี (ประจวบคีรีขันธ์)</t>
  </si>
  <si>
    <t>0710484</t>
  </si>
  <si>
    <t>ธ. ไทยเครดิต เพื่อรายย่อย จำกัด (มหาชน) สาขา สินเชื่อเพื่อรายย่อยปากท่อ(ราชบุรี)</t>
  </si>
  <si>
    <t>0710558</t>
  </si>
  <si>
    <t>ธ. ไทยเครดิต เพื่อรายย่อย จำกัด (มหาชน) สาขา สินเชื่อเพื่อรายย่อยหนองโพ(ราชบุรี)</t>
  </si>
  <si>
    <t>0710559</t>
  </si>
  <si>
    <t>ธ. ไทยเครดิต เพื่อรายย่อย จำกัด (มหาชน) สาขา  พลับพลา(จันทบุรี)</t>
  </si>
  <si>
    <t>0710560</t>
  </si>
  <si>
    <t>ธ. ไทยเครดิต เพื่อรายย่อย จำกัด (มหาชน) สาขา  สุวรรณภูมิ(ร้อยเอ็ด)</t>
  </si>
  <si>
    <t>0710561</t>
  </si>
  <si>
    <t>ธ. ไทยเครดิต เพื่อรายย่อย จำกัด (มหาชน) สาขา สินเชื่อเพื่อรายย่อยโพนทอง-ร้อยเอ็ด</t>
  </si>
  <si>
    <t>0710562</t>
  </si>
  <si>
    <t>ธ. ไทยเครดิต เพื่อรายย่อย จำกัด (มหาชน) สาขา  เชียงของ(เชียงราย)</t>
  </si>
  <si>
    <t>0710563</t>
  </si>
  <si>
    <t>ธ. ไทยเครดิต เพื่อรายย่อย จำกัด (มหาชน) สาขา สินเชื่อเพื่อรายย่อย ฮอด(เชียงใหม่)</t>
  </si>
  <si>
    <t>0710564</t>
  </si>
  <si>
    <t>ธ. ไทยเครดิต เพื่อรายย่อย จำกัด (มหาชน) สาขา สินเชื่อเพื่อรายย่อย สอง (แพร่)</t>
  </si>
  <si>
    <t>0710565</t>
  </si>
  <si>
    <t>ธ. ไทยเครดิต เพื่อรายย่อย จำกัด (มหาชน) สาขา สินเชื่อเพื่อรายย่อยน้ำพอง(ขอนแก่น)</t>
  </si>
  <si>
    <t>0710578</t>
  </si>
  <si>
    <t>ธ. ไทยเครดิต เพื่อรายย่อย จำกัด (มหาชน) สาขา  ขุนทะเล(สุราษฎร์ธานี)</t>
  </si>
  <si>
    <t>0710581</t>
  </si>
  <si>
    <t>ธ. ไทยเครดิต เพื่อรายย่อย จำกัด (มหาชน) สาขา  ลาดหญ้า(กาญจนบุรี)</t>
  </si>
  <si>
    <t>0710582</t>
  </si>
  <si>
    <t>ธ. ไทยเครดิต เพื่อรายย่อย จำกัด (มหาชน) สาขา สินเชื่อเพื่อรายย่อยมาบตาพุด(ระยอง)</t>
  </si>
  <si>
    <t>0710583</t>
  </si>
  <si>
    <t>ธ. ไทยเครดิต เพื่อรายย่อย จำกัด (มหาชน) สาขา  บ้านดุง(อุดรธานี)</t>
  </si>
  <si>
    <t>0710584</t>
  </si>
  <si>
    <t>ธ. ไทยเครดิต เพื่อรายย่อย จำกัด (มหาชน) สาขา  หนองเรือ(ขอนแก่น)</t>
  </si>
  <si>
    <t>0710585</t>
  </si>
  <si>
    <t>ธ. ไทยเครดิต เพื่อรายย่อย จำกัด (มหาชน) สาขา  สีคิ้ว(นครราชสีมา)</t>
  </si>
  <si>
    <t>0710586</t>
  </si>
  <si>
    <t>ธ. ไทยเครดิต เพื่อรายย่อย จำกัด (มหาชน) สาขา  พิมาย(นครราชสีมา)</t>
  </si>
  <si>
    <t>0710587</t>
  </si>
  <si>
    <t>ธ. ไทยเครดิต เพื่อรายย่อย จำกัด (มหาชน) สาขา  เชียงแสน(เชียงราย)</t>
  </si>
  <si>
    <t>0710588</t>
  </si>
  <si>
    <t>ธ. ไทยเครดิต เพื่อรายย่อย จำกัด (มหาชน) สาขา  เวียงป่าเป้า(เชียงราย)</t>
  </si>
  <si>
    <t>0710589</t>
  </si>
  <si>
    <t>ธ. ไทยเครดิต เพื่อรายย่อย จำกัด (มหาชน) สาขา  พรหมพิราม(พิษณุโลก)</t>
  </si>
  <si>
    <t>0710590</t>
  </si>
  <si>
    <t>ธ. ไทยเครดิต เพื่อรายย่อย จำกัด (มหาชน) สาขา สินเชื่อเพื่อรายย่อย กระบุรี(ระนอง)</t>
  </si>
  <si>
    <t>0710591</t>
  </si>
  <si>
    <t>ธ. ไทยเครดิต เพื่อรายย่อย จำกัด (มหาชน) สาขา สินเชื่อเพื่อรายย่อย ละงู (สตูล)</t>
  </si>
  <si>
    <t>0710592</t>
  </si>
  <si>
    <t>ธ. ไทยเครดิต เพื่อรายย่อย จำกัด (มหาชน) สาขา  เดิมบางนางบวช(สุพรรณบุรี)</t>
  </si>
  <si>
    <t>0710601</t>
  </si>
  <si>
    <t>ธ. ไทยเครดิต เพื่อรายย่อย จำกัด (มหาชน) สาขา เซ็นทรัลพลาซา ชลบุรี</t>
  </si>
  <si>
    <t>0710602</t>
  </si>
  <si>
    <t>ธ. ไทยเครดิต เพื่อรายย่อย จำกัด (มหาชน) สาขา เดอะมอลล์ นครราชสีมา</t>
  </si>
  <si>
    <t>0710743</t>
  </si>
  <si>
    <t>ธ. ไทยเครดิต เพื่อรายย่อย จำกัด (มหาชน) สาขา สินเชื่อเพื่อรายย่อยคำตากล้า-สกลนคร</t>
  </si>
  <si>
    <t>0710756</t>
  </si>
  <si>
    <t>ธ. ไทยเครดิต เพื่อรายย่อย จำกัด (มหาชน) สาขา  เกษตรวิสัย(ร้อยเอ็ด)</t>
  </si>
  <si>
    <t>0710757</t>
  </si>
  <si>
    <t>ธ. ไทยเครดิต เพื่อรายย่อย จำกัด (มหาชน) สาขา  ลำนารายณ์(ลพบุรี)</t>
  </si>
  <si>
    <t>0710758</t>
  </si>
  <si>
    <t>ธ. ไทยเครดิต เพื่อรายย่อย จำกัด (มหาชน) สาขา สินเชื่อเพื่อรายย่อย ปัว (น่าน)</t>
  </si>
  <si>
    <t>0710759</t>
  </si>
  <si>
    <t>ธ. ไทยเครดิต เพื่อรายย่อย จำกัด (มหาชน) สาขา  ด่านช้าง(สุพรรณบุรี)</t>
  </si>
  <si>
    <t>0710763</t>
  </si>
  <si>
    <t>ธ. ไทยเครดิต เพื่อรายย่อย จำกัด (มหาชน) สาขา โกสุมพิสัย(มหาสารคาม)</t>
  </si>
  <si>
    <t>0710777</t>
  </si>
  <si>
    <t>ธ. ไทยเครดิต เพื่อรายย่อย จำกัด (มหาชน) สำนักงานใหญ่</t>
  </si>
  <si>
    <t>0710800</t>
  </si>
  <si>
    <t>ธ. ไทยเครดิต เพื่อรายย่อย จำกัด (มหาชน) สาขา สินเชื่อเพื่อรายย่อย นครราชสีมา</t>
  </si>
  <si>
    <t>0710901</t>
  </si>
  <si>
    <t>ธ. ไทยเครดิต เพื่อรายย่อย จำกัด (มหาชน) ฝ่ายปฏิบัติการกลาง</t>
  </si>
  <si>
    <t>0710902</t>
  </si>
  <si>
    <t>ธ. ไทยเครดิต เพื่อรายย่อย จำกัด (มหาชน) ฝ่ายปฏิบัติการสินเชื่อเช่าซื้อ</t>
  </si>
  <si>
    <t>0710904</t>
  </si>
  <si>
    <t>ธ. ไทยเครดิต เพื่อรายย่อย จำกัด (มหาชน) ฝ่ายปฏิบัติการธนาคาร</t>
  </si>
  <si>
    <t>0710906</t>
  </si>
  <si>
    <t>ธ. ไทยเครดิต เพื่อรายย่อย จำกัด (มหาชน) ฝ่ายบัญชีและการเงิน</t>
  </si>
  <si>
    <t>0071230</t>
  </si>
  <si>
    <t>0071231</t>
  </si>
  <si>
    <t>0071232</t>
  </si>
  <si>
    <t>0730001</t>
  </si>
  <si>
    <t>ธ. แลนด์ แอนด์ เฮ้าส์ จำกัด (มหาชน) สาขา เทสโก้ โลตัส รวมโชค (เชียงใหม่)</t>
  </si>
  <si>
    <t>0730002</t>
  </si>
  <si>
    <t>ธ. แลนด์ แอนด์ เฮ้าส์ จำกัด (มหาชน) สาขา บิ๊กซี หางดง</t>
  </si>
  <si>
    <t>0730003</t>
  </si>
  <si>
    <t>ธ. แลนด์ แอนด์ เฮ้าส์ จำกัด (มหาชน) สาขา ตลาดวโรรส</t>
  </si>
  <si>
    <t>0730004</t>
  </si>
  <si>
    <t>ธ. แลนด์ แอนด์ เฮ้าส์ จำกัด (มหาชน) สาขา พิษณุโลก</t>
  </si>
  <si>
    <t>0730005</t>
  </si>
  <si>
    <t>ธ. แลนด์ แอนด์ เฮ้าส์ จำกัด (มหาชน) สาขา นครสวรรค์</t>
  </si>
  <si>
    <t>0730006</t>
  </si>
  <si>
    <t>ธ. แลนด์ แอนด์ เฮ้าส์ จำกัด (มหาชน) สาขา เชียงราย</t>
  </si>
  <si>
    <t>0730007</t>
  </si>
  <si>
    <t>ธ. แลนด์ แอนด์ เฮ้าส์ จำกัด (มหาชน) สาขา โฮมโปร แพร่</t>
  </si>
  <si>
    <t>0730008</t>
  </si>
  <si>
    <t>ธ. แลนด์ แอนด์ เฮ้าส์ จำกัด (มหาชน) สาขา โฮมโปร เพชรบูรณ์</t>
  </si>
  <si>
    <t>0730009</t>
  </si>
  <si>
    <t>ธ. แลนด์ แอนด์ เฮ้าส์ จำกัด (มหาชน) สาขา โฮมโปร เชียงราย</t>
  </si>
  <si>
    <t>0730010</t>
  </si>
  <si>
    <t>ธ. แลนด์ แอนด์ เฮ้าส์ จำกัด (มหาชน) สาขา โฮมโปร นครสวรรค์</t>
  </si>
  <si>
    <t>0730011</t>
  </si>
  <si>
    <t>ธ. แลนด์ แอนด์ เฮ้าส์ จำกัด (มหาชน) สาขา เมกาโฮม แม่สอด</t>
  </si>
  <si>
    <t>0730012</t>
  </si>
  <si>
    <t>ธ. แลนด์ แอนด์ เฮ้าส์ จำกัด (มหาชน) สาขา โฮมโปร ลำปาง</t>
  </si>
  <si>
    <t>0730013</t>
  </si>
  <si>
    <t>ธ. แลนด์ แอนด์ เฮ้าส์ จำกัด (มหาชน) สาขา โฮมโปร สุโขทัย</t>
  </si>
  <si>
    <t>0730101</t>
  </si>
  <si>
    <t>ธ. แลนด์ แอนด์ เฮ้าส์ จำกัด (มหาชน) สาขา ขอนแก่น</t>
  </si>
  <si>
    <t>0730102</t>
  </si>
  <si>
    <t>ธ. แลนด์ แอนด์ เฮ้าส์ จำกัด (มหาชน) สาขา อุดรธานี</t>
  </si>
  <si>
    <t>0730103</t>
  </si>
  <si>
    <t>ธ. แลนด์ แอนด์ เฮ้าส์ จำกัด (มหาชน) สาขา เซ็นทรัล อุดรธานี</t>
  </si>
  <si>
    <t>0730104</t>
  </si>
  <si>
    <t>ธ. แลนด์ แอนด์ เฮ้าส์ จำกัด (มหาชน) สาขา เดอะมอลล์ นครราชสีมา</t>
  </si>
  <si>
    <t>0730105</t>
  </si>
  <si>
    <t>ธ. แลนด์ แอนด์ เฮ้าส์ จำกัด (มหาชน) สาขา เซ็นทรัล ขอนแก่น</t>
  </si>
  <si>
    <t>0730106</t>
  </si>
  <si>
    <t>ธ. แลนด์ แอนด์ เฮ้าส์ จำกัด (มหาชน) สาขา อุบลราชธานี</t>
  </si>
  <si>
    <t>0730107</t>
  </si>
  <si>
    <t>ธ. แลนด์ แอนด์ เฮ้าส์ จำกัด (มหาชน) สาขา โฮมโปร ชัยภูมิ</t>
  </si>
  <si>
    <t>0730108</t>
  </si>
  <si>
    <t>ธ. แลนด์ แอนด์ เฮ้าส์ จำกัด (มหาชน) สาขา โฮมโปร สกลนคร</t>
  </si>
  <si>
    <t>0730109</t>
  </si>
  <si>
    <t>ธ. แลนด์ แอนด์ เฮ้าส์ จำกัด (มหาชน) สาขา โฮมโปร ร้อยเอ็ด</t>
  </si>
  <si>
    <t>0730110</t>
  </si>
  <si>
    <t>ธ. แลนด์ แอนด์ เฮ้าส์ จำกัด (มหาชน) สาขา โฮมโปร บุรีรัมย์</t>
  </si>
  <si>
    <t>0730111</t>
  </si>
  <si>
    <t>ธ. แลนด์ แอนด์ เฮ้าส์ จำกัด (มหาชน) สาขา โฮมโปร เลย</t>
  </si>
  <si>
    <t>0730114</t>
  </si>
  <si>
    <t>ธ. แลนด์ แอนด์ เฮ้าส์ จำกัด (มหาชน) สาขา โฮมโปร อุบลราชธานี</t>
  </si>
  <si>
    <t>0730115</t>
  </si>
  <si>
    <t>ธ. แลนด์ แอนด์ เฮ้าส์ จำกัด (มหาชน) สาขา เมกาโฮม หนองคาย</t>
  </si>
  <si>
    <t>0730116</t>
  </si>
  <si>
    <t>ธ. แลนด์ แอนด์ เฮ้าส์ จำกัด (มหาชน) สาขา โฮมโปร สุรินทร์</t>
  </si>
  <si>
    <t>0730117</t>
  </si>
  <si>
    <t>ธ. แลนด์ แอนด์ เฮ้าส์ จำกัด (มหาชน) สาขา โฮมโปร เขาใหญ่</t>
  </si>
  <si>
    <t>0730118</t>
  </si>
  <si>
    <t>ธ. แลนด์ แอนด์ เฮ้าส์ จำกัด (มหาชน) สาขา โฮมโปร นครราชสีมา</t>
  </si>
  <si>
    <t>0730119</t>
  </si>
  <si>
    <t>ธ. แลนด์ แอนด์ เฮ้าส์ จำกัด (มหาชน) สาขา เทอร์มินอล 21 โคราช</t>
  </si>
  <si>
    <t>0730120</t>
  </si>
  <si>
    <t>ธ. แลนด์ แอนด์ เฮ้าส์ จำกัด (มหาชน) สาขา ปากช่อง</t>
  </si>
  <si>
    <t>0730121</t>
  </si>
  <si>
    <t>ธ. แลนด์ แอนด์ เฮ้าส์ จำกัด (มหาชน) สาขา เมกาโฮม นครพนม</t>
  </si>
  <si>
    <t>0730201</t>
  </si>
  <si>
    <t>ธ. แลนด์ แอนด์ เฮ้าส์ จำกัด (มหาชน) สาขา โฮมโปร ชลบุรี</t>
  </si>
  <si>
    <t>0730202</t>
  </si>
  <si>
    <t>ธ. แลนด์ แอนด์ เฮ้าส์ จำกัด (มหาชน) สาขา ศรีราชา</t>
  </si>
  <si>
    <t>0730203</t>
  </si>
  <si>
    <t>ธ. แลนด์ แอนด์ เฮ้าส์ จำกัด (มหาชน) สาขา เทอร์มินอล 21 พัทยา</t>
  </si>
  <si>
    <t>0730204</t>
  </si>
  <si>
    <t>ธ. แลนด์ แอนด์ เฮ้าส์ จำกัด (มหาชน) สาขา ระยอง</t>
  </si>
  <si>
    <t>0730205</t>
  </si>
  <si>
    <t>ธ. แลนด์ แอนด์ เฮ้าส์ จำกัด (มหาชน) สาขา โฮมโปร จันทบุรี</t>
  </si>
  <si>
    <t>0730206</t>
  </si>
  <si>
    <t>ธ. แลนด์ แอนด์ เฮ้าส์ จำกัด (มหาชน) สาขา เมกาโฮม บ่อวิน</t>
  </si>
  <si>
    <t>0730207</t>
  </si>
  <si>
    <t>ธ. แลนด์ แอนด์ เฮ้าส์ จำกัด (มหาชน) สาขา โฮมโปร ชลบุรี (อมตะ)</t>
  </si>
  <si>
    <t>0730301</t>
  </si>
  <si>
    <t>ธ. แลนด์ แอนด์ เฮ้าส์ จำกัด (มหาชน) สาขา หัวหิน</t>
  </si>
  <si>
    <t>0730302</t>
  </si>
  <si>
    <t>ธ. แลนด์ แอนด์ เฮ้าส์ จำกัด (มหาชน) สาขา นครปฐม</t>
  </si>
  <si>
    <t>0730303</t>
  </si>
  <si>
    <t>ธ. แลนด์ แอนด์ เฮ้าส์ จำกัด (มหาชน) สาขา โฮมโปร กาญจนบุรี</t>
  </si>
  <si>
    <t>0730304</t>
  </si>
  <si>
    <t>ธ. แลนด์ แอนด์ เฮ้าส์ จำกัด (มหาชน) สาขา โฮมโปร พุทธมณฑล สาย 5</t>
  </si>
  <si>
    <t>0730305</t>
  </si>
  <si>
    <t>ธ. แลนด์ แอนด์ เฮ้าส์ จำกัด (มหาชน) สาขา โฮมโปร สระบุรี</t>
  </si>
  <si>
    <t>0730306</t>
  </si>
  <si>
    <t>ธ. แลนด์ แอนด์ เฮ้าส์ จำกัด (มหาชน) สาขา บิ๊กซี อยุธยา</t>
  </si>
  <si>
    <t>0730307</t>
  </si>
  <si>
    <t>ธ. แลนด์ แอนด์ เฮ้าส์ จำกัด (มหาชน) สาขา โฮมโปร ลพบุรี</t>
  </si>
  <si>
    <t>0730308</t>
  </si>
  <si>
    <t>ธ. แลนด์ แอนด์ เฮ้าส์ จำกัด (มหาชน) สาขา โฮมโปร สุพรรณบุรี</t>
  </si>
  <si>
    <t>0730309</t>
  </si>
  <si>
    <t>ธ. แลนด์ แอนด์ เฮ้าส์ จำกัด (มหาชน) สาขา โฮมโปร ฉะเชิงเทรา</t>
  </si>
  <si>
    <t>0730310</t>
  </si>
  <si>
    <t>ธ. แลนด์ แอนด์ เฮ้าส์ จำกัด (มหาชน) สาขา โรบินสัน ราชบุรี</t>
  </si>
  <si>
    <t>0730311</t>
  </si>
  <si>
    <t>ธ. แลนด์ แอนด์ เฮ้าส์ จำกัด (มหาชน) สาขา โฮมโปร ปราจีนบุรี</t>
  </si>
  <si>
    <t>0730312</t>
  </si>
  <si>
    <t>ธ. แลนด์ แอนด์ เฮ้าส์ จำกัด (มหาชน) สาขา โฮมโปรประจวบคีรีขันธ์</t>
  </si>
  <si>
    <t>0730313</t>
  </si>
  <si>
    <t>ธ. แลนด์ แอนด์ เฮ้าส์ จำกัด (มหาชน) สาขา เมกาโฮม กบินทร์บุรี</t>
  </si>
  <si>
    <t>0730314</t>
  </si>
  <si>
    <t>ธ. แลนด์ แอนด์ เฮ้าส์ จำกัด (มหาชน) สาขา โฮมโปร สมุทรสงคราม</t>
  </si>
  <si>
    <t>0730315</t>
  </si>
  <si>
    <t>ธ. แลนด์ แอนด์ เฮ้าส์ จำกัด (มหาชน) สาขา โฮมโปร เพชรบุรี</t>
  </si>
  <si>
    <t>0730316</t>
  </si>
  <si>
    <t>ธ. แลนด์ แอนด์ เฮ้าส์ จำกัด (มหาชน) สาขา เมกาโฮม อรัญประเทศ</t>
  </si>
  <si>
    <t>0730317</t>
  </si>
  <si>
    <t>ธ. แลนด์ แอนด์ เฮ้าส์ จำกัด (มหาชน) สาขา อยุธยาซิตี้พาร์ค</t>
  </si>
  <si>
    <t>0730401</t>
  </si>
  <si>
    <t>ธ. แลนด์ แอนด์ เฮ้าส์ จำกัด (มหาชน) สาขา ภูเก็ต</t>
  </si>
  <si>
    <t>0730402</t>
  </si>
  <si>
    <t>ธ. แลนด์ แอนด์ เฮ้าส์ จำกัด (มหาชน) สาขา เทสโก้ โลตัส ภูเก็ต</t>
  </si>
  <si>
    <t>0730403</t>
  </si>
  <si>
    <t>ธ. แลนด์ แอนด์ เฮ้าส์ จำกัด (มหาชน) สาขา ป่าตอง</t>
  </si>
  <si>
    <t>0730404</t>
  </si>
  <si>
    <t>ธ. แลนด์ แอนด์ เฮ้าส์ จำกัด (มหาชน) สาขา เซ็นทรัล สุราษฎร์ธานี</t>
  </si>
  <si>
    <t>0730405</t>
  </si>
  <si>
    <t>ธ. แลนด์ แอนด์ เฮ้าส์ จำกัด (มหาชน) สาขา หาดใหญ่</t>
  </si>
  <si>
    <t>0730406</t>
  </si>
  <si>
    <t>ธ. แลนด์ แอนด์ เฮ้าส์ จำกัด (มหาชน) สาขา บิ๊กซี หาดใหญ่ 2</t>
  </si>
  <si>
    <t>0730407</t>
  </si>
  <si>
    <t>ธ. แลนด์ แอนด์ เฮ้าส์ จำกัด (มหาชน) สาขา โฮมโปร ตรัง</t>
  </si>
  <si>
    <t>0730408</t>
  </si>
  <si>
    <t>ธ. แลนด์ แอนด์ เฮ้าส์ จำกัด (มหาชน) สาขา โฮมโปร ชุมพร</t>
  </si>
  <si>
    <t>0730409</t>
  </si>
  <si>
    <t>ธ. แลนด์ แอนด์ เฮ้าส์ จำกัด (มหาชน) สาขา นครศรีธรรมราช</t>
  </si>
  <si>
    <t>0730410</t>
  </si>
  <si>
    <t>ธ. แลนด์ แอนด์ เฮ้าส์ จำกัด (มหาชน) สาขา โฮมโปร ภูเก็ต (ฉลอง)</t>
  </si>
  <si>
    <t>0730411</t>
  </si>
  <si>
    <t>ธ. แลนด์ แอนด์ เฮ้าส์ จำกัด (มหาชน) สาขา กระบี่</t>
  </si>
  <si>
    <t>0730412</t>
  </si>
  <si>
    <t>ธ. แลนด์ แอนด์ เฮ้าส์ จำกัด (มหาชน) สาขา เทสโก้ โลตัส สมุย</t>
  </si>
  <si>
    <t>0730413</t>
  </si>
  <si>
    <t>ธ. แลนด์ แอนด์ เฮ้าส์ จำกัด (มหาชน) สาขา โฮมโปร ภูเก็ต (ถลาง)</t>
  </si>
  <si>
    <t>0730414</t>
  </si>
  <si>
    <t>ธ. แลนด์ แอนด์ เฮ้าส์ จำกัด (มหาชน) สาขา โฮมโปร พัทลุง</t>
  </si>
  <si>
    <t>0730415</t>
  </si>
  <si>
    <t>ธ. แลนด์ แอนด์ เฮ้าส์ จำกัด (มหาชน) สาขา สมุย (ละไม)</t>
  </si>
  <si>
    <t>0730501</t>
  </si>
  <si>
    <t>ธ. แลนด์ แอนด์ เฮ้าส์ จำกัด (มหาชน) สาขา เดอะมอลล์ บางแค</t>
  </si>
  <si>
    <t>0730502</t>
  </si>
  <si>
    <t>ธ. แลนด์ แอนด์ เฮ้าส์ จำกัด (มหาชน) สาขา คิวเฮ้าส์ อโศก</t>
  </si>
  <si>
    <t>0730503</t>
  </si>
  <si>
    <t>ธ. แลนด์ แอนด์ เฮ้าส์ จำกัด (มหาชน) สาขา เดอะมอลล์ บางกะปิ</t>
  </si>
  <si>
    <t>0730504</t>
  </si>
  <si>
    <t>ธ. แลนด์ แอนด์ เฮ้าส์ จำกัด (มหาชน) สาขา ดิโอลด์ สยาม</t>
  </si>
  <si>
    <t>0730505</t>
  </si>
  <si>
    <t>ธ. แลนด์ แอนด์ เฮ้าส์ จำกัด (มหาชน) สาขา บิ๊กซี บางนา</t>
  </si>
  <si>
    <t>0730506</t>
  </si>
  <si>
    <t>ธ. แลนด์ แอนด์ เฮ้าส์ จำกัด (มหาชน) สาขา โฮมโปร เพชรเกษม</t>
  </si>
  <si>
    <t>0730507</t>
  </si>
  <si>
    <t>ธ. แลนด์ แอนด์ เฮ้าส์ จำกัด (มหาชน) สาขา มาบุญครอง เซ็นเตอร์</t>
  </si>
  <si>
    <t>0730508</t>
  </si>
  <si>
    <t>ธ. แลนด์ แอนด์ เฮ้าส์ จำกัด (มหาชน) สาขา บิ๊กซี พระราม 2</t>
  </si>
  <si>
    <t>0730509</t>
  </si>
  <si>
    <t>ธ. แลนด์ แอนด์ เฮ้าส์ จำกัด (มหาชน) สาขา ฟิวเจอร์ พาร์ค รังสิต</t>
  </si>
  <si>
    <t>0730510</t>
  </si>
  <si>
    <t>ธ. แลนด์ แอนด์ เฮ้าส์ จำกัด (มหาชน) สาขา บิ๊กซี บางพลี</t>
  </si>
  <si>
    <t>0730511</t>
  </si>
  <si>
    <t>ธ. แลนด์ แอนด์ เฮ้าส์ จำกัด (มหาชน) สาขา โฮมโปร เอกมัย-รามอินทรา</t>
  </si>
  <si>
    <t>0730512</t>
  </si>
  <si>
    <t>ธ. แลนด์ แอนด์ เฮ้าส์ จำกัด (มหาชน) สาขา เดอะมอลล์ ท่าพระ</t>
  </si>
  <si>
    <t>0730513</t>
  </si>
  <si>
    <t>ธ. แลนด์ แอนด์ เฮ้าส์ จำกัด (มหาชน) สาขา เยาวราช</t>
  </si>
  <si>
    <t>0730514</t>
  </si>
  <si>
    <t>ธ. แลนด์ แอนด์ เฮ้าส์ จำกัด (มหาชน) สาขา สีลม</t>
  </si>
  <si>
    <t>0730515</t>
  </si>
  <si>
    <t>ธ. แลนด์ แอนด์ เฮ้าส์ จำกัด (มหาชน) สาขา บิ๊กซี รัตนาธิเบศร์</t>
  </si>
  <si>
    <t>0730516</t>
  </si>
  <si>
    <t>ธ. แลนด์ แอนด์ เฮ้าส์ จำกัด (มหาชน) สาขา สำเพ็ง</t>
  </si>
  <si>
    <t>0730517</t>
  </si>
  <si>
    <t>ธ. แลนด์ แอนด์ เฮ้าส์ จำกัด (มหาชน) สาขา เดอะมอลล์ งามวงศ์วาน</t>
  </si>
  <si>
    <t>0730518</t>
  </si>
  <si>
    <t>ธ. แลนด์ แอนด์ เฮ้าส์ จำกัด (มหาชน) สาขา ทองหล่อ</t>
  </si>
  <si>
    <t>0730519</t>
  </si>
  <si>
    <t>ธ. แลนด์ แอนด์ เฮ้าส์ จำกัด (มหาชน) สาขา บางรัก</t>
  </si>
  <si>
    <t>0730520</t>
  </si>
  <si>
    <t>ธ. แลนด์ แอนด์ เฮ้าส์ จำกัด (มหาชน) สาขา คลองถม</t>
  </si>
  <si>
    <t>0730521</t>
  </si>
  <si>
    <t>ธ. แลนด์ แอนด์ เฮ้าส์ จำกัด (มหาชน) สาขา บิ๊กซี อ่อนนุช</t>
  </si>
  <si>
    <t>0730522</t>
  </si>
  <si>
    <t>ธ. แลนด์ แอนด์ เฮ้าส์ จำกัด (มหาชน) สาขา สะพานควาย</t>
  </si>
  <si>
    <t>0730523</t>
  </si>
  <si>
    <t>ธ. แลนด์ แอนด์ เฮ้าส์ จำกัด (มหาชน) สาขา พรานนก</t>
  </si>
  <si>
    <t>0730524</t>
  </si>
  <si>
    <t>ธ. แลนด์ แอนด์ เฮ้าส์ จำกัด (มหาชน) สาขา วรจักร</t>
  </si>
  <si>
    <t>0730525</t>
  </si>
  <si>
    <t>ธ. แลนด์ แอนด์ เฮ้าส์ จำกัด (มหาชน) สาขา เดอะ เซอร์เคิล ราชพฤกษ์</t>
  </si>
  <si>
    <t>0730526</t>
  </si>
  <si>
    <t>ธ. แลนด์ แอนด์ เฮ้าส์ จำกัด (มหาชน) สาขา วงเวียน 22 กรกฎา</t>
  </si>
  <si>
    <t>0730527</t>
  </si>
  <si>
    <t>ธ. แลนด์ แอนด์ เฮ้าส์ จำกัด (มหาชน) สาขา เทอร์มินอล 21</t>
  </si>
  <si>
    <t>0730528</t>
  </si>
  <si>
    <t>ธ. แลนด์ แอนด์ เฮ้าส์ จำกัด (มหาชน) สาขา เสนานิคม</t>
  </si>
  <si>
    <t>0730529</t>
  </si>
  <si>
    <t>ธ. แลนด์ แอนด์ เฮ้าส์ จำกัด (มหาชน) สาขา ปากคลองตลาด</t>
  </si>
  <si>
    <t>0730530</t>
  </si>
  <si>
    <t>ธ. แลนด์ แอนด์ เฮ้าส์ จำกัด (มหาชน) สาขา สมุทรสาคร</t>
  </si>
  <si>
    <t>0730531</t>
  </si>
  <si>
    <t>ธ. แลนด์ แอนด์ เฮ้าส์ จำกัด (มหาชน) สาขา เดอะ พรอมานาด</t>
  </si>
  <si>
    <t>0730532</t>
  </si>
  <si>
    <t>ธ. แลนด์ แอนด์ เฮ้าส์ จำกัด (มหาชน) สาขา เซ็นทรัล พระราม 9</t>
  </si>
  <si>
    <t>0730533</t>
  </si>
  <si>
    <t>ธ. แลนด์ แอนด์ เฮ้าส์ จำกัด (มหาชน) สาขา ตลาดไท</t>
  </si>
  <si>
    <t>0730534</t>
  </si>
  <si>
    <t>ธ. แลนด์ แอนด์ เฮ้าส์ จำกัด (มหาชน) สาขา ซีคอน บางแค</t>
  </si>
  <si>
    <t>0730535</t>
  </si>
  <si>
    <t>ธ. แลนด์ แอนด์ เฮ้าส์ จำกัด (มหาชน) สาขา สุขสวัสดิ์</t>
  </si>
  <si>
    <t>0730536</t>
  </si>
  <si>
    <t>ธ. แลนด์ แอนด์ เฮ้าส์ จำกัด (มหาชน) สาขา ประตูน้ำ</t>
  </si>
  <si>
    <t>0730537</t>
  </si>
  <si>
    <t>ธ. แลนด์ แอนด์ เฮ้าส์ จำกัด (มหาชน) สาขา ซีคอน สแควร์</t>
  </si>
  <si>
    <t>0730538</t>
  </si>
  <si>
    <t>ธ. แลนด์ แอนด์ เฮ้าส์ จำกัด (มหาชน) สาขา ถนนจันทน์</t>
  </si>
  <si>
    <t>0730539</t>
  </si>
  <si>
    <t>ธ. แลนด์ แอนด์ เฮ้าส์ จำกัด (มหาชน) สาขา บิ๊กซี ติวานนท์</t>
  </si>
  <si>
    <t>0730540</t>
  </si>
  <si>
    <t>ธ. แลนด์ แอนด์ เฮ้าส์ จำกัด (มหาชน) สาขา โบ๊เบ๊</t>
  </si>
  <si>
    <t>0730541</t>
  </si>
  <si>
    <t>ธ. แลนด์ แอนด์ เฮ้าส์ จำกัด (มหาชน) สาขา พาร์คเลน (เอกมัย)</t>
  </si>
  <si>
    <t>0730542</t>
  </si>
  <si>
    <t>ธ. แลนด์ แอนด์ เฮ้าส์ จำกัด (มหาชน) สาขา ตลาดน้อย</t>
  </si>
  <si>
    <t>0730543</t>
  </si>
  <si>
    <t>ธ. แลนด์ แอนด์ เฮ้าส์ จำกัด (มหาชน) สาขา เทสโก้ โลตัส บางนา-ตราด</t>
  </si>
  <si>
    <t>0730544</t>
  </si>
  <si>
    <t>ธ. แลนด์ แอนด์ เฮ้าส์ จำกัด (มหาชน) สาขา สะพานใหม่</t>
  </si>
  <si>
    <t>0730545</t>
  </si>
  <si>
    <t>ธ. แลนด์ แอนด์ เฮ้าส์ จำกัด (มหาชน) สาขา เสนา เฟสท์ (เจริญนคร)</t>
  </si>
  <si>
    <t>0730546</t>
  </si>
  <si>
    <t>ธ. แลนด์ แอนด์ เฮ้าส์ จำกัด (มหาชน) สาขา เทสโก้ โลตัส พระราม 1</t>
  </si>
  <si>
    <t>0730547</t>
  </si>
  <si>
    <t>ธ. แลนด์ แอนด์ เฮ้าส์ จำกัด (มหาชน) สาขา เทสโก้ โลตัส พระราม 4</t>
  </si>
  <si>
    <t>0730548</t>
  </si>
  <si>
    <t>ธ. แลนด์ แอนด์ เฮ้าส์ จำกัด (มหาชน) สาขา เวฟเพลส (เพลินจิต)</t>
  </si>
  <si>
    <t>0730549</t>
  </si>
  <si>
    <t>ธ. แลนด์ แอนด์ เฮ้าส์ จำกัด (มหาชน) สาขา เซ็นทรัล ปิ่นเกล้า</t>
  </si>
  <si>
    <t>0730550</t>
  </si>
  <si>
    <t>ธ. แลนด์ แอนด์ เฮ้าส์ จำกัด (มหาชน) สาขา บางลำพู</t>
  </si>
  <si>
    <t>0730551</t>
  </si>
  <si>
    <t>ธ. แลนด์ แอนด์ เฮ้าส์ จำกัด (มหาชน) สาขา สมุทรปราการ</t>
  </si>
  <si>
    <t>0730552</t>
  </si>
  <si>
    <t>ธ. แลนด์ แอนด์ เฮ้าส์ จำกัด (มหาชน) สาขา โฮมโปร ประชาชื่น</t>
  </si>
  <si>
    <t>0730553</t>
  </si>
  <si>
    <t>ธ. แลนด์ แอนด์ เฮ้าส์ จำกัด (มหาชน) สาขา เดอะ พาซิโอทาวน์ (รามคำแหง)</t>
  </si>
  <si>
    <t>0730554</t>
  </si>
  <si>
    <t>ธ. แลนด์ แอนด์ เฮ้าส์ จำกัด (มหาชน) สาขา เมกาโฮม รังสิต</t>
  </si>
  <si>
    <t>0730555</t>
  </si>
  <si>
    <t>ธ. แลนด์ แอนด์ เฮ้าส์ จำกัด (มหาชน) สาขา เทสโก้ โลตัส ศรีนครินทร์</t>
  </si>
  <si>
    <t>0730556</t>
  </si>
  <si>
    <t>ธ. แลนด์ แอนด์ เฮ้าส์ จำกัด (มหาชน) สาขา คิวเฮ้าส์ สาทร</t>
  </si>
  <si>
    <t>0730557</t>
  </si>
  <si>
    <t>ธ. แลนด์ แอนด์ เฮ้าส์ จำกัด (มหาชน) สาขา โฮมโปร  สุวรรณภูมิ</t>
  </si>
  <si>
    <t>0730558</t>
  </si>
  <si>
    <t>ธ. แลนด์ แอนด์ เฮ้าส์ จำกัด (มหาชน) สาขา เซ็นทรัล แจ้งวัฒนะ</t>
  </si>
  <si>
    <t>0730559</t>
  </si>
  <si>
    <t>ธ. แลนด์ แอนด์ เฮ้าส์ จำกัด (มหาชน) สาขา โฮมโปร พระราม 3</t>
  </si>
  <si>
    <t>0730560</t>
  </si>
  <si>
    <t>ธ. แลนด์ แอนด์ เฮ้าส์ จำกัด (มหาชน) สาขา เดอะ พาซิโอมอลล์ (ลาดกระบัง)</t>
  </si>
  <si>
    <t>0730561</t>
  </si>
  <si>
    <t>ธ. แลนด์ แอนด์ เฮ้าส์ จำกัด (มหาชน) สาขา พาราไดซ์ พาร์ค</t>
  </si>
  <si>
    <t>0730790</t>
  </si>
  <si>
    <t>ธ. แลนด์ แอนด์ เฮ้าส์ จำกัด (มหาชน) สำนักงานใหญ่ (สำนักลุมพินี)</t>
  </si>
  <si>
    <t>0730889</t>
  </si>
  <si>
    <t>ธ. แลนด์ แอนด์ เฮ้าส์ จำกัด (มหาชน) สาขา สำนักลุมพินี</t>
  </si>
  <si>
    <t>0730890</t>
  </si>
  <si>
    <t>ธ. แลนด์ แอนด์ เฮ้าส์ จำกัด (มหาชน) สาขา แฟชั่นไอส์แลนด์</t>
  </si>
  <si>
    <t>0790001</t>
  </si>
  <si>
    <t>ธ. เอเอ็นแซด (ไทย) จำกัด (มหาชน) สำนักงานใหญ่</t>
  </si>
  <si>
    <t>0800001</t>
  </si>
  <si>
    <t>ธ. ซูมิโตโม มิตซุย ทรัสต์ (ไทย) จำกัด (มหาชน) สำนักงานใหญ่</t>
  </si>
  <si>
    <t>0980001</t>
  </si>
  <si>
    <t>ธ. พัฒนาวิสาหกิจขนาดกลางและขนาดย่อมแห่งประเทศไทย สำนักงานใหญ่</t>
  </si>
  <si>
    <t>0980002</t>
  </si>
  <si>
    <t>ธ. พัฒนาวิสาหกิจขนาดกลางและขนาดย่อมแห่งประเทศไทย สำนักพหลโยธิน</t>
  </si>
  <si>
    <t>0980003</t>
  </si>
  <si>
    <t>ธ. พัฒนาวิสาหกิจขนาดกลางและขนาดย่อมแห่งประเทศไทย สาขา สมุทรสาคร</t>
  </si>
  <si>
    <t>0980004</t>
  </si>
  <si>
    <t>ธ. พัฒนาวิสาหกิจขนาดกลางและขนาดย่อมแห่งประเทศไทย สาขา นครปฐม</t>
  </si>
  <si>
    <t>0980005</t>
  </si>
  <si>
    <t>ธ. พัฒนาวิสาหกิจขนาดกลางและขนาดย่อมแห่งประเทศไทย สาขา พระประแดง</t>
  </si>
  <si>
    <t>0980006</t>
  </si>
  <si>
    <t>ธ. พัฒนาวิสาหกิจขนาดกลางและขนาดย่อมแห่งประเทศไทย สาขา นนทบุรี</t>
  </si>
  <si>
    <t>0980007</t>
  </si>
  <si>
    <t>ธ. พัฒนาวิสาหกิจขนาดกลางและขนาดย่อมแห่งประเทศไทย สาขา รังสิต</t>
  </si>
  <si>
    <t>0980008</t>
  </si>
  <si>
    <t>ธ. พัฒนาวิสาหกิจขนาดกลางและขนาดย่อมแห่งประเทศไทย สาขา อ้อมน้อย</t>
  </si>
  <si>
    <t>0980009</t>
  </si>
  <si>
    <t>ธ. พัฒนาวิสาหกิจขนาดกลางและขนาดย่อมแห่งประเทศไทย สาขา สมุทรปราการ</t>
  </si>
  <si>
    <t>0980010</t>
  </si>
  <si>
    <t>ธ. พัฒนาวิสาหกิจขนาดกลางและขนาดย่อมแห่งประเทศไทย สาขา ปทุมธานี</t>
  </si>
  <si>
    <t>0980011</t>
  </si>
  <si>
    <t>ธ. พัฒนาวิสาหกิจขนาดกลางและขนาดย่อมแห่งประเทศไทย สาขา สุขุมวิท 62</t>
  </si>
  <si>
    <t>0980012</t>
  </si>
  <si>
    <t>ธ. พัฒนาวิสาหกิจขนาดกลางและขนาดย่อมแห่งประเทศไทย สาขา ลาดกระบัง</t>
  </si>
  <si>
    <t>0980013</t>
  </si>
  <si>
    <t>ธ. พัฒนาวิสาหกิจขนาดกลางและขนาดย่อมแห่งประเทศไทย สาขา บางบัวทอง</t>
  </si>
  <si>
    <t>0980014</t>
  </si>
  <si>
    <t>ธ. พัฒนาวิสาหกิจขนาดกลางและขนาดย่อมแห่งประเทศไทย สาขา จตุจักร</t>
  </si>
  <si>
    <t>0980015</t>
  </si>
  <si>
    <t>ธ. พัฒนาวิสาหกิจขนาดกลางและขนาดย่อมแห่งประเทศไทย สาขา ปิ่นเกล้า</t>
  </si>
  <si>
    <t>0980100</t>
  </si>
  <si>
    <t>ธ. พัฒนาวิสาหกิจขนาดกลางและขนาดย่อมแห่งประเทศไทย สาขา พระนครศรีอยุธยา</t>
  </si>
  <si>
    <t>0980101</t>
  </si>
  <si>
    <t>ธ. พัฒนาวิสาหกิจขนาดกลางและขนาดย่อมแห่งประเทศไทย สาขา สระบุรี</t>
  </si>
  <si>
    <t>0980102</t>
  </si>
  <si>
    <t>ธ. พัฒนาวิสาหกิจขนาดกลางและขนาดย่อมแห่งประเทศไทย สาขา  ลพบุรี</t>
  </si>
  <si>
    <t>0980103</t>
  </si>
  <si>
    <t>ธ. พัฒนาวิสาหกิจขนาดกลางและขนาดย่อมแห่งประเทศไทย สาขา  สิงห์บุรี</t>
  </si>
  <si>
    <t>0980104</t>
  </si>
  <si>
    <t>ธ. พัฒนาวิสาหกิจขนาดกลางและขนาดย่อมแห่งประเทศไทย สาขา  ชัยนาท</t>
  </si>
  <si>
    <t>0980105</t>
  </si>
  <si>
    <t>ธ. พัฒนาวิสาหกิจขนาดกลางและขนาดย่อมแห่งประเทศไทย สาขา  อ่างทอง</t>
  </si>
  <si>
    <t>0980200</t>
  </si>
  <si>
    <t>ธ. พัฒนาวิสาหกิจขนาดกลางและขนาดย่อมแห่งประเทศไทย สาขา ชลบุรี</t>
  </si>
  <si>
    <t>0980201</t>
  </si>
  <si>
    <t>ธ. พัฒนาวิสาหกิจขนาดกลางและขนาดย่อมแห่งประเทศไทย สาขา ฉะเชิงเทรา</t>
  </si>
  <si>
    <t>0980202</t>
  </si>
  <si>
    <t>ธ. พัฒนาวิสาหกิจขนาดกลางและขนาดย่อมแห่งประเทศไทย สาขา ระยอง</t>
  </si>
  <si>
    <t>0980203</t>
  </si>
  <si>
    <t>ธ. พัฒนาวิสาหกิจขนาดกลางและขนาดย่อมแห่งประเทศไทย สาขา จันทบุรี</t>
  </si>
  <si>
    <t>0980204</t>
  </si>
  <si>
    <t>ธ. พัฒนาวิสาหกิจขนาดกลางและขนาดย่อมแห่งประเทศไทย สาขา ตราด</t>
  </si>
  <si>
    <t>0980205</t>
  </si>
  <si>
    <t>ธ. พัฒนาวิสาหกิจขนาดกลางและขนาดย่อมแห่งประเทศไทย สาขา ปราจีนบุรี</t>
  </si>
  <si>
    <t>0980206</t>
  </si>
  <si>
    <t>ธ. พัฒนาวิสาหกิจขนาดกลางและขนาดย่อมแห่งประเทศไทย สาขา สระแก้ว</t>
  </si>
  <si>
    <t>0980207</t>
  </si>
  <si>
    <t>ธ. พัฒนาวิสาหกิจขนาดกลางและขนาดย่อมแห่งประเทศไทย สาขา นครนายก</t>
  </si>
  <si>
    <t>0980208</t>
  </si>
  <si>
    <t>ธ. พัฒนาวิสาหกิจขนาดกลางและขนาดย่อมแห่งประเทศไทย สาขา กบินทร์บุรี</t>
  </si>
  <si>
    <t>0980209</t>
  </si>
  <si>
    <t>ธ. พัฒนาวิสาหกิจขนาดกลางและขนาดย่อมแห่งประเทศไทย สาขา พัทยา</t>
  </si>
  <si>
    <t>0980210</t>
  </si>
  <si>
    <t>ธ. พัฒนาวิสาหกิจขนาดกลางและขนาดย่อมแห่งประเทศไทย สาขา แกลง</t>
  </si>
  <si>
    <t>0980300</t>
  </si>
  <si>
    <t>ธ. พัฒนาวิสาหกิจขนาดกลางและขนาดย่อมแห่งประเทศไทย สาขา ขอนแก่น</t>
  </si>
  <si>
    <t>0980301</t>
  </si>
  <si>
    <t>ธ. พัฒนาวิสาหกิจขนาดกลางและขนาดย่อมแห่งประเทศไทย สาขา  อุดรธานี</t>
  </si>
  <si>
    <t>0980302</t>
  </si>
  <si>
    <t>ธ. พัฒนาวิสาหกิจขนาดกลางและขนาดย่อมแห่งประเทศไทย สาขา  สกลนคร</t>
  </si>
  <si>
    <t>0980303</t>
  </si>
  <si>
    <t>ธ. พัฒนาวิสาหกิจขนาดกลางและขนาดย่อมแห่งประเทศไทย สาขา  หนองคาย</t>
  </si>
  <si>
    <t>0980304</t>
  </si>
  <si>
    <t>ธ. พัฒนาวิสาหกิจขนาดกลางและขนาดย่อมแห่งประเทศไทย สาขา มุกดาหาร</t>
  </si>
  <si>
    <t>0980305</t>
  </si>
  <si>
    <t>ธ. พัฒนาวิสาหกิจขนาดกลางและขนาดย่อมแห่งประเทศไทย สาขา  กาฬสินธุ์</t>
  </si>
  <si>
    <t>0980306</t>
  </si>
  <si>
    <t>ธ. พัฒนาวิสาหกิจขนาดกลางและขนาดย่อมแห่งประเทศไทย สาขา  ชัยภูมิ</t>
  </si>
  <si>
    <t>0980307</t>
  </si>
  <si>
    <t>ธ. พัฒนาวิสาหกิจขนาดกลางและขนาดย่อมแห่งประเทศไทย สาขา  เลย</t>
  </si>
  <si>
    <t>0980308</t>
  </si>
  <si>
    <t>ธ. พัฒนาวิสาหกิจขนาดกลางและขนาดย่อมแห่งประเทศไทย สาขา  นครพนม</t>
  </si>
  <si>
    <t>0980309</t>
  </si>
  <si>
    <t>ธ. พัฒนาวิสาหกิจขนาดกลางและขนาดย่อมแห่งประเทศไทย สาขา หนองบัวลำภู</t>
  </si>
  <si>
    <t>0980310</t>
  </si>
  <si>
    <t>ธ. พัฒนาวิสาหกิจขนาดกลางและขนาดย่อมแห่งประเทศไทย สาขา สว่างแดนดิน</t>
  </si>
  <si>
    <t>0980311</t>
  </si>
  <si>
    <t>ธ. พัฒนาวิสาหกิจขนาดกลางและขนาดย่อมแห่งประเทศไทย สาขา  ชุมแพ</t>
  </si>
  <si>
    <t>0980400</t>
  </si>
  <si>
    <t>ธ. พัฒนาวิสาหกิจขนาดกลางและขนาดย่อมแห่งประเทศไทย สาขา นครราชสีมา</t>
  </si>
  <si>
    <t>0980401</t>
  </si>
  <si>
    <t>ธ. พัฒนาวิสาหกิจขนาดกลางและขนาดย่อมแห่งประเทศไทย สาขา อุบลราชธานี</t>
  </si>
  <si>
    <t>0980402</t>
  </si>
  <si>
    <t>ธ. พัฒนาวิสาหกิจขนาดกลางและขนาดย่อมแห่งประเทศไทย สาขา สุรินทร์</t>
  </si>
  <si>
    <t>0980403</t>
  </si>
  <si>
    <t>ธ. พัฒนาวิสาหกิจขนาดกลางและขนาดย่อมแห่งประเทศไทย สาขา ร้อยเอ็ด</t>
  </si>
  <si>
    <t>0980404</t>
  </si>
  <si>
    <t>ธ. พัฒนาวิสาหกิจขนาดกลางและขนาดย่อมแห่งประเทศไทย สาขา ยโสธร</t>
  </si>
  <si>
    <t>0980405</t>
  </si>
  <si>
    <t>ธ. พัฒนาวิสาหกิจขนาดกลางและขนาดย่อมแห่งประเทศไทย สาขา บุรีรัมย์</t>
  </si>
  <si>
    <t>0980406</t>
  </si>
  <si>
    <t>ธ. พัฒนาวิสาหกิจขนาดกลางและขนาดย่อมแห่งประเทศไทย สาขา ศรีสะเกษ</t>
  </si>
  <si>
    <t>0980407</t>
  </si>
  <si>
    <t>ธ. พัฒนาวิสาหกิจขนาดกลางและขนาดย่อมแห่งประเทศไทย สาขา มหาสารคาม</t>
  </si>
  <si>
    <t>0980408</t>
  </si>
  <si>
    <t>ธ. พัฒนาวิสาหกิจขนาดกลางและขนาดย่อมแห่งประเทศไทย สาขา อำนาจเจริญ</t>
  </si>
  <si>
    <t>0980409</t>
  </si>
  <si>
    <t>ธ. พัฒนาวิสาหกิจขนาดกลางและขนาดย่อมแห่งประเทศไทย สาขา ปากช่อง</t>
  </si>
  <si>
    <t>0980410</t>
  </si>
  <si>
    <t>ธ. พัฒนาวิสาหกิจขนาดกลางและขนาดย่อมแห่งประเทศไทย สาขา  เดชอุดม</t>
  </si>
  <si>
    <t>0980500</t>
  </si>
  <si>
    <t>ธ. พัฒนาวิสาหกิจขนาดกลางและขนาดย่อมแห่งประเทศไทย สาขา เชียงใหม่</t>
  </si>
  <si>
    <t>0980501</t>
  </si>
  <si>
    <t>ธ. พัฒนาวิสาหกิจขนาดกลางและขนาดย่อมแห่งประเทศไทย สาขา เชียงราย</t>
  </si>
  <si>
    <t>0980502</t>
  </si>
  <si>
    <t>ธ. พัฒนาวิสาหกิจขนาดกลางและขนาดย่อมแห่งประเทศไทย สาขา ลำปาง</t>
  </si>
  <si>
    <t>0980503</t>
  </si>
  <si>
    <t>ธ. พัฒนาวิสาหกิจขนาดกลางและขนาดย่อมแห่งประเทศไทย สาขา แพร่</t>
  </si>
  <si>
    <t>0980504</t>
  </si>
  <si>
    <t>ธ. พัฒนาวิสาหกิจขนาดกลางและขนาดย่อมแห่งประเทศไทย สาขา พะเยา</t>
  </si>
  <si>
    <t>0980505</t>
  </si>
  <si>
    <t>ธ. พัฒนาวิสาหกิจขนาดกลางและขนาดย่อมแห่งประเทศไทย สาขา ลำพูน</t>
  </si>
  <si>
    <t>0980506</t>
  </si>
  <si>
    <t>ธ. พัฒนาวิสาหกิจขนาดกลางและขนาดย่อมแห่งประเทศไทย สาขา น่าน</t>
  </si>
  <si>
    <t>0980507</t>
  </si>
  <si>
    <t>ธ. พัฒนาวิสาหกิจขนาดกลางและขนาดย่อมแห่งประเทศไทย สาขา แม่ฮ่องสอน</t>
  </si>
  <si>
    <t>0980508</t>
  </si>
  <si>
    <t>ธ. พัฒนาวิสาหกิจขนาดกลางและขนาดย่อมแห่งประเทศไทย สาขา แม่สาย</t>
  </si>
  <si>
    <t>0980509</t>
  </si>
  <si>
    <t>ธ. พัฒนาวิสาหกิจขนาดกลางและขนาดย่อมแห่งประเทศไทย สาขา สันกำแพง</t>
  </si>
  <si>
    <t>0980600</t>
  </si>
  <si>
    <t>ธ. พัฒนาวิสาหกิจขนาดกลางและขนาดย่อมแห่งประเทศไทย สาขา พิษณุโลก</t>
  </si>
  <si>
    <t>0980601</t>
  </si>
  <si>
    <t>ธ. พัฒนาวิสาหกิจขนาดกลางและขนาดย่อมแห่งประเทศไทย สาขา พิจิตร</t>
  </si>
  <si>
    <t>0980602</t>
  </si>
  <si>
    <t>ธ. พัฒนาวิสาหกิจขนาดกลางและขนาดย่อมแห่งประเทศไทย สาขา อุตรดิตถ์</t>
  </si>
  <si>
    <t>0980603</t>
  </si>
  <si>
    <t>ธ. พัฒนาวิสาหกิจขนาดกลางและขนาดย่อมแห่งประเทศไทย สาขา ตาก</t>
  </si>
  <si>
    <t>0980604</t>
  </si>
  <si>
    <t>ธ. พัฒนาวิสาหกิจขนาดกลางและขนาดย่อมแห่งประเทศไทย สาขา เพชรบูรณ์</t>
  </si>
  <si>
    <t>0980605</t>
  </si>
  <si>
    <t>ธ. พัฒนาวิสาหกิจขนาดกลางและขนาดย่อมแห่งประเทศไทย สาขา นครสวรรค์</t>
  </si>
  <si>
    <t>0980606</t>
  </si>
  <si>
    <t>ธ. พัฒนาวิสาหกิจขนาดกลางและขนาดย่อมแห่งประเทศไทย สาขา สุโขทัย</t>
  </si>
  <si>
    <t>0980607</t>
  </si>
  <si>
    <t>ธ. พัฒนาวิสาหกิจขนาดกลางและขนาดย่อมแห่งประเทศไทย สาขา กำแพงเพชร</t>
  </si>
  <si>
    <t>0980608</t>
  </si>
  <si>
    <t>ธ. พัฒนาวิสาหกิจขนาดกลางและขนาดย่อมแห่งประเทศไทย สาขา อุทัยธานี</t>
  </si>
  <si>
    <t>0980700</t>
  </si>
  <si>
    <t>ธ. พัฒนาวิสาหกิจขนาดกลางและขนาดย่อมแห่งประเทศไทย สาขา สุพรรณบุรี</t>
  </si>
  <si>
    <t>0980701</t>
  </si>
  <si>
    <t>ธ. พัฒนาวิสาหกิจขนาดกลางและขนาดย่อมแห่งประเทศไทย สาขา เพชรบุรี</t>
  </si>
  <si>
    <t>0980702</t>
  </si>
  <si>
    <t>ธ. พัฒนาวิสาหกิจขนาดกลางและขนาดย่อมแห่งประเทศไทย สาขา สมุทรสงคราม</t>
  </si>
  <si>
    <t>0980703</t>
  </si>
  <si>
    <t>ธ. พัฒนาวิสาหกิจขนาดกลางและขนาดย่อมแห่งประเทศไทย สาขา กาญจนบุรี</t>
  </si>
  <si>
    <t>0980704</t>
  </si>
  <si>
    <t>ธ. พัฒนาวิสาหกิจขนาดกลางและขนาดย่อมแห่งประเทศไทย สาขา ราชบุรี</t>
  </si>
  <si>
    <t>0980705</t>
  </si>
  <si>
    <t>ธ. พัฒนาวิสาหกิจขนาดกลางและขนาดย่อมแห่งประเทศไทย สาขา ประจวบคีรีขันธ์</t>
  </si>
  <si>
    <t>0980706</t>
  </si>
  <si>
    <t>ธ. พัฒนาวิสาหกิจขนาดกลางและขนาดย่อมแห่งประเทศไทย สาขา หัวหิน</t>
  </si>
  <si>
    <t>0980707</t>
  </si>
  <si>
    <t>ธ. พัฒนาวิสาหกิจขนาดกลางและขนาดย่อมแห่งประเทศไทย สาขา บ้านโป่ง</t>
  </si>
  <si>
    <t>0980800</t>
  </si>
  <si>
    <t>ธ. พัฒนาวิสาหกิจขนาดกลางและขนาดย่อมแห่งประเทศไทย สาขา สุราษฎร์ธานี</t>
  </si>
  <si>
    <t>0980801</t>
  </si>
  <si>
    <t>ธ. พัฒนาวิสาหกิจขนาดกลางและขนาดย่อมแห่งประเทศไทย สาขา ภูเก็ต</t>
  </si>
  <si>
    <t>0980802</t>
  </si>
  <si>
    <t>ธ. พัฒนาวิสาหกิจขนาดกลางและขนาดย่อมแห่งประเทศไทย สาขา นครศรีธรรมราช</t>
  </si>
  <si>
    <t>0980803</t>
  </si>
  <si>
    <t>ธ. พัฒนาวิสาหกิจขนาดกลางและขนาดย่อมแห่งประเทศไทย สาขา กระบี่</t>
  </si>
  <si>
    <t>0980804</t>
  </si>
  <si>
    <t>ธ. พัฒนาวิสาหกิจขนาดกลางและขนาดย่อมแห่งประเทศไทย สาขา ชุมพร</t>
  </si>
  <si>
    <t>0980805</t>
  </si>
  <si>
    <t>ธ. พัฒนาวิสาหกิจขนาดกลางและขนาดย่อมแห่งประเทศไทย สาขา ระนอง</t>
  </si>
  <si>
    <t>0980806</t>
  </si>
  <si>
    <t>ธ. พัฒนาวิสาหกิจขนาดกลางและขนาดย่อมแห่งประเทศไทย สาขา พังงา</t>
  </si>
  <si>
    <t>0980807</t>
  </si>
  <si>
    <t>ธ. พัฒนาวิสาหกิจขนาดกลางและขนาดย่อมแห่งประเทศไทย สาขา เกาะสมุย</t>
  </si>
  <si>
    <t>0980808</t>
  </si>
  <si>
    <t>ธ. พัฒนาวิสาหกิจขนาดกลางและขนาดย่อมแห่งประเทศไทย สาขา ทุ่งสง</t>
  </si>
  <si>
    <t>0980888</t>
  </si>
  <si>
    <t>ธ. พัฒนาวิสาหกิจขนาดกลางและขนาดย่อมแห่งประเทศไทย DUMMY BRANCH 1</t>
  </si>
  <si>
    <t>0980900</t>
  </si>
  <si>
    <t>ธ. พัฒนาวิสาหกิจขนาดกลางและขนาดย่อมแห่งประเทศไทย สาขา หาดใหญ่</t>
  </si>
  <si>
    <t>0980901</t>
  </si>
  <si>
    <t>ธ. พัฒนาวิสาหกิจขนาดกลางและขนาดย่อมแห่งประเทศไทย สาขา ตรัง</t>
  </si>
  <si>
    <t>0980902</t>
  </si>
  <si>
    <t>ธ. พัฒนาวิสาหกิจขนาดกลางและขนาดย่อมแห่งประเทศไทย สาขา ยะลา</t>
  </si>
  <si>
    <t>0980903</t>
  </si>
  <si>
    <t>ธ. พัฒนาวิสาหกิจขนาดกลางและขนาดย่อมแห่งประเทศไทย สาขา ปัตตานี</t>
  </si>
  <si>
    <t>0980904</t>
  </si>
  <si>
    <t>ธ. พัฒนาวิสาหกิจขนาดกลางและขนาดย่อมแห่งประเทศไทย สาขา สตูล</t>
  </si>
  <si>
    <t>0980905</t>
  </si>
  <si>
    <t>ธ. พัฒนาวิสาหกิจขนาดกลางและขนาดย่อมแห่งประเทศไทย สาขา นราธิวาส</t>
  </si>
  <si>
    <t>0980906</t>
  </si>
  <si>
    <t>ธ. พัฒนาวิสาหกิจขนาดกลางและขนาดย่อมแห่งประเทศไทย สาขา พัทลุง</t>
  </si>
  <si>
    <t>0980907</t>
  </si>
  <si>
    <t>ธ. พัฒนาวิสาหกิจขนาดกลางและขนาดย่อมแห่งประเทศไทย สาขา สงขลา</t>
  </si>
  <si>
    <t>0980990</t>
  </si>
  <si>
    <t>ธ. พัฒนาวิสาหกิจขนาดกลางและขนาดย่อมแห่งประเทศไทย DUMMY BRANCH 2</t>
  </si>
  <si>
    <t>T-Code: BP/BP0 - 
Ship-to Master Data</t>
  </si>
  <si>
    <t>Address (Contact Person)</t>
  </si>
  <si>
    <t>Address (Oranization)</t>
  </si>
  <si>
    <t>International Version (Local Language)</t>
  </si>
  <si>
    <t>Person</t>
  </si>
  <si>
    <t>Organization</t>
  </si>
  <si>
    <t>Identification</t>
  </si>
  <si>
    <t>Control (Company Code View)</t>
  </si>
  <si>
    <t xml:space="preserve">Control </t>
  </si>
  <si>
    <t>Payment Transaction Bank 1</t>
  </si>
  <si>
    <t>Bank 2</t>
  </si>
  <si>
    <t>Bank 3</t>
  </si>
  <si>
    <t>Bank 4</t>
  </si>
  <si>
    <t>Bank 5</t>
  </si>
  <si>
    <t>Bank 6</t>
  </si>
  <si>
    <t>Bank 7</t>
  </si>
  <si>
    <t>Bank 8</t>
  </si>
  <si>
    <t>Bank 9</t>
  </si>
  <si>
    <t>Bank 10</t>
  </si>
  <si>
    <t>Customer : General Data</t>
  </si>
  <si>
    <t>Additional Data (Company Code View)</t>
  </si>
  <si>
    <t>Extra (Company Code View)</t>
  </si>
  <si>
    <t>For Extend Company code</t>
  </si>
  <si>
    <t>Company Code View</t>
  </si>
  <si>
    <t>Customer: Account Management</t>
  </si>
  <si>
    <t>Customer: Payment Transaction</t>
  </si>
  <si>
    <t>Customer: Correspondence</t>
  </si>
  <si>
    <t>Customer: Withholding Tax</t>
  </si>
  <si>
    <t>Customer: Ctry-Spec.Enh. (Company Code View)</t>
  </si>
  <si>
    <t>Key table</t>
  </si>
  <si>
    <t>กรณีเลือก Business Partner Cat. = 1</t>
  </si>
  <si>
    <t>Vesrion (EN)</t>
  </si>
  <si>
    <t>International Version : Address</t>
  </si>
  <si>
    <t>Organizational Data (only person)</t>
  </si>
  <si>
    <t xml:space="preserve">Organization Data </t>
  </si>
  <si>
    <t>Identification number</t>
  </si>
  <si>
    <t>Tax Number</t>
  </si>
  <si>
    <t>Control Parameters</t>
  </si>
  <si>
    <t>Note</t>
  </si>
  <si>
    <t>Bank Details</t>
  </si>
  <si>
    <t>Marketing</t>
  </si>
  <si>
    <t>Freely Definable Attributes</t>
  </si>
  <si>
    <t>Condition Determination and Pricing</t>
  </si>
  <si>
    <t>Extend Company Code</t>
  </si>
  <si>
    <t>Account Management</t>
  </si>
  <si>
    <t>Other Reference Data</t>
  </si>
  <si>
    <t>Payment Data</t>
  </si>
  <si>
    <t>Dunning Data</t>
  </si>
  <si>
    <t>Correspondnce</t>
  </si>
  <si>
    <t>Withholding Tax</t>
  </si>
  <si>
    <t>Thailand : Branch Code</t>
  </si>
  <si>
    <t>Field name</t>
  </si>
  <si>
    <t>BP Role</t>
  </si>
  <si>
    <t>BP number</t>
  </si>
  <si>
    <t>Name 1</t>
  </si>
  <si>
    <t>Name 2</t>
  </si>
  <si>
    <t>Name 3</t>
  </si>
  <si>
    <t>Name 4</t>
  </si>
  <si>
    <t>SearchTerm1</t>
  </si>
  <si>
    <t>Search Term 2</t>
  </si>
  <si>
    <t>Building Code</t>
  </si>
  <si>
    <t>C/O</t>
  </si>
  <si>
    <t>House Number</t>
  </si>
  <si>
    <t>Street/House number</t>
  </si>
  <si>
    <t>Street 4</t>
  </si>
  <si>
    <t>Street 5</t>
  </si>
  <si>
    <t xml:space="preserve">Language
</t>
  </si>
  <si>
    <t xml:space="preserve">Telephone (1)
</t>
  </si>
  <si>
    <t xml:space="preserve">Extension (1)
</t>
  </si>
  <si>
    <t>Telephone (2)</t>
  </si>
  <si>
    <t>Extension (2)</t>
  </si>
  <si>
    <t>Mobile Phone</t>
  </si>
  <si>
    <t>Extension</t>
  </si>
  <si>
    <t>Email (1)</t>
  </si>
  <si>
    <t>Note (1)</t>
  </si>
  <si>
    <t xml:space="preserve">Email (2)
</t>
  </si>
  <si>
    <t xml:space="preserve">Note (2)
</t>
  </si>
  <si>
    <t xml:space="preserve">Email (3)
</t>
  </si>
  <si>
    <t xml:space="preserve">Note (3)
</t>
  </si>
  <si>
    <t>Email (4)</t>
  </si>
  <si>
    <t>Note (4)</t>
  </si>
  <si>
    <t>Email (5)</t>
  </si>
  <si>
    <t>Note (5)</t>
  </si>
  <si>
    <t>External Adress no.</t>
  </si>
  <si>
    <t>Version</t>
  </si>
  <si>
    <t>Date of Birth</t>
  </si>
  <si>
    <t>Date Founded</t>
  </si>
  <si>
    <t>Liquidation date</t>
  </si>
  <si>
    <t>External BP number</t>
  </si>
  <si>
    <t>Natural Person</t>
  </si>
  <si>
    <t>Category</t>
  </si>
  <si>
    <t>Tranding Partner</t>
  </si>
  <si>
    <t>BP Type</t>
  </si>
  <si>
    <t>Business Hours</t>
  </si>
  <si>
    <t>Note Log</t>
  </si>
  <si>
    <t>ID(1)</t>
  </si>
  <si>
    <t>Bank Country(1)</t>
  </si>
  <si>
    <t>Bank Key (1)</t>
  </si>
  <si>
    <t>Bank Account (1)</t>
  </si>
  <si>
    <t>Account Holder (1)</t>
  </si>
  <si>
    <t>Account name (1)</t>
  </si>
  <si>
    <t>ID (2)</t>
  </si>
  <si>
    <t>Bank Country (2)</t>
  </si>
  <si>
    <t>Bank Key (2)</t>
  </si>
  <si>
    <t>Bank Account (2)</t>
  </si>
  <si>
    <t>Account Holder (2)</t>
  </si>
  <si>
    <t>Account name (2)</t>
  </si>
  <si>
    <t>ID (3)</t>
  </si>
  <si>
    <t>Bank Country (3)</t>
  </si>
  <si>
    <t>Bank Key (3)</t>
  </si>
  <si>
    <t>Bank Account (3)</t>
  </si>
  <si>
    <t>Account Holder (3)</t>
  </si>
  <si>
    <t>Account name (3)</t>
  </si>
  <si>
    <t>ID (4)</t>
  </si>
  <si>
    <t>Bank Country (4)</t>
  </si>
  <si>
    <t>Bank Key (4)</t>
  </si>
  <si>
    <t>Bank Account (4)</t>
  </si>
  <si>
    <t>Account Holder (4)</t>
  </si>
  <si>
    <t>Account name (4)</t>
  </si>
  <si>
    <t>ID (5)</t>
  </si>
  <si>
    <t>Bank Country (5)</t>
  </si>
  <si>
    <t>Bank Key (5)</t>
  </si>
  <si>
    <t>Bank Account (5)</t>
  </si>
  <si>
    <t>Account Holder (5)</t>
  </si>
  <si>
    <t>Account name (5)</t>
  </si>
  <si>
    <t>ID (6)</t>
  </si>
  <si>
    <t>Bank Country (6)</t>
  </si>
  <si>
    <t>Bank Key (6)</t>
  </si>
  <si>
    <t>Bank Account (6)</t>
  </si>
  <si>
    <t>Account Holder (6)</t>
  </si>
  <si>
    <t>Account name (6)</t>
  </si>
  <si>
    <t>ID (7)</t>
  </si>
  <si>
    <t>Bank Country (7)</t>
  </si>
  <si>
    <t>Bank Key (7)</t>
  </si>
  <si>
    <t>Bank Account (7)</t>
  </si>
  <si>
    <t>Account Holder (7)</t>
  </si>
  <si>
    <t>Account name (7)</t>
  </si>
  <si>
    <t>ID (8)</t>
  </si>
  <si>
    <t>Bank Country (8)</t>
  </si>
  <si>
    <t>Bank Key (8)</t>
  </si>
  <si>
    <t>Bank Account (8)</t>
  </si>
  <si>
    <t>Account Holder (8)</t>
  </si>
  <si>
    <t>Account name (8)</t>
  </si>
  <si>
    <t>ID (9)</t>
  </si>
  <si>
    <t>Bank Country (9)</t>
  </si>
  <si>
    <t>Bank Key (9)</t>
  </si>
  <si>
    <t>Bank Account (9)</t>
  </si>
  <si>
    <t>Account Holder (9)</t>
  </si>
  <si>
    <t>Account name (9)</t>
  </si>
  <si>
    <t>ID (10)</t>
  </si>
  <si>
    <t>Bank Country (10)</t>
  </si>
  <si>
    <t>Bank Key (10)</t>
  </si>
  <si>
    <t>Bank Account (10)</t>
  </si>
  <si>
    <t>Account Holder (10)</t>
  </si>
  <si>
    <t>Account name (10)</t>
  </si>
  <si>
    <t>Customer Classific.</t>
  </si>
  <si>
    <t>Industry code 1</t>
  </si>
  <si>
    <t>Condition group1</t>
  </si>
  <si>
    <t>Condition group2</t>
  </si>
  <si>
    <t>Switch Company Code</t>
  </si>
  <si>
    <t>Sort Key</t>
  </si>
  <si>
    <t>Planning Group</t>
  </si>
  <si>
    <t>Tolerance group</t>
  </si>
  <si>
    <t>Record Pmnt History</t>
  </si>
  <si>
    <t>Alternative Payee</t>
  </si>
  <si>
    <t>Dunning Proceure</t>
  </si>
  <si>
    <t>Accounting Clerk</t>
  </si>
  <si>
    <t>Withholding tax type</t>
  </si>
  <si>
    <t>WT Agent</t>
  </si>
  <si>
    <t>WHT number</t>
  </si>
  <si>
    <t>Oblig.from</t>
  </si>
  <si>
    <t>Oblig.To</t>
  </si>
  <si>
    <t>Branch Code</t>
  </si>
  <si>
    <t>Comment (1)
1100, 5100</t>
  </si>
  <si>
    <t>Comment (2)
1200</t>
  </si>
  <si>
    <t>SAP Table</t>
  </si>
  <si>
    <t>BUS_JOEL_MAIN</t>
  </si>
  <si>
    <t>BUT000</t>
  </si>
  <si>
    <t>BUS000FLDS</t>
  </si>
  <si>
    <t>ADDR1_DATA</t>
  </si>
  <si>
    <t>ADDR1_DATA /
 ADDR2_DATA</t>
  </si>
  <si>
    <t>BUS000FLDS /
ADDR1_DATA</t>
  </si>
  <si>
    <t xml:space="preserve">SZA1_D0100 /SZA7_D0400  </t>
  </si>
  <si>
    <t>ADDR1_DATA /ADDR2_DATA</t>
  </si>
  <si>
    <t>ADDR2_DATA</t>
  </si>
  <si>
    <t>DFKKBPTAXNUM</t>
  </si>
  <si>
    <t>BP001</t>
  </si>
  <si>
    <t>EENO_DYNP</t>
  </si>
  <si>
    <t>BUSBANKCHECK</t>
  </si>
  <si>
    <t>KNA1</t>
  </si>
  <si>
    <t>RMCLF</t>
  </si>
  <si>
    <t>BS001</t>
  </si>
  <si>
    <t>KNB1</t>
  </si>
  <si>
    <t>KNB5</t>
  </si>
  <si>
    <t>CVIS_KNBW</t>
  </si>
  <si>
    <t>FITHA_PBUPL_D_T</t>
  </si>
  <si>
    <t>SAP field name</t>
  </si>
  <si>
    <t>PARTNER_ROLE</t>
  </si>
  <si>
    <t>CREATION_NUMBER</t>
  </si>
  <si>
    <t>CREATION_GROUP</t>
  </si>
  <si>
    <t>TYPE</t>
  </si>
  <si>
    <t>NAME_FIRST</t>
  </si>
  <si>
    <t>NAME_LAST</t>
  </si>
  <si>
    <t>NAME_ORG1</t>
  </si>
  <si>
    <t>NAME_ORG2</t>
  </si>
  <si>
    <t>NAME_ORG3</t>
  </si>
  <si>
    <t>NAME_ORG4</t>
  </si>
  <si>
    <t>BU_SORT1_TXT</t>
  </si>
  <si>
    <t>BU_SORT2_TXT</t>
  </si>
  <si>
    <t>BUILDING</t>
  </si>
  <si>
    <t>NAME_CO</t>
  </si>
  <si>
    <t>HOUSE_NUM1</t>
  </si>
  <si>
    <t>STREET</t>
  </si>
  <si>
    <t>STR_SUPPL3</t>
  </si>
  <si>
    <t>LOCATION</t>
  </si>
  <si>
    <t>CITY2</t>
  </si>
  <si>
    <t>CITY1</t>
  </si>
  <si>
    <t>POST_CODE1</t>
  </si>
  <si>
    <t>COUNTRY</t>
  </si>
  <si>
    <t>REGION</t>
  </si>
  <si>
    <t>TRANSPZONE</t>
  </si>
  <si>
    <t>LANGU</t>
  </si>
  <si>
    <t>TEL_NUMBER</t>
  </si>
  <si>
    <t>TEL_EXTENS</t>
  </si>
  <si>
    <t>MOB_NUMBER</t>
  </si>
  <si>
    <t>FAX_NUMBER</t>
  </si>
  <si>
    <t>FAX_EXTENS</t>
  </si>
  <si>
    <t>SMTP_ADDR</t>
  </si>
  <si>
    <t>SMTP_NOTE</t>
  </si>
  <si>
    <t>REMARK</t>
  </si>
  <si>
    <t>ADEXT</t>
  </si>
  <si>
    <t>NAME1</t>
  </si>
  <si>
    <t>NAME2</t>
  </si>
  <si>
    <t>NAME3</t>
  </si>
  <si>
    <t>NAME4</t>
  </si>
  <si>
    <t>SORT1</t>
  </si>
  <si>
    <t>SORT2</t>
  </si>
  <si>
    <t>XSEXU = Unknow
XSEXF = female
XSEXM = male</t>
  </si>
  <si>
    <t>BIRTHDT</t>
  </si>
  <si>
    <t>FOUND_DAT</t>
  </si>
  <si>
    <t>LIQUID_DAT</t>
  </si>
  <si>
    <t>BPEXT</t>
  </si>
  <si>
    <t>NATPERS</t>
  </si>
  <si>
    <t>TAXTYPE</t>
  </si>
  <si>
    <t>TAXNUMXL</t>
  </si>
  <si>
    <t>VBUND</t>
  </si>
  <si>
    <t>BPKIND</t>
  </si>
  <si>
    <t>ZEILE(4)</t>
  </si>
  <si>
    <t>ZEILE(5)</t>
  </si>
  <si>
    <t>BKVID(1)</t>
  </si>
  <si>
    <t>BANKS(1)</t>
  </si>
  <si>
    <t>BANKL(1)</t>
  </si>
  <si>
    <t>BANKN(1)</t>
  </si>
  <si>
    <t>KOINH(1)</t>
  </si>
  <si>
    <t>ACCNAME(1)</t>
  </si>
  <si>
    <t>BKVID(2)</t>
  </si>
  <si>
    <t>BANKS(2)</t>
  </si>
  <si>
    <t>BANKL(2)</t>
  </si>
  <si>
    <t>BANKN(2)</t>
  </si>
  <si>
    <t>KOINH(2)</t>
  </si>
  <si>
    <t>ACCNAME(2)</t>
  </si>
  <si>
    <t>BKVID(3)</t>
  </si>
  <si>
    <t>BANKS(3)</t>
  </si>
  <si>
    <t>BANKL(3)</t>
  </si>
  <si>
    <t>BANKN(3)</t>
  </si>
  <si>
    <t>KOINH(3)</t>
  </si>
  <si>
    <t>ACCNAME(3)</t>
  </si>
  <si>
    <t>BKVID(4)</t>
  </si>
  <si>
    <t>BANKS(4)</t>
  </si>
  <si>
    <t>BANKL(4)</t>
  </si>
  <si>
    <t>BANKN(4)</t>
  </si>
  <si>
    <t>KOINH(4)</t>
  </si>
  <si>
    <t>ACCNAME(4)</t>
  </si>
  <si>
    <t>BANKL(5)</t>
  </si>
  <si>
    <t>BANKL(6)</t>
  </si>
  <si>
    <t>BANKL(7)</t>
  </si>
  <si>
    <t>BANKL(8)</t>
  </si>
  <si>
    <t>BANKL(9)</t>
  </si>
  <si>
    <t>BANKL(10)</t>
  </si>
  <si>
    <t>KUKLA</t>
  </si>
  <si>
    <t>BRAN1</t>
  </si>
  <si>
    <t>KATR1</t>
  </si>
  <si>
    <t>KDKG1</t>
  </si>
  <si>
    <t>KDKG2</t>
  </si>
  <si>
    <t>CLASS</t>
  </si>
  <si>
    <t>BUKRS</t>
  </si>
  <si>
    <t>AKONT</t>
  </si>
  <si>
    <t>ZUAWA</t>
  </si>
  <si>
    <t>FDGRV</t>
  </si>
  <si>
    <t>EKVBD</t>
  </si>
  <si>
    <t>ZTERM</t>
  </si>
  <si>
    <t>TOGRU</t>
  </si>
  <si>
    <t>XZVER</t>
  </si>
  <si>
    <t>C_KUNNR</t>
  </si>
  <si>
    <t>MAHNA</t>
  </si>
  <si>
    <t>BUSAB</t>
  </si>
  <si>
    <t>WITHT(1)</t>
  </si>
  <si>
    <t>WT_WITHCD(1)</t>
  </si>
  <si>
    <t>WT_AGENT</t>
  </si>
  <si>
    <t>WT_WTSTCD</t>
  </si>
  <si>
    <t>WT_AGTDF_SCR(1)</t>
  </si>
  <si>
    <t>WT_AGTDT_SCR(1)</t>
  </si>
  <si>
    <t>WITHT(2)</t>
  </si>
  <si>
    <t>WT_WITHCD(2)</t>
  </si>
  <si>
    <t>WT_AGTDF_SCR(2)</t>
  </si>
  <si>
    <t>WT_AGTDT_SCR(2)</t>
  </si>
  <si>
    <t>WITHT(3)</t>
  </si>
  <si>
    <t>WT_WITHCD(3)</t>
  </si>
  <si>
    <t>WT_AGTDF_SCR(3)</t>
  </si>
  <si>
    <t>WT_AGTDT_SCR(3)</t>
  </si>
  <si>
    <t>J_1TPBUPL</t>
  </si>
  <si>
    <t>DESCRIPTION</t>
  </si>
  <si>
    <t>Mandatory</t>
  </si>
  <si>
    <t>Type</t>
  </si>
  <si>
    <t>CHAR</t>
  </si>
  <si>
    <t>000000 General
FLCU00 FI Customer
*ถ้าระบุ FLCU00 ให้ระบุข้อมูลเพิ่มที่คอลัมน์สีฟ้า</t>
  </si>
  <si>
    <t>ระบุรหัส BP ตามกลุ่ม</t>
  </si>
  <si>
    <t>ดู Sheet account group</t>
  </si>
  <si>
    <t xml:space="preserve"> 1= person
2=Organization</t>
  </si>
  <si>
    <t>ชื่อ</t>
  </si>
  <si>
    <t>นามสกุล</t>
  </si>
  <si>
    <t>ชื่อบริษัท</t>
  </si>
  <si>
    <t>ค้นหา 1</t>
  </si>
  <si>
    <t>ค้นหา 2</t>
  </si>
  <si>
    <t>Longitude</t>
  </si>
  <si>
    <t>Latitude</t>
  </si>
  <si>
    <t>บ้านเลขที่</t>
  </si>
  <si>
    <t>บ้านเลขที่ / หมู่ที่ / หมู่บ้าน / ซอย</t>
  </si>
  <si>
    <t>บ้านเลขที่ / หมู่ที่ / หมู่บ้าน / ซอย / ถนน</t>
  </si>
  <si>
    <t>ตำบล</t>
  </si>
  <si>
    <t>อำเภอ ดู sheet District&amp;City</t>
  </si>
  <si>
    <t>จังหวัด ดู sheet District&amp;City</t>
  </si>
  <si>
    <t>รหัสไปรษณีย์</t>
  </si>
  <si>
    <t>ประเทศ</t>
  </si>
  <si>
    <t>ดู sheet region</t>
  </si>
  <si>
    <t>ดู sheet transport zone
-Sold to,Ship to</t>
  </si>
  <si>
    <t>ระบุ 'EN'</t>
  </si>
  <si>
    <t>เบอร์โทร</t>
  </si>
  <si>
    <t>เบอร์ต่อ</t>
  </si>
  <si>
    <t>เบอร์มือถือ</t>
  </si>
  <si>
    <t>เบอร์แฟกซ์</t>
  </si>
  <si>
    <t>เบอร์ต่อแฟกซ์</t>
  </si>
  <si>
    <t>อีเมล์ 1</t>
  </si>
  <si>
    <t>อีเมล์ 2</t>
  </si>
  <si>
    <t>Note (2)</t>
  </si>
  <si>
    <t>อีเมล์ 3</t>
  </si>
  <si>
    <t>Note (3)</t>
  </si>
  <si>
    <t>อีเมล์ 4</t>
  </si>
  <si>
    <t>อีเมล์ 5</t>
  </si>
  <si>
    <t>หมายเหตุทั่วไป</t>
  </si>
  <si>
    <t>Mark 'X' เพือระบุข้อมูล International Version</t>
  </si>
  <si>
    <t>ระบุ 'T'</t>
  </si>
  <si>
    <t>0=Unknow
1=Female
2=Male</t>
  </si>
  <si>
    <t>วันเกิดของ Contract person</t>
  </si>
  <si>
    <t>วันที่เปิดบัญชี
DD.MM.YYYY</t>
  </si>
  <si>
    <t>วันที่ปิดบัญชี
DD.MM.YYYY</t>
  </si>
  <si>
    <t>อ้างอิงรหัสลูกค้าเดิม</t>
  </si>
  <si>
    <t>กรณีเป็นบุคุคลธรรมดา Mark 'X'</t>
  </si>
  <si>
    <t>ระบุ "TH3"</t>
  </si>
  <si>
    <t>ลุกค้าในประเทศระบุเลขที่ผู้เสียภาษี 13 หลัง
ลูกค้าต่างประเทศระบุ 9 ทั้งหมด 13 หลัง</t>
  </si>
  <si>
    <t>ในกรณีที่ BP อยู่ในกลุ่ม BP15 / BP16 
ดู sheet tranding partner</t>
  </si>
  <si>
    <t>การกำหนดฟิลด์ Require หรือ Optional ของกลุ่ม Ship to / Carrier
ดูที่ sheet BP Type</t>
  </si>
  <si>
    <t>วันเวลาทำการลูกค้า</t>
  </si>
  <si>
    <t>วันเวลารับวางบิลและเอกสารส่งของ</t>
  </si>
  <si>
    <t>ลำดับที่</t>
  </si>
  <si>
    <t>รหัสธนาคารและสาขา</t>
  </si>
  <si>
    <t>เลขที่บัญชี</t>
  </si>
  <si>
    <t>ชื่อบัญชี</t>
  </si>
  <si>
    <t>สำหรับกำหนดเงื่อนไขราคาขาย
ดู Sheet Customer Classific</t>
  </si>
  <si>
    <t>สำหรับการจัดกลุ่มผู้ค้า
ดู Sheet Industry code 1</t>
  </si>
  <si>
    <t>เอกสารวางบิล
ดู sheet attribute</t>
  </si>
  <si>
    <t>มีเงื่อนไขเรื่องการ Absorb WHT หรือ VAT 
ดู sheet condition group 1</t>
  </si>
  <si>
    <t>มีเงื่อนไขเรื่องการ Absorb WHT หรือ VAT 
ดู sheet condition group 2</t>
  </si>
  <si>
    <t xml:space="preserve"> ดุ Sheet Customer Classification</t>
  </si>
  <si>
    <t xml:space="preserve">สำหรับการเพิ่ม Company view ในกรณีที่รหัสลูกค้าสร้าง General view ไว้แล้ว
Mark 'X' </t>
  </si>
  <si>
    <t>รหัสบริษัท</t>
  </si>
  <si>
    <t>ดู sheet account group</t>
  </si>
  <si>
    <t>Fixed '009'</t>
  </si>
  <si>
    <t>ดู sheet plannin group</t>
  </si>
  <si>
    <t>รหัส BP ของบริษัทแม่</t>
  </si>
  <si>
    <t>ดู Sheet payment term</t>
  </si>
  <si>
    <t>ระบุ '1100'</t>
  </si>
  <si>
    <t>Mark 'X'</t>
  </si>
  <si>
    <t>ระบุรหัส BP ของบริษัทเพื่อแสดงบนใบวางบิล และชำระเงินแทนให้</t>
  </si>
  <si>
    <t>ดู sheet accounting clerk</t>
  </si>
  <si>
    <t>ดู sheet Withholding taxประเภทของภาษีหัก ณ ที่จ่าย</t>
  </si>
  <si>
    <t>ระบุ 03 หรือ 53</t>
  </si>
  <si>
    <t>วันที่เริ่มของ WHT</t>
  </si>
  <si>
    <t>วันที่สิ้นสุดของ WHT</t>
  </si>
  <si>
    <t>สาขที่</t>
  </si>
  <si>
    <t>ชื่อสาขา</t>
  </si>
  <si>
    <t>FLCU00</t>
  </si>
  <si>
    <t>11009696</t>
  </si>
  <si>
    <t>E.B. CREASY AND CO. PLC</t>
  </si>
  <si>
    <t>E.B. CREAS</t>
  </si>
  <si>
    <t>88i</t>
  </si>
  <si>
    <t>NO.98 SRI SANGARAJA MAWATHA,</t>
  </si>
  <si>
    <r>
      <t xml:space="preserve">COLOMBO </t>
    </r>
    <r>
      <rPr>
        <sz val="11"/>
        <color rgb="FFFF0000"/>
        <rFont val="Arial"/>
        <family val="2"/>
      </rPr>
      <t>10</t>
    </r>
  </si>
  <si>
    <t>SRI LANKA</t>
  </si>
  <si>
    <t>+94 (11) 4766000</t>
  </si>
  <si>
    <t>011 2478775</t>
  </si>
  <si>
    <t>T</t>
  </si>
  <si>
    <t>ชัยวัฒนา</t>
  </si>
  <si>
    <t>ถ.อัมรินทร์</t>
  </si>
  <si>
    <t>ต.หน้าเมือง</t>
  </si>
  <si>
    <t>09.12.2010</t>
  </si>
  <si>
    <t>31.12.9999</t>
  </si>
  <si>
    <t>TH3</t>
  </si>
  <si>
    <t>3709900135219</t>
  </si>
  <si>
    <t>Z001</t>
  </si>
  <si>
    <t>3566000922</t>
  </si>
  <si>
    <t>005</t>
  </si>
  <si>
    <t>009</t>
  </si>
  <si>
    <t>R1</t>
  </si>
  <si>
    <t>Z2</t>
  </si>
  <si>
    <t>สำนักงานใหญ่</t>
  </si>
  <si>
    <t>Master</t>
  </si>
  <si>
    <t>AC</t>
  </si>
  <si>
    <t>Web</t>
  </si>
  <si>
    <t>SearchTerm</t>
  </si>
  <si>
    <t>Steet</t>
  </si>
  <si>
    <t>Fix ค่าคาม Company</t>
  </si>
  <si>
    <t>Bank Brach</t>
  </si>
  <si>
    <t xml:space="preserve"> Classification</t>
  </si>
  <si>
    <t>Fix</t>
  </si>
  <si>
    <t>avika_a@toagropu.com</t>
  </si>
  <si>
    <t>1100/1200/5100</t>
  </si>
  <si>
    <t>Derivation</t>
  </si>
  <si>
    <t>Fixed</t>
  </si>
  <si>
    <t>No Data</t>
  </si>
  <si>
    <t>Web Screen</t>
  </si>
  <si>
    <t>Dynamic</t>
  </si>
  <si>
    <t>Field</t>
  </si>
  <si>
    <t>Company</t>
  </si>
  <si>
    <t>Condition</t>
  </si>
  <si>
    <t>Email &lt;&gt; Blank --&gt; Company
Email = Blank --&gt; Blank</t>
  </si>
  <si>
    <t>Company Code = 1100 --&gt; T
Company Code = 1200 --&gt; T
Company Code = 5100 --&gt; V</t>
  </si>
  <si>
    <t>Business Partner Cat. = 1 --&gt; X
Business Partner Cat. = 2 --&gt; Blank</t>
  </si>
  <si>
    <t xml:space="preserve">Company Code = 1100 --&gt; TH3
Company Code = 1200 --&gt; TH3
Company Code = 5100 --&gt; VN1
</t>
  </si>
  <si>
    <t>Bank Branch = Blank --&gt; Blank
Bank Branch &lt;&gt; Blank --&gt; Code</t>
  </si>
  <si>
    <t xml:space="preserve">Company Code = 1100 --&gt; TH
Company Code = 1200 --&gt; TH
Company Code = 5100 --&gt; Blank
</t>
  </si>
  <si>
    <t xml:space="preserve">Distribution Channel = 10 --&gt; 005
Distribution Channel &lt;&gt; 10 --&gt; Blank
</t>
  </si>
  <si>
    <t>Company Code = 1100 --&gt; Z1
Company Code = 1200 --&gt; Z1
Company Code = 5100 --&gt; Blank</t>
  </si>
  <si>
    <t>Company Code = 1100 --&gt; X
Company Code = 1200 --&gt; X
Company Code = 5100 --&gt; Blank</t>
  </si>
  <si>
    <t>(Company Code = 1100 or
Company Code = 1200) and
Business Partner Cat. =  1 --&gt; 03
(Company Code = 1100 or
Company Code = 1200) and
Business Partner Cat. =  2 --&gt; 53
Company Code = 5100 --&gt; Blank</t>
  </si>
  <si>
    <t>Company Code = 1100 --&gt; Created Date (DD.MM.YYYY)
Company Code = 1200 --&gt; Created Date (DD.MM.YYYY)
Company Code = 5100 --&gt; Blank</t>
  </si>
  <si>
    <t>Company Code = 1100 --&gt; 31129999 (DD.MM.YYYY)
Company Code = 1200 --&gt; 31129999 (DD.MM.YYYY)
Company Code = 5100 --&gt; Blank</t>
  </si>
  <si>
    <t>Company Code = 1100 --&gt; Z2
Company Code = 1200 --&gt; Z2
Company Code = 5100 --&gt; Blank</t>
  </si>
  <si>
    <t>Company Code = 1100 --&gt; Created Date (DD.MM.YYY)
Company Code = 1200 --&gt; Created Date (DD.MM.YYY)
Company Code = 5100 --&gt; Blank</t>
  </si>
  <si>
    <t>Company Code = 1100 --&gt; 31129999 (DD.MM.YYY)
Company Code = 1200 --&gt; 31129999 (DD.MM.YYY)
Company Code = 5100 --&gt; Blank</t>
  </si>
  <si>
    <t>Company Code = 1100 --&gt; Z3
Company Code = 1200 --&gt; Z3
Company Code = 5100 --&gt; Blank</t>
  </si>
  <si>
    <t>/nvl03vอส</t>
  </si>
  <si>
    <t>Company Code = 1100 --&gt; Contact
Company Code = 1200 --&gt; Blank
Company Code = 5100 --&gt; Contact</t>
  </si>
  <si>
    <t>Company Code = 1100 --&gt; Blank
Company Code = 1200 --&gt; Contact
Company Code = 5100 --&gt; Blank</t>
  </si>
  <si>
    <t>Possible Entry</t>
  </si>
  <si>
    <t>Yes</t>
  </si>
  <si>
    <t>Get Company Code from Web SCreen</t>
  </si>
  <si>
    <t>ฺBank Code Running Number</t>
  </si>
  <si>
    <t>05.07.2023</t>
  </si>
  <si>
    <t>05.07.023</t>
  </si>
  <si>
    <t>Change</t>
  </si>
  <si>
    <t>SAP to Web</t>
  </si>
  <si>
    <t>General</t>
  </si>
  <si>
    <t>Example</t>
  </si>
  <si>
    <t>T-Code: BP/BP0 - Customer Master Data</t>
  </si>
  <si>
    <t>Customer code</t>
  </si>
  <si>
    <t>Sales area</t>
  </si>
  <si>
    <t>Tab :Orders</t>
  </si>
  <si>
    <t>Tab: Shipping</t>
  </si>
  <si>
    <t>Tab: Billing</t>
  </si>
  <si>
    <t>Tab: Additional Data</t>
  </si>
  <si>
    <t>Tab: Status</t>
  </si>
  <si>
    <t>Order</t>
  </si>
  <si>
    <t>Pricing/Statistics</t>
  </si>
  <si>
    <t>Shipping</t>
  </si>
  <si>
    <t>Partial Delivery</t>
  </si>
  <si>
    <t>Delivery and Payment terms</t>
  </si>
  <si>
    <t>Accounting</t>
  </si>
  <si>
    <t>Tax data</t>
  </si>
  <si>
    <t>SO Block</t>
  </si>
  <si>
    <t>DO Block</t>
  </si>
  <si>
    <t>Billing Block</t>
  </si>
  <si>
    <t>Sales Organization</t>
  </si>
  <si>
    <t>Division</t>
  </si>
  <si>
    <t>Product Attribute 1</t>
  </si>
  <si>
    <t>Product Attribute 2</t>
  </si>
  <si>
    <t>Price Group</t>
  </si>
  <si>
    <t>Cust.Pric. Procedure</t>
  </si>
  <si>
    <t>Relevant for settlement management</t>
  </si>
  <si>
    <t>Order Combination</t>
  </si>
  <si>
    <t>Complete Delivery</t>
  </si>
  <si>
    <t>Partial delivery at item level</t>
  </si>
  <si>
    <t>Intoterms 1</t>
  </si>
  <si>
    <t>Intoterms 2</t>
  </si>
  <si>
    <t>Payment terms</t>
  </si>
  <si>
    <t>Credit Control Area</t>
  </si>
  <si>
    <t>Tax classification(TH)</t>
  </si>
  <si>
    <t>Customer Group1</t>
  </si>
  <si>
    <t>Customer Group2</t>
  </si>
  <si>
    <t>Customer Group3</t>
  </si>
  <si>
    <t>Customer Group4</t>
  </si>
  <si>
    <t>Customer Group5</t>
  </si>
  <si>
    <t>All Sales area</t>
  </si>
  <si>
    <t>Selected sales area</t>
  </si>
  <si>
    <t>KNVV</t>
  </si>
  <si>
    <t>BUT100</t>
  </si>
  <si>
    <t>KNVI</t>
  </si>
  <si>
    <t>KUNNR</t>
  </si>
  <si>
    <t>RLTYP</t>
  </si>
  <si>
    <t>VKORG</t>
  </si>
  <si>
    <t>VTWEG</t>
  </si>
  <si>
    <t>SPART</t>
  </si>
  <si>
    <t>BZIRK</t>
  </si>
  <si>
    <t>KDGRP</t>
  </si>
  <si>
    <t>VKBUR</t>
  </si>
  <si>
    <t>VKGRP</t>
  </si>
  <si>
    <t>WAERS</t>
  </si>
  <si>
    <t>KURST</t>
  </si>
  <si>
    <t>PRAT1</t>
  </si>
  <si>
    <t>PRAT2</t>
  </si>
  <si>
    <t>KONDA</t>
  </si>
  <si>
    <t>KALKS</t>
  </si>
  <si>
    <t>PLTYP</t>
  </si>
  <si>
    <t>AGREL</t>
  </si>
  <si>
    <t>LPRIO</t>
  </si>
  <si>
    <t>KZAZU</t>
  </si>
  <si>
    <t>VSBED</t>
  </si>
  <si>
    <t>AUTLF</t>
  </si>
  <si>
    <t>KZTLF</t>
  </si>
  <si>
    <t>INCO1</t>
  </si>
  <si>
    <t>INCO2_L</t>
  </si>
  <si>
    <t>INCO3_L</t>
  </si>
  <si>
    <t>KKBER</t>
  </si>
  <si>
    <t>KTGRD</t>
  </si>
  <si>
    <t>TAXKD</t>
  </si>
  <si>
    <t>KVGR1</t>
  </si>
  <si>
    <t>KVGR2</t>
  </si>
  <si>
    <t>KVGR3</t>
  </si>
  <si>
    <t>KVGR4</t>
  </si>
  <si>
    <t>KVGR5</t>
  </si>
  <si>
    <t>AUFSD</t>
  </si>
  <si>
    <t>LIFSD</t>
  </si>
  <si>
    <t>FAKSD</t>
  </si>
  <si>
    <t>Guideline for Data Input/Selection</t>
  </si>
  <si>
    <t>BP Code</t>
  </si>
  <si>
    <t>ระบุ FLCU01</t>
  </si>
  <si>
    <t>Reference</t>
  </si>
  <si>
    <t>ระบุ "00 Common Division"</t>
  </si>
  <si>
    <r>
      <rPr>
        <sz val="11"/>
        <rFont val="Tahoma"/>
        <family val="2"/>
        <scheme val="minor"/>
      </rPr>
      <t>Customer Area</t>
    </r>
    <r>
      <rPr>
        <u/>
        <sz val="11"/>
        <color theme="10"/>
        <rFont val="Tahoma"/>
        <family val="2"/>
        <scheme val="minor"/>
      </rPr>
      <t xml:space="preserve">
Reference</t>
    </r>
  </si>
  <si>
    <r>
      <rPr>
        <sz val="11"/>
        <rFont val="Tahoma"/>
        <family val="2"/>
        <scheme val="minor"/>
      </rPr>
      <t xml:space="preserve">specify group of customer </t>
    </r>
    <r>
      <rPr>
        <u/>
        <sz val="11"/>
        <color theme="10"/>
        <rFont val="Tahoma"/>
        <family val="2"/>
        <scheme val="minor"/>
      </rPr>
      <t xml:space="preserve">
Reference</t>
    </r>
  </si>
  <si>
    <t>THB
USD
JPY</t>
  </si>
  <si>
    <t>ระบุ "BBLB" สำหรับ Export</t>
  </si>
  <si>
    <r>
      <rPr>
        <b/>
        <sz val="11"/>
        <color theme="1"/>
        <rFont val="Tahoma"/>
        <family val="2"/>
        <scheme val="minor"/>
      </rPr>
      <t>X</t>
    </r>
    <r>
      <rPr>
        <sz val="11"/>
        <color theme="1"/>
        <rFont val="Tahoma"/>
        <family val="2"/>
        <charset val="222"/>
        <scheme val="minor"/>
      </rPr>
      <t xml:space="preserve"> = Relevant for e-Ordering</t>
    </r>
  </si>
  <si>
    <t>เผื่อ Apply ใช้ในอนาคต
*ไม่ต้องระบุ</t>
  </si>
  <si>
    <t>ระบุ '1' = Standard</t>
  </si>
  <si>
    <r>
      <rPr>
        <b/>
        <sz val="11"/>
        <rFont val="Tahoma"/>
        <family val="2"/>
        <scheme val="minor"/>
      </rPr>
      <t>X</t>
    </r>
    <r>
      <rPr>
        <sz val="11"/>
        <rFont val="Tahoma"/>
        <family val="2"/>
        <scheme val="minor"/>
      </rPr>
      <t xml:space="preserve"> = Relevant for Rebate Settlement</t>
    </r>
  </si>
  <si>
    <r>
      <rPr>
        <sz val="11"/>
        <rFont val="Tahoma"/>
        <family val="2"/>
        <scheme val="minor"/>
      </rPr>
      <t>กำหนดลำดับความสำคัญของลูกค้าเพื่อจัดเตรียมสินค้าให้ตามลำดับ</t>
    </r>
    <r>
      <rPr>
        <u/>
        <sz val="11"/>
        <color theme="10"/>
        <rFont val="Tahoma"/>
        <family val="2"/>
        <scheme val="minor"/>
      </rPr>
      <t xml:space="preserve">
Reference</t>
    </r>
  </si>
  <si>
    <t>X = Order Combination Allowed</t>
  </si>
  <si>
    <r>
      <rPr>
        <b/>
        <sz val="11"/>
        <rFont val="Tahoma"/>
        <family val="2"/>
        <scheme val="minor"/>
      </rPr>
      <t>X</t>
    </r>
    <r>
      <rPr>
        <sz val="11"/>
        <rFont val="Tahoma"/>
        <family val="2"/>
        <scheme val="minor"/>
      </rPr>
      <t xml:space="preserve"> = Complete Delivery
*ถ้าไม่ Fix ว่าต้องเต็มจำนวนเท่านั้น ไม่ต้องระบุ</t>
    </r>
  </si>
  <si>
    <t>ไม่ต้องระบุ ถ้าลูกค้ายอมให้ส่งแบบ Partial ได้
ระบุ C = หาก Fix ให้ต้องส่งเต็มจำนวนเท่านั้น</t>
  </si>
  <si>
    <t>ต้นทาง
(สำหรับลูกค้า Export)</t>
  </si>
  <si>
    <t>ปลายทาง
(สำหรับลูกค้า Export)</t>
  </si>
  <si>
    <t>ระบุ '1100' สำหรับ Credit control area TOA Paint</t>
  </si>
  <si>
    <t>0 = Tax Exempt
1 = Liable for Taxes
2 = No Tax (เขตที่ได้รับยกเว้นภาษี)</t>
  </si>
  <si>
    <t>Rebate relevant condition 
E = Order ไม่รวมเป้า
X = งานโครงการรวมเป้า</t>
  </si>
  <si>
    <t>Condition for printing invoice (to hide price) 
X = Hide Price</t>
  </si>
  <si>
    <t>Exclude customer from automatic rolling size
X = No Rolling Step</t>
  </si>
  <si>
    <t>Customer size from automatic rolling size
M = Minimum M
L = Minimum L
XL = Minimum XL</t>
  </si>
  <si>
    <t>One price condition for customer 
001 = One Price Y
002 = One Price YM</t>
  </si>
  <si>
    <t>Block SO ทุก Sales area</t>
  </si>
  <si>
    <t>Block SO เฉพาะ sales area</t>
  </si>
  <si>
    <t>Block DO ทุก Sales area</t>
  </si>
  <si>
    <t>Block DO เฉพาะ sales area</t>
  </si>
  <si>
    <t>Block Billing ทุก Sales area</t>
  </si>
  <si>
    <t>Block Billing เฉพาะ sales area</t>
  </si>
  <si>
    <t>User Manual</t>
  </si>
  <si>
    <t>FLCU01</t>
  </si>
  <si>
    <t>Sales</t>
  </si>
  <si>
    <t>11011843</t>
  </si>
  <si>
    <t>T-Code: BP/BP0 - Partner Function</t>
  </si>
  <si>
    <t>Generate type</t>
  </si>
  <si>
    <t>Number</t>
  </si>
  <si>
    <t>Old Number</t>
  </si>
  <si>
    <t>-</t>
  </si>
  <si>
    <t>KNVP</t>
  </si>
  <si>
    <t>PARVW</t>
  </si>
  <si>
    <r>
      <rPr>
        <b/>
        <sz val="11"/>
        <rFont val="Tahoma"/>
        <family val="2"/>
      </rPr>
      <t xml:space="preserve">A </t>
    </r>
    <r>
      <rPr>
        <sz val="11"/>
        <rFont val="Tahoma"/>
        <family val="2"/>
      </rPr>
      <t>= Add partner function</t>
    </r>
    <r>
      <rPr>
        <b/>
        <sz val="11"/>
        <rFont val="Tahoma"/>
        <family val="2"/>
      </rPr>
      <t xml:space="preserve">
M</t>
    </r>
    <r>
      <rPr>
        <sz val="11"/>
        <rFont val="Tahoma"/>
        <family val="2"/>
      </rPr>
      <t xml:space="preserve"> = Modify partner function 
</t>
    </r>
    <r>
      <rPr>
        <sz val="8"/>
        <rFont val="Tahoma"/>
        <family val="2"/>
      </rPr>
      <t>(เปลี่ยน คนใน Partner function เดิม เป็นคนใหม่ เช่น A&gt;B)</t>
    </r>
    <r>
      <rPr>
        <sz val="11"/>
        <rFont val="Tahoma"/>
        <family val="2"/>
      </rPr>
      <t xml:space="preserve">
</t>
    </r>
    <r>
      <rPr>
        <b/>
        <sz val="11"/>
        <rFont val="Tahoma"/>
        <family val="2"/>
      </rPr>
      <t>D</t>
    </r>
    <r>
      <rPr>
        <sz val="11"/>
        <rFont val="Tahoma"/>
        <family val="2"/>
      </rPr>
      <t xml:space="preserve"> = Delete partner function
</t>
    </r>
    <r>
      <rPr>
        <sz val="8"/>
        <rFont val="Tahoma"/>
        <family val="2"/>
      </rPr>
      <t>(ลบ Partner function ออกเลย)</t>
    </r>
  </si>
  <si>
    <t>รหัส Sold-to</t>
  </si>
  <si>
    <t>รหัสพนักงาน</t>
  </si>
  <si>
    <r>
      <t xml:space="preserve">ใช้กรณี </t>
    </r>
    <r>
      <rPr>
        <b/>
        <sz val="11"/>
        <color theme="1"/>
        <rFont val="Tahoma"/>
        <family val="2"/>
        <scheme val="minor"/>
      </rPr>
      <t>Change mode</t>
    </r>
    <r>
      <rPr>
        <sz val="11"/>
        <color theme="1"/>
        <rFont val="Tahoma"/>
        <family val="2"/>
        <charset val="222"/>
        <scheme val="minor"/>
      </rPr>
      <t xml:space="preserve">
</t>
    </r>
    <r>
      <rPr>
        <b/>
        <u/>
        <sz val="11"/>
        <color theme="1"/>
        <rFont val="Tahoma"/>
        <family val="2"/>
        <scheme val="minor"/>
      </rPr>
      <t>Change type M</t>
    </r>
    <r>
      <rPr>
        <sz val="11"/>
        <color theme="1"/>
        <rFont val="Tahoma"/>
        <family val="2"/>
        <charset val="222"/>
        <scheme val="minor"/>
      </rPr>
      <t xml:space="preserve">
เพื่อระบุค่าเก่า ให้ระบบสามารถเช็ค record ที่ต้องการเปลี่ยน number ได้</t>
    </r>
  </si>
  <si>
    <t>11011075</t>
  </si>
  <si>
    <t>1100001</t>
  </si>
  <si>
    <t>1100003</t>
  </si>
  <si>
    <t>AR Office = Blank --&gt; Blank
AR Office &lt;&gt; Blank --&gt; Distribution Channel</t>
  </si>
  <si>
    <t>Carrier = Blank --&gt; Blank
Carrier &lt;&gt; Blank --&gt; A</t>
  </si>
  <si>
    <t>Carrier = Blank --&gt; Blank
Carrier &lt;&gt; Blank --&gt; FLCU01</t>
  </si>
  <si>
    <t>Carrier = Blank --&gt; Blank
Carrier &lt;&gt; Blank and
Company Code = 1100 --&gt; 1100
Carrier &lt;&gt; Blank and
Company Code = 1200 --&gt; 1200
Carrier &lt;&gt; Blank and
Company Code = 5100 --&gt; 5100</t>
  </si>
  <si>
    <t>Carrier = Blank --&gt; Blank
Carrier &lt;&gt; Blank --&gt; Distribution Channel</t>
  </si>
  <si>
    <t>Carrier = Blank --&gt; Blank
Carrier &lt;&gt; Blank --&gt; 00</t>
  </si>
  <si>
    <t>Carrier = Blank --&gt; Blank
Carrier &lt;&gt; Blank --&gt; Z1</t>
  </si>
  <si>
    <t>Gypsum = Blank --&gt; Blank
Gypsum &lt;&gt; Blank --&gt; A</t>
  </si>
  <si>
    <t>Gypsum = Blank --&gt; Blank
Gypsum &lt;&gt; Blank --&gt; FLCU01</t>
  </si>
  <si>
    <t>Gypsum = Blank --&gt; Blank
Gypsum &lt;&gt; Blank --&gt; Distribution Channel</t>
  </si>
  <si>
    <t>Gypsum = Blank --&gt; Blank
Gypsum &lt;&gt; Blank --&gt; 00</t>
  </si>
  <si>
    <t>Gypsum = Blank --&gt; Blank
Gypsum &lt;&gt; Blank --&gt; Z3</t>
  </si>
  <si>
    <t>Ceramic = Blank --&gt; Blank
Ceramic &lt;&gt; Blank --&gt; A</t>
  </si>
  <si>
    <t>Ceramic = Blank --&gt; Blank
Ceramic &lt;&gt; Blank --&gt; FLCU01</t>
  </si>
  <si>
    <t>Ceramic = Blank --&gt; Blank
Ceramic &lt;&gt; Blank --&gt; Distribution Channel</t>
  </si>
  <si>
    <t>Ceramic = Blank --&gt; Blank
Ceramic &lt;&gt; Blank --&gt; 00</t>
  </si>
  <si>
    <t>Ceramic = Blank --&gt; Blank
Ceramic &lt;&gt; Blank --&gt; Z7</t>
  </si>
  <si>
    <t>1100005</t>
  </si>
  <si>
    <t>SAP to Web
SE
AR</t>
  </si>
  <si>
    <t>Credit Profile</t>
  </si>
  <si>
    <t>Credit Segment</t>
  </si>
  <si>
    <t>Scoring</t>
  </si>
  <si>
    <t>Credit Limit and control</t>
  </si>
  <si>
    <t>Rules</t>
  </si>
  <si>
    <t>Limit Not Defined</t>
  </si>
  <si>
    <t>Limit Defined</t>
  </si>
  <si>
    <t>Limit</t>
  </si>
  <si>
    <t>UKM_S_BP_DYNPRO_FIELDS</t>
  </si>
  <si>
    <t>UKMBP_CMS</t>
  </si>
  <si>
    <t>UKMBP_CMS_SGM</t>
  </si>
  <si>
    <t>CHANGE_NUMBER</t>
  </si>
  <si>
    <t>LIMIT_RULE</t>
  </si>
  <si>
    <t>RISK_CLASS</t>
  </si>
  <si>
    <t>CHECK_RULE</t>
  </si>
  <si>
    <t>SEGMENT</t>
  </si>
  <si>
    <t>X_LIMIT_NOT_SET</t>
  </si>
  <si>
    <t>X_LIMIT_IS_SET</t>
  </si>
  <si>
    <t>CREDIT_LIMIT</t>
  </si>
  <si>
    <t>CURR</t>
  </si>
  <si>
    <t>Fix "B2B-NEW"
For new business customer</t>
  </si>
  <si>
    <t>การจัดลำดับความเสี่ยงลุกค้าเพื่อระบบคำนวณคะแนน
ดู Sheet Control Management</t>
  </si>
  <si>
    <t>การกำหนดเงื่อนไขของการออก SO
ดู Sheet Control Management</t>
  </si>
  <si>
    <t>Fix "1100"</t>
  </si>
  <si>
    <t>Mark "X"</t>
  </si>
  <si>
    <t>ถ้าเลือก limit defined ให้ระบุจำนวนเงิน</t>
  </si>
  <si>
    <t>UKM000</t>
  </si>
  <si>
    <t>B2B-NEW</t>
  </si>
  <si>
    <t>Credit</t>
  </si>
  <si>
    <t>Telephone (1)</t>
  </si>
  <si>
    <t>Extension (1)</t>
  </si>
  <si>
    <t>Email (2)</t>
  </si>
  <si>
    <t>Email (3)</t>
  </si>
  <si>
    <t>นำมาจาก Name_First</t>
  </si>
  <si>
    <t>000000</t>
  </si>
  <si>
    <t>Z002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</si>
</sst>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฿&quot;* #,##0.00_-;\-&quot;฿&quot;* #,##0.00_-;_-&quot;฿&quot;* &quot;-&quot;??_-;_-@_-"/>
    <numFmt numFmtId="165" formatCode="_-* #,##0.00_-;\-* #,##0.00_-;_-* &quot;-&quot;??_-;_-@_-"/>
    <numFmt numFmtId="166" formatCode="_-* #,##0_-;\-* #,##0_-;_-* &quot;-&quot;??_-;_-@_-"/>
  </numFmts>
  <fonts count="56">
    <font>
      <sz val="11"/>
      <color theme="1"/>
      <name val="Tahoma"/>
      <family val="2"/>
      <charset val="222"/>
      <scheme val="minor"/>
    </font>
    <font>
      <sz val="11"/>
      <color theme="1"/>
      <name val="Tahoma"/>
      <family val="2"/>
      <charset val="222"/>
      <scheme val="minor"/>
    </font>
    <font>
      <b/>
      <sz val="11"/>
      <color theme="0"/>
      <name val="Tahoma"/>
      <family val="2"/>
      <charset val="222"/>
      <scheme val="minor"/>
    </font>
    <font>
      <sz val="11"/>
      <color rgb="FFFF0000"/>
      <name val="Tahoma"/>
      <family val="2"/>
      <charset val="222"/>
      <scheme val="minor"/>
    </font>
    <font>
      <b/>
      <sz val="11"/>
      <color theme="1"/>
      <name val="Tahoma"/>
      <family val="2"/>
      <charset val="222"/>
      <scheme val="minor"/>
    </font>
    <font>
      <sz val="11"/>
      <color theme="0"/>
      <name val="Tahoma"/>
      <family val="2"/>
      <charset val="222"/>
      <scheme val="minor"/>
    </font>
    <font>
      <u/>
      <sz val="11"/>
      <color theme="10"/>
      <name val="Tahoma"/>
      <family val="2"/>
      <charset val="222"/>
      <scheme val="minor"/>
    </font>
    <font>
      <sz val="11"/>
      <color rgb="FFFF0000"/>
      <name val="Tahoma"/>
      <family val="2"/>
    </font>
    <font>
      <sz val="11"/>
      <color theme="1"/>
      <name val="Tahoma"/>
      <family val="2"/>
    </font>
    <font>
      <sz val="11"/>
      <color theme="1"/>
      <name val="Tahoma"/>
      <family val="2"/>
      <scheme val="minor"/>
    </font>
    <font>
      <sz val="11"/>
      <color rgb="FFFF0000"/>
      <name val="Tahoma"/>
      <family val="2"/>
      <scheme val="minor"/>
    </font>
    <font>
      <sz val="11"/>
      <color rgb="FF000000"/>
      <name val="Tahoma"/>
      <family val="2"/>
      <scheme val="minor"/>
    </font>
    <font>
      <sz val="11"/>
      <color rgb="FF0070C0"/>
      <name val="Tahoma"/>
      <family val="2"/>
      <charset val="222"/>
      <scheme val="minor"/>
    </font>
    <font>
      <b/>
      <sz val="12"/>
      <color rgb="FFFFFFFF"/>
      <name val="Tahoma"/>
      <family val="2"/>
      <scheme val="minor"/>
    </font>
    <font>
      <b/>
      <sz val="11"/>
      <name val="Tahoma"/>
      <family val="2"/>
      <scheme val="minor"/>
    </font>
    <font>
      <sz val="8"/>
      <name val="Tahoma"/>
      <family val="2"/>
      <charset val="222"/>
      <scheme val="minor"/>
    </font>
    <font>
      <b/>
      <sz val="12"/>
      <name val="Tahoma"/>
      <family val="2"/>
      <scheme val="minor"/>
    </font>
    <font>
      <b/>
      <sz val="11"/>
      <color theme="0"/>
      <name val="Tahoma"/>
      <family val="2"/>
    </font>
    <font>
      <b/>
      <sz val="11"/>
      <color theme="1"/>
      <name val="Tahoma"/>
      <family val="2"/>
    </font>
    <font>
      <b/>
      <sz val="11"/>
      <name val="Tahoma"/>
      <family val="2"/>
    </font>
    <font>
      <b/>
      <sz val="11"/>
      <color rgb="FFFF0000"/>
      <name val="Tahoma"/>
      <family val="2"/>
    </font>
    <font>
      <sz val="11"/>
      <name val="Tahoma"/>
      <family val="2"/>
    </font>
    <font>
      <sz val="10"/>
      <name val="Arial"/>
      <family val="2"/>
    </font>
    <font>
      <sz val="11"/>
      <name val="Arial"/>
      <family val="2"/>
    </font>
    <font>
      <sz val="11"/>
      <color rgb="FFFF0000"/>
      <name val="Arial"/>
      <family val="2"/>
    </font>
    <font>
      <b/>
      <sz val="14"/>
      <color theme="0"/>
      <name val="Tahoma"/>
      <family val="2"/>
    </font>
    <font>
      <b/>
      <sz val="12"/>
      <color theme="0"/>
      <name val="Tahoma"/>
      <family val="2"/>
      <scheme val="minor"/>
    </font>
    <font>
      <sz val="12"/>
      <color theme="1"/>
      <name val="Tahoma"/>
      <family val="2"/>
    </font>
    <font>
      <b/>
      <sz val="12"/>
      <color theme="1"/>
      <name val="Tahoma"/>
      <family val="2"/>
      <scheme val="minor"/>
    </font>
    <font>
      <b/>
      <sz val="11"/>
      <color theme="1"/>
      <name val="Tahoma"/>
      <family val="2"/>
      <scheme val="minor"/>
    </font>
    <font>
      <b/>
      <sz val="11"/>
      <color rgb="FFFF0000"/>
      <name val="Tahoma"/>
      <family val="2"/>
      <charset val="222"/>
      <scheme val="minor"/>
    </font>
    <font>
      <sz val="10"/>
      <name val="Tahoma"/>
      <family val="2"/>
    </font>
    <font>
      <u/>
      <sz val="11"/>
      <color theme="10"/>
      <name val="Tahoma"/>
      <family val="2"/>
      <scheme val="minor"/>
    </font>
    <font>
      <sz val="11"/>
      <color rgb="FF000000"/>
      <name val="Tahoma"/>
      <family val="2"/>
    </font>
    <font>
      <sz val="11"/>
      <name val="Tahoma"/>
      <family val="2"/>
      <scheme val="minor"/>
    </font>
    <font>
      <sz val="10"/>
      <color rgb="FF000000"/>
      <name val="Tahoma"/>
      <family val="2"/>
    </font>
    <font>
      <b/>
      <sz val="11"/>
      <color theme="0"/>
      <name val="Tahoma"/>
      <family val="2"/>
      <scheme val="minor"/>
    </font>
    <font>
      <b/>
      <sz val="11"/>
      <color theme="9"/>
      <name val="Tahoma"/>
      <family val="2"/>
    </font>
    <font>
      <sz val="8"/>
      <name val="Tahoma"/>
      <family val="2"/>
    </font>
    <font>
      <b/>
      <u/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  <font>
      <sz val="10"/>
      <name val="Tahoma"/>
      <family val="2"/>
      <scheme val="minor"/>
    </font>
    <font>
      <sz val="10"/>
      <name val="Tahoma"/>
      <family val="2"/>
      <scheme val="major"/>
    </font>
    <font>
      <sz val="11"/>
      <color rgb="FF000000"/>
      <name val="Tahoma"/>
      <family val="2"/>
      <charset val="222"/>
      <scheme val="minor"/>
    </font>
    <font>
      <b/>
      <sz val="12"/>
      <color rgb="FF000000"/>
      <name val="Tahoma"/>
      <family val="2"/>
      <scheme val="minor"/>
    </font>
    <font>
      <b/>
      <sz val="11"/>
      <color rgb="FF000000"/>
      <name val="Tahoma"/>
      <family val="2"/>
      <charset val="222"/>
      <scheme val="minor"/>
    </font>
    <font>
      <sz val="10"/>
      <color theme="1"/>
      <name val="Tahoma"/>
      <family val="2"/>
    </font>
    <font>
      <sz val="10"/>
      <color theme="1"/>
      <name val="Tahoma"/>
      <family val="2"/>
      <charset val="222"/>
      <scheme val="minor"/>
    </font>
    <font>
      <b/>
      <sz val="10"/>
      <color theme="0"/>
      <name val="Tahoma"/>
      <family val="2"/>
    </font>
    <font>
      <b/>
      <sz val="10"/>
      <color theme="1"/>
      <name val="Tahoma"/>
      <family val="2"/>
    </font>
    <font>
      <b/>
      <sz val="1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  <scheme val="minor"/>
    </font>
    <font>
      <b/>
      <sz val="11"/>
      <color rgb="FFFF0000"/>
      <name val="Tahoma"/>
      <family val="2"/>
      <scheme val="minor"/>
    </font>
    <font>
      <sz val="10"/>
      <color theme="1"/>
      <name val="Var(--ff-mono)"/>
    </font>
    <font>
      <b/>
      <sz val="11"/>
      <name val="Tahoma"/>
      <family val="2"/>
      <charset val="222"/>
      <scheme val="minor"/>
    </font>
  </fonts>
  <fills count="5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806000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EF2EC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006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9F59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C6591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0">
    <xf numFmtId="0" fontId="0" fillId="0" borderId="0"/>
    <xf numFmtId="165" fontId="1" fillId="0" borderId="0" applyFont="0" applyFill="0" applyBorder="0" applyAlignment="0" applyProtection="0"/>
    <xf numFmtId="0" fontId="6" fillId="0" borderId="0" applyNumberFormat="0" applyFill="0" applyBorder="0" applyAlignment="0" applyProtection="0"/>
    <xf numFmtId="0" fontId="1" fillId="0" borderId="0"/>
    <xf numFmtId="0" fontId="22" fillId="0" borderId="0"/>
    <xf numFmtId="0" fontId="22" fillId="0" borderId="0"/>
    <xf numFmtId="0" fontId="9" fillId="0" borderId="0"/>
    <xf numFmtId="0" fontId="9" fillId="0" borderId="0"/>
    <xf numFmtId="0" fontId="1" fillId="0" borderId="0"/>
    <xf numFmtId="165" fontId="1" fillId="0" borderId="0" applyFont="0" applyFill="0" applyBorder="0" applyAlignment="0" applyProtection="0"/>
  </cellStyleXfs>
  <cellXfs count="515">
    <xf numFmtId="0" fontId="0" fillId="0" borderId="0" xfId="0"/>
    <xf numFmtId="0" fontId="0" fillId="2" borderId="0" xfId="0" applyFill="1"/>
    <xf numFmtId="0" fontId="7" fillId="0" borderId="1" xfId="0" applyFont="1" applyBorder="1" applyAlignment="1">
      <alignment horizontal="left" vertical="center" wrapText="1"/>
    </xf>
    <xf numFmtId="0" fontId="0" fillId="0" borderId="0" xfId="0" applyAlignment="1">
      <alignment vertical="center"/>
    </xf>
    <xf numFmtId="0" fontId="7" fillId="4" borderId="1" xfId="0" applyFont="1" applyFill="1" applyBorder="1" applyAlignment="1">
      <alignment horizontal="left" vertical="center" wrapText="1"/>
    </xf>
    <xf numFmtId="0" fontId="0" fillId="0" borderId="1" xfId="0" applyBorder="1" applyAlignment="1">
      <alignment vertical="center"/>
    </xf>
    <xf numFmtId="0" fontId="8" fillId="4" borderId="1" xfId="0" applyFont="1" applyFill="1" applyBorder="1" applyAlignment="1">
      <alignment horizontal="left" vertical="center" wrapText="1"/>
    </xf>
    <xf numFmtId="0" fontId="7" fillId="4" borderId="2" xfId="0" applyFont="1" applyFill="1" applyBorder="1" applyAlignment="1">
      <alignment horizontal="left" vertical="center" wrapText="1"/>
    </xf>
    <xf numFmtId="0" fontId="0" fillId="4" borderId="1" xfId="0" applyFill="1" applyBorder="1" applyAlignment="1">
      <alignment vertical="center"/>
    </xf>
    <xf numFmtId="0" fontId="3" fillId="4" borderId="1" xfId="0" applyFont="1" applyFill="1" applyBorder="1" applyAlignment="1">
      <alignment vertical="center"/>
    </xf>
    <xf numFmtId="0" fontId="9" fillId="0" borderId="1" xfId="0" applyFont="1" applyBorder="1" applyAlignment="1">
      <alignment vertical="center"/>
    </xf>
    <xf numFmtId="0" fontId="10" fillId="4" borderId="1" xfId="0" applyFont="1" applyFill="1" applyBorder="1" applyAlignment="1">
      <alignment vertical="center"/>
    </xf>
    <xf numFmtId="0" fontId="10" fillId="0" borderId="1" xfId="0" applyFont="1" applyBorder="1" applyAlignment="1">
      <alignment vertical="center"/>
    </xf>
    <xf numFmtId="0" fontId="9" fillId="0" borderId="2" xfId="0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8" fillId="0" borderId="1" xfId="0" applyFont="1" applyBorder="1" applyAlignment="1">
      <alignment horizontal="left" vertical="center" wrapText="1"/>
    </xf>
    <xf numFmtId="0" fontId="7" fillId="0" borderId="2" xfId="0" applyFont="1" applyBorder="1" applyAlignment="1">
      <alignment horizontal="left" vertical="center" wrapText="1"/>
    </xf>
    <xf numFmtId="0" fontId="3" fillId="0" borderId="1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7" fillId="2" borderId="1" xfId="0" applyFont="1" applyFill="1" applyBorder="1" applyAlignment="1">
      <alignment horizontal="left" vertical="center" wrapText="1"/>
    </xf>
    <xf numFmtId="0" fontId="0" fillId="2" borderId="0" xfId="0" applyFill="1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5" fillId="2" borderId="0" xfId="0" applyFont="1" applyFill="1" applyAlignment="1">
      <alignment vertical="center"/>
    </xf>
    <xf numFmtId="0" fontId="13" fillId="6" borderId="1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center" vertical="center"/>
    </xf>
    <xf numFmtId="0" fontId="0" fillId="2" borderId="6" xfId="0" applyFill="1" applyBorder="1" applyAlignment="1">
      <alignment vertical="center"/>
    </xf>
    <xf numFmtId="0" fontId="0" fillId="2" borderId="6" xfId="0" applyFill="1" applyBorder="1" applyAlignment="1">
      <alignment horizontal="center" vertical="center"/>
    </xf>
    <xf numFmtId="0" fontId="5" fillId="2" borderId="6" xfId="0" applyFont="1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0" xfId="0" applyFill="1" applyAlignment="1">
      <alignment horizontal="center" vertical="center"/>
    </xf>
    <xf numFmtId="0" fontId="8" fillId="0" borderId="0" xfId="0" applyFont="1" applyAlignment="1">
      <alignment horizontal="left" vertical="center" wrapText="1"/>
    </xf>
    <xf numFmtId="0" fontId="3" fillId="2" borderId="0" xfId="0" applyFont="1" applyFill="1" applyAlignment="1">
      <alignment vertical="center"/>
    </xf>
    <xf numFmtId="0" fontId="0" fillId="2" borderId="10" xfId="0" applyFill="1" applyBorder="1" applyAlignment="1">
      <alignment vertical="center"/>
    </xf>
    <xf numFmtId="0" fontId="0" fillId="2" borderId="11" xfId="0" applyFill="1" applyBorder="1" applyAlignment="1">
      <alignment vertical="center"/>
    </xf>
    <xf numFmtId="0" fontId="0" fillId="2" borderId="11" xfId="0" applyFill="1" applyBorder="1" applyAlignment="1">
      <alignment horizontal="center" vertical="center"/>
    </xf>
    <xf numFmtId="0" fontId="5" fillId="2" borderId="11" xfId="0" applyFont="1" applyFill="1" applyBorder="1" applyAlignment="1">
      <alignment vertical="center"/>
    </xf>
    <xf numFmtId="0" fontId="0" fillId="2" borderId="12" xfId="0" applyFill="1" applyBorder="1" applyAlignment="1">
      <alignment vertical="center"/>
    </xf>
    <xf numFmtId="0" fontId="14" fillId="9" borderId="1" xfId="0" applyFont="1" applyFill="1" applyBorder="1" applyAlignment="1">
      <alignment horizontal="center" vertical="center"/>
    </xf>
    <xf numFmtId="0" fontId="14" fillId="9" borderId="1" xfId="0" quotePrefix="1" applyFont="1" applyFill="1" applyBorder="1" applyAlignment="1">
      <alignment horizontal="center" vertical="center"/>
    </xf>
    <xf numFmtId="0" fontId="12" fillId="2" borderId="0" xfId="0" applyFont="1" applyFill="1" applyAlignment="1">
      <alignment vertical="center"/>
    </xf>
    <xf numFmtId="0" fontId="0" fillId="2" borderId="0" xfId="0" applyFill="1" applyAlignment="1">
      <alignment horizontal="right" vertical="center"/>
    </xf>
    <xf numFmtId="0" fontId="10" fillId="2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 applyAlignment="1">
      <alignment horizontal="center" vertical="center"/>
    </xf>
    <xf numFmtId="0" fontId="5" fillId="10" borderId="0" xfId="0" applyFont="1" applyFill="1" applyAlignment="1">
      <alignment vertical="center"/>
    </xf>
    <xf numFmtId="0" fontId="0" fillId="2" borderId="0" xfId="0" applyFill="1" applyAlignment="1">
      <alignment vertical="center" wrapText="1"/>
    </xf>
    <xf numFmtId="0" fontId="16" fillId="11" borderId="1" xfId="0" applyFont="1" applyFill="1" applyBorder="1" applyAlignment="1">
      <alignment horizontal="center" vertical="center"/>
    </xf>
    <xf numFmtId="0" fontId="0" fillId="12" borderId="1" xfId="0" applyFill="1" applyBorder="1" applyAlignment="1">
      <alignment vertical="center"/>
    </xf>
    <xf numFmtId="0" fontId="14" fillId="12" borderId="1" xfId="0" quotePrefix="1" applyFont="1" applyFill="1" applyBorder="1" applyAlignment="1">
      <alignment horizontal="center" vertical="center"/>
    </xf>
    <xf numFmtId="0" fontId="14" fillId="12" borderId="1" xfId="0" applyFont="1" applyFill="1" applyBorder="1" applyAlignment="1">
      <alignment horizontal="center" vertical="center"/>
    </xf>
    <xf numFmtId="0" fontId="18" fillId="0" borderId="0" xfId="0" applyFont="1"/>
    <xf numFmtId="0" fontId="18" fillId="17" borderId="1" xfId="0" applyFont="1" applyFill="1" applyBorder="1" applyAlignment="1">
      <alignment horizontal="left"/>
    </xf>
    <xf numFmtId="0" fontId="18" fillId="17" borderId="5" xfId="0" applyFont="1" applyFill="1" applyBorder="1" applyAlignment="1">
      <alignment horizontal="left"/>
    </xf>
    <xf numFmtId="0" fontId="18" fillId="18" borderId="5" xfId="0" applyFont="1" applyFill="1" applyBorder="1"/>
    <xf numFmtId="0" fontId="18" fillId="18" borderId="2" xfId="0" applyFont="1" applyFill="1" applyBorder="1"/>
    <xf numFmtId="0" fontId="18" fillId="18" borderId="4" xfId="0" applyFont="1" applyFill="1" applyBorder="1"/>
    <xf numFmtId="0" fontId="18" fillId="18" borderId="3" xfId="0" applyFont="1" applyFill="1" applyBorder="1"/>
    <xf numFmtId="0" fontId="18" fillId="17" borderId="13" xfId="0" applyFont="1" applyFill="1" applyBorder="1"/>
    <xf numFmtId="0" fontId="18" fillId="17" borderId="14" xfId="0" applyFont="1" applyFill="1" applyBorder="1"/>
    <xf numFmtId="0" fontId="18" fillId="17" borderId="14" xfId="0" applyFont="1" applyFill="1" applyBorder="1" applyAlignment="1">
      <alignment horizontal="center"/>
    </xf>
    <xf numFmtId="0" fontId="18" fillId="17" borderId="0" xfId="0" applyFont="1" applyFill="1" applyAlignment="1">
      <alignment horizontal="center"/>
    </xf>
    <xf numFmtId="0" fontId="18" fillId="19" borderId="1" xfId="0" applyFont="1" applyFill="1" applyBorder="1" applyAlignment="1">
      <alignment horizontal="left"/>
    </xf>
    <xf numFmtId="0" fontId="18" fillId="17" borderId="2" xfId="0" applyFont="1" applyFill="1" applyBorder="1"/>
    <xf numFmtId="0" fontId="18" fillId="17" borderId="3" xfId="0" applyFont="1" applyFill="1" applyBorder="1"/>
    <xf numFmtId="0" fontId="18" fillId="17" borderId="4" xfId="0" applyFont="1" applyFill="1" applyBorder="1"/>
    <xf numFmtId="0" fontId="18" fillId="17" borderId="15" xfId="0" applyFont="1" applyFill="1" applyBorder="1"/>
    <xf numFmtId="0" fontId="18" fillId="19" borderId="2" xfId="0" applyFont="1" applyFill="1" applyBorder="1"/>
    <xf numFmtId="0" fontId="18" fillId="19" borderId="3" xfId="0" applyFont="1" applyFill="1" applyBorder="1"/>
    <xf numFmtId="0" fontId="18" fillId="19" borderId="2" xfId="0" applyFont="1" applyFill="1" applyBorder="1" applyAlignment="1">
      <alignment wrapText="1"/>
    </xf>
    <xf numFmtId="0" fontId="18" fillId="19" borderId="1" xfId="0" applyFont="1" applyFill="1" applyBorder="1" applyAlignment="1">
      <alignment horizontal="left" wrapText="1"/>
    </xf>
    <xf numFmtId="0" fontId="18" fillId="19" borderId="4" xfId="0" applyFont="1" applyFill="1" applyBorder="1"/>
    <xf numFmtId="0" fontId="18" fillId="4" borderId="0" xfId="0" applyFont="1" applyFill="1"/>
    <xf numFmtId="0" fontId="8" fillId="4" borderId="0" xfId="0" applyFont="1" applyFill="1" applyAlignment="1">
      <alignment horizontal="center" vertical="top" wrapText="1"/>
    </xf>
    <xf numFmtId="0" fontId="18" fillId="18" borderId="10" xfId="0" applyFont="1" applyFill="1" applyBorder="1"/>
    <xf numFmtId="0" fontId="18" fillId="18" borderId="12" xfId="0" applyFont="1" applyFill="1" applyBorder="1"/>
    <xf numFmtId="0" fontId="18" fillId="18" borderId="11" xfId="0" applyFont="1" applyFill="1" applyBorder="1"/>
    <xf numFmtId="0" fontId="18" fillId="20" borderId="2" xfId="0" applyFont="1" applyFill="1" applyBorder="1"/>
    <xf numFmtId="0" fontId="18" fillId="20" borderId="3" xfId="0" applyFont="1" applyFill="1" applyBorder="1"/>
    <xf numFmtId="49" fontId="18" fillId="20" borderId="1" xfId="0" applyNumberFormat="1" applyFont="1" applyFill="1" applyBorder="1" applyAlignment="1">
      <alignment horizontal="center"/>
    </xf>
    <xf numFmtId="0" fontId="18" fillId="20" borderId="3" xfId="0" applyFont="1" applyFill="1" applyBorder="1" applyAlignment="1">
      <alignment horizontal="center"/>
    </xf>
    <xf numFmtId="0" fontId="18" fillId="3" borderId="1" xfId="0" applyFont="1" applyFill="1" applyBorder="1" applyAlignment="1">
      <alignment horizontal="left"/>
    </xf>
    <xf numFmtId="0" fontId="18" fillId="20" borderId="4" xfId="0" applyFont="1" applyFill="1" applyBorder="1"/>
    <xf numFmtId="0" fontId="18" fillId="3" borderId="2" xfId="0" applyFont="1" applyFill="1" applyBorder="1" applyAlignment="1">
      <alignment horizontal="left"/>
    </xf>
    <xf numFmtId="0" fontId="18" fillId="3" borderId="4" xfId="0" applyFont="1" applyFill="1" applyBorder="1" applyAlignment="1">
      <alignment horizontal="left"/>
    </xf>
    <xf numFmtId="0" fontId="18" fillId="3" borderId="1" xfId="0" applyFont="1" applyFill="1" applyBorder="1" applyAlignment="1">
      <alignment wrapText="1"/>
    </xf>
    <xf numFmtId="0" fontId="18" fillId="3" borderId="2" xfId="0" applyFont="1" applyFill="1" applyBorder="1"/>
    <xf numFmtId="0" fontId="18" fillId="3" borderId="3" xfId="0" applyFont="1" applyFill="1" applyBorder="1" applyAlignment="1">
      <alignment horizontal="left"/>
    </xf>
    <xf numFmtId="0" fontId="17" fillId="21" borderId="2" xfId="0" applyFont="1" applyFill="1" applyBorder="1" applyAlignment="1">
      <alignment horizontal="left" vertical="center" wrapText="1"/>
    </xf>
    <xf numFmtId="0" fontId="19" fillId="12" borderId="1" xfId="0" applyFont="1" applyFill="1" applyBorder="1" applyAlignment="1">
      <alignment horizontal="center" vertical="top" wrapText="1"/>
    </xf>
    <xf numFmtId="0" fontId="19" fillId="12" borderId="1" xfId="3" applyFont="1" applyFill="1" applyBorder="1" applyAlignment="1">
      <alignment horizontal="center" vertical="top" wrapText="1"/>
    </xf>
    <xf numFmtId="0" fontId="19" fillId="22" borderId="1" xfId="0" applyFont="1" applyFill="1" applyBorder="1" applyAlignment="1">
      <alignment horizontal="center" vertical="top" wrapText="1"/>
    </xf>
    <xf numFmtId="0" fontId="20" fillId="12" borderId="1" xfId="0" applyFont="1" applyFill="1" applyBorder="1" applyAlignment="1">
      <alignment horizontal="center" vertical="top" wrapText="1"/>
    </xf>
    <xf numFmtId="49" fontId="19" fillId="12" borderId="1" xfId="0" applyNumberFormat="1" applyFont="1" applyFill="1" applyBorder="1" applyAlignment="1">
      <alignment horizontal="center" vertical="top" wrapText="1"/>
    </xf>
    <xf numFmtId="0" fontId="19" fillId="12" borderId="1" xfId="0" applyFont="1" applyFill="1" applyBorder="1" applyAlignment="1">
      <alignment horizontal="left" vertical="top" wrapText="1"/>
    </xf>
    <xf numFmtId="0" fontId="19" fillId="4" borderId="1" xfId="0" applyFont="1" applyFill="1" applyBorder="1" applyAlignment="1">
      <alignment horizontal="center" vertical="top" wrapText="1"/>
    </xf>
    <xf numFmtId="0" fontId="17" fillId="23" borderId="1" xfId="0" applyFont="1" applyFill="1" applyBorder="1" applyAlignment="1">
      <alignment horizontal="left" vertical="center" wrapText="1"/>
    </xf>
    <xf numFmtId="0" fontId="8" fillId="0" borderId="1" xfId="0" applyFont="1" applyBorder="1" applyAlignment="1">
      <alignment horizontal="center" vertical="center" wrapText="1"/>
    </xf>
    <xf numFmtId="0" fontId="21" fillId="2" borderId="1" xfId="0" quotePrefix="1" applyFont="1" applyFill="1" applyBorder="1" applyAlignment="1">
      <alignment horizontal="center" vertical="center"/>
    </xf>
    <xf numFmtId="164" fontId="8" fillId="0" borderId="1" xfId="4" quotePrefix="1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wrapText="1"/>
    </xf>
    <xf numFmtId="0" fontId="8" fillId="0" borderId="1" xfId="0" applyFont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 wrapText="1"/>
    </xf>
    <xf numFmtId="0" fontId="8" fillId="0" borderId="1" xfId="0" quotePrefix="1" applyFont="1" applyBorder="1" applyAlignment="1">
      <alignment horizontal="center" vertical="center"/>
    </xf>
    <xf numFmtId="0" fontId="8" fillId="0" borderId="1" xfId="0" quotePrefix="1" applyFont="1" applyBorder="1" applyAlignment="1">
      <alignment horizontal="center"/>
    </xf>
    <xf numFmtId="0" fontId="8" fillId="4" borderId="0" xfId="0" applyFont="1" applyFill="1" applyAlignment="1">
      <alignment horizontal="center" vertical="center"/>
    </xf>
    <xf numFmtId="0" fontId="20" fillId="23" borderId="1" xfId="0" applyFont="1" applyFill="1" applyBorder="1" applyAlignment="1">
      <alignment horizontal="left" vertical="center" wrapText="1"/>
    </xf>
    <xf numFmtId="0" fontId="20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/>
    </xf>
    <xf numFmtId="0" fontId="20" fillId="0" borderId="4" xfId="0" applyFont="1" applyBorder="1" applyAlignment="1">
      <alignment horizontal="center" vertical="center"/>
    </xf>
    <xf numFmtId="0" fontId="20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vertical="center"/>
    </xf>
    <xf numFmtId="0" fontId="8" fillId="0" borderId="2" xfId="0" applyFont="1" applyBorder="1" applyAlignment="1">
      <alignment horizontal="center" vertical="center"/>
    </xf>
    <xf numFmtId="0" fontId="8" fillId="0" borderId="1" xfId="0" quotePrefix="1" applyFont="1" applyBorder="1" applyAlignment="1">
      <alignment horizontal="left" vertical="center" wrapText="1"/>
    </xf>
    <xf numFmtId="0" fontId="21" fillId="24" borderId="0" xfId="0" applyFont="1" applyFill="1" applyAlignment="1">
      <alignment horizontal="center" vertical="center"/>
    </xf>
    <xf numFmtId="0" fontId="21" fillId="24" borderId="0" xfId="0" quotePrefix="1" applyFont="1" applyFill="1" applyAlignment="1">
      <alignment horizontal="center" vertical="center"/>
    </xf>
    <xf numFmtId="0" fontId="8" fillId="24" borderId="0" xfId="0" applyFont="1" applyFill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0" fillId="24" borderId="0" xfId="0" applyFill="1" applyAlignment="1">
      <alignment horizontal="center" vertical="center"/>
    </xf>
    <xf numFmtId="0" fontId="21" fillId="24" borderId="0" xfId="0" quotePrefix="1" applyFont="1" applyFill="1" applyAlignment="1">
      <alignment horizontal="center" vertical="center" wrapText="1"/>
    </xf>
    <xf numFmtId="1" fontId="21" fillId="24" borderId="0" xfId="0" applyNumberFormat="1" applyFont="1" applyFill="1" applyAlignment="1">
      <alignment horizontal="center" vertical="center"/>
    </xf>
    <xf numFmtId="0" fontId="25" fillId="25" borderId="0" xfId="0" applyFont="1" applyFill="1" applyAlignment="1">
      <alignment horizontal="center" vertical="center"/>
    </xf>
    <xf numFmtId="0" fontId="26" fillId="26" borderId="12" xfId="0" applyFont="1" applyFill="1" applyBorder="1" applyAlignment="1">
      <alignment horizontal="center" vertical="center"/>
    </xf>
    <xf numFmtId="0" fontId="26" fillId="27" borderId="16" xfId="0" applyFont="1" applyFill="1" applyBorder="1" applyAlignment="1">
      <alignment horizontal="center" vertical="center"/>
    </xf>
    <xf numFmtId="0" fontId="26" fillId="28" borderId="16" xfId="0" applyFont="1" applyFill="1" applyBorder="1" applyAlignment="1">
      <alignment horizontal="center" vertical="center" wrapText="1"/>
    </xf>
    <xf numFmtId="0" fontId="26" fillId="29" borderId="16" xfId="0" quotePrefix="1" applyFont="1" applyFill="1" applyBorder="1" applyAlignment="1">
      <alignment horizontal="center" vertical="center" wrapText="1"/>
    </xf>
    <xf numFmtId="0" fontId="25" fillId="30" borderId="0" xfId="0" applyFont="1" applyFill="1" applyAlignment="1">
      <alignment horizontal="center" vertical="center"/>
    </xf>
    <xf numFmtId="0" fontId="0" fillId="31" borderId="4" xfId="0" applyFill="1" applyBorder="1" applyAlignment="1">
      <alignment horizontal="center" vertical="center"/>
    </xf>
    <xf numFmtId="0" fontId="5" fillId="23" borderId="1" xfId="0" applyFont="1" applyFill="1" applyBorder="1" applyAlignment="1">
      <alignment horizontal="center" vertical="center"/>
    </xf>
    <xf numFmtId="0" fontId="0" fillId="9" borderId="1" xfId="0" quotePrefix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5" fillId="32" borderId="1" xfId="0" applyFont="1" applyFill="1" applyBorder="1" applyAlignment="1">
      <alignment horizontal="center" vertical="center" wrapText="1"/>
    </xf>
    <xf numFmtId="0" fontId="0" fillId="31" borderId="1" xfId="0" applyFill="1" applyBorder="1" applyAlignment="1">
      <alignment horizontal="center" vertical="center"/>
    </xf>
    <xf numFmtId="0" fontId="5" fillId="32" borderId="1" xfId="0" quotePrefix="1" applyFont="1" applyFill="1" applyBorder="1" applyAlignment="1">
      <alignment horizontal="center" vertical="center" wrapText="1"/>
    </xf>
    <xf numFmtId="0" fontId="0" fillId="31" borderId="1" xfId="0" quotePrefix="1" applyFill="1" applyBorder="1" applyAlignment="1">
      <alignment horizontal="center" vertical="center"/>
    </xf>
    <xf numFmtId="0" fontId="26" fillId="23" borderId="1" xfId="0" applyFont="1" applyFill="1" applyBorder="1" applyAlignment="1">
      <alignment horizontal="center" vertical="center"/>
    </xf>
    <xf numFmtId="0" fontId="28" fillId="9" borderId="1" xfId="0" applyFont="1" applyFill="1" applyBorder="1" applyAlignment="1">
      <alignment horizontal="center" vertical="center" wrapText="1"/>
    </xf>
    <xf numFmtId="0" fontId="28" fillId="9" borderId="1" xfId="0" applyFont="1" applyFill="1" applyBorder="1" applyAlignment="1">
      <alignment horizontal="center" vertical="center"/>
    </xf>
    <xf numFmtId="0" fontId="26" fillId="32" borderId="1" xfId="0" applyFont="1" applyFill="1" applyBorder="1" applyAlignment="1">
      <alignment horizontal="center" vertical="center" wrapText="1"/>
    </xf>
    <xf numFmtId="0" fontId="29" fillId="31" borderId="1" xfId="0" applyFont="1" applyFill="1" applyBorder="1" applyAlignment="1">
      <alignment horizontal="center" vertical="center"/>
    </xf>
    <xf numFmtId="0" fontId="29" fillId="31" borderId="4" xfId="0" applyFont="1" applyFill="1" applyBorder="1" applyAlignment="1">
      <alignment horizontal="center" vertical="top"/>
    </xf>
    <xf numFmtId="0" fontId="2" fillId="23" borderId="1" xfId="0" applyFont="1" applyFill="1" applyBorder="1" applyAlignment="1">
      <alignment horizontal="center" vertical="top"/>
    </xf>
    <xf numFmtId="0" fontId="4" fillId="9" borderId="1" xfId="0" applyFont="1" applyFill="1" applyBorder="1" applyAlignment="1">
      <alignment horizontal="left" vertical="top" wrapText="1"/>
    </xf>
    <xf numFmtId="0" fontId="30" fillId="9" borderId="1" xfId="0" applyFont="1" applyFill="1" applyBorder="1" applyAlignment="1">
      <alignment horizontal="left" vertical="top" wrapText="1"/>
    </xf>
    <xf numFmtId="0" fontId="4" fillId="9" borderId="1" xfId="0" applyFont="1" applyFill="1" applyBorder="1" applyAlignment="1">
      <alignment horizontal="center" vertical="top"/>
    </xf>
    <xf numFmtId="0" fontId="4" fillId="9" borderId="1" xfId="0" applyFont="1" applyFill="1" applyBorder="1" applyAlignment="1">
      <alignment vertical="top" wrapText="1"/>
    </xf>
    <xf numFmtId="0" fontId="2" fillId="32" borderId="1" xfId="0" applyFont="1" applyFill="1" applyBorder="1" applyAlignment="1">
      <alignment horizontal="left" vertical="top" wrapText="1"/>
    </xf>
    <xf numFmtId="0" fontId="29" fillId="31" borderId="1" xfId="0" applyFont="1" applyFill="1" applyBorder="1" applyAlignment="1">
      <alignment horizontal="center" vertical="top"/>
    </xf>
    <xf numFmtId="0" fontId="29" fillId="31" borderId="4" xfId="0" applyFont="1" applyFill="1" applyBorder="1" applyAlignment="1">
      <alignment horizontal="center" vertical="center"/>
    </xf>
    <xf numFmtId="0" fontId="2" fillId="23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 wrapText="1"/>
    </xf>
    <xf numFmtId="0" fontId="2" fillId="32" borderId="1" xfId="0" applyFont="1" applyFill="1" applyBorder="1" applyAlignment="1">
      <alignment horizontal="center" vertical="center" wrapText="1"/>
    </xf>
    <xf numFmtId="0" fontId="26" fillId="5" borderId="1" xfId="0" applyFont="1" applyFill="1" applyBorder="1" applyAlignment="1">
      <alignment horizontal="center" vertical="center"/>
    </xf>
    <xf numFmtId="0" fontId="26" fillId="33" borderId="1" xfId="0" applyFont="1" applyFill="1" applyBorder="1" applyAlignment="1">
      <alignment horizontal="center" vertical="center"/>
    </xf>
    <xf numFmtId="0" fontId="16" fillId="34" borderId="1" xfId="0" applyFont="1" applyFill="1" applyBorder="1" applyAlignment="1">
      <alignment horizontal="center" vertical="center"/>
    </xf>
    <xf numFmtId="0" fontId="26" fillId="35" borderId="1" xfId="0" applyFont="1" applyFill="1" applyBorder="1" applyAlignment="1">
      <alignment horizontal="center" vertical="center" wrapText="1"/>
    </xf>
    <xf numFmtId="0" fontId="26" fillId="33" borderId="1" xfId="0" applyFont="1" applyFill="1" applyBorder="1" applyAlignment="1">
      <alignment horizontal="center" vertical="center" wrapText="1"/>
    </xf>
    <xf numFmtId="0" fontId="26" fillId="5" borderId="1" xfId="0" applyFont="1" applyFill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1" fillId="0" borderId="0" xfId="0" applyFont="1"/>
    <xf numFmtId="1" fontId="31" fillId="0" borderId="0" xfId="0" applyNumberFormat="1" applyFont="1" applyAlignment="1">
      <alignment horizontal="left"/>
    </xf>
    <xf numFmtId="0" fontId="21" fillId="0" borderId="0" xfId="0" quotePrefix="1" applyFont="1"/>
    <xf numFmtId="0" fontId="8" fillId="4" borderId="0" xfId="0" applyFont="1" applyFill="1"/>
    <xf numFmtId="0" fontId="17" fillId="36" borderId="0" xfId="0" quotePrefix="1" applyFont="1" applyFill="1" applyAlignment="1">
      <alignment horizontal="center" vertical="center"/>
    </xf>
    <xf numFmtId="0" fontId="17" fillId="35" borderId="0" xfId="0" quotePrefix="1" applyFont="1" applyFill="1" applyAlignment="1">
      <alignment horizontal="center" vertical="center"/>
    </xf>
    <xf numFmtId="0" fontId="17" fillId="37" borderId="0" xfId="0" quotePrefix="1" applyFont="1" applyFill="1" applyAlignment="1">
      <alignment horizontal="center" vertical="center"/>
    </xf>
    <xf numFmtId="0" fontId="17" fillId="38" borderId="0" xfId="0" quotePrefix="1" applyFont="1" applyFill="1" applyAlignment="1">
      <alignment horizontal="center" vertical="center"/>
    </xf>
    <xf numFmtId="0" fontId="8" fillId="2" borderId="0" xfId="0" applyFont="1" applyFill="1"/>
    <xf numFmtId="0" fontId="8" fillId="2" borderId="0" xfId="0" applyFont="1" applyFill="1" applyAlignment="1">
      <alignment horizontal="left"/>
    </xf>
    <xf numFmtId="14" fontId="26" fillId="32" borderId="1" xfId="0" applyNumberFormat="1" applyFont="1" applyFill="1" applyBorder="1" applyAlignment="1">
      <alignment horizontal="center" vertical="center" wrapText="1"/>
    </xf>
    <xf numFmtId="0" fontId="28" fillId="13" borderId="1" xfId="0" applyFont="1" applyFill="1" applyBorder="1" applyAlignment="1">
      <alignment horizontal="center" vertical="center"/>
    </xf>
    <xf numFmtId="0" fontId="18" fillId="40" borderId="1" xfId="0" applyFont="1" applyFill="1" applyBorder="1" applyAlignment="1">
      <alignment horizontal="center" vertical="center" wrapText="1"/>
    </xf>
    <xf numFmtId="0" fontId="19" fillId="40" borderId="3" xfId="0" applyFont="1" applyFill="1" applyBorder="1" applyAlignment="1">
      <alignment horizontal="center" vertical="center" wrapText="1"/>
    </xf>
    <xf numFmtId="0" fontId="17" fillId="21" borderId="2" xfId="0" applyFont="1" applyFill="1" applyBorder="1" applyAlignment="1">
      <alignment horizontal="center" vertical="center" wrapText="1"/>
    </xf>
    <xf numFmtId="0" fontId="18" fillId="44" borderId="1" xfId="0" applyFont="1" applyFill="1" applyBorder="1" applyAlignment="1">
      <alignment horizontal="center" vertical="center" wrapText="1"/>
    </xf>
    <xf numFmtId="0" fontId="18" fillId="44" borderId="16" xfId="0" applyFont="1" applyFill="1" applyBorder="1" applyAlignment="1">
      <alignment horizontal="center" vertical="center" wrapText="1"/>
    </xf>
    <xf numFmtId="0" fontId="18" fillId="43" borderId="16" xfId="0" applyFont="1" applyFill="1" applyBorder="1" applyAlignment="1">
      <alignment horizontal="center" vertical="center" wrapText="1"/>
    </xf>
    <xf numFmtId="0" fontId="18" fillId="16" borderId="16" xfId="0" applyFont="1" applyFill="1" applyBorder="1" applyAlignment="1">
      <alignment horizontal="center" vertical="center"/>
    </xf>
    <xf numFmtId="0" fontId="18" fillId="16" borderId="16" xfId="0" applyFont="1" applyFill="1" applyBorder="1" applyAlignment="1">
      <alignment horizontal="center" vertical="center" wrapText="1"/>
    </xf>
    <xf numFmtId="0" fontId="19" fillId="16" borderId="16" xfId="0" applyFont="1" applyFill="1" applyBorder="1" applyAlignment="1">
      <alignment horizontal="center" vertical="center" wrapText="1"/>
    </xf>
    <xf numFmtId="0" fontId="18" fillId="45" borderId="16" xfId="0" applyFont="1" applyFill="1" applyBorder="1" applyAlignment="1">
      <alignment horizontal="center" vertical="center" wrapText="1"/>
    </xf>
    <xf numFmtId="0" fontId="18" fillId="46" borderId="1" xfId="0" applyFont="1" applyFill="1" applyBorder="1" applyAlignment="1">
      <alignment horizontal="center" vertical="center" wrapText="1"/>
    </xf>
    <xf numFmtId="0" fontId="18" fillId="17" borderId="1" xfId="0" applyFont="1" applyFill="1" applyBorder="1" applyAlignment="1">
      <alignment horizontal="center" vertical="center" wrapText="1"/>
    </xf>
    <xf numFmtId="0" fontId="17" fillId="23" borderId="1" xfId="0" applyFont="1" applyFill="1" applyBorder="1" applyAlignment="1">
      <alignment horizontal="center" vertical="center" wrapText="1"/>
    </xf>
    <xf numFmtId="0" fontId="8" fillId="10" borderId="1" xfId="0" applyFont="1" applyFill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0" fontId="20" fillId="23" borderId="1" xfId="0" applyFont="1" applyFill="1" applyBorder="1" applyAlignment="1">
      <alignment horizontal="center" vertical="center" wrapText="1"/>
    </xf>
    <xf numFmtId="0" fontId="20" fillId="10" borderId="1" xfId="0" applyFont="1" applyFill="1" applyBorder="1" applyAlignment="1">
      <alignment horizontal="center" vertical="center" wrapText="1"/>
    </xf>
    <xf numFmtId="0" fontId="7" fillId="0" borderId="1" xfId="0" applyFont="1" applyBorder="1"/>
    <xf numFmtId="0" fontId="8" fillId="0" borderId="2" xfId="0" applyFont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6" fillId="0" borderId="1" xfId="2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0" fontId="0" fillId="0" borderId="1" xfId="0" quotePrefix="1" applyBorder="1" applyAlignment="1">
      <alignment horizontal="center" vertical="center" wrapText="1"/>
    </xf>
    <xf numFmtId="0" fontId="0" fillId="10" borderId="1" xfId="0" quotePrefix="1" applyFill="1" applyBorder="1" applyAlignment="1">
      <alignment horizontal="center" vertical="center" wrapText="1"/>
    </xf>
    <xf numFmtId="0" fontId="34" fillId="0" borderId="1" xfId="0" quotePrefix="1" applyFont="1" applyBorder="1" applyAlignment="1">
      <alignment horizontal="center" vertical="center" wrapText="1"/>
    </xf>
    <xf numFmtId="0" fontId="34" fillId="0" borderId="1" xfId="2" applyFont="1" applyBorder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/>
    </xf>
    <xf numFmtId="0" fontId="16" fillId="47" borderId="12" xfId="0" applyFont="1" applyFill="1" applyBorder="1" applyAlignment="1">
      <alignment horizontal="center" vertical="center"/>
    </xf>
    <xf numFmtId="0" fontId="0" fillId="4" borderId="1" xfId="0" applyFill="1" applyBorder="1"/>
    <xf numFmtId="0" fontId="36" fillId="5" borderId="1" xfId="0" applyFont="1" applyFill="1" applyBorder="1" applyAlignment="1">
      <alignment horizontal="center" vertical="center" wrapText="1"/>
    </xf>
    <xf numFmtId="0" fontId="17" fillId="48" borderId="0" xfId="0" quotePrefix="1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34" fillId="2" borderId="0" xfId="0" applyFont="1" applyFill="1"/>
    <xf numFmtId="0" fontId="19" fillId="3" borderId="0" xfId="0" applyFont="1" applyFill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37" fillId="0" borderId="1" xfId="0" applyFont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left" vertical="center" wrapText="1"/>
    </xf>
    <xf numFmtId="0" fontId="40" fillId="0" borderId="0" xfId="0" applyFont="1" applyAlignment="1">
      <alignment vertical="center"/>
    </xf>
    <xf numFmtId="0" fontId="40" fillId="0" borderId="0" xfId="0" applyFont="1" applyAlignment="1">
      <alignment horizontal="center" vertical="center" wrapText="1"/>
    </xf>
    <xf numFmtId="0" fontId="40" fillId="0" borderId="0" xfId="0" quotePrefix="1" applyFont="1" applyAlignment="1">
      <alignment horizontal="center" vertical="center" wrapText="1"/>
    </xf>
    <xf numFmtId="0" fontId="43" fillId="49" borderId="1" xfId="0" applyFont="1" applyFill="1" applyBorder="1" applyAlignment="1">
      <alignment horizontal="center" vertical="center" wrapText="1"/>
    </xf>
    <xf numFmtId="0" fontId="44" fillId="49" borderId="1" xfId="0" applyFont="1" applyFill="1" applyBorder="1" applyAlignment="1">
      <alignment horizontal="center" vertical="center" wrapText="1"/>
    </xf>
    <xf numFmtId="0" fontId="44" fillId="49" borderId="1" xfId="0" quotePrefix="1" applyFont="1" applyFill="1" applyBorder="1" applyAlignment="1">
      <alignment horizontal="center" vertical="center" wrapText="1"/>
    </xf>
    <xf numFmtId="0" fontId="45" fillId="49" borderId="1" xfId="0" applyFont="1" applyFill="1" applyBorder="1" applyAlignment="1">
      <alignment horizontal="left" vertical="top" wrapText="1"/>
    </xf>
    <xf numFmtId="0" fontId="45" fillId="49" borderId="1" xfId="0" applyFont="1" applyFill="1" applyBorder="1" applyAlignment="1">
      <alignment horizontal="center" vertical="center" wrapText="1"/>
    </xf>
    <xf numFmtId="0" fontId="17" fillId="35" borderId="0" xfId="0" quotePrefix="1" applyFont="1" applyFill="1" applyAlignment="1">
      <alignment horizontal="center" vertical="center" wrapText="1"/>
    </xf>
    <xf numFmtId="0" fontId="28" fillId="18" borderId="21" xfId="0" applyFont="1" applyFill="1" applyBorder="1"/>
    <xf numFmtId="0" fontId="29" fillId="18" borderId="14" xfId="0" applyFont="1" applyFill="1" applyBorder="1"/>
    <xf numFmtId="0" fontId="28" fillId="40" borderId="2" xfId="0" applyFont="1" applyFill="1" applyBorder="1"/>
    <xf numFmtId="0" fontId="0" fillId="40" borderId="3" xfId="0" applyFill="1" applyBorder="1"/>
    <xf numFmtId="0" fontId="0" fillId="40" borderId="4" xfId="0" applyFill="1" applyBorder="1"/>
    <xf numFmtId="0" fontId="28" fillId="20" borderId="15" xfId="0" applyFont="1" applyFill="1" applyBorder="1"/>
    <xf numFmtId="0" fontId="28" fillId="20" borderId="0" xfId="0" applyFont="1" applyFill="1"/>
    <xf numFmtId="0" fontId="17" fillId="23" borderId="1" xfId="0" applyFont="1" applyFill="1" applyBorder="1" applyAlignment="1">
      <alignment horizontal="center" vertical="top" wrapText="1"/>
    </xf>
    <xf numFmtId="0" fontId="8" fillId="0" borderId="1" xfId="0" applyFont="1" applyBorder="1" applyAlignment="1">
      <alignment horizontal="center" vertical="top"/>
    </xf>
    <xf numFmtId="0" fontId="8" fillId="0" borderId="1" xfId="0" applyFont="1" applyBorder="1" applyAlignment="1">
      <alignment horizontal="left" vertical="top" wrapText="1"/>
    </xf>
    <xf numFmtId="0" fontId="8" fillId="0" borderId="1" xfId="0" applyFont="1" applyBorder="1" applyAlignment="1">
      <alignment horizontal="center" vertical="top" wrapText="1"/>
    </xf>
    <xf numFmtId="0" fontId="8" fillId="0" borderId="0" xfId="0" applyFont="1" applyAlignment="1">
      <alignment horizontal="left"/>
    </xf>
    <xf numFmtId="0" fontId="26" fillId="33" borderId="1" xfId="0" applyFont="1" applyFill="1" applyBorder="1" applyAlignment="1">
      <alignment horizontal="center" vertical="top"/>
    </xf>
    <xf numFmtId="0" fontId="17" fillId="50" borderId="0" xfId="0" quotePrefix="1" applyFont="1" applyFill="1" applyAlignment="1">
      <alignment horizontal="center" vertical="center"/>
    </xf>
    <xf numFmtId="0" fontId="49" fillId="17" borderId="5" xfId="0" applyFont="1" applyFill="1" applyBorder="1" applyAlignment="1">
      <alignment horizontal="center" vertical="center"/>
    </xf>
    <xf numFmtId="0" fontId="49" fillId="18" borderId="5" xfId="0" applyFont="1" applyFill="1" applyBorder="1" applyAlignment="1">
      <alignment horizontal="center" vertical="center"/>
    </xf>
    <xf numFmtId="0" fontId="49" fillId="18" borderId="5" xfId="0" applyFont="1" applyFill="1" applyBorder="1" applyAlignment="1">
      <alignment vertical="center"/>
    </xf>
    <xf numFmtId="0" fontId="49" fillId="18" borderId="2" xfId="0" applyFont="1" applyFill="1" applyBorder="1" applyAlignment="1">
      <alignment vertical="center"/>
    </xf>
    <xf numFmtId="0" fontId="49" fillId="18" borderId="4" xfId="0" applyFont="1" applyFill="1" applyBorder="1" applyAlignment="1">
      <alignment vertical="center"/>
    </xf>
    <xf numFmtId="0" fontId="49" fillId="18" borderId="3" xfId="0" applyFont="1" applyFill="1" applyBorder="1" applyAlignment="1">
      <alignment vertical="center"/>
    </xf>
    <xf numFmtId="0" fontId="49" fillId="17" borderId="13" xfId="0" applyFont="1" applyFill="1" applyBorder="1" applyAlignment="1">
      <alignment horizontal="center" vertical="center"/>
    </xf>
    <xf numFmtId="0" fontId="49" fillId="17" borderId="14" xfId="0" applyFont="1" applyFill="1" applyBorder="1" applyAlignment="1">
      <alignment vertical="center"/>
    </xf>
    <xf numFmtId="0" fontId="49" fillId="17" borderId="14" xfId="0" applyFont="1" applyFill="1" applyBorder="1" applyAlignment="1">
      <alignment horizontal="center" vertical="center"/>
    </xf>
    <xf numFmtId="0" fontId="49" fillId="17" borderId="14" xfId="0" applyFont="1" applyFill="1" applyBorder="1" applyAlignment="1">
      <alignment horizontal="left" vertical="center"/>
    </xf>
    <xf numFmtId="1" fontId="49" fillId="17" borderId="0" xfId="0" applyNumberFormat="1" applyFont="1" applyFill="1" applyAlignment="1">
      <alignment horizontal="center" vertical="center"/>
    </xf>
    <xf numFmtId="0" fontId="49" fillId="19" borderId="1" xfId="0" applyFont="1" applyFill="1" applyBorder="1" applyAlignment="1">
      <alignment horizontal="left" vertical="center"/>
    </xf>
    <xf numFmtId="0" fontId="49" fillId="17" borderId="2" xfId="0" applyFont="1" applyFill="1" applyBorder="1" applyAlignment="1">
      <alignment vertical="center"/>
    </xf>
    <xf numFmtId="0" fontId="49" fillId="17" borderId="3" xfId="0" applyFont="1" applyFill="1" applyBorder="1" applyAlignment="1">
      <alignment vertical="center"/>
    </xf>
    <xf numFmtId="0" fontId="49" fillId="17" borderId="4" xfId="0" applyFont="1" applyFill="1" applyBorder="1" applyAlignment="1">
      <alignment vertical="center"/>
    </xf>
    <xf numFmtId="0" fontId="49" fillId="17" borderId="15" xfId="0" applyFont="1" applyFill="1" applyBorder="1" applyAlignment="1">
      <alignment vertical="center"/>
    </xf>
    <xf numFmtId="0" fontId="49" fillId="19" borderId="1" xfId="0" applyFont="1" applyFill="1" applyBorder="1" applyAlignment="1">
      <alignment vertical="center"/>
    </xf>
    <xf numFmtId="0" fontId="49" fillId="19" borderId="2" xfId="0" applyFont="1" applyFill="1" applyBorder="1" applyAlignment="1">
      <alignment vertical="center"/>
    </xf>
    <xf numFmtId="0" fontId="49" fillId="19" borderId="2" xfId="0" applyFont="1" applyFill="1" applyBorder="1" applyAlignment="1">
      <alignment vertical="center" wrapText="1"/>
    </xf>
    <xf numFmtId="0" fontId="49" fillId="19" borderId="1" xfId="0" applyFont="1" applyFill="1" applyBorder="1" applyAlignment="1">
      <alignment horizontal="left" vertical="center" wrapText="1"/>
    </xf>
    <xf numFmtId="0" fontId="49" fillId="19" borderId="0" xfId="0" applyFont="1" applyFill="1" applyAlignment="1">
      <alignment vertical="center"/>
    </xf>
    <xf numFmtId="0" fontId="49" fillId="19" borderId="3" xfId="0" applyFont="1" applyFill="1" applyBorder="1" applyAlignment="1">
      <alignment vertical="center"/>
    </xf>
    <xf numFmtId="0" fontId="49" fillId="19" borderId="4" xfId="0" applyFont="1" applyFill="1" applyBorder="1" applyAlignment="1">
      <alignment vertical="center"/>
    </xf>
    <xf numFmtId="0" fontId="49" fillId="4" borderId="10" xfId="0" applyFont="1" applyFill="1" applyBorder="1" applyAlignment="1">
      <alignment horizontal="left" vertical="center" wrapText="1"/>
    </xf>
    <xf numFmtId="0" fontId="49" fillId="4" borderId="0" xfId="0" applyFont="1" applyFill="1" applyAlignment="1">
      <alignment horizontal="left" vertical="center" wrapText="1"/>
    </xf>
    <xf numFmtId="0" fontId="46" fillId="4" borderId="0" xfId="0" applyFont="1" applyFill="1" applyAlignment="1">
      <alignment horizontal="center" vertical="center" wrapText="1"/>
    </xf>
    <xf numFmtId="0" fontId="49" fillId="17" borderId="1" xfId="0" applyFont="1" applyFill="1" applyBorder="1" applyAlignment="1">
      <alignment horizontal="center" vertical="center"/>
    </xf>
    <xf numFmtId="0" fontId="49" fillId="18" borderId="10" xfId="0" applyFont="1" applyFill="1" applyBorder="1" applyAlignment="1">
      <alignment horizontal="center" vertical="center"/>
    </xf>
    <xf numFmtId="0" fontId="49" fillId="18" borderId="12" xfId="0" applyFont="1" applyFill="1" applyBorder="1" applyAlignment="1">
      <alignment vertical="center"/>
    </xf>
    <xf numFmtId="0" fontId="49" fillId="18" borderId="10" xfId="0" applyFont="1" applyFill="1" applyBorder="1" applyAlignment="1">
      <alignment vertical="center"/>
    </xf>
    <xf numFmtId="0" fontId="49" fillId="18" borderId="11" xfId="0" applyFont="1" applyFill="1" applyBorder="1" applyAlignment="1">
      <alignment vertical="center"/>
    </xf>
    <xf numFmtId="0" fontId="49" fillId="20" borderId="2" xfId="0" applyFont="1" applyFill="1" applyBorder="1" applyAlignment="1">
      <alignment horizontal="center" vertical="center"/>
    </xf>
    <xf numFmtId="0" fontId="49" fillId="20" borderId="3" xfId="0" applyFont="1" applyFill="1" applyBorder="1" applyAlignment="1">
      <alignment vertical="center"/>
    </xf>
    <xf numFmtId="0" fontId="49" fillId="20" borderId="1" xfId="0" applyFont="1" applyFill="1" applyBorder="1" applyAlignment="1">
      <alignment horizontal="left" vertical="center"/>
    </xf>
    <xf numFmtId="0" fontId="49" fillId="20" borderId="2" xfId="0" applyFont="1" applyFill="1" applyBorder="1" applyAlignment="1">
      <alignment vertical="center"/>
    </xf>
    <xf numFmtId="1" fontId="49" fillId="20" borderId="3" xfId="0" applyNumberFormat="1" applyFont="1" applyFill="1" applyBorder="1" applyAlignment="1">
      <alignment horizontal="center" vertical="center"/>
    </xf>
    <xf numFmtId="0" fontId="49" fillId="3" borderId="1" xfId="0" applyFont="1" applyFill="1" applyBorder="1" applyAlignment="1">
      <alignment horizontal="left" vertical="center"/>
    </xf>
    <xf numFmtId="0" fontId="49" fillId="20" borderId="4" xfId="0" applyFont="1" applyFill="1" applyBorder="1" applyAlignment="1">
      <alignment vertical="center"/>
    </xf>
    <xf numFmtId="0" fontId="49" fillId="3" borderId="2" xfId="0" applyFont="1" applyFill="1" applyBorder="1" applyAlignment="1">
      <alignment horizontal="left" vertical="center"/>
    </xf>
    <xf numFmtId="0" fontId="49" fillId="3" borderId="4" xfId="0" applyFont="1" applyFill="1" applyBorder="1" applyAlignment="1">
      <alignment horizontal="left" vertical="center"/>
    </xf>
    <xf numFmtId="0" fontId="49" fillId="3" borderId="1" xfId="0" applyFont="1" applyFill="1" applyBorder="1" applyAlignment="1">
      <alignment vertical="center" wrapText="1"/>
    </xf>
    <xf numFmtId="0" fontId="49" fillId="3" borderId="2" xfId="0" applyFont="1" applyFill="1" applyBorder="1" applyAlignment="1">
      <alignment vertical="center" wrapText="1"/>
    </xf>
    <xf numFmtId="0" fontId="49" fillId="3" borderId="2" xfId="0" applyFont="1" applyFill="1" applyBorder="1" applyAlignment="1">
      <alignment vertical="center"/>
    </xf>
    <xf numFmtId="0" fontId="49" fillId="3" borderId="3" xfId="0" applyFont="1" applyFill="1" applyBorder="1" applyAlignment="1">
      <alignment horizontal="left" vertical="center"/>
    </xf>
    <xf numFmtId="0" fontId="48" fillId="21" borderId="2" xfId="0" applyFont="1" applyFill="1" applyBorder="1" applyAlignment="1">
      <alignment horizontal="left" vertical="center" wrapText="1"/>
    </xf>
    <xf numFmtId="0" fontId="50" fillId="12" borderId="1" xfId="0" applyFont="1" applyFill="1" applyBorder="1" applyAlignment="1">
      <alignment horizontal="center" vertical="center" wrapText="1"/>
    </xf>
    <xf numFmtId="0" fontId="50" fillId="12" borderId="1" xfId="3" applyFont="1" applyFill="1" applyBorder="1" applyAlignment="1">
      <alignment horizontal="center" vertical="center" wrapText="1"/>
    </xf>
    <xf numFmtId="0" fontId="50" fillId="12" borderId="1" xfId="0" applyFont="1" applyFill="1" applyBorder="1" applyAlignment="1">
      <alignment horizontal="left" vertical="center" wrapText="1"/>
    </xf>
    <xf numFmtId="0" fontId="51" fillId="12" borderId="1" xfId="0" applyFont="1" applyFill="1" applyBorder="1" applyAlignment="1">
      <alignment horizontal="center" vertical="center" wrapText="1"/>
    </xf>
    <xf numFmtId="1" fontId="50" fillId="12" borderId="1" xfId="0" applyNumberFormat="1" applyFont="1" applyFill="1" applyBorder="1" applyAlignment="1">
      <alignment horizontal="center" vertical="center" wrapText="1"/>
    </xf>
    <xf numFmtId="49" fontId="50" fillId="12" borderId="1" xfId="0" applyNumberFormat="1" applyFont="1" applyFill="1" applyBorder="1" applyAlignment="1">
      <alignment horizontal="center" vertical="center" wrapText="1"/>
    </xf>
    <xf numFmtId="0" fontId="48" fillId="23" borderId="1" xfId="0" applyFont="1" applyFill="1" applyBorder="1" applyAlignment="1">
      <alignment horizontal="left" vertical="center" wrapText="1"/>
    </xf>
    <xf numFmtId="0" fontId="46" fillId="0" borderId="1" xfId="0" applyFont="1" applyBorder="1" applyAlignment="1">
      <alignment horizontal="center" vertical="center" wrapText="1"/>
    </xf>
    <xf numFmtId="0" fontId="31" fillId="2" borderId="1" xfId="0" quotePrefix="1" applyFont="1" applyFill="1" applyBorder="1" applyAlignment="1">
      <alignment horizontal="center" vertical="center"/>
    </xf>
    <xf numFmtId="164" fontId="46" fillId="0" borderId="1" xfId="4" quotePrefix="1" applyNumberFormat="1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/>
    </xf>
    <xf numFmtId="49" fontId="46" fillId="4" borderId="1" xfId="0" applyNumberFormat="1" applyFont="1" applyFill="1" applyBorder="1" applyAlignment="1">
      <alignment horizontal="left" vertical="center" wrapText="1"/>
    </xf>
    <xf numFmtId="49" fontId="46" fillId="4" borderId="1" xfId="0" applyNumberFormat="1" applyFont="1" applyFill="1" applyBorder="1" applyAlignment="1">
      <alignment horizontal="center" vertical="center" wrapText="1"/>
    </xf>
    <xf numFmtId="0" fontId="46" fillId="4" borderId="1" xfId="0" applyFont="1" applyFill="1" applyBorder="1" applyAlignment="1">
      <alignment horizontal="center" vertical="center" wrapText="1"/>
    </xf>
    <xf numFmtId="0" fontId="46" fillId="0" borderId="1" xfId="0" applyFont="1" applyBorder="1" applyAlignment="1">
      <alignment horizontal="left" vertical="center"/>
    </xf>
    <xf numFmtId="1" fontId="46" fillId="0" borderId="1" xfId="0" quotePrefix="1" applyNumberFormat="1" applyFont="1" applyBorder="1" applyAlignment="1">
      <alignment horizontal="center" vertical="center"/>
    </xf>
    <xf numFmtId="0" fontId="46" fillId="0" borderId="1" xfId="0" quotePrefix="1" applyFont="1" applyBorder="1" applyAlignment="1">
      <alignment horizontal="center" vertical="center"/>
    </xf>
    <xf numFmtId="1" fontId="46" fillId="0" borderId="1" xfId="0" applyNumberFormat="1" applyFont="1" applyBorder="1" applyAlignment="1">
      <alignment horizontal="center" vertical="center"/>
    </xf>
    <xf numFmtId="0" fontId="51" fillId="23" borderId="1" xfId="0" applyFont="1" applyFill="1" applyBorder="1" applyAlignment="1">
      <alignment horizontal="left" vertical="center" wrapText="1"/>
    </xf>
    <xf numFmtId="0" fontId="51" fillId="0" borderId="1" xfId="0" applyFont="1" applyBorder="1" applyAlignment="1">
      <alignment horizontal="center" vertical="center" wrapText="1"/>
    </xf>
    <xf numFmtId="0" fontId="51" fillId="0" borderId="1" xfId="0" applyFont="1" applyBorder="1" applyAlignment="1">
      <alignment horizontal="center" vertical="center"/>
    </xf>
    <xf numFmtId="0" fontId="51" fillId="0" borderId="1" xfId="0" applyFont="1" applyBorder="1" applyAlignment="1">
      <alignment horizontal="left" vertical="center"/>
    </xf>
    <xf numFmtId="0" fontId="51" fillId="0" borderId="4" xfId="0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0" fontId="47" fillId="0" borderId="1" xfId="0" applyFont="1" applyBorder="1" applyAlignment="1">
      <alignment vertical="center"/>
    </xf>
    <xf numFmtId="0" fontId="46" fillId="0" borderId="0" xfId="0" applyFont="1" applyAlignment="1">
      <alignment vertical="center"/>
    </xf>
    <xf numFmtId="0" fontId="46" fillId="0" borderId="2" xfId="0" applyFont="1" applyBorder="1" applyAlignment="1">
      <alignment horizontal="center" vertical="center"/>
    </xf>
    <xf numFmtId="0" fontId="46" fillId="0" borderId="0" xfId="0" applyFont="1" applyAlignment="1">
      <alignment horizontal="left" vertical="center"/>
    </xf>
    <xf numFmtId="0" fontId="46" fillId="2" borderId="0" xfId="0" applyFont="1" applyFill="1" applyAlignment="1">
      <alignment horizontal="left" vertical="center"/>
    </xf>
    <xf numFmtId="0" fontId="46" fillId="2" borderId="0" xfId="0" applyFont="1" applyFill="1" applyAlignment="1">
      <alignment vertical="center"/>
    </xf>
    <xf numFmtId="0" fontId="46" fillId="2" borderId="0" xfId="0" applyFont="1" applyFill="1" applyAlignment="1">
      <alignment horizontal="center" vertical="center"/>
    </xf>
    <xf numFmtId="0" fontId="46" fillId="2" borderId="1" xfId="0" applyFont="1" applyFill="1" applyBorder="1" applyAlignment="1">
      <alignment vertical="center"/>
    </xf>
    <xf numFmtId="1" fontId="46" fillId="2" borderId="0" xfId="0" applyNumberFormat="1" applyFont="1" applyFill="1" applyAlignment="1">
      <alignment horizontal="center" vertical="center"/>
    </xf>
    <xf numFmtId="0" fontId="47" fillId="2" borderId="0" xfId="0" applyFont="1" applyFill="1" applyAlignment="1">
      <alignment vertical="center"/>
    </xf>
    <xf numFmtId="0" fontId="10" fillId="2" borderId="0" xfId="0" applyFont="1" applyFill="1" applyAlignment="1">
      <alignment horizontal="left" vertical="center"/>
    </xf>
    <xf numFmtId="0" fontId="0" fillId="2" borderId="0" xfId="0" quotePrefix="1" applyFill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34" fillId="2" borderId="0" xfId="0" applyFont="1" applyFill="1" applyAlignment="1">
      <alignment horizontal="center" vertical="center"/>
    </xf>
    <xf numFmtId="0" fontId="35" fillId="2" borderId="0" xfId="0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 wrapText="1"/>
    </xf>
    <xf numFmtId="0" fontId="31" fillId="2" borderId="0" xfId="0" applyFont="1" applyFill="1" applyAlignment="1">
      <alignment horizontal="left"/>
    </xf>
    <xf numFmtId="0" fontId="21" fillId="2" borderId="0" xfId="0" quotePrefix="1" applyFont="1" applyFill="1" applyAlignment="1">
      <alignment horizontal="center"/>
    </xf>
    <xf numFmtId="0" fontId="21" fillId="2" borderId="0" xfId="0" applyFont="1" applyFill="1" applyAlignment="1">
      <alignment horizontal="center"/>
    </xf>
    <xf numFmtId="1" fontId="31" fillId="2" borderId="0" xfId="0" applyNumberFormat="1" applyFont="1" applyFill="1" applyAlignment="1">
      <alignment horizontal="left"/>
    </xf>
    <xf numFmtId="0" fontId="31" fillId="2" borderId="0" xfId="0" applyFont="1" applyFill="1"/>
    <xf numFmtId="0" fontId="31" fillId="2" borderId="0" xfId="0" applyFont="1" applyFill="1" applyAlignment="1">
      <alignment horizontal="center"/>
    </xf>
    <xf numFmtId="0" fontId="31" fillId="2" borderId="0" xfId="0" quotePrefix="1" applyFont="1" applyFill="1" applyAlignment="1">
      <alignment horizontal="center"/>
    </xf>
    <xf numFmtId="0" fontId="31" fillId="2" borderId="0" xfId="0" quotePrefix="1" applyFont="1" applyFill="1"/>
    <xf numFmtId="0" fontId="21" fillId="2" borderId="0" xfId="0" applyFont="1" applyFill="1"/>
    <xf numFmtId="0" fontId="21" fillId="2" borderId="0" xfId="0" quotePrefix="1" applyFont="1" applyFill="1"/>
    <xf numFmtId="0" fontId="10" fillId="2" borderId="0" xfId="0" applyFont="1" applyFill="1"/>
    <xf numFmtId="0" fontId="40" fillId="2" borderId="0" xfId="0" applyFont="1" applyFill="1" applyAlignment="1">
      <alignment vertical="center"/>
    </xf>
    <xf numFmtId="0" fontId="40" fillId="2" borderId="0" xfId="0" applyFont="1" applyFill="1" applyAlignment="1">
      <alignment vertical="center" wrapText="1"/>
    </xf>
    <xf numFmtId="0" fontId="41" fillId="2" borderId="0" xfId="5" applyFont="1" applyFill="1" applyAlignment="1">
      <alignment horizontal="left" vertical="center"/>
    </xf>
    <xf numFmtId="0" fontId="40" fillId="2" borderId="0" xfId="0" applyFont="1" applyFill="1" applyAlignment="1">
      <alignment horizontal="center" vertical="center" wrapText="1"/>
    </xf>
    <xf numFmtId="0" fontId="40" fillId="2" borderId="0" xfId="0" applyFont="1" applyFill="1" applyAlignment="1">
      <alignment horizontal="center" vertical="center"/>
    </xf>
    <xf numFmtId="0" fontId="40" fillId="2" borderId="0" xfId="0" quotePrefix="1" applyFont="1" applyFill="1" applyAlignment="1">
      <alignment horizontal="center" vertical="center" wrapText="1"/>
    </xf>
    <xf numFmtId="0" fontId="42" fillId="2" borderId="0" xfId="0" applyFont="1" applyFill="1" applyAlignment="1">
      <alignment horizontal="center" vertical="center"/>
    </xf>
    <xf numFmtId="0" fontId="0" fillId="2" borderId="1" xfId="0" quotePrefix="1" applyFill="1" applyBorder="1" applyAlignment="1">
      <alignment vertical="center"/>
    </xf>
    <xf numFmtId="0" fontId="40" fillId="2" borderId="0" xfId="0" quotePrefix="1" applyFont="1" applyFill="1" applyAlignment="1">
      <alignment horizontal="center" vertical="center"/>
    </xf>
    <xf numFmtId="0" fontId="31" fillId="2" borderId="0" xfId="0" quotePrefix="1" applyFont="1" applyFill="1" applyAlignment="1">
      <alignment horizontal="center" vertical="center" wrapText="1"/>
    </xf>
    <xf numFmtId="0" fontId="8" fillId="2" borderId="0" xfId="0" applyFont="1" applyFill="1" applyAlignment="1">
      <alignment horizontal="center"/>
    </xf>
    <xf numFmtId="0" fontId="47" fillId="2" borderId="0" xfId="8" applyFont="1" applyFill="1" applyAlignment="1">
      <alignment horizontal="center"/>
    </xf>
    <xf numFmtId="165" fontId="47" fillId="2" borderId="0" xfId="9" applyFont="1" applyFill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29" fillId="2" borderId="0" xfId="0" applyFont="1" applyFill="1"/>
    <xf numFmtId="0" fontId="0" fillId="2" borderId="0" xfId="0" applyFill="1" applyAlignment="1">
      <alignment vertical="top"/>
    </xf>
    <xf numFmtId="0" fontId="31" fillId="2" borderId="0" xfId="0" quotePrefix="1" applyFont="1" applyFill="1" applyAlignment="1">
      <alignment horizontal="center" vertical="center"/>
    </xf>
    <xf numFmtId="0" fontId="31" fillId="2" borderId="0" xfId="0" applyFont="1" applyFill="1" applyAlignment="1">
      <alignment horizontal="center" vertical="center"/>
    </xf>
    <xf numFmtId="0" fontId="31" fillId="2" borderId="0" xfId="0" applyFont="1" applyFill="1" applyAlignment="1">
      <alignment horizontal="left" vertical="center"/>
    </xf>
    <xf numFmtId="0" fontId="31" fillId="2" borderId="0" xfId="0" applyFont="1" applyFill="1" applyAlignment="1">
      <alignment vertical="center"/>
    </xf>
    <xf numFmtId="1" fontId="31" fillId="2" borderId="0" xfId="0" applyNumberFormat="1" applyFont="1" applyFill="1" applyAlignment="1">
      <alignment horizontal="left" vertical="center"/>
    </xf>
    <xf numFmtId="1" fontId="31" fillId="2" borderId="0" xfId="0" applyNumberFormat="1" applyFont="1" applyFill="1" applyAlignment="1">
      <alignment horizontal="center" vertical="center"/>
    </xf>
    <xf numFmtId="0" fontId="31" fillId="2" borderId="0" xfId="0" quotePrefix="1" applyFont="1" applyFill="1" applyAlignment="1">
      <alignment vertical="center"/>
    </xf>
    <xf numFmtId="0" fontId="21" fillId="2" borderId="0" xfId="0" applyFont="1" applyFill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1" fillId="2" borderId="0" xfId="0" quotePrefix="1" applyFont="1" applyFill="1" applyAlignment="1">
      <alignment horizontal="center" vertical="center" wrapText="1"/>
    </xf>
    <xf numFmtId="1" fontId="31" fillId="2" borderId="0" xfId="0" quotePrefix="1" applyNumberFormat="1" applyFont="1" applyFill="1" applyAlignment="1">
      <alignment horizontal="center" vertical="center"/>
    </xf>
    <xf numFmtId="0" fontId="47" fillId="2" borderId="0" xfId="0" applyFont="1" applyFill="1" applyAlignment="1">
      <alignment horizontal="center" vertical="center"/>
    </xf>
    <xf numFmtId="0" fontId="46" fillId="0" borderId="1" xfId="0" quotePrefix="1" applyFont="1" applyBorder="1" applyAlignment="1">
      <alignment horizontal="left" vertical="center" wrapText="1"/>
    </xf>
    <xf numFmtId="0" fontId="46" fillId="0" borderId="1" xfId="0" applyFont="1" applyBorder="1" applyAlignment="1">
      <alignment horizontal="left" vertical="center" wrapText="1"/>
    </xf>
    <xf numFmtId="0" fontId="46" fillId="34" borderId="1" xfId="0" applyFont="1" applyFill="1" applyBorder="1" applyAlignment="1">
      <alignment horizontal="center" vertical="center"/>
    </xf>
    <xf numFmtId="1" fontId="46" fillId="0" borderId="1" xfId="0" applyNumberFormat="1" applyFont="1" applyBorder="1" applyAlignment="1">
      <alignment horizontal="center" vertical="center" wrapText="1"/>
    </xf>
    <xf numFmtId="0" fontId="46" fillId="34" borderId="1" xfId="0" applyFont="1" applyFill="1" applyBorder="1" applyAlignment="1">
      <alignment horizontal="center" vertical="center" wrapText="1"/>
    </xf>
    <xf numFmtId="0" fontId="49" fillId="2" borderId="0" xfId="0" applyFont="1" applyFill="1" applyAlignment="1">
      <alignment vertical="center"/>
    </xf>
    <xf numFmtId="0" fontId="49" fillId="2" borderId="0" xfId="0" applyFont="1" applyFill="1" applyAlignment="1">
      <alignment horizontal="center" vertical="center"/>
    </xf>
    <xf numFmtId="0" fontId="46" fillId="2" borderId="0" xfId="0" applyFont="1" applyFill="1" applyAlignment="1">
      <alignment horizontal="center" vertical="center" wrapText="1"/>
    </xf>
    <xf numFmtId="0" fontId="51" fillId="2" borderId="0" xfId="0" applyFont="1" applyFill="1" applyAlignment="1">
      <alignment horizontal="center" vertical="center"/>
    </xf>
    <xf numFmtId="0" fontId="27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top"/>
    </xf>
    <xf numFmtId="0" fontId="8" fillId="2" borderId="0" xfId="0" applyFont="1" applyFill="1" applyAlignment="1">
      <alignment vertical="center"/>
    </xf>
    <xf numFmtId="0" fontId="27" fillId="2" borderId="0" xfId="0" applyFont="1" applyFill="1"/>
    <xf numFmtId="0" fontId="31" fillId="51" borderId="0" xfId="0" applyFont="1" applyFill="1" applyAlignment="1">
      <alignment horizontal="left"/>
    </xf>
    <xf numFmtId="0" fontId="21" fillId="51" borderId="0" xfId="0" quotePrefix="1" applyFont="1" applyFill="1" applyAlignment="1">
      <alignment horizontal="center"/>
    </xf>
    <xf numFmtId="0" fontId="21" fillId="51" borderId="0" xfId="0" applyFont="1" applyFill="1" applyAlignment="1">
      <alignment horizontal="center"/>
    </xf>
    <xf numFmtId="0" fontId="8" fillId="51" borderId="0" xfId="0" applyFont="1" applyFill="1"/>
    <xf numFmtId="0" fontId="31" fillId="51" borderId="0" xfId="0" applyFont="1" applyFill="1"/>
    <xf numFmtId="0" fontId="31" fillId="51" borderId="0" xfId="0" quotePrefix="1" applyFont="1" applyFill="1" applyAlignment="1">
      <alignment horizontal="center" vertical="center" wrapText="1"/>
    </xf>
    <xf numFmtId="1" fontId="31" fillId="51" borderId="0" xfId="0" applyNumberFormat="1" applyFont="1" applyFill="1" applyAlignment="1">
      <alignment horizontal="left"/>
    </xf>
    <xf numFmtId="0" fontId="31" fillId="51" borderId="0" xfId="0" applyFont="1" applyFill="1" applyAlignment="1">
      <alignment horizontal="center"/>
    </xf>
    <xf numFmtId="0" fontId="31" fillId="51" borderId="0" xfId="0" quotePrefix="1" applyFont="1" applyFill="1" applyAlignment="1">
      <alignment horizontal="center"/>
    </xf>
    <xf numFmtId="0" fontId="31" fillId="51" borderId="0" xfId="0" quotePrefix="1" applyFont="1" applyFill="1"/>
    <xf numFmtId="0" fontId="21" fillId="51" borderId="0" xfId="0" applyFont="1" applyFill="1"/>
    <xf numFmtId="0" fontId="21" fillId="51" borderId="0" xfId="0" quotePrefix="1" applyFont="1" applyFill="1"/>
    <xf numFmtId="0" fontId="6" fillId="2" borderId="0" xfId="2" applyFill="1"/>
    <xf numFmtId="0" fontId="18" fillId="2" borderId="0" xfId="0" applyFont="1" applyFill="1"/>
    <xf numFmtId="0" fontId="8" fillId="2" borderId="0" xfId="0" applyFont="1" applyFill="1" applyAlignment="1">
      <alignment horizontal="center" vertical="top" wrapText="1"/>
    </xf>
    <xf numFmtId="0" fontId="8" fillId="2" borderId="0" xfId="0" applyFont="1" applyFill="1" applyAlignment="1">
      <alignment horizontal="center" vertical="center" wrapText="1"/>
    </xf>
    <xf numFmtId="0" fontId="20" fillId="2" borderId="0" xfId="0" applyFont="1" applyFill="1" applyAlignment="1">
      <alignment horizontal="center" vertical="center"/>
    </xf>
    <xf numFmtId="0" fontId="27" fillId="2" borderId="0" xfId="0" applyFont="1" applyFill="1" applyAlignment="1">
      <alignment vertical="center"/>
    </xf>
    <xf numFmtId="0" fontId="21" fillId="2" borderId="0" xfId="0" applyFont="1" applyFill="1" applyAlignment="1">
      <alignment horizontal="left" vertical="center"/>
    </xf>
    <xf numFmtId="0" fontId="21" fillId="2" borderId="0" xfId="0" quotePrefix="1" applyFont="1" applyFill="1" applyAlignment="1">
      <alignment horizontal="center" vertical="center"/>
    </xf>
    <xf numFmtId="0" fontId="21" fillId="2" borderId="0" xfId="0" applyFont="1" applyFill="1" applyAlignment="1">
      <alignment vertical="center"/>
    </xf>
    <xf numFmtId="0" fontId="23" fillId="2" borderId="0" xfId="0" applyFont="1" applyFill="1" applyAlignment="1">
      <alignment vertical="center"/>
    </xf>
    <xf numFmtId="1" fontId="21" fillId="2" borderId="0" xfId="0" applyNumberFormat="1" applyFont="1" applyFill="1" applyAlignment="1">
      <alignment horizontal="left" vertical="center"/>
    </xf>
    <xf numFmtId="0" fontId="21" fillId="2" borderId="0" xfId="0" quotePrefix="1" applyFont="1" applyFill="1" applyAlignment="1">
      <alignment vertical="center"/>
    </xf>
    <xf numFmtId="1" fontId="21" fillId="2" borderId="0" xfId="0" applyNumberFormat="1" applyFont="1" applyFill="1" applyAlignment="1">
      <alignment horizontal="center" vertical="center"/>
    </xf>
    <xf numFmtId="0" fontId="25" fillId="51" borderId="0" xfId="0" applyFont="1" applyFill="1" applyAlignment="1">
      <alignment horizontal="center" vertical="center"/>
    </xf>
    <xf numFmtId="0" fontId="14" fillId="16" borderId="1" xfId="0" quotePrefix="1" applyFont="1" applyFill="1" applyBorder="1" applyAlignment="1">
      <alignment horizontal="center" vertical="center"/>
    </xf>
    <xf numFmtId="0" fontId="14" fillId="44" borderId="1" xfId="0" quotePrefix="1" applyFont="1" applyFill="1" applyBorder="1" applyAlignment="1">
      <alignment horizontal="center" vertical="center"/>
    </xf>
    <xf numFmtId="0" fontId="14" fillId="31" borderId="1" xfId="0" quotePrefix="1" applyFont="1" applyFill="1" applyBorder="1" applyAlignment="1">
      <alignment horizontal="center" vertical="center"/>
    </xf>
    <xf numFmtId="0" fontId="14" fillId="52" borderId="1" xfId="0" quotePrefix="1" applyFont="1" applyFill="1" applyBorder="1" applyAlignment="1">
      <alignment horizontal="center" vertical="center"/>
    </xf>
    <xf numFmtId="0" fontId="9" fillId="2" borderId="9" xfId="0" applyFont="1" applyFill="1" applyBorder="1" applyAlignment="1">
      <alignment vertical="center"/>
    </xf>
    <xf numFmtId="0" fontId="0" fillId="13" borderId="1" xfId="0" quotePrefix="1" applyFill="1" applyBorder="1" applyAlignment="1">
      <alignment horizontal="center" vertical="center"/>
    </xf>
    <xf numFmtId="0" fontId="0" fillId="2" borderId="1" xfId="0" quotePrefix="1" applyFill="1" applyBorder="1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17" fillId="13" borderId="0" xfId="0" quotePrefix="1" applyFont="1" applyFill="1" applyAlignment="1">
      <alignment horizontal="center" vertical="center"/>
    </xf>
    <xf numFmtId="0" fontId="36" fillId="25" borderId="0" xfId="0" applyFont="1" applyFill="1" applyAlignment="1">
      <alignment horizontal="center" vertical="center"/>
    </xf>
    <xf numFmtId="0" fontId="36" fillId="24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quotePrefix="1" applyFill="1" applyAlignment="1">
      <alignment horizontal="center"/>
    </xf>
    <xf numFmtId="49" fontId="0" fillId="2" borderId="0" xfId="0" applyNumberFormat="1" applyFill="1" applyAlignment="1">
      <alignment horizontal="center"/>
    </xf>
    <xf numFmtId="49" fontId="0" fillId="4" borderId="0" xfId="0" quotePrefix="1" applyNumberFormat="1" applyFill="1" applyAlignment="1">
      <alignment horizontal="center"/>
    </xf>
    <xf numFmtId="0" fontId="0" fillId="4" borderId="0" xfId="0" applyFill="1" applyAlignment="1">
      <alignment horizontal="left"/>
    </xf>
    <xf numFmtId="49" fontId="0" fillId="2" borderId="0" xfId="0" quotePrefix="1" applyNumberFormat="1" applyFill="1" applyAlignment="1">
      <alignment horizontal="center"/>
    </xf>
    <xf numFmtId="0" fontId="0" fillId="24" borderId="0" xfId="0" applyFill="1"/>
    <xf numFmtId="0" fontId="52" fillId="24" borderId="0" xfId="0" applyFont="1" applyFill="1" applyAlignment="1">
      <alignment horizontal="center" vertical="center"/>
    </xf>
    <xf numFmtId="0" fontId="14" fillId="9" borderId="1" xfId="0" quotePrefix="1" applyFont="1" applyFill="1" applyBorder="1" applyAlignment="1">
      <alignment horizontal="left" vertical="center"/>
    </xf>
    <xf numFmtId="0" fontId="53" fillId="4" borderId="1" xfId="0" applyFont="1" applyFill="1" applyBorder="1" applyAlignment="1">
      <alignment horizontal="center" vertical="center"/>
    </xf>
    <xf numFmtId="2" fontId="54" fillId="0" borderId="0" xfId="0" applyNumberFormat="1" applyFont="1" applyAlignment="1">
      <alignment horizontal="left" vertical="center"/>
    </xf>
    <xf numFmtId="166" fontId="14" fillId="9" borderId="1" xfId="1" quotePrefix="1" applyNumberFormat="1" applyFont="1" applyFill="1" applyBorder="1" applyAlignment="1">
      <alignment horizontal="center" vertical="center"/>
    </xf>
    <xf numFmtId="0" fontId="55" fillId="44" borderId="1" xfId="0" applyFont="1" applyFill="1" applyBorder="1" applyAlignment="1">
      <alignment horizontal="center" vertical="center"/>
    </xf>
    <xf numFmtId="0" fontId="55" fillId="9" borderId="1" xfId="0" applyFont="1" applyFill="1" applyBorder="1" applyAlignment="1">
      <alignment horizontal="center" vertical="center"/>
    </xf>
    <xf numFmtId="0" fontId="34" fillId="0" borderId="1" xfId="0" applyFont="1" applyBorder="1" applyAlignment="1">
      <alignment vertical="center"/>
    </xf>
    <xf numFmtId="0" fontId="14" fillId="53" borderId="1" xfId="0" quotePrefix="1" applyFont="1" applyFill="1" applyBorder="1" applyAlignment="1">
      <alignment horizontal="center" vertical="center"/>
    </xf>
    <xf numFmtId="0" fontId="0" fillId="53" borderId="1" xfId="0" applyFill="1" applyBorder="1" applyAlignment="1">
      <alignment vertical="center"/>
    </xf>
    <xf numFmtId="0" fontId="14" fillId="34" borderId="1" xfId="0" quotePrefix="1" applyFont="1" applyFill="1" applyBorder="1" applyAlignment="1">
      <alignment horizontal="center" vertical="center"/>
    </xf>
    <xf numFmtId="0" fontId="9" fillId="34" borderId="1" xfId="0" applyFont="1" applyFill="1" applyBorder="1" applyAlignment="1">
      <alignment vertical="center"/>
    </xf>
    <xf numFmtId="0" fontId="14" fillId="34" borderId="1" xfId="0" quotePrefix="1" applyFont="1" applyFill="1" applyBorder="1" applyAlignment="1">
      <alignment horizontal="left" vertical="center"/>
    </xf>
    <xf numFmtId="0" fontId="0" fillId="4" borderId="0" xfId="0" applyFill="1" applyAlignment="1">
      <alignment horizontal="center"/>
    </xf>
    <xf numFmtId="0" fontId="0" fillId="4" borderId="0" xfId="0" applyFill="1"/>
    <xf numFmtId="0" fontId="49" fillId="18" borderId="5" xfId="0" applyFont="1" applyFill="1" applyBorder="1" applyAlignment="1">
      <alignment horizontal="left" vertical="center"/>
    </xf>
    <xf numFmtId="0" fontId="36" fillId="25" borderId="0" xfId="0" applyFont="1" applyFill="1" applyAlignment="1">
      <alignment horizontal="left" vertical="center"/>
    </xf>
    <xf numFmtId="0" fontId="36" fillId="44" borderId="0" xfId="0" applyFont="1" applyFill="1" applyAlignment="1">
      <alignment horizontal="center" vertical="center"/>
    </xf>
    <xf numFmtId="0" fontId="36" fillId="44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left" vertical="top"/>
    </xf>
    <xf numFmtId="49" fontId="36" fillId="44" borderId="0" xfId="0" applyNumberFormat="1" applyFont="1" applyFill="1" applyAlignment="1">
      <alignment horizontal="center" vertical="center"/>
    </xf>
    <xf numFmtId="49" fontId="0" fillId="44" borderId="0" xfId="0" applyNumberFormat="1" applyFill="1" applyAlignment="1">
      <alignment horizontal="center"/>
    </xf>
    <xf numFmtId="0" fontId="0" fillId="44" borderId="0" xfId="0" applyFill="1" applyAlignment="1">
      <alignment horizontal="center"/>
    </xf>
    <xf numFmtId="49" fontId="36" fillId="44" borderId="0" xfId="0" applyNumberFormat="1" applyFont="1" applyFill="1" applyAlignment="1">
      <alignment horizontal="center" vertical="center" wrapText="1"/>
    </xf>
    <xf numFmtId="49" fontId="36" fillId="53" borderId="0" xfId="0" applyNumberFormat="1" applyFont="1" applyFill="1" applyAlignment="1">
      <alignment horizontal="center" vertical="center"/>
    </xf>
    <xf numFmtId="0" fontId="36" fillId="53" borderId="0" xfId="0" applyFont="1" applyFill="1" applyAlignment="1">
      <alignment horizontal="center" vertical="center"/>
    </xf>
    <xf numFmtId="49" fontId="36" fillId="54" borderId="0" xfId="0" applyNumberFormat="1" applyFont="1" applyFill="1" applyAlignment="1">
      <alignment horizontal="center" vertical="center"/>
    </xf>
    <xf numFmtId="0" fontId="36" fillId="54" borderId="0" xfId="0" applyFont="1" applyFill="1" applyAlignment="1">
      <alignment horizontal="center" vertical="center"/>
    </xf>
    <xf numFmtId="0" fontId="6" fillId="2" borderId="0" xfId="2" applyFill="1" applyAlignment="1">
      <alignment horizontal="center" vertical="center"/>
    </xf>
    <xf numFmtId="0" fontId="18" fillId="3" borderId="2" xfId="0" applyFont="1" applyFill="1" applyBorder="1" applyAlignment="1">
      <alignment horizontal="left"/>
    </xf>
    <xf numFmtId="0" fontId="18" fillId="3" borderId="4" xfId="0" applyFont="1" applyFill="1" applyBorder="1" applyAlignment="1">
      <alignment horizontal="left"/>
    </xf>
    <xf numFmtId="0" fontId="17" fillId="15" borderId="9" xfId="0" applyFont="1" applyFill="1" applyBorder="1" applyAlignment="1">
      <alignment horizontal="left" vertical="center" wrapText="1"/>
    </xf>
    <xf numFmtId="0" fontId="17" fillId="15" borderId="12" xfId="0" applyFont="1" applyFill="1" applyBorder="1" applyAlignment="1">
      <alignment horizontal="left" vertical="center" wrapText="1"/>
    </xf>
    <xf numFmtId="0" fontId="18" fillId="16" borderId="5" xfId="0" applyFont="1" applyFill="1" applyBorder="1" applyAlignment="1">
      <alignment horizontal="left"/>
    </xf>
    <xf numFmtId="0" fontId="18" fillId="16" borderId="7" xfId="0" applyFont="1" applyFill="1" applyBorder="1" applyAlignment="1">
      <alignment horizontal="left"/>
    </xf>
    <xf numFmtId="0" fontId="18" fillId="17" borderId="1" xfId="0" applyFont="1" applyFill="1" applyBorder="1" applyAlignment="1">
      <alignment horizontal="left"/>
    </xf>
    <xf numFmtId="0" fontId="18" fillId="19" borderId="2" xfId="0" applyFont="1" applyFill="1" applyBorder="1" applyAlignment="1">
      <alignment horizontal="left"/>
    </xf>
    <xf numFmtId="0" fontId="18" fillId="19" borderId="4" xfId="0" applyFont="1" applyFill="1" applyBorder="1" applyAlignment="1">
      <alignment horizontal="left"/>
    </xf>
    <xf numFmtId="0" fontId="18" fillId="19" borderId="10" xfId="0" applyFont="1" applyFill="1" applyBorder="1" applyAlignment="1">
      <alignment horizontal="left"/>
    </xf>
    <xf numFmtId="0" fontId="18" fillId="19" borderId="11" xfId="0" applyFont="1" applyFill="1" applyBorder="1" applyAlignment="1">
      <alignment horizontal="left"/>
    </xf>
    <xf numFmtId="0" fontId="18" fillId="19" borderId="12" xfId="0" applyFont="1" applyFill="1" applyBorder="1" applyAlignment="1">
      <alignment horizontal="left"/>
    </xf>
    <xf numFmtId="0" fontId="18" fillId="19" borderId="2" xfId="0" applyFont="1" applyFill="1" applyBorder="1" applyAlignment="1">
      <alignment horizontal="left" wrapText="1"/>
    </xf>
    <xf numFmtId="0" fontId="18" fillId="19" borderId="4" xfId="0" applyFont="1" applyFill="1" applyBorder="1" applyAlignment="1">
      <alignment horizontal="left" wrapText="1"/>
    </xf>
    <xf numFmtId="0" fontId="18" fillId="4" borderId="10" xfId="0" applyFont="1" applyFill="1" applyBorder="1" applyAlignment="1">
      <alignment horizontal="left" vertical="top" wrapText="1"/>
    </xf>
    <xf numFmtId="0" fontId="18" fillId="4" borderId="11" xfId="0" applyFont="1" applyFill="1" applyBorder="1" applyAlignment="1">
      <alignment horizontal="left" vertical="top" wrapText="1"/>
    </xf>
    <xf numFmtId="0" fontId="18" fillId="20" borderId="2" xfId="0" applyFont="1" applyFill="1" applyBorder="1" applyAlignment="1">
      <alignment horizontal="left"/>
    </xf>
    <xf numFmtId="0" fontId="18" fillId="20" borderId="4" xfId="0" applyFont="1" applyFill="1" applyBorder="1" applyAlignment="1">
      <alignment horizontal="left"/>
    </xf>
    <xf numFmtId="0" fontId="17" fillId="15" borderId="9" xfId="0" applyFont="1" applyFill="1" applyBorder="1" applyAlignment="1">
      <alignment horizontal="center" vertical="center" wrapText="1"/>
    </xf>
    <xf numFmtId="0" fontId="17" fillId="15" borderId="12" xfId="0" applyFont="1" applyFill="1" applyBorder="1" applyAlignment="1">
      <alignment horizontal="center" vertical="center" wrapText="1"/>
    </xf>
    <xf numFmtId="0" fontId="18" fillId="39" borderId="5" xfId="0" applyFont="1" applyFill="1" applyBorder="1" applyAlignment="1">
      <alignment horizontal="center" vertical="center" wrapText="1"/>
    </xf>
    <xf numFmtId="0" fontId="18" fillId="39" borderId="7" xfId="0" applyFont="1" applyFill="1" applyBorder="1" applyAlignment="1">
      <alignment horizontal="center" vertical="center" wrapText="1"/>
    </xf>
    <xf numFmtId="0" fontId="18" fillId="39" borderId="10" xfId="0" applyFont="1" applyFill="1" applyBorder="1" applyAlignment="1">
      <alignment horizontal="center" vertical="center" wrapText="1"/>
    </xf>
    <xf numFmtId="0" fontId="18" fillId="39" borderId="12" xfId="0" applyFont="1" applyFill="1" applyBorder="1" applyAlignment="1">
      <alignment horizontal="center" vertical="center" wrapText="1"/>
    </xf>
    <xf numFmtId="0" fontId="18" fillId="4" borderId="1" xfId="0" applyFont="1" applyFill="1" applyBorder="1" applyAlignment="1">
      <alignment horizontal="center" vertical="center" wrapText="1"/>
    </xf>
    <xf numFmtId="0" fontId="18" fillId="40" borderId="2" xfId="0" applyFont="1" applyFill="1" applyBorder="1" applyAlignment="1">
      <alignment horizontal="center" vertical="center" wrapText="1"/>
    </xf>
    <xf numFmtId="0" fontId="18" fillId="40" borderId="3" xfId="0" applyFont="1" applyFill="1" applyBorder="1" applyAlignment="1">
      <alignment horizontal="center" vertical="center" wrapText="1"/>
    </xf>
    <xf numFmtId="0" fontId="18" fillId="40" borderId="4" xfId="0" applyFont="1" applyFill="1" applyBorder="1" applyAlignment="1">
      <alignment horizontal="center" vertical="center" wrapText="1"/>
    </xf>
    <xf numFmtId="0" fontId="18" fillId="35" borderId="2" xfId="0" applyFont="1" applyFill="1" applyBorder="1" applyAlignment="1">
      <alignment horizontal="center" vertical="center" wrapText="1"/>
    </xf>
    <xf numFmtId="0" fontId="18" fillId="35" borderId="3" xfId="0" applyFont="1" applyFill="1" applyBorder="1" applyAlignment="1">
      <alignment horizontal="center" vertical="center" wrapText="1"/>
    </xf>
    <xf numFmtId="0" fontId="18" fillId="35" borderId="4" xfId="0" applyFont="1" applyFill="1" applyBorder="1" applyAlignment="1">
      <alignment horizontal="center" vertical="center" wrapText="1"/>
    </xf>
    <xf numFmtId="0" fontId="18" fillId="14" borderId="2" xfId="0" applyFont="1" applyFill="1" applyBorder="1" applyAlignment="1">
      <alignment horizontal="center" vertical="center"/>
    </xf>
    <xf numFmtId="0" fontId="18" fillId="14" borderId="4" xfId="0" applyFont="1" applyFill="1" applyBorder="1" applyAlignment="1">
      <alignment horizontal="center" vertical="center"/>
    </xf>
    <xf numFmtId="0" fontId="6" fillId="0" borderId="2" xfId="2" applyBorder="1" applyAlignment="1">
      <alignment horizontal="center" vertical="center" wrapText="1"/>
    </xf>
    <xf numFmtId="0" fontId="6" fillId="0" borderId="4" xfId="2" applyBorder="1" applyAlignment="1">
      <alignment horizontal="center" vertical="center" wrapText="1"/>
    </xf>
    <xf numFmtId="0" fontId="18" fillId="34" borderId="8" xfId="0" applyFont="1" applyFill="1" applyBorder="1" applyAlignment="1">
      <alignment horizontal="center" vertical="center" wrapText="1"/>
    </xf>
    <xf numFmtId="0" fontId="18" fillId="34" borderId="0" xfId="0" applyFont="1" applyFill="1" applyAlignment="1">
      <alignment horizontal="center" vertical="center" wrapText="1"/>
    </xf>
    <xf numFmtId="0" fontId="18" fillId="18" borderId="0" xfId="0" applyFont="1" applyFill="1" applyAlignment="1">
      <alignment horizontal="center" vertical="center" wrapText="1"/>
    </xf>
    <xf numFmtId="0" fontId="18" fillId="40" borderId="1" xfId="0" applyFont="1" applyFill="1" applyBorder="1" applyAlignment="1">
      <alignment horizontal="center" vertical="center" wrapText="1"/>
    </xf>
    <xf numFmtId="0" fontId="18" fillId="42" borderId="2" xfId="0" applyFont="1" applyFill="1" applyBorder="1" applyAlignment="1">
      <alignment horizontal="center" vertical="center" wrapText="1"/>
    </xf>
    <xf numFmtId="0" fontId="18" fillId="42" borderId="3" xfId="0" applyFont="1" applyFill="1" applyBorder="1" applyAlignment="1">
      <alignment horizontal="center" vertical="center" wrapText="1"/>
    </xf>
    <xf numFmtId="0" fontId="18" fillId="42" borderId="4" xfId="0" applyFont="1" applyFill="1" applyBorder="1" applyAlignment="1">
      <alignment horizontal="center" vertical="center" wrapText="1"/>
    </xf>
    <xf numFmtId="0" fontId="18" fillId="43" borderId="1" xfId="0" applyFont="1" applyFill="1" applyBorder="1" applyAlignment="1">
      <alignment horizontal="center" vertical="center" wrapText="1"/>
    </xf>
    <xf numFmtId="0" fontId="18" fillId="41" borderId="1" xfId="0" applyFont="1" applyFill="1" applyBorder="1" applyAlignment="1">
      <alignment horizontal="center" vertical="center" wrapText="1"/>
    </xf>
    <xf numFmtId="0" fontId="18" fillId="14" borderId="1" xfId="0" applyFont="1" applyFill="1" applyBorder="1" applyAlignment="1">
      <alignment horizontal="center" vertical="center"/>
    </xf>
    <xf numFmtId="0" fontId="19" fillId="3" borderId="17" xfId="0" applyFont="1" applyFill="1" applyBorder="1" applyAlignment="1">
      <alignment horizontal="center" vertical="center" wrapText="1"/>
    </xf>
    <xf numFmtId="0" fontId="19" fillId="3" borderId="16" xfId="0" applyFont="1" applyFill="1" applyBorder="1" applyAlignment="1">
      <alignment horizontal="center" vertical="center" wrapText="1"/>
    </xf>
    <xf numFmtId="0" fontId="28" fillId="17" borderId="18" xfId="0" applyFont="1" applyFill="1" applyBorder="1" applyAlignment="1">
      <alignment horizontal="left"/>
    </xf>
    <xf numFmtId="0" fontId="28" fillId="17" borderId="19" xfId="0" applyFont="1" applyFill="1" applyBorder="1" applyAlignment="1">
      <alignment horizontal="left"/>
    </xf>
    <xf numFmtId="0" fontId="28" fillId="17" borderId="20" xfId="0" applyFont="1" applyFill="1" applyBorder="1" applyAlignment="1">
      <alignment horizontal="left"/>
    </xf>
    <xf numFmtId="0" fontId="48" fillId="15" borderId="9" xfId="0" applyFont="1" applyFill="1" applyBorder="1" applyAlignment="1">
      <alignment horizontal="left" vertical="center" wrapText="1"/>
    </xf>
    <xf numFmtId="0" fontId="48" fillId="15" borderId="12" xfId="0" applyFont="1" applyFill="1" applyBorder="1" applyAlignment="1">
      <alignment horizontal="left" vertical="center" wrapText="1"/>
    </xf>
    <xf numFmtId="0" fontId="49" fillId="16" borderId="5" xfId="0" applyFont="1" applyFill="1" applyBorder="1" applyAlignment="1">
      <alignment horizontal="left" vertical="center"/>
    </xf>
    <xf numFmtId="0" fontId="49" fillId="16" borderId="7" xfId="0" applyFont="1" applyFill="1" applyBorder="1" applyAlignment="1">
      <alignment horizontal="left" vertical="center"/>
    </xf>
    <xf numFmtId="0" fontId="49" fillId="17" borderId="1" xfId="0" applyFont="1" applyFill="1" applyBorder="1" applyAlignment="1">
      <alignment horizontal="left" vertical="center"/>
    </xf>
    <xf numFmtId="0" fontId="49" fillId="19" borderId="2" xfId="0" applyFont="1" applyFill="1" applyBorder="1" applyAlignment="1">
      <alignment horizontal="left" vertical="center"/>
    </xf>
    <xf numFmtId="0" fontId="49" fillId="19" borderId="4" xfId="0" applyFont="1" applyFill="1" applyBorder="1" applyAlignment="1">
      <alignment horizontal="left" vertical="center"/>
    </xf>
    <xf numFmtId="0" fontId="49" fillId="19" borderId="2" xfId="0" applyFont="1" applyFill="1" applyBorder="1" applyAlignment="1">
      <alignment horizontal="left" vertical="center" wrapText="1"/>
    </xf>
    <xf numFmtId="0" fontId="49" fillId="19" borderId="4" xfId="0" applyFont="1" applyFill="1" applyBorder="1" applyAlignment="1">
      <alignment horizontal="left" vertical="center" wrapText="1"/>
    </xf>
    <xf numFmtId="0" fontId="49" fillId="20" borderId="2" xfId="0" applyFont="1" applyFill="1" applyBorder="1" applyAlignment="1">
      <alignment horizontal="center" vertical="center"/>
    </xf>
    <xf numFmtId="0" fontId="49" fillId="20" borderId="4" xfId="0" applyFont="1" applyFill="1" applyBorder="1" applyAlignment="1">
      <alignment horizontal="center" vertical="center"/>
    </xf>
    <xf numFmtId="0" fontId="49" fillId="3" borderId="2" xfId="0" applyFont="1" applyFill="1" applyBorder="1" applyAlignment="1">
      <alignment horizontal="left" vertical="center"/>
    </xf>
    <xf numFmtId="0" fontId="49" fillId="3" borderId="4" xfId="0" applyFont="1" applyFill="1" applyBorder="1" applyAlignment="1">
      <alignment horizontal="left" vertical="center"/>
    </xf>
  </cellXfs>
  <cellStyles count="10">
    <cellStyle name="Comma" xfId="1" builtinId="3"/>
    <cellStyle name="Comma 2" xfId="9" xr:uid="{4D286E35-F97F-4F4F-8227-AD7DEC22ADC1}"/>
    <cellStyle name="Hyperlink" xfId="2" builtinId="8"/>
    <cellStyle name="Normal" xfId="0" builtinId="0"/>
    <cellStyle name="Normal 2" xfId="3" xr:uid="{7C5E01C2-FCB2-4787-B2E1-16C37E35FC81}"/>
    <cellStyle name="Normal 3" xfId="4" xr:uid="{BD9748C6-FE5E-4ABA-B2AC-1CE26DFD0C38}"/>
    <cellStyle name="Normal 4" xfId="5" xr:uid="{42F2C1C2-E40F-4F95-8262-A64CCC937966}"/>
    <cellStyle name="Normal 4 2" xfId="7" xr:uid="{E908D44F-1CCB-43BE-A693-7F005FBADAB2}"/>
    <cellStyle name="Normal 5" xfId="8" xr:uid="{8797F265-2B63-4DAF-860C-E6C42E9F831E}"/>
    <cellStyle name="Normal 6" xfId="6" xr:uid="{69BE13EE-8066-4AC9-8366-6E61F6CC8118}"/>
  </cellStyles>
  <dxfs count="68">
    <dxf>
      <font>
        <color rgb="FF9C0006"/>
      </font>
      <fill>
        <patternFill>
          <bgColor rgb="FFFFC7CE"/>
        </patternFill>
      </fill>
    </dxf>
    <dxf>
      <fill>
        <patternFill>
          <bgColor theme="7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-0.499984740745262"/>
        </patternFill>
      </fill>
    </dxf>
  </dxfs>
  <tableStyles count="0" defaultTableStyle="TableStyleMedium2" defaultPivotStyle="PivotStyleLight16"/>
  <colors>
    <mruColors>
      <color rgb="FFD6FE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emf"/><Relationship Id="rId39" Type="http://schemas.openxmlformats.org/officeDocument/2006/relationships/image" Target="../media/image39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1" Type="http://schemas.openxmlformats.org/officeDocument/2006/relationships/image" Target="../media/image21.emf"/><Relationship Id="rId34" Type="http://schemas.openxmlformats.org/officeDocument/2006/relationships/image" Target="../media/image34.emf"/><Relationship Id="rId7" Type="http://schemas.openxmlformats.org/officeDocument/2006/relationships/image" Target="../media/image7.emf"/><Relationship Id="rId29" Type="http://schemas.openxmlformats.org/officeDocument/2006/relationships/image" Target="../media/image29.emf"/><Relationship Id="rId41" Type="http://schemas.openxmlformats.org/officeDocument/2006/relationships/image" Target="../media/image41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37" Type="http://schemas.openxmlformats.org/officeDocument/2006/relationships/image" Target="../media/image37.emf"/><Relationship Id="rId40" Type="http://schemas.openxmlformats.org/officeDocument/2006/relationships/image" Target="../media/image4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36" Type="http://schemas.openxmlformats.org/officeDocument/2006/relationships/image" Target="../media/image36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35" Type="http://schemas.openxmlformats.org/officeDocument/2006/relationships/image" Target="../media/image35.emf"/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38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6</xdr:row>
          <xdr:rowOff>19050</xdr:rowOff>
        </xdr:from>
        <xdr:to>
          <xdr:col>7</xdr:col>
          <xdr:colOff>0</xdr:colOff>
          <xdr:row>6</xdr:row>
          <xdr:rowOff>180975</xdr:rowOff>
        </xdr:to>
        <xdr:sp macro="" textlink="">
          <xdr:nvSpPr>
            <xdr:cNvPr id="2056" name="ComboBox1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9525</xdr:rowOff>
        </xdr:from>
        <xdr:to>
          <xdr:col>7</xdr:col>
          <xdr:colOff>9525</xdr:colOff>
          <xdr:row>7</xdr:row>
          <xdr:rowOff>180975</xdr:rowOff>
        </xdr:to>
        <xdr:sp macro="" textlink="">
          <xdr:nvSpPr>
            <xdr:cNvPr id="2058" name="ComboBox2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15</xdr:row>
          <xdr:rowOff>9525</xdr:rowOff>
        </xdr:from>
        <xdr:to>
          <xdr:col>6</xdr:col>
          <xdr:colOff>2600325</xdr:colOff>
          <xdr:row>15</xdr:row>
          <xdr:rowOff>238125</xdr:rowOff>
        </xdr:to>
        <xdr:sp macro="" textlink="">
          <xdr:nvSpPr>
            <xdr:cNvPr id="2059" name="ComboBox3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23</xdr:row>
          <xdr:rowOff>9525</xdr:rowOff>
        </xdr:from>
        <xdr:to>
          <xdr:col>11</xdr:col>
          <xdr:colOff>0</xdr:colOff>
          <xdr:row>23</xdr:row>
          <xdr:rowOff>238125</xdr:rowOff>
        </xdr:to>
        <xdr:sp macro="" textlink="">
          <xdr:nvSpPr>
            <xdr:cNvPr id="2061" name="ComboBox4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23</xdr:row>
          <xdr:rowOff>9525</xdr:rowOff>
        </xdr:from>
        <xdr:to>
          <xdr:col>16</xdr:col>
          <xdr:colOff>9525</xdr:colOff>
          <xdr:row>24</xdr:row>
          <xdr:rowOff>0</xdr:rowOff>
        </xdr:to>
        <xdr:sp macro="" textlink="">
          <xdr:nvSpPr>
            <xdr:cNvPr id="2062" name="ComboBox5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27</xdr:row>
          <xdr:rowOff>9525</xdr:rowOff>
        </xdr:from>
        <xdr:to>
          <xdr:col>20</xdr:col>
          <xdr:colOff>2286000</xdr:colOff>
          <xdr:row>28</xdr:row>
          <xdr:rowOff>0</xdr:rowOff>
        </xdr:to>
        <xdr:sp macro="" textlink="">
          <xdr:nvSpPr>
            <xdr:cNvPr id="2063" name="ComboBox6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27</xdr:row>
          <xdr:rowOff>9525</xdr:rowOff>
        </xdr:from>
        <xdr:to>
          <xdr:col>25</xdr:col>
          <xdr:colOff>9525</xdr:colOff>
          <xdr:row>28</xdr:row>
          <xdr:rowOff>0</xdr:rowOff>
        </xdr:to>
        <xdr:sp macro="" textlink="">
          <xdr:nvSpPr>
            <xdr:cNvPr id="2064" name="ComboBox7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33</xdr:row>
          <xdr:rowOff>9525</xdr:rowOff>
        </xdr:from>
        <xdr:to>
          <xdr:col>11</xdr:col>
          <xdr:colOff>9525</xdr:colOff>
          <xdr:row>34</xdr:row>
          <xdr:rowOff>0</xdr:rowOff>
        </xdr:to>
        <xdr:sp macro="" textlink="">
          <xdr:nvSpPr>
            <xdr:cNvPr id="2065" name="ComboBox8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34</xdr:row>
          <xdr:rowOff>9525</xdr:rowOff>
        </xdr:from>
        <xdr:to>
          <xdr:col>11</xdr:col>
          <xdr:colOff>9525</xdr:colOff>
          <xdr:row>35</xdr:row>
          <xdr:rowOff>0</xdr:rowOff>
        </xdr:to>
        <xdr:sp macro="" textlink="">
          <xdr:nvSpPr>
            <xdr:cNvPr id="2066" name="ComboBox9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35</xdr:row>
          <xdr:rowOff>9525</xdr:rowOff>
        </xdr:from>
        <xdr:to>
          <xdr:col>11</xdr:col>
          <xdr:colOff>9525</xdr:colOff>
          <xdr:row>36</xdr:row>
          <xdr:rowOff>0</xdr:rowOff>
        </xdr:to>
        <xdr:sp macro="" textlink="">
          <xdr:nvSpPr>
            <xdr:cNvPr id="2067" name="ComboBox10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</xdr:colOff>
          <xdr:row>33</xdr:row>
          <xdr:rowOff>9525</xdr:rowOff>
        </xdr:from>
        <xdr:to>
          <xdr:col>16</xdr:col>
          <xdr:colOff>19050</xdr:colOff>
          <xdr:row>33</xdr:row>
          <xdr:rowOff>238125</xdr:rowOff>
        </xdr:to>
        <xdr:sp macro="" textlink="">
          <xdr:nvSpPr>
            <xdr:cNvPr id="2069" name="ComboBox1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34</xdr:row>
          <xdr:rowOff>9525</xdr:rowOff>
        </xdr:from>
        <xdr:to>
          <xdr:col>16</xdr:col>
          <xdr:colOff>9525</xdr:colOff>
          <xdr:row>34</xdr:row>
          <xdr:rowOff>238125</xdr:rowOff>
        </xdr:to>
        <xdr:sp macro="" textlink="">
          <xdr:nvSpPr>
            <xdr:cNvPr id="2070" name="ComboBox1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38</xdr:row>
          <xdr:rowOff>0</xdr:rowOff>
        </xdr:from>
        <xdr:to>
          <xdr:col>20</xdr:col>
          <xdr:colOff>2286000</xdr:colOff>
          <xdr:row>38</xdr:row>
          <xdr:rowOff>247650</xdr:rowOff>
        </xdr:to>
        <xdr:sp macro="" textlink="">
          <xdr:nvSpPr>
            <xdr:cNvPr id="2071" name="ComboBox1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38</xdr:row>
          <xdr:rowOff>247650</xdr:rowOff>
        </xdr:from>
        <xdr:to>
          <xdr:col>20</xdr:col>
          <xdr:colOff>2286000</xdr:colOff>
          <xdr:row>39</xdr:row>
          <xdr:rowOff>247650</xdr:rowOff>
        </xdr:to>
        <xdr:sp macro="" textlink="">
          <xdr:nvSpPr>
            <xdr:cNvPr id="2072" name="ComboBox1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50</xdr:row>
          <xdr:rowOff>9525</xdr:rowOff>
        </xdr:from>
        <xdr:to>
          <xdr:col>11</xdr:col>
          <xdr:colOff>0</xdr:colOff>
          <xdr:row>50</xdr:row>
          <xdr:rowOff>247650</xdr:rowOff>
        </xdr:to>
        <xdr:sp macro="" textlink="">
          <xdr:nvSpPr>
            <xdr:cNvPr id="2073" name="ComboBox1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50</xdr:row>
          <xdr:rowOff>9525</xdr:rowOff>
        </xdr:from>
        <xdr:to>
          <xdr:col>16</xdr:col>
          <xdr:colOff>9525</xdr:colOff>
          <xdr:row>51</xdr:row>
          <xdr:rowOff>0</xdr:rowOff>
        </xdr:to>
        <xdr:sp macro="" textlink="">
          <xdr:nvSpPr>
            <xdr:cNvPr id="2074" name="ComboBox1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52</xdr:row>
          <xdr:rowOff>0</xdr:rowOff>
        </xdr:from>
        <xdr:to>
          <xdr:col>21</xdr:col>
          <xdr:colOff>19050</xdr:colOff>
          <xdr:row>53</xdr:row>
          <xdr:rowOff>0</xdr:rowOff>
        </xdr:to>
        <xdr:sp macro="" textlink="">
          <xdr:nvSpPr>
            <xdr:cNvPr id="2075" name="ComboBox1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52</xdr:row>
          <xdr:rowOff>0</xdr:rowOff>
        </xdr:from>
        <xdr:to>
          <xdr:col>25</xdr:col>
          <xdr:colOff>9525</xdr:colOff>
          <xdr:row>52</xdr:row>
          <xdr:rowOff>247650</xdr:rowOff>
        </xdr:to>
        <xdr:sp macro="" textlink="">
          <xdr:nvSpPr>
            <xdr:cNvPr id="2076" name="ComboBox1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72</xdr:row>
          <xdr:rowOff>9525</xdr:rowOff>
        </xdr:from>
        <xdr:to>
          <xdr:col>11</xdr:col>
          <xdr:colOff>0</xdr:colOff>
          <xdr:row>73</xdr:row>
          <xdr:rowOff>0</xdr:rowOff>
        </xdr:to>
        <xdr:sp macro="" textlink="">
          <xdr:nvSpPr>
            <xdr:cNvPr id="2077" name="ComboBox1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73</xdr:row>
          <xdr:rowOff>0</xdr:rowOff>
        </xdr:from>
        <xdr:to>
          <xdr:col>11</xdr:col>
          <xdr:colOff>0</xdr:colOff>
          <xdr:row>73</xdr:row>
          <xdr:rowOff>247650</xdr:rowOff>
        </xdr:to>
        <xdr:sp macro="" textlink="">
          <xdr:nvSpPr>
            <xdr:cNvPr id="2078" name="ComboBox2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73</xdr:row>
          <xdr:rowOff>247650</xdr:rowOff>
        </xdr:from>
        <xdr:to>
          <xdr:col>10</xdr:col>
          <xdr:colOff>2362200</xdr:colOff>
          <xdr:row>74</xdr:row>
          <xdr:rowOff>238125</xdr:rowOff>
        </xdr:to>
        <xdr:sp macro="" textlink="">
          <xdr:nvSpPr>
            <xdr:cNvPr id="2081" name="ComboBox21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72</xdr:row>
          <xdr:rowOff>9525</xdr:rowOff>
        </xdr:from>
        <xdr:to>
          <xdr:col>16</xdr:col>
          <xdr:colOff>9525</xdr:colOff>
          <xdr:row>73</xdr:row>
          <xdr:rowOff>0</xdr:rowOff>
        </xdr:to>
        <xdr:sp macro="" textlink="">
          <xdr:nvSpPr>
            <xdr:cNvPr id="2082" name="ComboBox22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84</xdr:row>
          <xdr:rowOff>0</xdr:rowOff>
        </xdr:from>
        <xdr:to>
          <xdr:col>11</xdr:col>
          <xdr:colOff>0</xdr:colOff>
          <xdr:row>84</xdr:row>
          <xdr:rowOff>238125</xdr:rowOff>
        </xdr:to>
        <xdr:sp macro="" textlink="">
          <xdr:nvSpPr>
            <xdr:cNvPr id="2084" name="ComboBox24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83</xdr:row>
          <xdr:rowOff>9525</xdr:rowOff>
        </xdr:from>
        <xdr:to>
          <xdr:col>16</xdr:col>
          <xdr:colOff>9525</xdr:colOff>
          <xdr:row>84</xdr:row>
          <xdr:rowOff>0</xdr:rowOff>
        </xdr:to>
        <xdr:sp macro="" textlink="">
          <xdr:nvSpPr>
            <xdr:cNvPr id="2085" name="ComboBox25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0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85</xdr:row>
          <xdr:rowOff>9525</xdr:rowOff>
        </xdr:from>
        <xdr:to>
          <xdr:col>16</xdr:col>
          <xdr:colOff>9525</xdr:colOff>
          <xdr:row>86</xdr:row>
          <xdr:rowOff>0</xdr:rowOff>
        </xdr:to>
        <xdr:sp macro="" textlink="">
          <xdr:nvSpPr>
            <xdr:cNvPr id="2086" name="ComboBox26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91</xdr:row>
          <xdr:rowOff>9525</xdr:rowOff>
        </xdr:from>
        <xdr:to>
          <xdr:col>10</xdr:col>
          <xdr:colOff>2362200</xdr:colOff>
          <xdr:row>91</xdr:row>
          <xdr:rowOff>247650</xdr:rowOff>
        </xdr:to>
        <xdr:sp macro="" textlink="">
          <xdr:nvSpPr>
            <xdr:cNvPr id="2087" name="ComboBox27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92</xdr:row>
          <xdr:rowOff>9525</xdr:rowOff>
        </xdr:from>
        <xdr:to>
          <xdr:col>10</xdr:col>
          <xdr:colOff>2362200</xdr:colOff>
          <xdr:row>93</xdr:row>
          <xdr:rowOff>0</xdr:rowOff>
        </xdr:to>
        <xdr:sp macro="" textlink="">
          <xdr:nvSpPr>
            <xdr:cNvPr id="2088" name="ComboBox28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93</xdr:row>
          <xdr:rowOff>9525</xdr:rowOff>
        </xdr:from>
        <xdr:to>
          <xdr:col>10</xdr:col>
          <xdr:colOff>2362200</xdr:colOff>
          <xdr:row>94</xdr:row>
          <xdr:rowOff>0</xdr:rowOff>
        </xdr:to>
        <xdr:sp macro="" textlink="">
          <xdr:nvSpPr>
            <xdr:cNvPr id="2089" name="ComboBox29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94</xdr:row>
          <xdr:rowOff>9525</xdr:rowOff>
        </xdr:from>
        <xdr:to>
          <xdr:col>10</xdr:col>
          <xdr:colOff>2362200</xdr:colOff>
          <xdr:row>94</xdr:row>
          <xdr:rowOff>247650</xdr:rowOff>
        </xdr:to>
        <xdr:sp macro="" textlink="">
          <xdr:nvSpPr>
            <xdr:cNvPr id="2090" name="ComboBox30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0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95</xdr:row>
          <xdr:rowOff>9525</xdr:rowOff>
        </xdr:from>
        <xdr:to>
          <xdr:col>10</xdr:col>
          <xdr:colOff>2362200</xdr:colOff>
          <xdr:row>96</xdr:row>
          <xdr:rowOff>0</xdr:rowOff>
        </xdr:to>
        <xdr:sp macro="" textlink="">
          <xdr:nvSpPr>
            <xdr:cNvPr id="2091" name="ComboBox31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97</xdr:row>
          <xdr:rowOff>19050</xdr:rowOff>
        </xdr:from>
        <xdr:to>
          <xdr:col>10</xdr:col>
          <xdr:colOff>2362200</xdr:colOff>
          <xdr:row>98</xdr:row>
          <xdr:rowOff>0</xdr:rowOff>
        </xdr:to>
        <xdr:sp macro="" textlink="">
          <xdr:nvSpPr>
            <xdr:cNvPr id="2092" name="ComboBox32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0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98</xdr:row>
          <xdr:rowOff>0</xdr:rowOff>
        </xdr:from>
        <xdr:to>
          <xdr:col>11</xdr:col>
          <xdr:colOff>0</xdr:colOff>
          <xdr:row>99</xdr:row>
          <xdr:rowOff>9525</xdr:rowOff>
        </xdr:to>
        <xdr:sp macro="" textlink="">
          <xdr:nvSpPr>
            <xdr:cNvPr id="2093" name="ComboBox33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99</xdr:row>
          <xdr:rowOff>0</xdr:rowOff>
        </xdr:from>
        <xdr:to>
          <xdr:col>10</xdr:col>
          <xdr:colOff>2352675</xdr:colOff>
          <xdr:row>100</xdr:row>
          <xdr:rowOff>0</xdr:rowOff>
        </xdr:to>
        <xdr:sp macro="" textlink="">
          <xdr:nvSpPr>
            <xdr:cNvPr id="2094" name="ComboBox34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0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100</xdr:row>
          <xdr:rowOff>9525</xdr:rowOff>
        </xdr:from>
        <xdr:to>
          <xdr:col>10</xdr:col>
          <xdr:colOff>2362200</xdr:colOff>
          <xdr:row>100</xdr:row>
          <xdr:rowOff>238125</xdr:rowOff>
        </xdr:to>
        <xdr:sp macro="" textlink="">
          <xdr:nvSpPr>
            <xdr:cNvPr id="2095" name="ComboBox35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0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51</xdr:row>
          <xdr:rowOff>0</xdr:rowOff>
        </xdr:from>
        <xdr:to>
          <xdr:col>11</xdr:col>
          <xdr:colOff>0</xdr:colOff>
          <xdr:row>51</xdr:row>
          <xdr:rowOff>247650</xdr:rowOff>
        </xdr:to>
        <xdr:sp macro="" textlink="">
          <xdr:nvSpPr>
            <xdr:cNvPr id="2096" name="ComboBox36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0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22</xdr:row>
          <xdr:rowOff>9525</xdr:rowOff>
        </xdr:from>
        <xdr:to>
          <xdr:col>11</xdr:col>
          <xdr:colOff>0</xdr:colOff>
          <xdr:row>22</xdr:row>
          <xdr:rowOff>238125</xdr:rowOff>
        </xdr:to>
        <xdr:sp macro="" textlink="">
          <xdr:nvSpPr>
            <xdr:cNvPr id="2097" name="ComboBox23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0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26</xdr:row>
          <xdr:rowOff>9525</xdr:rowOff>
        </xdr:from>
        <xdr:to>
          <xdr:col>20</xdr:col>
          <xdr:colOff>2286000</xdr:colOff>
          <xdr:row>27</xdr:row>
          <xdr:rowOff>9525</xdr:rowOff>
        </xdr:to>
        <xdr:sp macro="" textlink="">
          <xdr:nvSpPr>
            <xdr:cNvPr id="2098" name="ComboBox37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0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49</xdr:row>
          <xdr:rowOff>9525</xdr:rowOff>
        </xdr:from>
        <xdr:to>
          <xdr:col>11</xdr:col>
          <xdr:colOff>0</xdr:colOff>
          <xdr:row>49</xdr:row>
          <xdr:rowOff>238125</xdr:rowOff>
        </xdr:to>
        <xdr:sp macro="" textlink="">
          <xdr:nvSpPr>
            <xdr:cNvPr id="2099" name="ComboBox38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0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50</xdr:row>
          <xdr:rowOff>238125</xdr:rowOff>
        </xdr:from>
        <xdr:to>
          <xdr:col>20</xdr:col>
          <xdr:colOff>2286000</xdr:colOff>
          <xdr:row>51</xdr:row>
          <xdr:rowOff>238125</xdr:rowOff>
        </xdr:to>
        <xdr:sp macro="" textlink="">
          <xdr:nvSpPr>
            <xdr:cNvPr id="2100" name="ComboBox39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0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21</xdr:row>
          <xdr:rowOff>9525</xdr:rowOff>
        </xdr:from>
        <xdr:to>
          <xdr:col>16</xdr:col>
          <xdr:colOff>0</xdr:colOff>
          <xdr:row>22</xdr:row>
          <xdr:rowOff>0</xdr:rowOff>
        </xdr:to>
        <xdr:sp macro="" textlink="">
          <xdr:nvSpPr>
            <xdr:cNvPr id="2101" name="ComboBox40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0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25</xdr:row>
          <xdr:rowOff>9525</xdr:rowOff>
        </xdr:from>
        <xdr:to>
          <xdr:col>25</xdr:col>
          <xdr:colOff>0</xdr:colOff>
          <xdr:row>25</xdr:row>
          <xdr:rowOff>228600</xdr:rowOff>
        </xdr:to>
        <xdr:sp macro="" textlink="">
          <xdr:nvSpPr>
            <xdr:cNvPr id="2102" name="ComboBox41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0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9525</xdr:colOff>
          <xdr:row>50</xdr:row>
          <xdr:rowOff>19050</xdr:rowOff>
        </xdr:from>
        <xdr:to>
          <xdr:col>25</xdr:col>
          <xdr:colOff>0</xdr:colOff>
          <xdr:row>50</xdr:row>
          <xdr:rowOff>238125</xdr:rowOff>
        </xdr:to>
        <xdr:sp macro="" textlink="">
          <xdr:nvSpPr>
            <xdr:cNvPr id="2103" name="ComboBox42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48</xdr:row>
          <xdr:rowOff>19050</xdr:rowOff>
        </xdr:from>
        <xdr:to>
          <xdr:col>15</xdr:col>
          <xdr:colOff>1943100</xdr:colOff>
          <xdr:row>49</xdr:row>
          <xdr:rowOff>0</xdr:rowOff>
        </xdr:to>
        <xdr:sp macro="" textlink="">
          <xdr:nvSpPr>
            <xdr:cNvPr id="2104" name="ComboBox43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control" Target="../activeX/activeX31.xml"/><Relationship Id="rId68" Type="http://schemas.openxmlformats.org/officeDocument/2006/relationships/image" Target="../media/image32.emf"/><Relationship Id="rId84" Type="http://schemas.openxmlformats.org/officeDocument/2006/relationships/control" Target="../activeX/activeX42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ontrol" Target="../activeX/activeX37.xml"/><Relationship Id="rId79" Type="http://schemas.openxmlformats.org/officeDocument/2006/relationships/image" Target="../media/image37.emf"/><Relationship Id="rId5" Type="http://schemas.openxmlformats.org/officeDocument/2006/relationships/image" Target="../media/image1.emf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image" Target="../media/image30.emf"/><Relationship Id="rId69" Type="http://schemas.openxmlformats.org/officeDocument/2006/relationships/control" Target="../activeX/activeX34.xml"/><Relationship Id="rId77" Type="http://schemas.openxmlformats.org/officeDocument/2006/relationships/image" Target="../media/image36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6.xml"/><Relationship Id="rId80" Type="http://schemas.openxmlformats.org/officeDocument/2006/relationships/control" Target="../activeX/activeX40.xml"/><Relationship Id="rId85" Type="http://schemas.openxmlformats.org/officeDocument/2006/relationships/image" Target="../media/image40.emf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ontrol" Target="../activeX/activeX33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image" Target="../media/image29.emf"/><Relationship Id="rId70" Type="http://schemas.openxmlformats.org/officeDocument/2006/relationships/control" Target="../activeX/activeX35.xml"/><Relationship Id="rId75" Type="http://schemas.openxmlformats.org/officeDocument/2006/relationships/image" Target="../media/image35.emf"/><Relationship Id="rId83" Type="http://schemas.openxmlformats.org/officeDocument/2006/relationships/image" Target="../media/image3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control" Target="../activeX/activeX32.xml"/><Relationship Id="rId73" Type="http://schemas.openxmlformats.org/officeDocument/2006/relationships/image" Target="../media/image34.emf"/><Relationship Id="rId78" Type="http://schemas.openxmlformats.org/officeDocument/2006/relationships/control" Target="../activeX/activeX39.xml"/><Relationship Id="rId81" Type="http://schemas.openxmlformats.org/officeDocument/2006/relationships/image" Target="../media/image38.emf"/><Relationship Id="rId86" Type="http://schemas.openxmlformats.org/officeDocument/2006/relationships/control" Target="../activeX/activeX4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ontrol" Target="../activeX/activeX38.xml"/><Relationship Id="rId7" Type="http://schemas.openxmlformats.org/officeDocument/2006/relationships/image" Target="../media/image2.emf"/><Relationship Id="rId71" Type="http://schemas.openxmlformats.org/officeDocument/2006/relationships/image" Target="../media/image33.emf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image" Target="../media/image31.emf"/><Relationship Id="rId87" Type="http://schemas.openxmlformats.org/officeDocument/2006/relationships/image" Target="../media/image41.emf"/><Relationship Id="rId61" Type="http://schemas.openxmlformats.org/officeDocument/2006/relationships/control" Target="../activeX/activeX30.xml"/><Relationship Id="rId82" Type="http://schemas.openxmlformats.org/officeDocument/2006/relationships/control" Target="../activeX/activeX4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avika_a@toagropu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4435E-CCF2-49FA-8466-D9ABE8FA9541}">
  <sheetPr codeName="Sheet1">
    <outlinePr summaryRight="0"/>
  </sheetPr>
  <dimension ref="B2:Z103"/>
  <sheetViews>
    <sheetView topLeftCell="A16" zoomScale="70" zoomScaleNormal="70" workbookViewId="0">
      <selection activeCell="G32" sqref="G32:G33"/>
    </sheetView>
  </sheetViews>
  <sheetFormatPr defaultColWidth="11.75" defaultRowHeight="14.25" outlineLevelCol="2"/>
  <cols>
    <col min="1" max="1" width="3.75" style="49" customWidth="1"/>
    <col min="2" max="2" width="19.625" style="49" customWidth="1"/>
    <col min="3" max="3" width="13.875" style="49" bestFit="1" customWidth="1"/>
    <col min="4" max="5" width="13.875" style="49" customWidth="1" outlineLevel="1"/>
    <col min="6" max="6" width="18" style="49" customWidth="1"/>
    <col min="7" max="7" width="34.125" style="50" customWidth="1"/>
    <col min="8" max="8" width="10" style="51" customWidth="1" outlineLevel="1"/>
    <col min="9" max="9" width="13.375" style="51" customWidth="1" outlineLevel="1"/>
    <col min="10" max="10" width="20.375" style="49" customWidth="1"/>
    <col min="11" max="11" width="31" style="49" customWidth="1"/>
    <col min="12" max="12" width="20.75" style="49" customWidth="1"/>
    <col min="13" max="14" width="20.75" style="49" customWidth="1" outlineLevel="1"/>
    <col min="15" max="15" width="19.75" style="49" customWidth="1"/>
    <col min="16" max="16" width="25.625" style="49" bestFit="1" customWidth="1"/>
    <col min="17" max="17" width="19.375" style="49" customWidth="1"/>
    <col min="18" max="19" width="21.75" style="49" customWidth="1" outlineLevel="1"/>
    <col min="20" max="20" width="20.875" style="49" customWidth="1"/>
    <col min="21" max="21" width="30.125" style="49" customWidth="1"/>
    <col min="22" max="23" width="19.375" style="49" customWidth="1" outlineLevel="2"/>
    <col min="24" max="24" width="18.875" style="49" customWidth="1"/>
    <col min="25" max="25" width="19.375" style="49" customWidth="1"/>
    <col min="26" max="26" width="22" style="49" bestFit="1" customWidth="1"/>
    <col min="27" max="16384" width="11.75" style="49"/>
  </cols>
  <sheetData>
    <row r="2" spans="2:26" ht="28.5" customHeight="1">
      <c r="B2" s="53" t="s">
        <v>0</v>
      </c>
      <c r="C2" s="30"/>
      <c r="D2" s="407" t="s">
        <v>1</v>
      </c>
      <c r="E2" s="408" t="s">
        <v>2</v>
      </c>
      <c r="F2" s="31"/>
      <c r="G2" s="30"/>
      <c r="H2" s="32"/>
      <c r="I2" s="32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3"/>
    </row>
    <row r="3" spans="2:26">
      <c r="B3" s="34"/>
      <c r="C3" s="23"/>
      <c r="D3" s="23"/>
      <c r="E3" s="23"/>
      <c r="F3" s="23"/>
      <c r="G3" s="36"/>
      <c r="H3" s="26"/>
      <c r="I3" s="26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35"/>
    </row>
    <row r="4" spans="2:26">
      <c r="B4" s="34"/>
      <c r="C4" s="23"/>
      <c r="D4" s="406">
        <v>13</v>
      </c>
      <c r="E4" s="405" t="s">
        <v>3</v>
      </c>
      <c r="F4" s="22" t="s">
        <v>4</v>
      </c>
      <c r="G4" s="45" t="s">
        <v>5</v>
      </c>
      <c r="H4" s="26"/>
      <c r="I4" s="26"/>
      <c r="J4" s="23" t="s">
        <v>6</v>
      </c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35"/>
    </row>
    <row r="5" spans="2:26">
      <c r="B5" s="34"/>
      <c r="C5" s="23"/>
      <c r="D5" s="406">
        <v>5</v>
      </c>
      <c r="E5" s="405" t="s">
        <v>7</v>
      </c>
      <c r="F5" s="22" t="s">
        <v>8</v>
      </c>
      <c r="G5" s="45" t="s">
        <v>9</v>
      </c>
      <c r="H5" s="26"/>
      <c r="I5" s="26"/>
      <c r="J5" s="23" t="s">
        <v>6</v>
      </c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35"/>
    </row>
    <row r="6" spans="2:26">
      <c r="B6" s="34"/>
      <c r="C6" s="23"/>
      <c r="D6" s="406">
        <v>10</v>
      </c>
      <c r="E6" s="405" t="s">
        <v>10</v>
      </c>
      <c r="F6" s="22" t="s">
        <v>11</v>
      </c>
      <c r="G6" s="45">
        <v>11011842</v>
      </c>
      <c r="H6" s="26"/>
      <c r="I6" s="26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35"/>
    </row>
    <row r="7" spans="2:26">
      <c r="B7" s="34"/>
      <c r="C7" s="23"/>
      <c r="D7" s="406">
        <v>4</v>
      </c>
      <c r="E7" s="405" t="s">
        <v>12</v>
      </c>
      <c r="F7" s="22" t="s">
        <v>13</v>
      </c>
      <c r="G7" s="424" t="s">
        <v>14</v>
      </c>
      <c r="H7" s="26"/>
      <c r="I7" s="26"/>
      <c r="J7" s="23" t="s">
        <v>6</v>
      </c>
      <c r="K7" s="426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35"/>
    </row>
    <row r="8" spans="2:26">
      <c r="B8" s="34"/>
      <c r="C8" s="23"/>
      <c r="D8" s="406">
        <v>2</v>
      </c>
      <c r="E8" s="405" t="s">
        <v>15</v>
      </c>
      <c r="F8" s="22" t="s">
        <v>16</v>
      </c>
      <c r="G8" s="424" t="s">
        <v>17</v>
      </c>
      <c r="H8" s="26"/>
      <c r="I8" s="26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35"/>
    </row>
    <row r="9" spans="2:26">
      <c r="B9" s="34"/>
      <c r="C9" s="23"/>
      <c r="D9" s="23"/>
      <c r="E9" s="23"/>
      <c r="F9" s="52"/>
      <c r="G9" s="52"/>
      <c r="H9" s="26"/>
      <c r="I9" s="26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35"/>
    </row>
    <row r="10" spans="2:26">
      <c r="B10" s="39"/>
      <c r="C10" s="40"/>
      <c r="D10" s="40"/>
      <c r="E10" s="40"/>
      <c r="F10" s="40"/>
      <c r="G10" s="41"/>
      <c r="H10" s="42"/>
      <c r="I10" s="42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3"/>
    </row>
    <row r="15" spans="2:26" ht="35.25" customHeight="1">
      <c r="B15" s="27" t="s">
        <v>18</v>
      </c>
      <c r="C15" s="30"/>
      <c r="D15" s="407" t="s">
        <v>1</v>
      </c>
      <c r="E15" s="408" t="s">
        <v>2</v>
      </c>
      <c r="F15" s="30"/>
      <c r="G15" s="31"/>
      <c r="H15" s="407" t="s">
        <v>1</v>
      </c>
      <c r="I15" s="408" t="s">
        <v>2</v>
      </c>
      <c r="J15" s="30"/>
      <c r="K15" s="30"/>
      <c r="L15" s="30"/>
      <c r="M15" s="407" t="s">
        <v>1</v>
      </c>
      <c r="N15" s="408" t="s">
        <v>2</v>
      </c>
      <c r="O15" s="30"/>
      <c r="P15" s="30"/>
      <c r="Q15" s="30"/>
      <c r="R15" s="407" t="s">
        <v>1</v>
      </c>
      <c r="S15" s="408" t="s">
        <v>2</v>
      </c>
      <c r="T15" s="30"/>
      <c r="U15" s="30"/>
      <c r="V15" s="407" t="s">
        <v>1</v>
      </c>
      <c r="W15" s="408" t="s">
        <v>2</v>
      </c>
      <c r="X15" s="30"/>
      <c r="Y15" s="30"/>
      <c r="Z15" s="33"/>
    </row>
    <row r="16" spans="2:26" ht="19.5" customHeight="1">
      <c r="B16" s="34"/>
      <c r="C16" s="23"/>
      <c r="D16" s="406">
        <v>1</v>
      </c>
      <c r="E16" s="405" t="s">
        <v>19</v>
      </c>
      <c r="F16" s="22" t="s">
        <v>20</v>
      </c>
      <c r="G16" s="45" t="s">
        <v>21</v>
      </c>
      <c r="H16" s="406">
        <v>40</v>
      </c>
      <c r="I16" s="405" t="s">
        <v>22</v>
      </c>
      <c r="J16" s="4" t="s">
        <v>23</v>
      </c>
      <c r="K16" s="44" t="s">
        <v>24</v>
      </c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35"/>
    </row>
    <row r="17" spans="2:26" ht="19.5" customHeight="1">
      <c r="B17" s="34"/>
      <c r="C17" s="23"/>
      <c r="D17" s="23"/>
      <c r="E17" s="23"/>
      <c r="F17" s="23"/>
      <c r="G17" s="36"/>
      <c r="H17" s="406">
        <v>40</v>
      </c>
      <c r="I17" s="405" t="s">
        <v>25</v>
      </c>
      <c r="J17" s="6" t="s">
        <v>23</v>
      </c>
      <c r="K17" s="44" t="s">
        <v>26</v>
      </c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35"/>
    </row>
    <row r="18" spans="2:26" ht="19.5" customHeight="1">
      <c r="B18" s="34"/>
      <c r="C18" s="23"/>
      <c r="D18" s="23"/>
      <c r="E18" s="23"/>
      <c r="F18" s="23"/>
      <c r="G18" s="36"/>
      <c r="H18" s="406">
        <v>40</v>
      </c>
      <c r="I18" s="405" t="s">
        <v>27</v>
      </c>
      <c r="J18" s="6" t="s">
        <v>23</v>
      </c>
      <c r="K18" s="44" t="s">
        <v>28</v>
      </c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35"/>
    </row>
    <row r="19" spans="2:26" ht="19.5" customHeight="1">
      <c r="B19" s="34"/>
      <c r="C19" s="23"/>
      <c r="D19" s="23"/>
      <c r="E19" s="23"/>
      <c r="F19" s="23"/>
      <c r="G19" s="36"/>
      <c r="H19" s="406">
        <v>40</v>
      </c>
      <c r="I19" s="405" t="s">
        <v>29</v>
      </c>
      <c r="J19" s="6" t="s">
        <v>23</v>
      </c>
      <c r="K19" s="44" t="s">
        <v>30</v>
      </c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35"/>
    </row>
    <row r="20" spans="2:26" ht="19.5" customHeight="1">
      <c r="B20" s="34"/>
      <c r="C20" s="23"/>
      <c r="D20" s="23"/>
      <c r="E20" s="23"/>
      <c r="F20" s="23"/>
      <c r="G20" s="36"/>
      <c r="H20" s="26"/>
      <c r="I20" s="26"/>
      <c r="J20" s="37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35"/>
    </row>
    <row r="21" spans="2:26" ht="19.5" customHeight="1">
      <c r="B21" s="34"/>
      <c r="C21" s="38" t="s">
        <v>31</v>
      </c>
      <c r="D21" s="38"/>
      <c r="E21" s="38"/>
      <c r="F21" s="23"/>
      <c r="G21" s="36"/>
      <c r="H21" s="406">
        <v>40</v>
      </c>
      <c r="I21" s="405" t="s">
        <v>32</v>
      </c>
      <c r="J21" s="7" t="s">
        <v>33</v>
      </c>
      <c r="K21" s="44" t="s">
        <v>34</v>
      </c>
      <c r="L21" s="23"/>
      <c r="M21" s="406">
        <v>40</v>
      </c>
      <c r="N21" s="405" t="s">
        <v>35</v>
      </c>
      <c r="O21" s="6" t="s">
        <v>36</v>
      </c>
      <c r="P21" s="44" t="s">
        <v>37</v>
      </c>
      <c r="Q21" s="23" t="s">
        <v>38</v>
      </c>
      <c r="R21" s="406">
        <v>40</v>
      </c>
      <c r="S21" s="405" t="s">
        <v>39</v>
      </c>
      <c r="T21" s="4" t="s">
        <v>23</v>
      </c>
      <c r="U21" s="44" t="s">
        <v>40</v>
      </c>
      <c r="V21" s="23"/>
      <c r="W21" s="23"/>
      <c r="X21" s="23"/>
      <c r="Y21" s="23"/>
      <c r="Z21" s="35"/>
    </row>
    <row r="22" spans="2:26" ht="19.5" customHeight="1">
      <c r="B22" s="34"/>
      <c r="C22" s="23" t="s">
        <v>41</v>
      </c>
      <c r="D22" s="23" t="s">
        <v>42</v>
      </c>
      <c r="E22" s="23"/>
      <c r="F22" s="23"/>
      <c r="G22" s="36"/>
      <c r="H22" s="406">
        <v>40</v>
      </c>
      <c r="I22" s="405" t="s">
        <v>43</v>
      </c>
      <c r="J22" s="8" t="s">
        <v>44</v>
      </c>
      <c r="K22" s="44" t="s">
        <v>45</v>
      </c>
      <c r="L22" s="23"/>
      <c r="M22" s="406">
        <v>40</v>
      </c>
      <c r="N22" s="405" t="s">
        <v>46</v>
      </c>
      <c r="O22" s="8" t="s">
        <v>47</v>
      </c>
      <c r="P22" s="44" t="s">
        <v>48</v>
      </c>
      <c r="Q22" s="23"/>
      <c r="R22" s="406">
        <v>40</v>
      </c>
      <c r="S22" s="405" t="s">
        <v>49</v>
      </c>
      <c r="T22" s="6" t="s">
        <v>23</v>
      </c>
      <c r="U22" s="44" t="s">
        <v>50</v>
      </c>
      <c r="V22" s="23"/>
      <c r="W22" s="23"/>
      <c r="X22" s="23"/>
      <c r="Y22" s="23"/>
      <c r="Z22" s="35"/>
    </row>
    <row r="23" spans="2:26" ht="19.5" customHeight="1">
      <c r="B23" s="34"/>
      <c r="C23" s="23" t="s">
        <v>51</v>
      </c>
      <c r="D23" s="442">
        <v>10570</v>
      </c>
      <c r="E23" s="23"/>
      <c r="F23" s="23"/>
      <c r="G23" s="36"/>
      <c r="H23" s="406">
        <v>40</v>
      </c>
      <c r="I23" s="405" t="s">
        <v>52</v>
      </c>
      <c r="J23" s="9" t="s">
        <v>53</v>
      </c>
      <c r="K23" s="44" t="s">
        <v>54</v>
      </c>
      <c r="L23" s="23"/>
      <c r="M23" s="406">
        <v>10</v>
      </c>
      <c r="N23" s="405" t="s">
        <v>55</v>
      </c>
      <c r="O23" s="8" t="s">
        <v>51</v>
      </c>
      <c r="P23" s="44">
        <v>10400</v>
      </c>
      <c r="Q23" s="23"/>
      <c r="R23" s="406">
        <v>40</v>
      </c>
      <c r="S23" s="405" t="s">
        <v>56</v>
      </c>
      <c r="T23" s="6" t="s">
        <v>23</v>
      </c>
      <c r="U23" s="44" t="s">
        <v>57</v>
      </c>
      <c r="V23" s="23"/>
      <c r="W23" s="23"/>
      <c r="X23" s="23"/>
      <c r="Y23" s="23"/>
      <c r="Z23" s="35"/>
    </row>
    <row r="24" spans="2:26" ht="19.5" customHeight="1">
      <c r="B24" s="34"/>
      <c r="C24" s="23" t="s">
        <v>58</v>
      </c>
      <c r="D24" s="23" t="s">
        <v>59</v>
      </c>
      <c r="E24" s="23"/>
      <c r="F24" s="23"/>
      <c r="G24" s="36"/>
      <c r="H24" s="406">
        <v>3</v>
      </c>
      <c r="I24" s="405" t="s">
        <v>60</v>
      </c>
      <c r="J24" s="9" t="s">
        <v>58</v>
      </c>
      <c r="K24" s="45" t="s">
        <v>61</v>
      </c>
      <c r="L24" s="23"/>
      <c r="M24" s="406">
        <v>10</v>
      </c>
      <c r="N24" s="405" t="s">
        <v>62</v>
      </c>
      <c r="O24" s="9" t="s">
        <v>63</v>
      </c>
      <c r="P24" s="44" t="s">
        <v>64</v>
      </c>
      <c r="Q24" s="23"/>
      <c r="R24" s="406">
        <v>40</v>
      </c>
      <c r="S24" s="405" t="s">
        <v>65</v>
      </c>
      <c r="T24" s="6" t="s">
        <v>23</v>
      </c>
      <c r="U24" s="44" t="s">
        <v>66</v>
      </c>
      <c r="V24" s="23"/>
      <c r="W24" s="23"/>
      <c r="X24" s="23"/>
      <c r="Y24" s="23"/>
      <c r="Z24" s="35"/>
    </row>
    <row r="25" spans="2:26" ht="19.5" customHeight="1">
      <c r="B25" s="34"/>
      <c r="C25" s="23" t="s">
        <v>53</v>
      </c>
      <c r="D25" s="23" t="s">
        <v>67</v>
      </c>
      <c r="E25" s="23"/>
      <c r="F25" s="23"/>
      <c r="G25" s="36"/>
      <c r="H25" s="406">
        <v>30</v>
      </c>
      <c r="I25" s="405" t="s">
        <v>68</v>
      </c>
      <c r="J25" s="5" t="s">
        <v>69</v>
      </c>
      <c r="K25" s="45" t="s">
        <v>70</v>
      </c>
      <c r="L25" s="23"/>
      <c r="M25" s="406">
        <v>10</v>
      </c>
      <c r="N25" s="405" t="s">
        <v>71</v>
      </c>
      <c r="O25" s="5" t="s">
        <v>72</v>
      </c>
      <c r="P25" s="45" t="s">
        <v>73</v>
      </c>
      <c r="Q25" s="23"/>
      <c r="R25" s="406">
        <v>40</v>
      </c>
      <c r="S25" s="405" t="s">
        <v>74</v>
      </c>
      <c r="T25" s="7" t="s">
        <v>33</v>
      </c>
      <c r="U25" s="44" t="s">
        <v>34</v>
      </c>
      <c r="V25" s="406">
        <v>40</v>
      </c>
      <c r="W25" s="405" t="s">
        <v>75</v>
      </c>
      <c r="X25" s="6" t="s">
        <v>36</v>
      </c>
      <c r="Y25" s="44" t="s">
        <v>37</v>
      </c>
      <c r="Z25" s="35"/>
    </row>
    <row r="26" spans="2:26" ht="19.5" customHeight="1">
      <c r="B26" s="34"/>
      <c r="C26" s="23" t="s">
        <v>47</v>
      </c>
      <c r="D26" s="38" t="s">
        <v>76</v>
      </c>
      <c r="E26" s="23"/>
      <c r="F26" s="23"/>
      <c r="G26" s="36"/>
      <c r="H26" s="406">
        <v>30</v>
      </c>
      <c r="I26" s="405" t="s">
        <v>77</v>
      </c>
      <c r="J26" s="5" t="s">
        <v>69</v>
      </c>
      <c r="K26" s="45" t="s">
        <v>78</v>
      </c>
      <c r="L26" s="23"/>
      <c r="M26" s="406">
        <v>10</v>
      </c>
      <c r="N26" s="405" t="s">
        <v>79</v>
      </c>
      <c r="O26" s="5" t="s">
        <v>72</v>
      </c>
      <c r="P26" s="45" t="s">
        <v>80</v>
      </c>
      <c r="Q26" s="23"/>
      <c r="R26" s="406">
        <v>40</v>
      </c>
      <c r="S26" s="405" t="s">
        <v>81</v>
      </c>
      <c r="T26" s="8" t="s">
        <v>44</v>
      </c>
      <c r="U26" s="44" t="s">
        <v>82</v>
      </c>
      <c r="V26" s="406">
        <v>40</v>
      </c>
      <c r="W26" s="405" t="s">
        <v>83</v>
      </c>
      <c r="X26" s="8" t="s">
        <v>47</v>
      </c>
      <c r="Y26" s="44" t="s">
        <v>48</v>
      </c>
      <c r="Z26" s="35"/>
    </row>
    <row r="27" spans="2:26" ht="19.5" customHeight="1">
      <c r="B27" s="34"/>
      <c r="C27" s="23" t="s">
        <v>84</v>
      </c>
      <c r="D27" s="23" t="s">
        <v>85</v>
      </c>
      <c r="E27" s="23"/>
      <c r="F27" s="23"/>
      <c r="G27" s="36"/>
      <c r="H27" s="406">
        <v>50</v>
      </c>
      <c r="I27" s="405" t="s">
        <v>86</v>
      </c>
      <c r="J27" s="5" t="s">
        <v>87</v>
      </c>
      <c r="K27" s="44" t="s">
        <v>88</v>
      </c>
      <c r="L27" s="23"/>
      <c r="M27" s="406">
        <v>30</v>
      </c>
      <c r="N27" s="405" t="s">
        <v>89</v>
      </c>
      <c r="O27" s="10" t="s">
        <v>90</v>
      </c>
      <c r="P27" s="44" t="s">
        <v>91</v>
      </c>
      <c r="Q27" s="23"/>
      <c r="R27" s="406">
        <v>40</v>
      </c>
      <c r="S27" s="405" t="s">
        <v>92</v>
      </c>
      <c r="T27" s="9" t="s">
        <v>53</v>
      </c>
      <c r="U27" s="44" t="s">
        <v>54</v>
      </c>
      <c r="V27" s="406">
        <v>10</v>
      </c>
      <c r="W27" s="405" t="s">
        <v>93</v>
      </c>
      <c r="X27" s="8" t="s">
        <v>51</v>
      </c>
      <c r="Y27" s="44">
        <v>10400</v>
      </c>
      <c r="Z27" s="35"/>
    </row>
    <row r="28" spans="2:26" ht="19.5" customHeight="1">
      <c r="B28" s="34"/>
      <c r="C28" s="23" t="s">
        <v>33</v>
      </c>
      <c r="D28" s="23" t="s">
        <v>94</v>
      </c>
      <c r="E28" s="23"/>
      <c r="F28" s="23"/>
      <c r="G28" s="36"/>
      <c r="H28" s="406">
        <v>30</v>
      </c>
      <c r="I28" s="405" t="s">
        <v>95</v>
      </c>
      <c r="J28" s="5" t="s">
        <v>96</v>
      </c>
      <c r="K28" s="44" t="s">
        <v>97</v>
      </c>
      <c r="L28" s="23"/>
      <c r="M28" s="406">
        <v>50</v>
      </c>
      <c r="N28" s="405" t="s">
        <v>98</v>
      </c>
      <c r="O28" s="10" t="s">
        <v>99</v>
      </c>
      <c r="P28" s="44" t="s">
        <v>100</v>
      </c>
      <c r="Q28" s="23"/>
      <c r="R28" s="406">
        <v>3</v>
      </c>
      <c r="S28" s="405" t="s">
        <v>101</v>
      </c>
      <c r="T28" s="11" t="s">
        <v>58</v>
      </c>
      <c r="U28" s="45" t="s">
        <v>61</v>
      </c>
      <c r="V28" s="406">
        <v>10</v>
      </c>
      <c r="W28" s="405" t="s">
        <v>102</v>
      </c>
      <c r="X28" s="11" t="s">
        <v>63</v>
      </c>
      <c r="Y28" s="44" t="s">
        <v>103</v>
      </c>
      <c r="Z28" s="35"/>
    </row>
    <row r="29" spans="2:26" ht="19.5" customHeight="1">
      <c r="B29" s="34"/>
      <c r="C29" s="23"/>
      <c r="D29" s="23"/>
      <c r="E29" s="23"/>
      <c r="F29" s="23"/>
      <c r="G29" s="36"/>
      <c r="H29" s="406">
        <v>241</v>
      </c>
      <c r="I29" s="405" t="s">
        <v>104</v>
      </c>
      <c r="J29" s="5" t="s">
        <v>105</v>
      </c>
      <c r="K29" s="44" t="s">
        <v>106</v>
      </c>
      <c r="L29" s="23"/>
      <c r="M29" s="406">
        <v>241</v>
      </c>
      <c r="N29" s="405" t="s">
        <v>107</v>
      </c>
      <c r="O29" s="5" t="s">
        <v>105</v>
      </c>
      <c r="P29" s="44" t="s">
        <v>108</v>
      </c>
      <c r="Q29" s="23"/>
      <c r="R29" s="26"/>
      <c r="S29" s="26"/>
      <c r="T29" s="23"/>
      <c r="U29" s="23"/>
      <c r="V29" s="26"/>
      <c r="W29" s="26"/>
      <c r="X29" s="23"/>
      <c r="Y29" s="23"/>
      <c r="Z29" s="35"/>
    </row>
    <row r="30" spans="2:26" ht="19.5" customHeight="1">
      <c r="B30" s="34"/>
      <c r="C30" s="23"/>
      <c r="D30" s="23"/>
      <c r="E30" s="23"/>
      <c r="F30" s="23"/>
      <c r="G30" s="36"/>
      <c r="H30" s="406">
        <v>50</v>
      </c>
      <c r="I30" s="405" t="s">
        <v>109</v>
      </c>
      <c r="J30" s="10" t="s">
        <v>110</v>
      </c>
      <c r="K30" s="45" t="s">
        <v>111</v>
      </c>
      <c r="L30" s="23"/>
      <c r="M30" s="23"/>
      <c r="N30" s="23"/>
      <c r="O30" s="5" t="s">
        <v>112</v>
      </c>
      <c r="P30" s="44" t="s">
        <v>113</v>
      </c>
      <c r="Q30" s="23" t="s">
        <v>114</v>
      </c>
      <c r="R30" s="26"/>
      <c r="S30" s="26"/>
      <c r="T30" s="23"/>
      <c r="U30" s="23"/>
      <c r="V30" s="26"/>
      <c r="W30" s="26"/>
      <c r="X30" s="23"/>
      <c r="Y30" s="23"/>
      <c r="Z30" s="35"/>
    </row>
    <row r="31" spans="2:26" ht="19.5" customHeight="1">
      <c r="B31" s="34"/>
      <c r="C31" s="23"/>
      <c r="D31" s="23"/>
      <c r="E31" s="23"/>
      <c r="F31" s="23"/>
      <c r="G31" s="36"/>
      <c r="H31" s="26"/>
      <c r="I31" s="26"/>
      <c r="J31" s="23"/>
      <c r="K31" s="23"/>
      <c r="L31" s="23"/>
      <c r="M31" s="23"/>
      <c r="N31" s="23"/>
      <c r="O31" s="23"/>
      <c r="P31" s="23"/>
      <c r="Q31" s="23"/>
      <c r="R31" s="26"/>
      <c r="S31" s="26"/>
      <c r="T31" s="23"/>
      <c r="U31" s="23"/>
      <c r="V31" s="26"/>
      <c r="W31" s="26"/>
      <c r="X31" s="23"/>
      <c r="Y31" s="23"/>
      <c r="Z31" s="35"/>
    </row>
    <row r="32" spans="2:26" ht="19.5" customHeight="1">
      <c r="B32" s="34"/>
      <c r="C32" s="23"/>
      <c r="D32" s="23"/>
      <c r="E32" s="23"/>
      <c r="F32" s="23"/>
      <c r="G32" s="36"/>
      <c r="H32" s="26"/>
      <c r="I32" s="26"/>
      <c r="J32" s="23"/>
      <c r="K32" s="23"/>
      <c r="L32" s="23"/>
      <c r="M32" s="23"/>
      <c r="N32" s="23"/>
      <c r="O32" s="23"/>
      <c r="P32" s="23"/>
      <c r="Q32" s="23"/>
      <c r="R32" s="26"/>
      <c r="S32" s="26"/>
      <c r="T32" s="23"/>
      <c r="U32" s="23"/>
      <c r="V32" s="26"/>
      <c r="W32" s="26"/>
      <c r="X32" s="23"/>
      <c r="Y32" s="23"/>
      <c r="Z32" s="35"/>
    </row>
    <row r="33" spans="2:26" ht="19.5" customHeight="1">
      <c r="B33" s="34"/>
      <c r="C33" s="23"/>
      <c r="D33" s="23"/>
      <c r="E33" s="23"/>
      <c r="F33" s="23"/>
      <c r="G33" s="36"/>
      <c r="H33" s="26"/>
      <c r="I33" s="26"/>
      <c r="J33" s="23"/>
      <c r="K33" s="23"/>
      <c r="L33" s="23"/>
      <c r="M33" s="23"/>
      <c r="N33" s="23"/>
      <c r="O33" s="23"/>
      <c r="P33" s="23"/>
      <c r="Q33" s="23"/>
      <c r="R33" s="26"/>
      <c r="S33" s="26"/>
      <c r="T33" s="23"/>
      <c r="U33" s="23"/>
      <c r="V33" s="26"/>
      <c r="W33" s="26"/>
      <c r="X33" s="23"/>
      <c r="Y33" s="23"/>
      <c r="Z33" s="35"/>
    </row>
    <row r="34" spans="2:26" ht="19.5" customHeight="1">
      <c r="B34" s="34"/>
      <c r="C34" s="23"/>
      <c r="D34" s="23"/>
      <c r="E34" s="23"/>
      <c r="F34" s="23"/>
      <c r="G34" s="36"/>
      <c r="H34" s="406">
        <v>4</v>
      </c>
      <c r="I34" s="405" t="s">
        <v>115</v>
      </c>
      <c r="J34" s="12" t="s">
        <v>116</v>
      </c>
      <c r="K34" s="45" t="s">
        <v>117</v>
      </c>
      <c r="L34" s="26"/>
      <c r="M34" s="406">
        <v>3</v>
      </c>
      <c r="N34" s="405" t="s">
        <v>118</v>
      </c>
      <c r="O34" s="12" t="s">
        <v>119</v>
      </c>
      <c r="P34" s="45" t="s">
        <v>120</v>
      </c>
      <c r="Q34" s="23"/>
      <c r="R34" s="406">
        <v>13</v>
      </c>
      <c r="S34" s="405" t="s">
        <v>121</v>
      </c>
      <c r="T34" s="13" t="s">
        <v>122</v>
      </c>
      <c r="U34" s="45" t="str">
        <f>G4</f>
        <v>1010000000001</v>
      </c>
      <c r="V34" s="26"/>
      <c r="W34" s="26"/>
      <c r="X34" s="23"/>
      <c r="Y34" s="23"/>
      <c r="Z34" s="35"/>
    </row>
    <row r="35" spans="2:26" ht="19.5" customHeight="1">
      <c r="B35" s="34"/>
      <c r="C35" s="23"/>
      <c r="D35" s="23"/>
      <c r="E35" s="23"/>
      <c r="F35" s="23"/>
      <c r="G35" s="36"/>
      <c r="H35" s="406">
        <v>6</v>
      </c>
      <c r="I35" s="405" t="s">
        <v>123</v>
      </c>
      <c r="J35" s="12" t="s">
        <v>124</v>
      </c>
      <c r="K35" s="45" t="s">
        <v>125</v>
      </c>
      <c r="L35" s="26"/>
      <c r="M35" s="406">
        <v>2</v>
      </c>
      <c r="N35" s="405" t="s">
        <v>126</v>
      </c>
      <c r="O35" s="12" t="s">
        <v>127</v>
      </c>
      <c r="P35" s="45" t="s">
        <v>61</v>
      </c>
      <c r="Q35" s="23"/>
      <c r="R35" s="26"/>
      <c r="S35" s="26"/>
      <c r="T35" s="23"/>
      <c r="U35" s="23"/>
      <c r="V35" s="26"/>
      <c r="W35" s="26"/>
      <c r="X35" s="23"/>
      <c r="Y35" s="23"/>
      <c r="Z35" s="35"/>
    </row>
    <row r="36" spans="2:26" ht="19.5" customHeight="1">
      <c r="B36" s="34"/>
      <c r="C36" s="23"/>
      <c r="D36" s="23"/>
      <c r="E36" s="23"/>
      <c r="F36" s="23"/>
      <c r="G36" s="36"/>
      <c r="H36" s="406">
        <v>2</v>
      </c>
      <c r="I36" s="405" t="s">
        <v>128</v>
      </c>
      <c r="J36" s="12" t="s">
        <v>129</v>
      </c>
      <c r="K36" s="45" t="s">
        <v>130</v>
      </c>
      <c r="L36" s="23"/>
      <c r="M36" s="23"/>
      <c r="N36" s="23"/>
      <c r="O36" s="23"/>
      <c r="P36" s="23"/>
      <c r="Q36" s="23"/>
      <c r="R36" s="26"/>
      <c r="S36" s="26"/>
      <c r="T36" s="23"/>
      <c r="U36" s="23"/>
      <c r="V36" s="26"/>
      <c r="W36" s="26"/>
      <c r="X36" s="23"/>
      <c r="Y36" s="23"/>
      <c r="Z36" s="35"/>
    </row>
    <row r="37" spans="2:26" ht="19.149999999999999" customHeight="1">
      <c r="B37" s="34"/>
      <c r="C37" s="23"/>
      <c r="D37" s="23"/>
      <c r="E37" s="23"/>
      <c r="F37" s="23"/>
      <c r="G37" s="36"/>
      <c r="H37" s="26"/>
      <c r="I37" s="26"/>
      <c r="J37" s="3"/>
      <c r="K37" s="23"/>
      <c r="L37" s="23"/>
      <c r="M37" s="23"/>
      <c r="N37" s="23"/>
      <c r="O37" s="23"/>
      <c r="P37" s="23"/>
      <c r="Q37" s="23"/>
      <c r="R37" s="26"/>
      <c r="S37" s="26"/>
      <c r="T37" s="10" t="s">
        <v>131</v>
      </c>
      <c r="U37" s="23"/>
      <c r="V37" s="26"/>
      <c r="W37" s="26"/>
      <c r="X37" s="23"/>
      <c r="Y37" s="23"/>
      <c r="Z37" s="35"/>
    </row>
    <row r="38" spans="2:26" ht="19.5" customHeight="1">
      <c r="B38" s="34"/>
      <c r="C38" s="23"/>
      <c r="D38" s="23"/>
      <c r="E38" s="23"/>
      <c r="F38" s="23"/>
      <c r="G38" s="36"/>
      <c r="H38" s="26"/>
      <c r="I38" s="26"/>
      <c r="J38" s="10" t="s">
        <v>132</v>
      </c>
      <c r="K38" s="24" t="s">
        <v>2</v>
      </c>
      <c r="L38" s="24" t="s">
        <v>23</v>
      </c>
      <c r="M38" s="36"/>
      <c r="N38" s="36"/>
      <c r="O38" s="23"/>
      <c r="P38" s="23"/>
      <c r="Q38" s="23"/>
      <c r="R38" s="406">
        <v>5</v>
      </c>
      <c r="S38" s="405" t="s">
        <v>133</v>
      </c>
      <c r="T38" s="10" t="s">
        <v>2</v>
      </c>
      <c r="U38" s="45" t="str">
        <f>G5</f>
        <v>00000</v>
      </c>
      <c r="V38" s="406">
        <v>40</v>
      </c>
      <c r="W38" s="405" t="s">
        <v>134</v>
      </c>
      <c r="X38" s="5" t="s">
        <v>135</v>
      </c>
      <c r="Y38" s="55" t="str">
        <f>IF(U38="00000","สำนักงานใหญ่",CONCATENATE("สาขาที่ ",U38))</f>
        <v>สำนักงานใหญ่</v>
      </c>
      <c r="Z38" s="35"/>
    </row>
    <row r="39" spans="2:26" ht="19.5" customHeight="1">
      <c r="B39" s="34"/>
      <c r="C39" s="23"/>
      <c r="D39" s="23"/>
      <c r="E39" s="23"/>
      <c r="F39" s="23"/>
      <c r="G39" s="36"/>
      <c r="H39" s="406">
        <v>10</v>
      </c>
      <c r="I39" s="405" t="s">
        <v>136</v>
      </c>
      <c r="J39" s="5" t="s">
        <v>137</v>
      </c>
      <c r="K39" s="45" t="s">
        <v>138</v>
      </c>
      <c r="L39" s="54"/>
      <c r="M39" s="23"/>
      <c r="N39" s="23"/>
      <c r="O39" s="23"/>
      <c r="P39" s="23"/>
      <c r="Q39" s="23"/>
      <c r="R39" s="406">
        <v>2</v>
      </c>
      <c r="S39" s="405" t="s">
        <v>139</v>
      </c>
      <c r="T39" s="10" t="s">
        <v>140</v>
      </c>
      <c r="U39" s="45" t="s">
        <v>141</v>
      </c>
      <c r="V39" s="406">
        <v>15</v>
      </c>
      <c r="W39" s="405" t="s">
        <v>142</v>
      </c>
      <c r="X39" s="10" t="s">
        <v>143</v>
      </c>
      <c r="Y39" s="427">
        <v>2000000</v>
      </c>
      <c r="Z39" s="35"/>
    </row>
    <row r="40" spans="2:26" ht="19.5" customHeight="1">
      <c r="B40" s="34"/>
      <c r="C40" s="23"/>
      <c r="D40" s="23"/>
      <c r="E40" s="23"/>
      <c r="F40" s="23"/>
      <c r="G40" s="36"/>
      <c r="H40" s="406">
        <v>10</v>
      </c>
      <c r="I40" s="405" t="s">
        <v>144</v>
      </c>
      <c r="J40" s="10" t="s">
        <v>145</v>
      </c>
      <c r="K40" s="45" t="s">
        <v>146</v>
      </c>
      <c r="L40" s="54"/>
      <c r="M40" s="23"/>
      <c r="N40" s="23"/>
      <c r="O40" s="23"/>
      <c r="P40" s="23"/>
      <c r="Q40" s="23"/>
      <c r="R40" s="406">
        <v>2</v>
      </c>
      <c r="S40" s="405" t="s">
        <v>147</v>
      </c>
      <c r="T40" s="10" t="s">
        <v>148</v>
      </c>
      <c r="U40" s="45" t="s">
        <v>149</v>
      </c>
      <c r="V40" s="406">
        <v>10</v>
      </c>
      <c r="W40" s="405" t="s">
        <v>150</v>
      </c>
      <c r="X40" s="10" t="s">
        <v>11</v>
      </c>
      <c r="Y40" s="45">
        <f>G6</f>
        <v>11011842</v>
      </c>
      <c r="Z40" s="35"/>
    </row>
    <row r="41" spans="2:26" ht="19.5" customHeight="1">
      <c r="B41" s="34"/>
      <c r="C41" s="23"/>
      <c r="D41" s="23"/>
      <c r="E41" s="23"/>
      <c r="F41" s="23"/>
      <c r="G41" s="36"/>
      <c r="H41" s="26"/>
      <c r="I41" s="26"/>
      <c r="J41" s="23"/>
      <c r="K41" s="23"/>
      <c r="L41" s="23"/>
      <c r="M41" s="23"/>
      <c r="N41" s="23"/>
      <c r="O41" s="23"/>
      <c r="P41" s="23"/>
      <c r="Q41" s="23"/>
      <c r="R41" s="26"/>
      <c r="S41" s="26"/>
      <c r="T41" s="23"/>
      <c r="U41" s="23"/>
      <c r="V41" s="26"/>
      <c r="W41" s="26"/>
      <c r="X41" s="23"/>
      <c r="Y41" s="23"/>
      <c r="Z41" s="35"/>
    </row>
    <row r="42" spans="2:26" ht="19.5" customHeight="1">
      <c r="B42" s="34"/>
      <c r="C42" s="23"/>
      <c r="D42" s="23"/>
      <c r="E42" s="23"/>
      <c r="F42" s="23"/>
      <c r="G42" s="36"/>
      <c r="H42" s="26"/>
      <c r="I42" s="26"/>
      <c r="J42" s="23"/>
      <c r="K42" s="23"/>
      <c r="L42" s="23"/>
      <c r="M42" s="23"/>
      <c r="N42" s="23"/>
      <c r="O42" s="23"/>
      <c r="P42" s="23"/>
      <c r="Q42" s="23"/>
      <c r="R42" s="26"/>
      <c r="S42" s="26"/>
      <c r="T42" s="23"/>
      <c r="U42" s="23"/>
      <c r="V42" s="26"/>
      <c r="W42" s="26"/>
      <c r="X42" s="23"/>
      <c r="Y42" s="23"/>
      <c r="Z42" s="35"/>
    </row>
    <row r="43" spans="2:26" ht="19.5" customHeight="1">
      <c r="B43" s="34"/>
      <c r="C43" s="23"/>
      <c r="D43" s="23"/>
      <c r="E43" s="23"/>
      <c r="F43" s="23"/>
      <c r="G43" s="36"/>
      <c r="H43" s="26"/>
      <c r="I43" s="26"/>
      <c r="J43" s="23"/>
      <c r="K43" s="23"/>
      <c r="L43" s="23"/>
      <c r="M43" s="23"/>
      <c r="N43" s="23"/>
      <c r="O43" s="23"/>
      <c r="P43" s="23"/>
      <c r="Q43" s="23"/>
      <c r="R43" s="26"/>
      <c r="S43" s="26"/>
      <c r="T43" s="23"/>
      <c r="U43" s="23"/>
      <c r="V43" s="23"/>
      <c r="W43" s="23"/>
      <c r="X43" s="23"/>
      <c r="Y43" s="23"/>
      <c r="Z43" s="35"/>
    </row>
    <row r="44" spans="2:26" ht="19.5" customHeight="1">
      <c r="B44" s="34"/>
      <c r="C44" s="23"/>
      <c r="D44" s="23"/>
      <c r="E44" s="23"/>
      <c r="F44" s="23"/>
      <c r="G44" s="36"/>
      <c r="H44" s="26"/>
      <c r="I44" s="26"/>
      <c r="J44" s="23"/>
      <c r="K44" s="23"/>
      <c r="L44" s="23"/>
      <c r="M44" s="23"/>
      <c r="N44" s="23"/>
      <c r="O44" s="23"/>
      <c r="P44" s="23"/>
      <c r="Q44" s="23"/>
      <c r="R44" s="26"/>
      <c r="S44" s="26"/>
      <c r="T44" s="23"/>
      <c r="U44" s="23"/>
      <c r="V44" s="23"/>
      <c r="W44" s="23"/>
      <c r="X44" s="23"/>
      <c r="Y44" s="23"/>
      <c r="Z44" s="35"/>
    </row>
    <row r="45" spans="2:26" ht="19.5" customHeight="1">
      <c r="B45" s="34"/>
      <c r="C45" s="23"/>
      <c r="D45" s="23"/>
      <c r="E45" s="23"/>
      <c r="F45" s="23"/>
      <c r="G45" s="36" t="s">
        <v>151</v>
      </c>
      <c r="H45" s="406">
        <v>40</v>
      </c>
      <c r="I45" s="405" t="s">
        <v>152</v>
      </c>
      <c r="J45" s="2" t="s">
        <v>153</v>
      </c>
      <c r="K45" s="45" t="s">
        <v>154</v>
      </c>
      <c r="L45" s="23"/>
      <c r="M45" s="23"/>
      <c r="N45" s="23"/>
      <c r="O45" s="23"/>
      <c r="P45" s="23"/>
      <c r="Q45" s="23" t="s">
        <v>155</v>
      </c>
      <c r="R45" s="406">
        <v>40</v>
      </c>
      <c r="S45" s="405" t="s">
        <v>156</v>
      </c>
      <c r="T45" s="2" t="s">
        <v>23</v>
      </c>
      <c r="U45" s="44" t="s">
        <v>157</v>
      </c>
      <c r="V45" s="23"/>
      <c r="W45" s="23"/>
      <c r="X45" s="23"/>
      <c r="Y45" s="23"/>
      <c r="Z45" s="35"/>
    </row>
    <row r="46" spans="2:26" ht="19.5" customHeight="1">
      <c r="B46" s="34"/>
      <c r="C46" s="23"/>
      <c r="D46" s="23"/>
      <c r="E46" s="23"/>
      <c r="F46" s="23"/>
      <c r="G46" s="36" t="s">
        <v>158</v>
      </c>
      <c r="H46" s="406">
        <v>40</v>
      </c>
      <c r="I46" s="405" t="s">
        <v>159</v>
      </c>
      <c r="J46" s="2" t="s">
        <v>160</v>
      </c>
      <c r="K46" s="45" t="s">
        <v>161</v>
      </c>
      <c r="L46" s="23"/>
      <c r="M46" s="23"/>
      <c r="N46" s="23"/>
      <c r="O46" s="23"/>
      <c r="P46" s="23"/>
      <c r="Q46" s="23"/>
      <c r="R46" s="406">
        <v>40</v>
      </c>
      <c r="S46" s="405" t="s">
        <v>162</v>
      </c>
      <c r="T46" s="15" t="s">
        <v>23</v>
      </c>
      <c r="U46" s="44" t="s">
        <v>163</v>
      </c>
      <c r="V46" s="23"/>
      <c r="W46" s="23"/>
      <c r="X46" s="23"/>
      <c r="Y46" s="23"/>
      <c r="Z46" s="35"/>
    </row>
    <row r="47" spans="2:26" ht="19.5" customHeight="1">
      <c r="B47" s="34"/>
      <c r="C47" s="23"/>
      <c r="D47" s="23"/>
      <c r="E47" s="23"/>
      <c r="F47" s="23"/>
      <c r="G47" s="36"/>
      <c r="H47" s="26"/>
      <c r="I47" s="26"/>
      <c r="J47" s="3"/>
      <c r="K47" s="23"/>
      <c r="L47" s="23"/>
      <c r="M47" s="23"/>
      <c r="N47" s="23"/>
      <c r="O47" s="23"/>
      <c r="P47" s="23"/>
      <c r="Q47" s="23"/>
      <c r="R47" s="406">
        <v>40</v>
      </c>
      <c r="S47" s="405" t="s">
        <v>164</v>
      </c>
      <c r="T47" s="15" t="s">
        <v>23</v>
      </c>
      <c r="U47" s="44" t="s">
        <v>165</v>
      </c>
      <c r="V47" s="23"/>
      <c r="W47" s="23"/>
      <c r="X47" s="23"/>
      <c r="Y47" s="23"/>
      <c r="Z47" s="35"/>
    </row>
    <row r="48" spans="2:26" ht="19.5" customHeight="1">
      <c r="B48" s="34"/>
      <c r="C48" s="23"/>
      <c r="D48" s="23"/>
      <c r="E48" s="23"/>
      <c r="F48" s="23"/>
      <c r="G48" s="36"/>
      <c r="H48" s="406">
        <v>40</v>
      </c>
      <c r="I48" s="405" t="s">
        <v>166</v>
      </c>
      <c r="J48" s="16" t="s">
        <v>33</v>
      </c>
      <c r="K48" s="44" t="s">
        <v>167</v>
      </c>
      <c r="L48" s="26">
        <v>40</v>
      </c>
      <c r="M48" s="406">
        <v>40</v>
      </c>
      <c r="N48" s="405" t="s">
        <v>168</v>
      </c>
      <c r="O48" s="15" t="s">
        <v>36</v>
      </c>
      <c r="P48" s="44" t="s">
        <v>169</v>
      </c>
      <c r="Q48" s="23"/>
      <c r="R48" s="406">
        <v>40</v>
      </c>
      <c r="S48" s="405" t="s">
        <v>170</v>
      </c>
      <c r="T48" s="15" t="s">
        <v>23</v>
      </c>
      <c r="U48" s="44" t="s">
        <v>171</v>
      </c>
      <c r="V48" s="23"/>
      <c r="W48" s="23"/>
      <c r="X48" s="23"/>
      <c r="Y48" s="23"/>
      <c r="Z48" s="35"/>
    </row>
    <row r="49" spans="2:26" ht="19.5" customHeight="1">
      <c r="B49" s="34"/>
      <c r="C49" s="23"/>
      <c r="D49" s="23"/>
      <c r="E49" s="23"/>
      <c r="F49" s="23"/>
      <c r="G49" s="36"/>
      <c r="H49" s="406">
        <v>40</v>
      </c>
      <c r="I49" s="405" t="s">
        <v>172</v>
      </c>
      <c r="J49" s="5" t="s">
        <v>44</v>
      </c>
      <c r="K49" s="45" t="s">
        <v>173</v>
      </c>
      <c r="L49" s="26">
        <v>40</v>
      </c>
      <c r="M49" s="406">
        <v>40</v>
      </c>
      <c r="N49" s="405" t="s">
        <v>174</v>
      </c>
      <c r="O49" s="5" t="s">
        <v>47</v>
      </c>
      <c r="P49" s="45" t="s">
        <v>175</v>
      </c>
      <c r="Q49" s="23"/>
      <c r="R49" s="26"/>
      <c r="S49" s="26"/>
      <c r="T49" s="3"/>
      <c r="U49" s="23"/>
      <c r="V49" s="23"/>
      <c r="W49" s="23"/>
      <c r="X49" s="23"/>
      <c r="Y49" s="23"/>
      <c r="Z49" s="35"/>
    </row>
    <row r="50" spans="2:26" ht="19.5" customHeight="1">
      <c r="B50" s="34"/>
      <c r="C50" s="23"/>
      <c r="D50" s="23"/>
      <c r="E50" s="23"/>
      <c r="F50" s="23"/>
      <c r="G50" s="36"/>
      <c r="H50" s="406">
        <v>40</v>
      </c>
      <c r="I50" s="405" t="s">
        <v>176</v>
      </c>
      <c r="J50" s="17" t="s">
        <v>53</v>
      </c>
      <c r="K50" s="44" t="s">
        <v>54</v>
      </c>
      <c r="L50" s="26">
        <v>10</v>
      </c>
      <c r="M50" s="406">
        <v>10</v>
      </c>
      <c r="N50" s="405" t="s">
        <v>177</v>
      </c>
      <c r="O50" s="17" t="s">
        <v>51</v>
      </c>
      <c r="P50" s="44">
        <v>10900</v>
      </c>
      <c r="Q50" s="23"/>
      <c r="R50" s="406">
        <v>40</v>
      </c>
      <c r="S50" s="405" t="s">
        <v>178</v>
      </c>
      <c r="T50" s="16" t="s">
        <v>33</v>
      </c>
      <c r="U50" s="44" t="s">
        <v>179</v>
      </c>
      <c r="V50" s="406">
        <v>40</v>
      </c>
      <c r="W50" s="405" t="s">
        <v>180</v>
      </c>
      <c r="X50" s="15" t="s">
        <v>36</v>
      </c>
      <c r="Y50" s="44" t="s">
        <v>181</v>
      </c>
      <c r="Z50" s="35"/>
    </row>
    <row r="51" spans="2:26" ht="19.5" customHeight="1">
      <c r="B51" s="34"/>
      <c r="C51" s="23"/>
      <c r="D51" s="23"/>
      <c r="E51" s="23"/>
      <c r="F51" s="23"/>
      <c r="G51" s="36"/>
      <c r="H51" s="406">
        <v>3</v>
      </c>
      <c r="I51" s="405" t="s">
        <v>182</v>
      </c>
      <c r="J51" s="17" t="s">
        <v>58</v>
      </c>
      <c r="K51" s="45" t="s">
        <v>61</v>
      </c>
      <c r="L51" s="26">
        <v>10</v>
      </c>
      <c r="M51" s="406">
        <v>10</v>
      </c>
      <c r="N51" s="405" t="s">
        <v>183</v>
      </c>
      <c r="O51" s="17" t="s">
        <v>63</v>
      </c>
      <c r="P51" s="44" t="s">
        <v>103</v>
      </c>
      <c r="Q51" s="23"/>
      <c r="R51" s="406">
        <v>40</v>
      </c>
      <c r="S51" s="405" t="s">
        <v>184</v>
      </c>
      <c r="T51" s="5" t="s">
        <v>44</v>
      </c>
      <c r="U51" s="45" t="s">
        <v>173</v>
      </c>
      <c r="V51" s="406">
        <v>40</v>
      </c>
      <c r="W51" s="405" t="s">
        <v>185</v>
      </c>
      <c r="X51" s="5" t="s">
        <v>47</v>
      </c>
      <c r="Y51" s="45" t="s">
        <v>186</v>
      </c>
      <c r="Z51" s="35"/>
    </row>
    <row r="52" spans="2:26" ht="19.5" customHeight="1">
      <c r="B52" s="34"/>
      <c r="C52" s="23"/>
      <c r="D52" s="23"/>
      <c r="E52" s="23"/>
      <c r="F52" s="23"/>
      <c r="G52" s="36"/>
      <c r="H52" s="406">
        <v>1</v>
      </c>
      <c r="I52" s="405" t="s">
        <v>187</v>
      </c>
      <c r="J52" s="5" t="s">
        <v>188</v>
      </c>
      <c r="K52" s="45" t="s">
        <v>189</v>
      </c>
      <c r="L52" s="26">
        <v>10</v>
      </c>
      <c r="M52" s="406">
        <v>10</v>
      </c>
      <c r="N52" s="405" t="s">
        <v>190</v>
      </c>
      <c r="O52" s="5" t="s">
        <v>191</v>
      </c>
      <c r="P52" s="45" t="s">
        <v>192</v>
      </c>
      <c r="Q52" s="23"/>
      <c r="R52" s="406">
        <v>40</v>
      </c>
      <c r="S52" s="405" t="s">
        <v>193</v>
      </c>
      <c r="T52" s="17" t="s">
        <v>53</v>
      </c>
      <c r="U52" s="44" t="s">
        <v>54</v>
      </c>
      <c r="V52" s="406">
        <v>10</v>
      </c>
      <c r="W52" s="405" t="s">
        <v>194</v>
      </c>
      <c r="X52" s="17" t="s">
        <v>51</v>
      </c>
      <c r="Y52" s="44">
        <v>10900</v>
      </c>
      <c r="Z52" s="35"/>
    </row>
    <row r="53" spans="2:26" ht="19.5" customHeight="1">
      <c r="B53" s="34"/>
      <c r="C53" s="23"/>
      <c r="D53" s="23"/>
      <c r="E53" s="23"/>
      <c r="F53" s="23"/>
      <c r="G53" s="36"/>
      <c r="H53" s="406">
        <v>13</v>
      </c>
      <c r="I53" s="405" t="s">
        <v>195</v>
      </c>
      <c r="J53" s="13" t="s">
        <v>122</v>
      </c>
      <c r="K53" s="45" t="s">
        <v>196</v>
      </c>
      <c r="L53" s="23"/>
      <c r="M53" s="23"/>
      <c r="N53" s="23"/>
      <c r="O53" s="23"/>
      <c r="P53" s="23"/>
      <c r="Q53" s="23"/>
      <c r="R53" s="406">
        <v>3</v>
      </c>
      <c r="S53" s="405" t="s">
        <v>197</v>
      </c>
      <c r="T53" s="17" t="s">
        <v>58</v>
      </c>
      <c r="U53" s="45" t="s">
        <v>61</v>
      </c>
      <c r="V53" s="406">
        <v>10</v>
      </c>
      <c r="W53" s="405" t="s">
        <v>198</v>
      </c>
      <c r="X53" s="17" t="s">
        <v>63</v>
      </c>
      <c r="Y53" s="44" t="s">
        <v>103</v>
      </c>
      <c r="Z53" s="35"/>
    </row>
    <row r="54" spans="2:26" ht="19.5" customHeight="1">
      <c r="B54" s="34"/>
      <c r="C54" s="23"/>
      <c r="D54" s="23"/>
      <c r="E54" s="23"/>
      <c r="F54" s="23"/>
      <c r="G54" s="36"/>
      <c r="H54" s="26"/>
      <c r="I54" s="26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35"/>
    </row>
    <row r="55" spans="2:26" ht="19.5" customHeight="1">
      <c r="B55" s="34"/>
      <c r="C55" s="23"/>
      <c r="D55" s="23"/>
      <c r="E55" s="23"/>
      <c r="F55" s="23"/>
      <c r="G55" s="36"/>
      <c r="H55" s="26"/>
      <c r="I55" s="26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35"/>
    </row>
    <row r="56" spans="2:26" ht="19.5" customHeight="1">
      <c r="B56" s="39"/>
      <c r="C56" s="40"/>
      <c r="D56" s="40"/>
      <c r="E56" s="40"/>
      <c r="F56" s="40"/>
      <c r="G56" s="41"/>
      <c r="H56" s="42"/>
      <c r="I56" s="42"/>
      <c r="J56" s="40"/>
      <c r="K56" s="40"/>
      <c r="L56" s="40"/>
      <c r="M56" s="40"/>
      <c r="N56" s="40"/>
      <c r="O56" s="40"/>
      <c r="P56" s="40"/>
      <c r="Q56" s="40"/>
      <c r="R56" s="42"/>
      <c r="S56" s="42"/>
      <c r="T56" s="40"/>
      <c r="U56" s="40"/>
      <c r="V56" s="40"/>
      <c r="W56" s="40"/>
      <c r="X56" s="40"/>
      <c r="Y56" s="40"/>
      <c r="Z56" s="43"/>
    </row>
    <row r="57" spans="2:26" ht="19.5" customHeight="1"/>
    <row r="58" spans="2:26" ht="39" customHeight="1">
      <c r="B58" s="28" t="s">
        <v>199</v>
      </c>
      <c r="C58" s="30"/>
      <c r="D58" s="30"/>
      <c r="E58" s="30"/>
      <c r="F58" s="30"/>
      <c r="G58" s="31"/>
      <c r="H58" s="407" t="s">
        <v>1</v>
      </c>
      <c r="I58" s="408" t="s">
        <v>2</v>
      </c>
      <c r="J58" s="30"/>
      <c r="K58" s="30"/>
      <c r="L58" s="30"/>
      <c r="M58" s="407" t="s">
        <v>1</v>
      </c>
      <c r="N58" s="408" t="s">
        <v>2</v>
      </c>
      <c r="O58" s="30"/>
      <c r="P58" s="30"/>
      <c r="Q58" s="30"/>
      <c r="R58" s="407" t="s">
        <v>1</v>
      </c>
      <c r="S58" s="408" t="s">
        <v>2</v>
      </c>
      <c r="T58" s="30"/>
      <c r="U58" s="30"/>
      <c r="V58" s="407" t="s">
        <v>1</v>
      </c>
      <c r="W58" s="408" t="s">
        <v>2</v>
      </c>
      <c r="X58" s="30"/>
      <c r="Y58" s="30"/>
      <c r="Z58" s="33"/>
    </row>
    <row r="59" spans="2:26" ht="19.149999999999999" customHeight="1">
      <c r="B59" s="34"/>
      <c r="C59" s="23"/>
      <c r="D59" s="23"/>
      <c r="E59" s="23"/>
      <c r="F59" s="23"/>
      <c r="G59" s="36"/>
      <c r="H59" s="26"/>
      <c r="I59" s="26"/>
      <c r="J59" s="10" t="s">
        <v>200</v>
      </c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35"/>
    </row>
    <row r="60" spans="2:26" ht="19.5" customHeight="1">
      <c r="B60" s="34"/>
      <c r="C60" s="23"/>
      <c r="D60" s="23"/>
      <c r="E60" s="23"/>
      <c r="F60" s="23"/>
      <c r="G60" s="36"/>
      <c r="H60" s="26"/>
      <c r="I60" s="26"/>
      <c r="J60" s="18" t="s">
        <v>2</v>
      </c>
      <c r="K60" s="23"/>
      <c r="L60" s="23"/>
      <c r="M60" s="26"/>
      <c r="N60" s="26"/>
      <c r="O60" s="24" t="s">
        <v>201</v>
      </c>
      <c r="P60" s="23"/>
      <c r="Q60" s="23"/>
      <c r="R60" s="26"/>
      <c r="S60" s="23"/>
      <c r="T60" s="24" t="s">
        <v>202</v>
      </c>
      <c r="U60" s="23"/>
      <c r="V60" s="23"/>
      <c r="W60" s="23"/>
      <c r="X60" s="25" t="s">
        <v>203</v>
      </c>
      <c r="Y60" s="23"/>
      <c r="Z60" s="35"/>
    </row>
    <row r="61" spans="2:26" ht="19.5" customHeight="1">
      <c r="B61" s="34"/>
      <c r="C61" s="23"/>
      <c r="D61" s="23"/>
      <c r="E61" s="23"/>
      <c r="F61" s="23"/>
      <c r="G61" s="36"/>
      <c r="H61" s="406">
        <v>4</v>
      </c>
      <c r="I61" s="405" t="s">
        <v>204</v>
      </c>
      <c r="J61" s="56" t="s">
        <v>205</v>
      </c>
      <c r="K61" s="23"/>
      <c r="L61" s="23"/>
      <c r="M61" s="406">
        <v>15</v>
      </c>
      <c r="N61" s="405" t="s">
        <v>206</v>
      </c>
      <c r="O61" s="45" t="s">
        <v>207</v>
      </c>
      <c r="P61" s="23" t="s">
        <v>208</v>
      </c>
      <c r="Q61" s="23"/>
      <c r="R61" s="406">
        <v>18</v>
      </c>
      <c r="S61" s="405" t="s">
        <v>209</v>
      </c>
      <c r="T61" s="45" t="s">
        <v>210</v>
      </c>
      <c r="U61" s="23"/>
      <c r="V61" s="406">
        <v>40</v>
      </c>
      <c r="W61" s="405" t="s">
        <v>211</v>
      </c>
      <c r="X61" s="44" t="s">
        <v>212</v>
      </c>
      <c r="Y61" s="23"/>
      <c r="Z61" s="35"/>
    </row>
    <row r="62" spans="2:26" ht="19.5" customHeight="1">
      <c r="B62" s="34"/>
      <c r="C62" s="23"/>
      <c r="D62" s="23"/>
      <c r="E62" s="23"/>
      <c r="F62" s="23"/>
      <c r="G62" s="36"/>
      <c r="H62" s="406">
        <v>4</v>
      </c>
      <c r="I62" s="405" t="s">
        <v>213</v>
      </c>
      <c r="J62" s="56" t="s">
        <v>214</v>
      </c>
      <c r="K62" s="23"/>
      <c r="L62" s="23"/>
      <c r="M62" s="406">
        <v>15</v>
      </c>
      <c r="N62" s="405" t="s">
        <v>215</v>
      </c>
      <c r="O62" s="45" t="s">
        <v>207</v>
      </c>
      <c r="P62" s="23"/>
      <c r="Q62" s="23"/>
      <c r="R62" s="406">
        <v>18</v>
      </c>
      <c r="S62" s="405" t="s">
        <v>216</v>
      </c>
      <c r="T62" s="45" t="s">
        <v>217</v>
      </c>
      <c r="U62" s="23"/>
      <c r="V62" s="406">
        <v>40</v>
      </c>
      <c r="W62" s="405" t="s">
        <v>218</v>
      </c>
      <c r="X62" s="44" t="s">
        <v>219</v>
      </c>
      <c r="Y62" s="23"/>
      <c r="Z62" s="35"/>
    </row>
    <row r="63" spans="2:26" ht="19.5" customHeight="1">
      <c r="B63" s="34"/>
      <c r="C63" s="23"/>
      <c r="D63" s="23"/>
      <c r="E63" s="23"/>
      <c r="F63" s="23"/>
      <c r="G63" s="36"/>
      <c r="H63" s="406">
        <v>4</v>
      </c>
      <c r="I63" s="405" t="s">
        <v>220</v>
      </c>
      <c r="J63" s="56" t="s">
        <v>221</v>
      </c>
      <c r="K63" s="23"/>
      <c r="L63" s="23"/>
      <c r="M63" s="406">
        <v>15</v>
      </c>
      <c r="N63" s="405" t="s">
        <v>222</v>
      </c>
      <c r="O63" s="45" t="s">
        <v>207</v>
      </c>
      <c r="P63" s="23"/>
      <c r="Q63" s="23"/>
      <c r="R63" s="406">
        <v>18</v>
      </c>
      <c r="S63" s="405" t="s">
        <v>223</v>
      </c>
      <c r="T63" s="45" t="s">
        <v>224</v>
      </c>
      <c r="U63" s="23"/>
      <c r="V63" s="406">
        <v>40</v>
      </c>
      <c r="W63" s="405" t="s">
        <v>225</v>
      </c>
      <c r="X63" s="44" t="s">
        <v>226</v>
      </c>
      <c r="Y63" s="23"/>
      <c r="Z63" s="35"/>
    </row>
    <row r="64" spans="2:26" ht="19.5" customHeight="1">
      <c r="B64" s="34"/>
      <c r="C64" s="23"/>
      <c r="D64" s="23"/>
      <c r="E64" s="23"/>
      <c r="F64" s="23"/>
      <c r="G64" s="36"/>
      <c r="H64" s="406">
        <v>4</v>
      </c>
      <c r="I64" s="405" t="s">
        <v>227</v>
      </c>
      <c r="J64" s="56" t="s">
        <v>228</v>
      </c>
      <c r="K64" s="23"/>
      <c r="L64" s="23"/>
      <c r="M64" s="406">
        <v>15</v>
      </c>
      <c r="N64" s="405" t="s">
        <v>229</v>
      </c>
      <c r="O64" s="45" t="s">
        <v>207</v>
      </c>
      <c r="P64" s="23"/>
      <c r="Q64" s="23"/>
      <c r="R64" s="406">
        <v>18</v>
      </c>
      <c r="S64" s="405" t="s">
        <v>230</v>
      </c>
      <c r="T64" s="45" t="s">
        <v>231</v>
      </c>
      <c r="U64" s="23"/>
      <c r="V64" s="406">
        <v>40</v>
      </c>
      <c r="W64" s="405" t="s">
        <v>232</v>
      </c>
      <c r="X64" s="44" t="s">
        <v>233</v>
      </c>
      <c r="Y64" s="23"/>
      <c r="Z64" s="35"/>
    </row>
    <row r="65" spans="2:26" ht="19.5" customHeight="1">
      <c r="B65" s="34"/>
      <c r="C65" s="23"/>
      <c r="D65" s="23"/>
      <c r="E65" s="23"/>
      <c r="F65" s="23"/>
      <c r="G65" s="36"/>
      <c r="H65" s="406">
        <v>4</v>
      </c>
      <c r="I65" s="405" t="s">
        <v>234</v>
      </c>
      <c r="J65" s="56" t="s">
        <v>235</v>
      </c>
      <c r="K65" s="23"/>
      <c r="L65" s="23"/>
      <c r="M65" s="406">
        <v>15</v>
      </c>
      <c r="N65" s="405" t="s">
        <v>236</v>
      </c>
      <c r="O65" s="44"/>
      <c r="P65" s="23"/>
      <c r="Q65" s="23"/>
      <c r="R65" s="406">
        <v>18</v>
      </c>
      <c r="S65" s="405" t="s">
        <v>237</v>
      </c>
      <c r="T65" s="44"/>
      <c r="U65" s="23"/>
      <c r="V65" s="406">
        <v>40</v>
      </c>
      <c r="W65" s="405" t="s">
        <v>238</v>
      </c>
      <c r="X65" s="44"/>
      <c r="Y65" s="23"/>
      <c r="Z65" s="35"/>
    </row>
    <row r="66" spans="2:26" ht="19.5" customHeight="1">
      <c r="B66" s="34"/>
      <c r="C66" s="23"/>
      <c r="D66" s="23"/>
      <c r="E66" s="23"/>
      <c r="F66" s="23"/>
      <c r="G66" s="36"/>
      <c r="H66" s="406">
        <v>4</v>
      </c>
      <c r="I66" s="405" t="s">
        <v>239</v>
      </c>
      <c r="J66" s="56" t="s">
        <v>240</v>
      </c>
      <c r="K66" s="23"/>
      <c r="L66" s="23"/>
      <c r="M66" s="406">
        <v>15</v>
      </c>
      <c r="N66" s="405" t="s">
        <v>241</v>
      </c>
      <c r="O66" s="44"/>
      <c r="P66" s="23"/>
      <c r="Q66" s="23"/>
      <c r="R66" s="406">
        <v>18</v>
      </c>
      <c r="S66" s="405" t="s">
        <v>242</v>
      </c>
      <c r="T66" s="44"/>
      <c r="U66" s="23"/>
      <c r="V66" s="406">
        <v>40</v>
      </c>
      <c r="W66" s="405" t="s">
        <v>243</v>
      </c>
      <c r="X66" s="44"/>
      <c r="Y66" s="23"/>
      <c r="Z66" s="35"/>
    </row>
    <row r="67" spans="2:26" ht="19.5" customHeight="1">
      <c r="B67" s="34"/>
      <c r="C67" s="23"/>
      <c r="D67" s="23"/>
      <c r="E67" s="23"/>
      <c r="F67" s="23"/>
      <c r="G67" s="36"/>
      <c r="H67" s="406">
        <v>4</v>
      </c>
      <c r="I67" s="405" t="s">
        <v>244</v>
      </c>
      <c r="J67" s="56" t="s">
        <v>245</v>
      </c>
      <c r="K67" s="23"/>
      <c r="L67" s="23"/>
      <c r="M67" s="406">
        <v>15</v>
      </c>
      <c r="N67" s="405" t="s">
        <v>246</v>
      </c>
      <c r="O67" s="44"/>
      <c r="P67" s="23"/>
      <c r="Q67" s="23"/>
      <c r="R67" s="406">
        <v>18</v>
      </c>
      <c r="S67" s="405" t="s">
        <v>247</v>
      </c>
      <c r="T67" s="44"/>
      <c r="U67" s="23"/>
      <c r="V67" s="406">
        <v>40</v>
      </c>
      <c r="W67" s="405" t="s">
        <v>248</v>
      </c>
      <c r="X67" s="44"/>
      <c r="Y67" s="23"/>
      <c r="Z67" s="35"/>
    </row>
    <row r="68" spans="2:26" ht="19.5" customHeight="1">
      <c r="B68" s="34"/>
      <c r="C68" s="23"/>
      <c r="D68" s="23"/>
      <c r="E68" s="23"/>
      <c r="F68" s="23"/>
      <c r="G68" s="36"/>
      <c r="H68" s="406">
        <v>4</v>
      </c>
      <c r="I68" s="405" t="s">
        <v>249</v>
      </c>
      <c r="J68" s="56" t="s">
        <v>250</v>
      </c>
      <c r="K68" s="23"/>
      <c r="L68" s="23"/>
      <c r="M68" s="406">
        <v>15</v>
      </c>
      <c r="N68" s="405" t="s">
        <v>251</v>
      </c>
      <c r="O68" s="44"/>
      <c r="P68" s="23"/>
      <c r="Q68" s="23"/>
      <c r="R68" s="406">
        <v>18</v>
      </c>
      <c r="S68" s="405" t="s">
        <v>252</v>
      </c>
      <c r="T68" s="44"/>
      <c r="U68" s="23"/>
      <c r="V68" s="406">
        <v>40</v>
      </c>
      <c r="W68" s="405" t="s">
        <v>253</v>
      </c>
      <c r="X68" s="44"/>
      <c r="Y68" s="23"/>
      <c r="Z68" s="35"/>
    </row>
    <row r="69" spans="2:26" ht="19.5" customHeight="1">
      <c r="B69" s="34"/>
      <c r="C69" s="23"/>
      <c r="D69" s="23"/>
      <c r="E69" s="23"/>
      <c r="F69" s="23"/>
      <c r="G69" s="36"/>
      <c r="H69" s="406">
        <v>4</v>
      </c>
      <c r="I69" s="405" t="s">
        <v>254</v>
      </c>
      <c r="J69" s="56" t="s">
        <v>255</v>
      </c>
      <c r="K69" s="23"/>
      <c r="L69" s="23"/>
      <c r="M69" s="406">
        <v>15</v>
      </c>
      <c r="N69" s="405" t="s">
        <v>256</v>
      </c>
      <c r="O69" s="44"/>
      <c r="P69" s="23"/>
      <c r="Q69" s="23"/>
      <c r="R69" s="406">
        <v>18</v>
      </c>
      <c r="S69" s="405" t="s">
        <v>257</v>
      </c>
      <c r="T69" s="44"/>
      <c r="U69" s="23"/>
      <c r="V69" s="406">
        <v>40</v>
      </c>
      <c r="W69" s="405" t="s">
        <v>258</v>
      </c>
      <c r="X69" s="44"/>
      <c r="Y69" s="23"/>
      <c r="Z69" s="35"/>
    </row>
    <row r="70" spans="2:26" ht="19.5" customHeight="1">
      <c r="B70" s="34"/>
      <c r="C70" s="23"/>
      <c r="D70" s="23"/>
      <c r="E70" s="23"/>
      <c r="F70" s="23"/>
      <c r="G70" s="36"/>
      <c r="H70" s="406">
        <v>4</v>
      </c>
      <c r="I70" s="405" t="s">
        <v>259</v>
      </c>
      <c r="J70" s="56" t="s">
        <v>260</v>
      </c>
      <c r="K70" s="23"/>
      <c r="L70" s="23"/>
      <c r="M70" s="406">
        <v>15</v>
      </c>
      <c r="N70" s="405" t="s">
        <v>261</v>
      </c>
      <c r="O70" s="44"/>
      <c r="P70" s="23"/>
      <c r="Q70" s="23"/>
      <c r="R70" s="406">
        <v>18</v>
      </c>
      <c r="S70" s="405" t="s">
        <v>262</v>
      </c>
      <c r="T70" s="44"/>
      <c r="U70" s="23"/>
      <c r="V70" s="406">
        <v>40</v>
      </c>
      <c r="W70" s="405" t="s">
        <v>263</v>
      </c>
      <c r="X70" s="44"/>
      <c r="Y70" s="23"/>
      <c r="Z70" s="35"/>
    </row>
    <row r="71" spans="2:26" ht="19.5" customHeight="1">
      <c r="B71" s="34"/>
      <c r="C71" s="23"/>
      <c r="D71" s="23"/>
      <c r="E71" s="23"/>
      <c r="F71" s="23"/>
      <c r="G71" s="36"/>
      <c r="H71" s="26"/>
      <c r="I71" s="26"/>
      <c r="J71" s="3"/>
      <c r="K71" s="23"/>
      <c r="L71" s="23"/>
      <c r="M71" s="23"/>
      <c r="N71" s="26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35"/>
    </row>
    <row r="72" spans="2:26" ht="19.5" customHeight="1">
      <c r="B72" s="34"/>
      <c r="C72" s="23"/>
      <c r="D72" s="23"/>
      <c r="E72" s="23"/>
      <c r="F72" s="23"/>
      <c r="G72" s="36"/>
      <c r="H72" s="428">
        <v>20</v>
      </c>
      <c r="I72" s="405" t="s">
        <v>264</v>
      </c>
      <c r="J72" s="5" t="s">
        <v>265</v>
      </c>
      <c r="K72" s="429" t="s">
        <v>266</v>
      </c>
      <c r="L72" s="47" t="s">
        <v>38</v>
      </c>
      <c r="M72" s="428">
        <v>20</v>
      </c>
      <c r="N72" s="405" t="s">
        <v>267</v>
      </c>
      <c r="O72" s="5" t="s">
        <v>265</v>
      </c>
      <c r="P72" s="429" t="s">
        <v>266</v>
      </c>
      <c r="Q72" s="23"/>
      <c r="R72" s="23"/>
      <c r="S72" s="23"/>
      <c r="T72" s="23"/>
      <c r="U72" s="23"/>
      <c r="V72" s="23"/>
      <c r="W72" s="23"/>
      <c r="X72" s="23"/>
      <c r="Y72" s="23"/>
      <c r="Z72" s="35"/>
    </row>
    <row r="73" spans="2:26" ht="19.5" customHeight="1">
      <c r="B73" s="34"/>
      <c r="C73" s="23"/>
      <c r="D73" s="23"/>
      <c r="E73" s="23"/>
      <c r="F73" s="23"/>
      <c r="G73" s="36"/>
      <c r="H73" s="406">
        <v>2</v>
      </c>
      <c r="I73" s="405" t="s">
        <v>268</v>
      </c>
      <c r="J73" s="10" t="s">
        <v>269</v>
      </c>
      <c r="K73" s="44" t="s">
        <v>270</v>
      </c>
      <c r="L73" s="23"/>
      <c r="M73" s="406">
        <v>18</v>
      </c>
      <c r="N73" s="405" t="s">
        <v>271</v>
      </c>
      <c r="O73" s="10" t="s">
        <v>272</v>
      </c>
      <c r="P73" s="44" t="s">
        <v>273</v>
      </c>
      <c r="Q73" s="23"/>
      <c r="R73" s="23"/>
      <c r="S73" s="23"/>
      <c r="T73" s="23"/>
      <c r="U73" s="23"/>
      <c r="V73" s="23"/>
      <c r="W73" s="23"/>
      <c r="X73" s="23"/>
      <c r="Y73" s="23"/>
      <c r="Z73" s="35"/>
    </row>
    <row r="74" spans="2:26" ht="19.5" customHeight="1">
      <c r="B74" s="34"/>
      <c r="C74" s="23"/>
      <c r="D74" s="23"/>
      <c r="E74" s="23"/>
      <c r="F74" s="23"/>
      <c r="G74" s="36"/>
      <c r="H74" s="406">
        <v>2</v>
      </c>
      <c r="I74" s="405" t="s">
        <v>274</v>
      </c>
      <c r="J74" s="430" t="s">
        <v>275</v>
      </c>
      <c r="K74" s="44" t="s">
        <v>270</v>
      </c>
      <c r="L74" s="23"/>
      <c r="M74" s="406">
        <v>50</v>
      </c>
      <c r="N74" s="405" t="s">
        <v>276</v>
      </c>
      <c r="O74" s="10" t="s">
        <v>99</v>
      </c>
      <c r="P74" s="44" t="str">
        <f>P28</f>
        <v>Comment 101</v>
      </c>
      <c r="Q74" s="23"/>
      <c r="R74" s="23"/>
      <c r="S74" s="23"/>
      <c r="T74" s="23"/>
      <c r="U74" s="23"/>
      <c r="V74" s="23"/>
      <c r="W74" s="23"/>
      <c r="X74" s="23"/>
      <c r="Y74" s="23"/>
      <c r="Z74" s="35"/>
    </row>
    <row r="75" spans="2:26" ht="19.5" customHeight="1">
      <c r="B75" s="34"/>
      <c r="C75" s="23"/>
      <c r="D75" s="23"/>
      <c r="E75" s="23"/>
      <c r="F75" s="23"/>
      <c r="G75" s="36"/>
      <c r="H75" s="406">
        <v>3</v>
      </c>
      <c r="I75" s="405" t="s">
        <v>277</v>
      </c>
      <c r="J75" s="19" t="s">
        <v>278</v>
      </c>
      <c r="K75" s="44"/>
      <c r="L75" s="23"/>
      <c r="M75" s="406">
        <v>70</v>
      </c>
      <c r="N75" s="405" t="s">
        <v>279</v>
      </c>
      <c r="O75" s="19" t="s">
        <v>280</v>
      </c>
      <c r="P75" s="44"/>
      <c r="Q75" s="23"/>
      <c r="R75" s="23"/>
      <c r="S75" s="23"/>
      <c r="T75" s="23"/>
      <c r="U75" s="23"/>
      <c r="V75" s="23"/>
      <c r="W75" s="23"/>
      <c r="X75" s="23"/>
      <c r="Y75" s="23"/>
      <c r="Z75" s="35"/>
    </row>
    <row r="76" spans="2:26" ht="19.5" customHeight="1">
      <c r="B76" s="34"/>
      <c r="C76" s="23"/>
      <c r="D76" s="23"/>
      <c r="E76" s="23"/>
      <c r="F76" s="23"/>
      <c r="G76" s="36" t="s">
        <v>155</v>
      </c>
      <c r="H76" s="406">
        <v>20</v>
      </c>
      <c r="I76" s="405" t="s">
        <v>281</v>
      </c>
      <c r="J76" s="19" t="s">
        <v>265</v>
      </c>
      <c r="K76" s="44" t="s">
        <v>282</v>
      </c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35"/>
    </row>
    <row r="77" spans="2:26" ht="19.5" customHeight="1">
      <c r="B77" s="34"/>
      <c r="C77" s="23"/>
      <c r="D77" s="23"/>
      <c r="E77" s="23"/>
      <c r="F77" s="23"/>
      <c r="G77" s="36"/>
      <c r="H77" s="26"/>
      <c r="I77" s="26"/>
      <c r="J77" s="3"/>
      <c r="K77" s="23"/>
      <c r="L77" s="23"/>
      <c r="M77" s="23"/>
      <c r="N77" s="26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35"/>
    </row>
    <row r="78" spans="2:26" ht="19.5" customHeight="1">
      <c r="B78" s="34"/>
      <c r="C78" s="23"/>
      <c r="D78" s="23"/>
      <c r="E78" s="23"/>
      <c r="F78" s="23"/>
      <c r="G78" s="36"/>
      <c r="H78" s="26"/>
      <c r="I78" s="26"/>
      <c r="J78" s="10" t="s">
        <v>132</v>
      </c>
      <c r="K78" s="24" t="s">
        <v>2</v>
      </c>
      <c r="L78" s="24" t="s">
        <v>23</v>
      </c>
      <c r="M78" s="36"/>
      <c r="N78" s="26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35"/>
    </row>
    <row r="79" spans="2:26" ht="19.5" customHeight="1">
      <c r="B79" s="34"/>
      <c r="C79" s="23"/>
      <c r="D79" s="23"/>
      <c r="E79" s="23"/>
      <c r="F79" s="23"/>
      <c r="G79" s="36"/>
      <c r="H79" s="406">
        <v>10</v>
      </c>
      <c r="I79" s="405" t="s">
        <v>271</v>
      </c>
      <c r="J79" s="10" t="s">
        <v>283</v>
      </c>
      <c r="K79" s="44">
        <v>11191643</v>
      </c>
      <c r="L79" s="56"/>
      <c r="M79" s="23"/>
      <c r="N79" s="26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35"/>
    </row>
    <row r="80" spans="2:26" ht="19.5" customHeight="1">
      <c r="B80" s="34"/>
      <c r="C80" s="23"/>
      <c r="D80" s="23"/>
      <c r="E80" s="23"/>
      <c r="F80" s="23"/>
      <c r="G80" s="36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35"/>
    </row>
    <row r="81" spans="2:26" ht="19.5" customHeight="1">
      <c r="B81" s="39"/>
      <c r="C81" s="40"/>
      <c r="D81" s="40"/>
      <c r="E81" s="40"/>
      <c r="F81" s="40"/>
      <c r="G81" s="41"/>
      <c r="H81" s="42"/>
      <c r="I81" s="42"/>
      <c r="J81" s="40"/>
      <c r="K81" s="40"/>
      <c r="L81" s="40"/>
      <c r="M81" s="40"/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3"/>
    </row>
    <row r="82" spans="2:26" ht="19.5" customHeight="1"/>
    <row r="83" spans="2:26" ht="39" customHeight="1">
      <c r="B83" s="29" t="s">
        <v>284</v>
      </c>
      <c r="C83" s="30"/>
      <c r="D83" s="30"/>
      <c r="E83" s="30"/>
      <c r="F83" s="30"/>
      <c r="G83" s="31"/>
      <c r="H83" s="407" t="s">
        <v>1</v>
      </c>
      <c r="I83" s="408" t="s">
        <v>2</v>
      </c>
      <c r="J83" s="30"/>
      <c r="K83" s="30"/>
      <c r="L83" s="30"/>
      <c r="M83" s="407" t="s">
        <v>1</v>
      </c>
      <c r="N83" s="408" t="s">
        <v>2</v>
      </c>
      <c r="O83" s="30"/>
      <c r="P83" s="30"/>
      <c r="Q83" s="30"/>
      <c r="R83" s="407" t="s">
        <v>1</v>
      </c>
      <c r="S83" s="408" t="s">
        <v>2</v>
      </c>
      <c r="T83" s="30"/>
      <c r="U83" s="30"/>
      <c r="V83" s="30"/>
      <c r="W83" s="30"/>
      <c r="X83" s="30"/>
      <c r="Y83" s="30"/>
      <c r="Z83" s="33"/>
    </row>
    <row r="84" spans="2:26" ht="19.5" customHeight="1">
      <c r="B84" s="34"/>
      <c r="C84" s="23"/>
      <c r="D84" s="23"/>
      <c r="E84" s="23"/>
      <c r="F84" s="23"/>
      <c r="G84" s="36"/>
      <c r="H84" s="406">
        <v>20</v>
      </c>
      <c r="I84" s="405" t="s">
        <v>285</v>
      </c>
      <c r="J84" s="20" t="s">
        <v>286</v>
      </c>
      <c r="K84" s="44" t="s">
        <v>287</v>
      </c>
      <c r="L84" s="36"/>
      <c r="M84" s="406">
        <v>2</v>
      </c>
      <c r="N84" s="405" t="s">
        <v>288</v>
      </c>
      <c r="O84" s="10" t="s">
        <v>289</v>
      </c>
      <c r="P84" s="45" t="s">
        <v>290</v>
      </c>
      <c r="Q84" s="47" t="s">
        <v>38</v>
      </c>
      <c r="R84" s="406">
        <v>20</v>
      </c>
      <c r="S84" s="405" t="s">
        <v>291</v>
      </c>
      <c r="T84" s="20" t="s">
        <v>286</v>
      </c>
      <c r="U84" s="44" t="s">
        <v>266</v>
      </c>
      <c r="V84" s="48"/>
      <c r="W84" s="48"/>
      <c r="X84" s="46" t="s">
        <v>292</v>
      </c>
      <c r="Y84" s="46"/>
      <c r="Z84" s="35"/>
    </row>
    <row r="85" spans="2:26" ht="19.5" customHeight="1">
      <c r="B85" s="34"/>
      <c r="C85" s="23"/>
      <c r="D85" s="23"/>
      <c r="E85" s="23"/>
      <c r="F85" s="23"/>
      <c r="G85" s="36"/>
      <c r="H85" s="406">
        <v>4</v>
      </c>
      <c r="I85" s="405" t="s">
        <v>293</v>
      </c>
      <c r="J85" s="12" t="s">
        <v>294</v>
      </c>
      <c r="K85" s="45" t="s">
        <v>61</v>
      </c>
      <c r="L85" s="36"/>
      <c r="M85" s="406">
        <v>1</v>
      </c>
      <c r="N85" s="405" t="s">
        <v>295</v>
      </c>
      <c r="O85" s="10" t="s">
        <v>296</v>
      </c>
      <c r="P85" s="44" t="s">
        <v>113</v>
      </c>
      <c r="Q85" s="47" t="s">
        <v>38</v>
      </c>
      <c r="R85" s="23"/>
      <c r="S85" s="23"/>
      <c r="T85" s="23"/>
      <c r="U85" s="23"/>
      <c r="V85" s="23"/>
      <c r="W85" s="48"/>
      <c r="X85" s="23"/>
      <c r="Y85" s="46"/>
      <c r="Z85" s="35"/>
    </row>
    <row r="86" spans="2:26" ht="19.5" customHeight="1">
      <c r="B86" s="34"/>
      <c r="C86" s="23"/>
      <c r="D86" s="23"/>
      <c r="E86" s="23"/>
      <c r="F86" s="23"/>
      <c r="G86" s="36"/>
      <c r="H86" s="36"/>
      <c r="I86" s="36"/>
      <c r="J86" s="36"/>
      <c r="K86" s="36"/>
      <c r="L86" s="36"/>
      <c r="M86" s="406">
        <v>1</v>
      </c>
      <c r="N86" s="405" t="s">
        <v>297</v>
      </c>
      <c r="O86" s="12" t="s">
        <v>298</v>
      </c>
      <c r="P86" s="44" t="s">
        <v>299</v>
      </c>
      <c r="Q86" s="23" t="s">
        <v>300</v>
      </c>
      <c r="R86" s="23"/>
      <c r="S86" s="23"/>
      <c r="T86" s="10" t="s">
        <v>132</v>
      </c>
      <c r="U86" s="14" t="s">
        <v>2</v>
      </c>
      <c r="V86" s="24" t="s">
        <v>23</v>
      </c>
      <c r="W86" s="24" t="s">
        <v>301</v>
      </c>
      <c r="X86" s="23"/>
      <c r="Y86" s="23"/>
      <c r="Z86" s="35"/>
    </row>
    <row r="87" spans="2:26" ht="19.5" customHeight="1">
      <c r="B87" s="34"/>
      <c r="C87" s="23"/>
      <c r="D87" s="23"/>
      <c r="E87" s="23"/>
      <c r="F87" s="23"/>
      <c r="G87" s="36"/>
      <c r="H87" s="36"/>
      <c r="I87" s="36"/>
      <c r="J87" s="36"/>
      <c r="K87" s="36"/>
      <c r="L87" s="36"/>
      <c r="M87" s="36"/>
      <c r="N87" s="36"/>
      <c r="O87" s="36"/>
      <c r="P87" s="36"/>
      <c r="Q87" s="23"/>
      <c r="R87" s="406">
        <v>10</v>
      </c>
      <c r="S87" s="405" t="s">
        <v>302</v>
      </c>
      <c r="T87" s="10" t="s">
        <v>303</v>
      </c>
      <c r="U87" s="45" t="s">
        <v>304</v>
      </c>
      <c r="V87" s="54"/>
      <c r="W87" s="54" t="s">
        <v>305</v>
      </c>
      <c r="X87" s="23"/>
      <c r="Y87" s="23"/>
      <c r="Z87" s="409"/>
    </row>
    <row r="88" spans="2:26" ht="19.5" customHeight="1">
      <c r="B88" s="34"/>
      <c r="C88" s="23"/>
      <c r="D88" s="23"/>
      <c r="E88" s="23"/>
      <c r="F88" s="23"/>
      <c r="G88" s="36"/>
      <c r="H88" s="26">
        <v>4</v>
      </c>
      <c r="I88" s="26"/>
      <c r="J88" s="23"/>
      <c r="K88" s="23"/>
      <c r="L88" s="36"/>
      <c r="M88" s="36"/>
      <c r="N88" s="36"/>
      <c r="O88" s="23"/>
      <c r="P88" s="23"/>
      <c r="Q88" s="23"/>
      <c r="R88" s="406">
        <v>10</v>
      </c>
      <c r="S88" s="405" t="s">
        <v>306</v>
      </c>
      <c r="T88" s="10" t="s">
        <v>307</v>
      </c>
      <c r="U88" s="45" t="s">
        <v>308</v>
      </c>
      <c r="V88" s="54"/>
      <c r="W88" s="54" t="s">
        <v>309</v>
      </c>
      <c r="X88" s="23"/>
      <c r="Y88" s="23"/>
      <c r="Z88" s="409"/>
    </row>
    <row r="89" spans="2:26" ht="19.5" customHeight="1">
      <c r="B89" s="34"/>
      <c r="C89" s="23"/>
      <c r="D89" s="23"/>
      <c r="E89" s="23"/>
      <c r="F89" s="23"/>
      <c r="G89" s="36"/>
      <c r="H89" s="26">
        <v>2</v>
      </c>
      <c r="I89" s="26"/>
      <c r="J89" s="23"/>
      <c r="K89" s="23"/>
      <c r="L89" s="36"/>
      <c r="M89" s="36"/>
      <c r="N89" s="36"/>
      <c r="O89" s="23"/>
      <c r="P89" s="23"/>
      <c r="Q89" s="23"/>
      <c r="R89" s="431">
        <v>10</v>
      </c>
      <c r="S89" s="431" t="s">
        <v>310</v>
      </c>
      <c r="T89" s="434" t="s">
        <v>311</v>
      </c>
      <c r="U89" s="433" t="s">
        <v>308</v>
      </c>
      <c r="V89" s="432"/>
      <c r="W89" s="435" t="s">
        <v>312</v>
      </c>
      <c r="X89" s="23" t="s">
        <v>313</v>
      </c>
      <c r="Y89" s="23"/>
      <c r="Z89" s="409"/>
    </row>
    <row r="90" spans="2:26" ht="19.5" customHeight="1">
      <c r="B90" s="34"/>
      <c r="C90" s="23"/>
      <c r="D90" s="23"/>
      <c r="E90" s="23"/>
      <c r="F90" s="23"/>
      <c r="G90" s="36"/>
      <c r="H90" s="26">
        <v>2</v>
      </c>
      <c r="I90" s="26"/>
      <c r="J90" s="23"/>
      <c r="K90" s="23"/>
      <c r="L90" s="36"/>
      <c r="M90" s="36"/>
      <c r="N90" s="36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409"/>
    </row>
    <row r="91" spans="2:26" ht="19.5" customHeight="1">
      <c r="B91" s="34"/>
      <c r="C91" s="23"/>
      <c r="D91" s="23"/>
      <c r="E91" s="23"/>
      <c r="F91" s="23"/>
      <c r="G91" s="36"/>
      <c r="H91" s="26"/>
      <c r="I91" s="26"/>
      <c r="J91" s="23"/>
      <c r="K91" s="23"/>
      <c r="L91" s="36"/>
      <c r="M91" s="36"/>
      <c r="N91" s="36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409"/>
    </row>
    <row r="92" spans="2:26" ht="19.5" customHeight="1">
      <c r="B92" s="34"/>
      <c r="C92" s="23"/>
      <c r="D92" s="23"/>
      <c r="E92" s="23"/>
      <c r="F92" s="23"/>
      <c r="G92" s="36"/>
      <c r="H92" s="406">
        <v>4</v>
      </c>
      <c r="I92" s="405" t="s">
        <v>314</v>
      </c>
      <c r="J92" s="10" t="s">
        <v>315</v>
      </c>
      <c r="K92" s="44" t="s">
        <v>316</v>
      </c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35"/>
    </row>
    <row r="93" spans="2:26" ht="19.5" customHeight="1">
      <c r="B93" s="34"/>
      <c r="C93" s="23"/>
      <c r="D93" s="23"/>
      <c r="E93" s="23"/>
      <c r="F93" s="23"/>
      <c r="G93" s="36"/>
      <c r="H93" s="406">
        <v>2</v>
      </c>
      <c r="I93" s="405" t="s">
        <v>317</v>
      </c>
      <c r="J93" s="10" t="s">
        <v>41</v>
      </c>
      <c r="K93" s="44" t="s">
        <v>318</v>
      </c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35"/>
    </row>
    <row r="94" spans="2:26" ht="19.5" customHeight="1">
      <c r="B94" s="34"/>
      <c r="C94" s="23"/>
      <c r="D94" s="23"/>
      <c r="E94" s="23"/>
      <c r="F94" s="23"/>
      <c r="G94" s="36"/>
      <c r="H94" s="406">
        <v>1</v>
      </c>
      <c r="I94" s="405" t="s">
        <v>319</v>
      </c>
      <c r="J94" s="10" t="s">
        <v>320</v>
      </c>
      <c r="K94" s="44" t="s">
        <v>318</v>
      </c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35"/>
    </row>
    <row r="95" spans="2:26" ht="19.5" customHeight="1">
      <c r="B95" s="34"/>
      <c r="C95" s="23"/>
      <c r="D95" s="23"/>
      <c r="E95" s="23"/>
      <c r="F95" s="23"/>
      <c r="G95" s="36"/>
      <c r="H95" s="406">
        <v>6</v>
      </c>
      <c r="I95" s="405" t="s">
        <v>321</v>
      </c>
      <c r="J95" s="10" t="s">
        <v>322</v>
      </c>
      <c r="K95" s="44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35"/>
    </row>
    <row r="96" spans="2:26" ht="19.5" customHeight="1">
      <c r="B96" s="34"/>
      <c r="C96" s="23"/>
      <c r="D96" s="23"/>
      <c r="E96" s="23"/>
      <c r="F96" s="23"/>
      <c r="G96" s="36"/>
      <c r="H96" s="406">
        <v>10</v>
      </c>
      <c r="I96" s="405" t="s">
        <v>323</v>
      </c>
      <c r="J96" s="10" t="s">
        <v>324</v>
      </c>
      <c r="K96" s="44" t="s">
        <v>325</v>
      </c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35"/>
    </row>
    <row r="97" spans="2:26" ht="19.5" customHeight="1">
      <c r="B97" s="34"/>
      <c r="C97" s="23"/>
      <c r="D97" s="23"/>
      <c r="E97" s="23"/>
      <c r="F97" s="23"/>
      <c r="G97" s="36"/>
      <c r="H97" s="26"/>
      <c r="I97" s="26"/>
      <c r="J97" s="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35"/>
    </row>
    <row r="98" spans="2:26" ht="19.5" customHeight="1">
      <c r="B98" s="34"/>
      <c r="C98" s="23"/>
      <c r="D98" s="23"/>
      <c r="E98" s="23"/>
      <c r="F98" s="23"/>
      <c r="G98" s="36"/>
      <c r="H98" s="406">
        <v>3</v>
      </c>
      <c r="I98" s="405" t="s">
        <v>326</v>
      </c>
      <c r="J98" s="10" t="s">
        <v>327</v>
      </c>
      <c r="K98" s="44" t="s">
        <v>328</v>
      </c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35"/>
    </row>
    <row r="99" spans="2:26" ht="19.5" customHeight="1">
      <c r="B99" s="34"/>
      <c r="C99" s="23"/>
      <c r="D99" s="23"/>
      <c r="E99" s="23"/>
      <c r="F99" s="23"/>
      <c r="G99" s="36"/>
      <c r="H99" s="406">
        <v>10</v>
      </c>
      <c r="I99" s="405" t="s">
        <v>329</v>
      </c>
      <c r="J99" s="10" t="s">
        <v>330</v>
      </c>
      <c r="K99" s="45" t="s">
        <v>61</v>
      </c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35"/>
    </row>
    <row r="100" spans="2:26" ht="19.5" customHeight="1">
      <c r="B100" s="34"/>
      <c r="C100" s="23"/>
      <c r="D100" s="23"/>
      <c r="E100" s="23"/>
      <c r="F100" s="23"/>
      <c r="G100" s="36"/>
      <c r="H100" s="406">
        <v>3</v>
      </c>
      <c r="I100" s="405" t="s">
        <v>331</v>
      </c>
      <c r="J100" s="10" t="s">
        <v>332</v>
      </c>
      <c r="K100" s="44" t="s">
        <v>333</v>
      </c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35"/>
    </row>
    <row r="101" spans="2:26" ht="19.5" customHeight="1">
      <c r="B101" s="34"/>
      <c r="C101" s="23"/>
      <c r="D101" s="23"/>
      <c r="E101" s="23"/>
      <c r="F101" s="23"/>
      <c r="G101" s="36"/>
      <c r="H101" s="406">
        <v>4</v>
      </c>
      <c r="I101" s="405" t="s">
        <v>334</v>
      </c>
      <c r="J101" s="10" t="s">
        <v>335</v>
      </c>
      <c r="K101" s="44" t="s">
        <v>336</v>
      </c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35"/>
    </row>
    <row r="102" spans="2:26" ht="19.5" customHeight="1">
      <c r="B102" s="34"/>
      <c r="C102" s="23"/>
      <c r="D102" s="23"/>
      <c r="E102" s="23"/>
      <c r="F102" s="23"/>
      <c r="G102" s="36"/>
      <c r="H102" s="36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35"/>
    </row>
    <row r="103" spans="2:26" ht="19.5" customHeight="1">
      <c r="B103" s="39"/>
      <c r="C103" s="40"/>
      <c r="D103" s="40"/>
      <c r="E103" s="40"/>
      <c r="F103" s="40"/>
      <c r="G103" s="41"/>
      <c r="H103" s="42"/>
      <c r="I103" s="42"/>
      <c r="J103" s="40"/>
      <c r="K103" s="40"/>
      <c r="L103" s="40"/>
      <c r="M103" s="40"/>
      <c r="N103" s="40"/>
      <c r="O103" s="40"/>
      <c r="P103" s="40"/>
      <c r="Q103" s="40"/>
      <c r="R103" s="40"/>
      <c r="S103" s="40"/>
      <c r="T103" s="40"/>
      <c r="U103" s="40"/>
      <c r="V103" s="40"/>
      <c r="W103" s="40"/>
      <c r="X103" s="40"/>
      <c r="Y103" s="40"/>
      <c r="Z103" s="43"/>
    </row>
  </sheetData>
  <dataConsolidate/>
  <phoneticPr fontId="1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6" r:id="rId4" name="ComboBox1">
          <controlPr defaultSize="0" autoLine="0" linkedCell="G7" listFillRange="'TOAP-Possible Value'!Y3:Z5" r:id="rId5">
            <anchor moveWithCells="1" sizeWithCells="1">
              <from>
                <xdr:col>6</xdr:col>
                <xdr:colOff>9525</xdr:colOff>
                <xdr:row>6</xdr:row>
                <xdr:rowOff>19050</xdr:rowOff>
              </from>
              <to>
                <xdr:col>7</xdr:col>
                <xdr:colOff>0</xdr:colOff>
                <xdr:row>6</xdr:row>
                <xdr:rowOff>180975</xdr:rowOff>
              </to>
            </anchor>
          </controlPr>
        </control>
      </mc:Choice>
      <mc:Fallback>
        <control shapeId="2056" r:id="rId4" name="ComboBox1"/>
      </mc:Fallback>
    </mc:AlternateContent>
    <mc:AlternateContent xmlns:mc="http://schemas.openxmlformats.org/markup-compatibility/2006">
      <mc:Choice Requires="x14">
        <control shapeId="2058" r:id="rId6" name="ComboBox2">
          <controlPr defaultSize="0" autoLine="0" linkedCell="G8" listFillRange="'TOAP-Possible Value'!AW2:AX7" r:id="rId7">
            <anchor moveWithCells="1" sizeWithCells="1">
              <from>
                <xdr:col>6</xdr:col>
                <xdr:colOff>9525</xdr:colOff>
                <xdr:row>7</xdr:row>
                <xdr:rowOff>9525</xdr:rowOff>
              </from>
              <to>
                <xdr:col>7</xdr:col>
                <xdr:colOff>9525</xdr:colOff>
                <xdr:row>7</xdr:row>
                <xdr:rowOff>180975</xdr:rowOff>
              </to>
            </anchor>
          </controlPr>
        </control>
      </mc:Choice>
      <mc:Fallback>
        <control shapeId="2058" r:id="rId6" name="ComboBox2"/>
      </mc:Fallback>
    </mc:AlternateContent>
    <mc:AlternateContent xmlns:mc="http://schemas.openxmlformats.org/markup-compatibility/2006">
      <mc:Choice Requires="x14">
        <control shapeId="2059" r:id="rId8" name="ComboBox3">
          <controlPr defaultSize="0" autoLine="0" linkedCell="G16" listFillRange="'TOAP-Possible Value'!J2:K3" r:id="rId9">
            <anchor moveWithCells="1" sizeWithCells="1">
              <from>
                <xdr:col>6</xdr:col>
                <xdr:colOff>9525</xdr:colOff>
                <xdr:row>15</xdr:row>
                <xdr:rowOff>9525</xdr:rowOff>
              </from>
              <to>
                <xdr:col>6</xdr:col>
                <xdr:colOff>2600325</xdr:colOff>
                <xdr:row>15</xdr:row>
                <xdr:rowOff>238125</xdr:rowOff>
              </to>
            </anchor>
          </controlPr>
        </control>
      </mc:Choice>
      <mc:Fallback>
        <control shapeId="2059" r:id="rId8" name="ComboBox3"/>
      </mc:Fallback>
    </mc:AlternateContent>
    <mc:AlternateContent xmlns:mc="http://schemas.openxmlformats.org/markup-compatibility/2006">
      <mc:Choice Requires="x14">
        <control shapeId="2061" r:id="rId10" name="ComboBox4">
          <controlPr defaultSize="0" autoLine="0" linkedCell="K24" listFillRange="'TOAP-Possible Value'!P2:Q7" r:id="rId11">
            <anchor moveWithCells="1" sizeWithCells="1">
              <from>
                <xdr:col>10</xdr:col>
                <xdr:colOff>9525</xdr:colOff>
                <xdr:row>23</xdr:row>
                <xdr:rowOff>9525</xdr:rowOff>
              </from>
              <to>
                <xdr:col>11</xdr:col>
                <xdr:colOff>0</xdr:colOff>
                <xdr:row>23</xdr:row>
                <xdr:rowOff>238125</xdr:rowOff>
              </to>
            </anchor>
          </controlPr>
        </control>
      </mc:Choice>
      <mc:Fallback>
        <control shapeId="2061" r:id="rId10" name="ComboBox4"/>
      </mc:Fallback>
    </mc:AlternateContent>
    <mc:AlternateContent xmlns:mc="http://schemas.openxmlformats.org/markup-compatibility/2006">
      <mc:Choice Requires="x14">
        <control shapeId="2062" r:id="rId12" name="ComboBox5">
          <controlPr defaultSize="0" autoLine="0" autoPict="0" linkedCell="P24" listFillRange="'TOAP-Possible Value'!S2:T842" r:id="rId13">
            <anchor moveWithCells="1" sizeWithCells="1">
              <from>
                <xdr:col>15</xdr:col>
                <xdr:colOff>9525</xdr:colOff>
                <xdr:row>23</xdr:row>
                <xdr:rowOff>9525</xdr:rowOff>
              </from>
              <to>
                <xdr:col>16</xdr:col>
                <xdr:colOff>9525</xdr:colOff>
                <xdr:row>24</xdr:row>
                <xdr:rowOff>0</xdr:rowOff>
              </to>
            </anchor>
          </controlPr>
        </control>
      </mc:Choice>
      <mc:Fallback>
        <control shapeId="2062" r:id="rId12" name="ComboBox5"/>
      </mc:Fallback>
    </mc:AlternateContent>
    <mc:AlternateContent xmlns:mc="http://schemas.openxmlformats.org/markup-compatibility/2006">
      <mc:Choice Requires="x14">
        <control shapeId="2063" r:id="rId14" name="ComboBox6">
          <controlPr defaultSize="0" autoLine="0" autoPict="0" linkedCell="K24" listFillRange="'TOAP-Possible Value'!P2:Q7" r:id="rId15">
            <anchor moveWithCells="1" sizeWithCells="1">
              <from>
                <xdr:col>20</xdr:col>
                <xdr:colOff>9525</xdr:colOff>
                <xdr:row>27</xdr:row>
                <xdr:rowOff>9525</xdr:rowOff>
              </from>
              <to>
                <xdr:col>20</xdr:col>
                <xdr:colOff>2286000</xdr:colOff>
                <xdr:row>28</xdr:row>
                <xdr:rowOff>0</xdr:rowOff>
              </to>
            </anchor>
          </controlPr>
        </control>
      </mc:Choice>
      <mc:Fallback>
        <control shapeId="2063" r:id="rId14" name="ComboBox6"/>
      </mc:Fallback>
    </mc:AlternateContent>
    <mc:AlternateContent xmlns:mc="http://schemas.openxmlformats.org/markup-compatibility/2006">
      <mc:Choice Requires="x14">
        <control shapeId="2064" r:id="rId16" name="ComboBox7">
          <controlPr defaultSize="0" autoLine="0" autoPict="0" linkedCell="P24" listFillRange="'TOAP-Possible Value'!S2:T842" r:id="rId17">
            <anchor moveWithCells="1" sizeWithCells="1">
              <from>
                <xdr:col>24</xdr:col>
                <xdr:colOff>9525</xdr:colOff>
                <xdr:row>27</xdr:row>
                <xdr:rowOff>9525</xdr:rowOff>
              </from>
              <to>
                <xdr:col>25</xdr:col>
                <xdr:colOff>9525</xdr:colOff>
                <xdr:row>28</xdr:row>
                <xdr:rowOff>0</xdr:rowOff>
              </to>
            </anchor>
          </controlPr>
        </control>
      </mc:Choice>
      <mc:Fallback>
        <control shapeId="2064" r:id="rId16" name="ComboBox7"/>
      </mc:Fallback>
    </mc:AlternateContent>
    <mc:AlternateContent xmlns:mc="http://schemas.openxmlformats.org/markup-compatibility/2006">
      <mc:Choice Requires="x14">
        <control shapeId="2065" r:id="rId18" name="ComboBox8">
          <controlPr defaultSize="0" autoLine="0" linkedCell="K34" listFillRange="'TOAP-Possible Value'!BF2:BG20" r:id="rId19">
            <anchor moveWithCells="1" sizeWithCells="1">
              <from>
                <xdr:col>10</xdr:col>
                <xdr:colOff>9525</xdr:colOff>
                <xdr:row>33</xdr:row>
                <xdr:rowOff>9525</xdr:rowOff>
              </from>
              <to>
                <xdr:col>11</xdr:col>
                <xdr:colOff>9525</xdr:colOff>
                <xdr:row>34</xdr:row>
                <xdr:rowOff>0</xdr:rowOff>
              </to>
            </anchor>
          </controlPr>
        </control>
      </mc:Choice>
      <mc:Fallback>
        <control shapeId="2065" r:id="rId18" name="ComboBox8"/>
      </mc:Fallback>
    </mc:AlternateContent>
    <mc:AlternateContent xmlns:mc="http://schemas.openxmlformats.org/markup-compatibility/2006">
      <mc:Choice Requires="x14">
        <control shapeId="2066" r:id="rId20" name="ComboBox9">
          <controlPr defaultSize="0" autoLine="0" linkedCell="K35" listFillRange="'TOAP-Possible Value'!AZ2:BA462" r:id="rId21">
            <anchor moveWithCells="1" sizeWithCells="1">
              <from>
                <xdr:col>10</xdr:col>
                <xdr:colOff>9525</xdr:colOff>
                <xdr:row>34</xdr:row>
                <xdr:rowOff>9525</xdr:rowOff>
              </from>
              <to>
                <xdr:col>11</xdr:col>
                <xdr:colOff>9525</xdr:colOff>
                <xdr:row>35</xdr:row>
                <xdr:rowOff>0</xdr:rowOff>
              </to>
            </anchor>
          </controlPr>
        </control>
      </mc:Choice>
      <mc:Fallback>
        <control shapeId="2066" r:id="rId20" name="ComboBox9"/>
      </mc:Fallback>
    </mc:AlternateContent>
    <mc:AlternateContent xmlns:mc="http://schemas.openxmlformats.org/markup-compatibility/2006">
      <mc:Choice Requires="x14">
        <control shapeId="2067" r:id="rId22" name="ComboBox10">
          <controlPr defaultSize="0" autoLine="0" linkedCell="K36" listFillRange="'TOAP-Possible Value'!BZ2:CA25" r:id="rId23">
            <anchor moveWithCells="1" sizeWithCells="1">
              <from>
                <xdr:col>10</xdr:col>
                <xdr:colOff>9525</xdr:colOff>
                <xdr:row>35</xdr:row>
                <xdr:rowOff>9525</xdr:rowOff>
              </from>
              <to>
                <xdr:col>11</xdr:col>
                <xdr:colOff>9525</xdr:colOff>
                <xdr:row>36</xdr:row>
                <xdr:rowOff>0</xdr:rowOff>
              </to>
            </anchor>
          </controlPr>
        </control>
      </mc:Choice>
      <mc:Fallback>
        <control shapeId="2067" r:id="rId22" name="ComboBox10"/>
      </mc:Fallback>
    </mc:AlternateContent>
    <mc:AlternateContent xmlns:mc="http://schemas.openxmlformats.org/markup-compatibility/2006">
      <mc:Choice Requires="x14">
        <control shapeId="2069" r:id="rId24" name="ComboBox11">
          <controlPr defaultSize="0" autoLine="0" linkedCell="P34" listFillRange="'TOAP-Possible Value'!BK2:BL150" r:id="rId25">
            <anchor moveWithCells="1" sizeWithCells="1">
              <from>
                <xdr:col>15</xdr:col>
                <xdr:colOff>19050</xdr:colOff>
                <xdr:row>33</xdr:row>
                <xdr:rowOff>9525</xdr:rowOff>
              </from>
              <to>
                <xdr:col>16</xdr:col>
                <xdr:colOff>19050</xdr:colOff>
                <xdr:row>33</xdr:row>
                <xdr:rowOff>238125</xdr:rowOff>
              </to>
            </anchor>
          </controlPr>
        </control>
      </mc:Choice>
      <mc:Fallback>
        <control shapeId="2069" r:id="rId24" name="ComboBox11"/>
      </mc:Fallback>
    </mc:AlternateContent>
    <mc:AlternateContent xmlns:mc="http://schemas.openxmlformats.org/markup-compatibility/2006">
      <mc:Choice Requires="x14">
        <control shapeId="2070" r:id="rId26" name="ComboBox12">
          <controlPr defaultSize="0" autoLine="0" linkedCell="P35" listFillRange="'TOAP-Possible Value'!BC2:BD25" r:id="rId27">
            <anchor moveWithCells="1" sizeWithCells="1">
              <from>
                <xdr:col>15</xdr:col>
                <xdr:colOff>9525</xdr:colOff>
                <xdr:row>34</xdr:row>
                <xdr:rowOff>9525</xdr:rowOff>
              </from>
              <to>
                <xdr:col>16</xdr:col>
                <xdr:colOff>9525</xdr:colOff>
                <xdr:row>34</xdr:row>
                <xdr:rowOff>238125</xdr:rowOff>
              </to>
            </anchor>
          </controlPr>
        </control>
      </mc:Choice>
      <mc:Fallback>
        <control shapeId="2070" r:id="rId26" name="ComboBox12"/>
      </mc:Fallback>
    </mc:AlternateContent>
    <mc:AlternateContent xmlns:mc="http://schemas.openxmlformats.org/markup-compatibility/2006">
      <mc:Choice Requires="x14">
        <control shapeId="2071" r:id="rId28" name="ComboBox13">
          <controlPr defaultSize="0" autoLine="0" linkedCell="U39" listFillRange="'TOAP-Possible Value'!AQ30:AR200" r:id="rId29">
            <anchor moveWithCells="1" sizeWithCells="1">
              <from>
                <xdr:col>20</xdr:col>
                <xdr:colOff>9525</xdr:colOff>
                <xdr:row>38</xdr:row>
                <xdr:rowOff>0</xdr:rowOff>
              </from>
              <to>
                <xdr:col>20</xdr:col>
                <xdr:colOff>2286000</xdr:colOff>
                <xdr:row>38</xdr:row>
                <xdr:rowOff>247650</xdr:rowOff>
              </to>
            </anchor>
          </controlPr>
        </control>
      </mc:Choice>
      <mc:Fallback>
        <control shapeId="2071" r:id="rId28" name="ComboBox13"/>
      </mc:Fallback>
    </mc:AlternateContent>
    <mc:AlternateContent xmlns:mc="http://schemas.openxmlformats.org/markup-compatibility/2006">
      <mc:Choice Requires="x14">
        <control shapeId="2072" r:id="rId30" name="ComboBox14">
          <controlPr defaultSize="0" autoLine="0" linkedCell="U40" listFillRange="'TOAP-Possible Value'!BT2:BU21" r:id="rId31">
            <anchor moveWithCells="1" sizeWithCells="1">
              <from>
                <xdr:col>20</xdr:col>
                <xdr:colOff>9525</xdr:colOff>
                <xdr:row>38</xdr:row>
                <xdr:rowOff>247650</xdr:rowOff>
              </from>
              <to>
                <xdr:col>20</xdr:col>
                <xdr:colOff>2286000</xdr:colOff>
                <xdr:row>39</xdr:row>
                <xdr:rowOff>247650</xdr:rowOff>
              </to>
            </anchor>
          </controlPr>
        </control>
      </mc:Choice>
      <mc:Fallback>
        <control shapeId="2072" r:id="rId30" name="ComboBox14"/>
      </mc:Fallback>
    </mc:AlternateContent>
    <mc:AlternateContent xmlns:mc="http://schemas.openxmlformats.org/markup-compatibility/2006">
      <mc:Choice Requires="x14">
        <control shapeId="2073" r:id="rId32" name="ComboBox15">
          <controlPr defaultSize="0" autoLine="0" linkedCell="K51" listFillRange="'TOAP-Possible Value'!P2:Q7" r:id="rId33">
            <anchor moveWithCells="1" sizeWithCells="1">
              <from>
                <xdr:col>10</xdr:col>
                <xdr:colOff>9525</xdr:colOff>
                <xdr:row>50</xdr:row>
                <xdr:rowOff>9525</xdr:rowOff>
              </from>
              <to>
                <xdr:col>11</xdr:col>
                <xdr:colOff>0</xdr:colOff>
                <xdr:row>50</xdr:row>
                <xdr:rowOff>247650</xdr:rowOff>
              </to>
            </anchor>
          </controlPr>
        </control>
      </mc:Choice>
      <mc:Fallback>
        <control shapeId="2073" r:id="rId32" name="ComboBox15"/>
      </mc:Fallback>
    </mc:AlternateContent>
    <mc:AlternateContent xmlns:mc="http://schemas.openxmlformats.org/markup-compatibility/2006">
      <mc:Choice Requires="x14">
        <control shapeId="2074" r:id="rId34" name="ComboBox16">
          <controlPr defaultSize="0" autoLine="0" linkedCell="P51" listFillRange="'TOAP-Possible Value'!S2:T842" r:id="rId35">
            <anchor moveWithCells="1" sizeWithCells="1">
              <from>
                <xdr:col>15</xdr:col>
                <xdr:colOff>9525</xdr:colOff>
                <xdr:row>50</xdr:row>
                <xdr:rowOff>9525</xdr:rowOff>
              </from>
              <to>
                <xdr:col>16</xdr:col>
                <xdr:colOff>9525</xdr:colOff>
                <xdr:row>51</xdr:row>
                <xdr:rowOff>0</xdr:rowOff>
              </to>
            </anchor>
          </controlPr>
        </control>
      </mc:Choice>
      <mc:Fallback>
        <control shapeId="2074" r:id="rId34" name="ComboBox16"/>
      </mc:Fallback>
    </mc:AlternateContent>
    <mc:AlternateContent xmlns:mc="http://schemas.openxmlformats.org/markup-compatibility/2006">
      <mc:Choice Requires="x14">
        <control shapeId="2075" r:id="rId36" name="ComboBox17">
          <controlPr defaultSize="0" autoLine="0" autoPict="0" linkedCell="K51" listFillRange="'TOAP-Possible Value'!P2:Q7" r:id="rId37">
            <anchor moveWithCells="1" sizeWithCells="1">
              <from>
                <xdr:col>20</xdr:col>
                <xdr:colOff>19050</xdr:colOff>
                <xdr:row>52</xdr:row>
                <xdr:rowOff>0</xdr:rowOff>
              </from>
              <to>
                <xdr:col>21</xdr:col>
                <xdr:colOff>19050</xdr:colOff>
                <xdr:row>53</xdr:row>
                <xdr:rowOff>0</xdr:rowOff>
              </to>
            </anchor>
          </controlPr>
        </control>
      </mc:Choice>
      <mc:Fallback>
        <control shapeId="2075" r:id="rId36" name="ComboBox17"/>
      </mc:Fallback>
    </mc:AlternateContent>
    <mc:AlternateContent xmlns:mc="http://schemas.openxmlformats.org/markup-compatibility/2006">
      <mc:Choice Requires="x14">
        <control shapeId="2076" r:id="rId38" name="ComboBox18">
          <controlPr defaultSize="0" autoLine="0" linkedCell="P51" listFillRange="'TOAP-Possible Value'!S2:T842" r:id="rId39">
            <anchor moveWithCells="1" sizeWithCells="1">
              <from>
                <xdr:col>24</xdr:col>
                <xdr:colOff>19050</xdr:colOff>
                <xdr:row>52</xdr:row>
                <xdr:rowOff>0</xdr:rowOff>
              </from>
              <to>
                <xdr:col>25</xdr:col>
                <xdr:colOff>9525</xdr:colOff>
                <xdr:row>52</xdr:row>
                <xdr:rowOff>247650</xdr:rowOff>
              </to>
            </anchor>
          </controlPr>
        </control>
      </mc:Choice>
      <mc:Fallback>
        <control shapeId="2076" r:id="rId38" name="ComboBox18"/>
      </mc:Fallback>
    </mc:AlternateContent>
    <mc:AlternateContent xmlns:mc="http://schemas.openxmlformats.org/markup-compatibility/2006">
      <mc:Choice Requires="x14">
        <control shapeId="2077" r:id="rId40" name="ComboBox19">
          <controlPr defaultSize="0" autoLine="0" linkedCell="K73" listFillRange="'TOAP-Possible Value'!AH2:AI6" r:id="rId41">
            <anchor moveWithCells="1" sizeWithCells="1">
              <from>
                <xdr:col>10</xdr:col>
                <xdr:colOff>9525</xdr:colOff>
                <xdr:row>72</xdr:row>
                <xdr:rowOff>9525</xdr:rowOff>
              </from>
              <to>
                <xdr:col>11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2077" r:id="rId40" name="ComboBox19"/>
      </mc:Fallback>
    </mc:AlternateContent>
    <mc:AlternateContent xmlns:mc="http://schemas.openxmlformats.org/markup-compatibility/2006">
      <mc:Choice Requires="x14">
        <control shapeId="2078" r:id="rId42" name="ComboBox20">
          <controlPr defaultSize="0" autoLine="0" linkedCell="K74" listFillRange="'TOAP-Possible Value'!BW2:BX12" r:id="rId43">
            <anchor moveWithCells="1" sizeWithCells="1">
              <from>
                <xdr:col>10</xdr:col>
                <xdr:colOff>9525</xdr:colOff>
                <xdr:row>73</xdr:row>
                <xdr:rowOff>0</xdr:rowOff>
              </from>
              <to>
                <xdr:col>11</xdr:col>
                <xdr:colOff>0</xdr:colOff>
                <xdr:row>73</xdr:row>
                <xdr:rowOff>247650</xdr:rowOff>
              </to>
            </anchor>
          </controlPr>
        </control>
      </mc:Choice>
      <mc:Fallback>
        <control shapeId="2078" r:id="rId42" name="ComboBox20"/>
      </mc:Fallback>
    </mc:AlternateContent>
    <mc:AlternateContent xmlns:mc="http://schemas.openxmlformats.org/markup-compatibility/2006">
      <mc:Choice Requires="x14">
        <control shapeId="2081" r:id="rId44" name="ComboBox21">
          <controlPr defaultSize="0" autoLine="0" linkedCell="K75" listFillRange="'TOAP-Possible Value'!CC2:CD18" r:id="rId45">
            <anchor moveWithCells="1" sizeWithCells="1">
              <from>
                <xdr:col>10</xdr:col>
                <xdr:colOff>9525</xdr:colOff>
                <xdr:row>73</xdr:row>
                <xdr:rowOff>247650</xdr:rowOff>
              </from>
              <to>
                <xdr:col>10</xdr:col>
                <xdr:colOff>2362200</xdr:colOff>
                <xdr:row>74</xdr:row>
                <xdr:rowOff>238125</xdr:rowOff>
              </to>
            </anchor>
          </controlPr>
        </control>
      </mc:Choice>
      <mc:Fallback>
        <control shapeId="2081" r:id="rId44" name="ComboBox21"/>
      </mc:Fallback>
    </mc:AlternateContent>
    <mc:AlternateContent xmlns:mc="http://schemas.openxmlformats.org/markup-compatibility/2006">
      <mc:Choice Requires="x14">
        <control shapeId="2082" r:id="rId46" name="ComboBox22">
          <controlPr defaultSize="0" autoLine="0" linkedCell="P73" listFillRange="'TOAP-Possible Value'!AK2:AL32" r:id="rId47">
            <anchor moveWithCells="1" sizeWithCells="1">
              <from>
                <xdr:col>15</xdr:col>
                <xdr:colOff>9525</xdr:colOff>
                <xdr:row>72</xdr:row>
                <xdr:rowOff>9525</xdr:rowOff>
              </from>
              <to>
                <xdr:col>16</xdr:col>
                <xdr:colOff>9525</xdr:colOff>
                <xdr:row>73</xdr:row>
                <xdr:rowOff>0</xdr:rowOff>
              </to>
            </anchor>
          </controlPr>
        </control>
      </mc:Choice>
      <mc:Fallback>
        <control shapeId="2082" r:id="rId46" name="ComboBox22"/>
      </mc:Fallback>
    </mc:AlternateContent>
    <mc:AlternateContent xmlns:mc="http://schemas.openxmlformats.org/markup-compatibility/2006">
      <mc:Choice Requires="x14">
        <control shapeId="2084" r:id="rId48" name="ComboBox24">
          <controlPr defaultSize="0" autoLine="0" linkedCell="K85" listFillRange="'TOAP-Possible Value'!CF2:CG7" r:id="rId49">
            <anchor moveWithCells="1" sizeWithCells="1">
              <from>
                <xdr:col>10</xdr:col>
                <xdr:colOff>9525</xdr:colOff>
                <xdr:row>84</xdr:row>
                <xdr:rowOff>0</xdr:rowOff>
              </from>
              <to>
                <xdr:col>11</xdr:col>
                <xdr:colOff>0</xdr:colOff>
                <xdr:row>84</xdr:row>
                <xdr:rowOff>238125</xdr:rowOff>
              </to>
            </anchor>
          </controlPr>
        </control>
      </mc:Choice>
      <mc:Fallback>
        <control shapeId="2084" r:id="rId48" name="ComboBox24"/>
      </mc:Fallback>
    </mc:AlternateContent>
    <mc:AlternateContent xmlns:mc="http://schemas.openxmlformats.org/markup-compatibility/2006">
      <mc:Choice Requires="x14">
        <control shapeId="2085" r:id="rId50" name="ComboBox25">
          <controlPr defaultSize="0" autoLine="0" linkedCell="P84" listFillRange="'TOAP-Possible Value'!AT2:AU8" r:id="rId51">
            <anchor moveWithCells="1" sizeWithCells="1">
              <from>
                <xdr:col>15</xdr:col>
                <xdr:colOff>9525</xdr:colOff>
                <xdr:row>83</xdr:row>
                <xdr:rowOff>9525</xdr:rowOff>
              </from>
              <to>
                <xdr:col>16</xdr:col>
                <xdr:colOff>9525</xdr:colOff>
                <xdr:row>84</xdr:row>
                <xdr:rowOff>0</xdr:rowOff>
              </to>
            </anchor>
          </controlPr>
        </control>
      </mc:Choice>
      <mc:Fallback>
        <control shapeId="2085" r:id="rId50" name="ComboBox25"/>
      </mc:Fallback>
    </mc:AlternateContent>
    <mc:AlternateContent xmlns:mc="http://schemas.openxmlformats.org/markup-compatibility/2006">
      <mc:Choice Requires="x14">
        <control shapeId="2086" r:id="rId52" name="ComboBox26">
          <controlPr defaultSize="0" autoLine="0" linkedCell="P86" listFillRange="'TOAP-Possible Value'!CI2:CJ4" r:id="rId53">
            <anchor moveWithCells="1" sizeWithCells="1">
              <from>
                <xdr:col>15</xdr:col>
                <xdr:colOff>9525</xdr:colOff>
                <xdr:row>85</xdr:row>
                <xdr:rowOff>9525</xdr:rowOff>
              </from>
              <to>
                <xdr:col>16</xdr:col>
                <xdr:colOff>9525</xdr:colOff>
                <xdr:row>86</xdr:row>
                <xdr:rowOff>0</xdr:rowOff>
              </to>
            </anchor>
          </controlPr>
        </control>
      </mc:Choice>
      <mc:Fallback>
        <control shapeId="2086" r:id="rId52" name="ComboBox26"/>
      </mc:Fallback>
    </mc:AlternateContent>
    <mc:AlternateContent xmlns:mc="http://schemas.openxmlformats.org/markup-compatibility/2006">
      <mc:Choice Requires="x14">
        <control shapeId="2087" r:id="rId54" name="ComboBox27">
          <controlPr defaultSize="0" autoLine="0" linkedCell="K92" listFillRange="'TOAP-Possible Value'!G2:H13" r:id="rId55">
            <anchor moveWithCells="1" sizeWithCells="1">
              <from>
                <xdr:col>10</xdr:col>
                <xdr:colOff>9525</xdr:colOff>
                <xdr:row>91</xdr:row>
                <xdr:rowOff>9525</xdr:rowOff>
              </from>
              <to>
                <xdr:col>10</xdr:col>
                <xdr:colOff>2362200</xdr:colOff>
                <xdr:row>91</xdr:row>
                <xdr:rowOff>247650</xdr:rowOff>
              </to>
            </anchor>
          </controlPr>
        </control>
      </mc:Choice>
      <mc:Fallback>
        <control shapeId="2087" r:id="rId54" name="ComboBox27"/>
      </mc:Fallback>
    </mc:AlternateContent>
    <mc:AlternateContent xmlns:mc="http://schemas.openxmlformats.org/markup-compatibility/2006">
      <mc:Choice Requires="x14">
        <control shapeId="2088" r:id="rId56" name="ComboBox28">
          <controlPr defaultSize="0" autoLine="0" linkedCell="K93" listFillRange="'TOAP-Possible Value'!M2:N255" r:id="rId57">
            <anchor moveWithCells="1" sizeWithCells="1">
              <from>
                <xdr:col>10</xdr:col>
                <xdr:colOff>9525</xdr:colOff>
                <xdr:row>92</xdr:row>
                <xdr:rowOff>9525</xdr:rowOff>
              </from>
              <to>
                <xdr:col>10</xdr:col>
                <xdr:colOff>2362200</xdr:colOff>
                <xdr:row>93</xdr:row>
                <xdr:rowOff>0</xdr:rowOff>
              </to>
            </anchor>
          </controlPr>
        </control>
      </mc:Choice>
      <mc:Fallback>
        <control shapeId="2088" r:id="rId56" name="ComboBox28"/>
      </mc:Fallback>
    </mc:AlternateContent>
    <mc:AlternateContent xmlns:mc="http://schemas.openxmlformats.org/markup-compatibility/2006">
      <mc:Choice Requires="x14">
        <control shapeId="2089" r:id="rId58" name="ComboBox29">
          <controlPr defaultSize="0" autoLine="0" linkedCell="K94" listFillRange="'TOAP-Possible Value'!V2:W3" r:id="rId59">
            <anchor moveWithCells="1" sizeWithCells="1">
              <from>
                <xdr:col>10</xdr:col>
                <xdr:colOff>9525</xdr:colOff>
                <xdr:row>93</xdr:row>
                <xdr:rowOff>9525</xdr:rowOff>
              </from>
              <to>
                <xdr:col>10</xdr:col>
                <xdr:colOff>2362200</xdr:colOff>
                <xdr:row>94</xdr:row>
                <xdr:rowOff>0</xdr:rowOff>
              </to>
            </anchor>
          </controlPr>
        </control>
      </mc:Choice>
      <mc:Fallback>
        <control shapeId="2089" r:id="rId58" name="ComboBox29"/>
      </mc:Fallback>
    </mc:AlternateContent>
    <mc:AlternateContent xmlns:mc="http://schemas.openxmlformats.org/markup-compatibility/2006">
      <mc:Choice Requires="x14">
        <control shapeId="2090" r:id="rId60" name="ComboBox30">
          <controlPr defaultSize="0" autoLine="0" linkedCell="K95" listFillRange="'TOAP-Possible Value'!AB2:AC166" r:id="rId45">
            <anchor moveWithCells="1" sizeWithCells="1">
              <from>
                <xdr:col>10</xdr:col>
                <xdr:colOff>9525</xdr:colOff>
                <xdr:row>94</xdr:row>
                <xdr:rowOff>9525</xdr:rowOff>
              </from>
              <to>
                <xdr:col>10</xdr:col>
                <xdr:colOff>2362200</xdr:colOff>
                <xdr:row>94</xdr:row>
                <xdr:rowOff>247650</xdr:rowOff>
              </to>
            </anchor>
          </controlPr>
        </control>
      </mc:Choice>
      <mc:Fallback>
        <control shapeId="2090" r:id="rId60" name="ComboBox30"/>
      </mc:Fallback>
    </mc:AlternateContent>
    <mc:AlternateContent xmlns:mc="http://schemas.openxmlformats.org/markup-compatibility/2006">
      <mc:Choice Requires="x14">
        <control shapeId="2091" r:id="rId61" name="ComboBox31">
          <controlPr defaultSize="0" autoLine="0" linkedCell="K96" listFillRange="'TOAP-Possible Value'!AN2:AO12" r:id="rId62">
            <anchor moveWithCells="1" sizeWithCells="1">
              <from>
                <xdr:col>10</xdr:col>
                <xdr:colOff>9525</xdr:colOff>
                <xdr:row>95</xdr:row>
                <xdr:rowOff>9525</xdr:rowOff>
              </from>
              <to>
                <xdr:col>10</xdr:col>
                <xdr:colOff>2362200</xdr:colOff>
                <xdr:row>96</xdr:row>
                <xdr:rowOff>0</xdr:rowOff>
              </to>
            </anchor>
          </controlPr>
        </control>
      </mc:Choice>
      <mc:Fallback>
        <control shapeId="2091" r:id="rId61" name="ComboBox31"/>
      </mc:Fallback>
    </mc:AlternateContent>
    <mc:AlternateContent xmlns:mc="http://schemas.openxmlformats.org/markup-compatibility/2006">
      <mc:Choice Requires="x14">
        <control shapeId="2092" r:id="rId63" name="ComboBox32">
          <controlPr defaultSize="0" autoLine="0" linkedCell="K98" listFillRange="'TOAP-Possible Value'!CL2:CM6" r:id="rId64">
            <anchor moveWithCells="1" sizeWithCells="1">
              <from>
                <xdr:col>10</xdr:col>
                <xdr:colOff>9525</xdr:colOff>
                <xdr:row>97</xdr:row>
                <xdr:rowOff>19050</xdr:rowOff>
              </from>
              <to>
                <xdr:col>10</xdr:col>
                <xdr:colOff>2362200</xdr:colOff>
                <xdr:row>98</xdr:row>
                <xdr:rowOff>0</xdr:rowOff>
              </to>
            </anchor>
          </controlPr>
        </control>
      </mc:Choice>
      <mc:Fallback>
        <control shapeId="2092" r:id="rId63" name="ComboBox32"/>
      </mc:Fallback>
    </mc:AlternateContent>
    <mc:AlternateContent xmlns:mc="http://schemas.openxmlformats.org/markup-compatibility/2006">
      <mc:Choice Requires="x14">
        <control shapeId="2093" r:id="rId65" name="ComboBox33">
          <controlPr defaultSize="0" autoLine="0" linkedCell="K99" listFillRange="'TOAP-Possible Value'!CO2:CP5" r:id="rId66">
            <anchor moveWithCells="1" sizeWithCells="1">
              <from>
                <xdr:col>10</xdr:col>
                <xdr:colOff>9525</xdr:colOff>
                <xdr:row>98</xdr:row>
                <xdr:rowOff>0</xdr:rowOff>
              </from>
              <to>
                <xdr:col>11</xdr:col>
                <xdr:colOff>0</xdr:colOff>
                <xdr:row>99</xdr:row>
                <xdr:rowOff>9525</xdr:rowOff>
              </to>
            </anchor>
          </controlPr>
        </control>
      </mc:Choice>
      <mc:Fallback>
        <control shapeId="2093" r:id="rId65" name="ComboBox33"/>
      </mc:Fallback>
    </mc:AlternateContent>
    <mc:AlternateContent xmlns:mc="http://schemas.openxmlformats.org/markup-compatibility/2006">
      <mc:Choice Requires="x14">
        <control shapeId="2094" r:id="rId67" name="ComboBox34">
          <controlPr defaultSize="0" autoLine="0" linkedCell="K100" listFillRange="'TOAP-Possible Value'!BN2:BO222" r:id="rId68">
            <anchor moveWithCells="1" sizeWithCells="1">
              <from>
                <xdr:col>10</xdr:col>
                <xdr:colOff>9525</xdr:colOff>
                <xdr:row>99</xdr:row>
                <xdr:rowOff>0</xdr:rowOff>
              </from>
              <to>
                <xdr:col>10</xdr:col>
                <xdr:colOff>2352675</xdr:colOff>
                <xdr:row>100</xdr:row>
                <xdr:rowOff>0</xdr:rowOff>
              </to>
            </anchor>
          </controlPr>
        </control>
      </mc:Choice>
      <mc:Fallback>
        <control shapeId="2094" r:id="rId67" name="ComboBox34"/>
      </mc:Fallback>
    </mc:AlternateContent>
    <mc:AlternateContent xmlns:mc="http://schemas.openxmlformats.org/markup-compatibility/2006">
      <mc:Choice Requires="x14">
        <control shapeId="2095" r:id="rId69" name="ComboBox35">
          <controlPr defaultSize="0" autoLine="0" linkedCell="K101" listFillRange="'TOAP-Possible Value'!BQ2:BR5" r:id="rId45">
            <anchor moveWithCells="1" sizeWithCells="1">
              <from>
                <xdr:col>10</xdr:col>
                <xdr:colOff>9525</xdr:colOff>
                <xdr:row>100</xdr:row>
                <xdr:rowOff>9525</xdr:rowOff>
              </from>
              <to>
                <xdr:col>10</xdr:col>
                <xdr:colOff>2362200</xdr:colOff>
                <xdr:row>100</xdr:row>
                <xdr:rowOff>238125</xdr:rowOff>
              </to>
            </anchor>
          </controlPr>
        </control>
      </mc:Choice>
      <mc:Fallback>
        <control shapeId="2095" r:id="rId69" name="ComboBox35"/>
      </mc:Fallback>
    </mc:AlternateContent>
    <mc:AlternateContent xmlns:mc="http://schemas.openxmlformats.org/markup-compatibility/2006">
      <mc:Choice Requires="x14">
        <control shapeId="2096" r:id="rId70" name="ComboBox36">
          <controlPr defaultSize="0" autoLine="0" linkedCell="K52" listFillRange="'TOAP-Possible Value'!CR2:CS3" r:id="rId71">
            <anchor moveWithCells="1" sizeWithCells="1">
              <from>
                <xdr:col>10</xdr:col>
                <xdr:colOff>9525</xdr:colOff>
                <xdr:row>51</xdr:row>
                <xdr:rowOff>0</xdr:rowOff>
              </from>
              <to>
                <xdr:col>11</xdr:col>
                <xdr:colOff>0</xdr:colOff>
                <xdr:row>51</xdr:row>
                <xdr:rowOff>247650</xdr:rowOff>
              </to>
            </anchor>
          </controlPr>
        </control>
      </mc:Choice>
      <mc:Fallback>
        <control shapeId="2096" r:id="rId70" name="ComboBox36"/>
      </mc:Fallback>
    </mc:AlternateContent>
    <mc:AlternateContent xmlns:mc="http://schemas.openxmlformats.org/markup-compatibility/2006">
      <mc:Choice Requires="x14">
        <control shapeId="2097" r:id="rId72" name="ComboBox23">
          <controlPr defaultSize="0" autoLine="0" linkedCell="K23" listFillRange="'TOAP-Possible Value'!E2:E141" r:id="rId73">
            <anchor moveWithCells="1" sizeWithCells="1">
              <from>
                <xdr:col>10</xdr:col>
                <xdr:colOff>9525</xdr:colOff>
                <xdr:row>22</xdr:row>
                <xdr:rowOff>9525</xdr:rowOff>
              </from>
              <to>
                <xdr:col>11</xdr:col>
                <xdr:colOff>0</xdr:colOff>
                <xdr:row>22</xdr:row>
                <xdr:rowOff>238125</xdr:rowOff>
              </to>
            </anchor>
          </controlPr>
        </control>
      </mc:Choice>
      <mc:Fallback>
        <control shapeId="2097" r:id="rId72" name="ComboBox23"/>
      </mc:Fallback>
    </mc:AlternateContent>
    <mc:AlternateContent xmlns:mc="http://schemas.openxmlformats.org/markup-compatibility/2006">
      <mc:Choice Requires="x14">
        <control shapeId="2098" r:id="rId74" name="ComboBox37">
          <controlPr defaultSize="0" autoLine="0" autoPict="0" linkedCell="U27" listFillRange="'TOAP-Possible Value'!E2:E141" r:id="rId75">
            <anchor moveWithCells="1" sizeWithCells="1">
              <from>
                <xdr:col>20</xdr:col>
                <xdr:colOff>19050</xdr:colOff>
                <xdr:row>26</xdr:row>
                <xdr:rowOff>9525</xdr:rowOff>
              </from>
              <to>
                <xdr:col>20</xdr:col>
                <xdr:colOff>2286000</xdr:colOff>
                <xdr:row>27</xdr:row>
                <xdr:rowOff>9525</xdr:rowOff>
              </to>
            </anchor>
          </controlPr>
        </control>
      </mc:Choice>
      <mc:Fallback>
        <control shapeId="2098" r:id="rId74" name="ComboBox37"/>
      </mc:Fallback>
    </mc:AlternateContent>
    <mc:AlternateContent xmlns:mc="http://schemas.openxmlformats.org/markup-compatibility/2006">
      <mc:Choice Requires="x14">
        <control shapeId="2099" r:id="rId76" name="ComboBox38">
          <controlPr defaultSize="0" autoLine="0" linkedCell="K50" listFillRange="'TOAP-Possible Value'!E2:E141" r:id="rId77">
            <anchor moveWithCells="1" sizeWithCells="1">
              <from>
                <xdr:col>10</xdr:col>
                <xdr:colOff>9525</xdr:colOff>
                <xdr:row>49</xdr:row>
                <xdr:rowOff>9525</xdr:rowOff>
              </from>
              <to>
                <xdr:col>11</xdr:col>
                <xdr:colOff>0</xdr:colOff>
                <xdr:row>49</xdr:row>
                <xdr:rowOff>238125</xdr:rowOff>
              </to>
            </anchor>
          </controlPr>
        </control>
      </mc:Choice>
      <mc:Fallback>
        <control shapeId="2099" r:id="rId76" name="ComboBox38"/>
      </mc:Fallback>
    </mc:AlternateContent>
    <mc:AlternateContent xmlns:mc="http://schemas.openxmlformats.org/markup-compatibility/2006">
      <mc:Choice Requires="x14">
        <control shapeId="2100" r:id="rId78" name="ComboBox39">
          <controlPr defaultSize="0" autoLine="0" linkedCell="U52" listFillRange="'TOAP-Possible Value'!E2:E141" r:id="rId79">
            <anchor moveWithCells="1" sizeWithCells="1">
              <from>
                <xdr:col>20</xdr:col>
                <xdr:colOff>19050</xdr:colOff>
                <xdr:row>50</xdr:row>
                <xdr:rowOff>238125</xdr:rowOff>
              </from>
              <to>
                <xdr:col>20</xdr:col>
                <xdr:colOff>2286000</xdr:colOff>
                <xdr:row>51</xdr:row>
                <xdr:rowOff>238125</xdr:rowOff>
              </to>
            </anchor>
          </controlPr>
        </control>
      </mc:Choice>
      <mc:Fallback>
        <control shapeId="2100" r:id="rId78" name="ComboBox39"/>
      </mc:Fallback>
    </mc:AlternateContent>
    <mc:AlternateContent xmlns:mc="http://schemas.openxmlformats.org/markup-compatibility/2006">
      <mc:Choice Requires="x14">
        <control shapeId="2101" r:id="rId80" name="ComboBox40">
          <controlPr defaultSize="0" autoLine="0" linkedCell="P22" listFillRange="'TOAP-Possible Value'!B2:B1649" r:id="rId81">
            <anchor moveWithCells="1" sizeWithCells="1">
              <from>
                <xdr:col>15</xdr:col>
                <xdr:colOff>9525</xdr:colOff>
                <xdr:row>21</xdr:row>
                <xdr:rowOff>9525</xdr:rowOff>
              </from>
              <to>
                <xdr:col>16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2101" r:id="rId80" name="ComboBox40"/>
      </mc:Fallback>
    </mc:AlternateContent>
    <mc:AlternateContent xmlns:mc="http://schemas.openxmlformats.org/markup-compatibility/2006">
      <mc:Choice Requires="x14">
        <control shapeId="2102" r:id="rId82" name="ComboBox41">
          <controlPr defaultSize="0" autoLine="0" linkedCell="Y26" listFillRange="'TOAP-Possible Value'!B2:B1649" r:id="rId83">
            <anchor moveWithCells="1" sizeWithCells="1">
              <from>
                <xdr:col>24</xdr:col>
                <xdr:colOff>9525</xdr:colOff>
                <xdr:row>25</xdr:row>
                <xdr:rowOff>9525</xdr:rowOff>
              </from>
              <to>
                <xdr:col>25</xdr:col>
                <xdr:colOff>0</xdr:colOff>
                <xdr:row>25</xdr:row>
                <xdr:rowOff>228600</xdr:rowOff>
              </to>
            </anchor>
          </controlPr>
        </control>
      </mc:Choice>
      <mc:Fallback>
        <control shapeId="2102" r:id="rId82" name="ComboBox41"/>
      </mc:Fallback>
    </mc:AlternateContent>
    <mc:AlternateContent xmlns:mc="http://schemas.openxmlformats.org/markup-compatibility/2006">
      <mc:Choice Requires="x14">
        <control shapeId="2103" r:id="rId84" name="ComboBox42">
          <controlPr defaultSize="0" autoLine="0" linkedCell="Y51" listFillRange="'TOAP-Possible Value'!B2:B1649" r:id="rId85">
            <anchor moveWithCells="1" sizeWithCells="1">
              <from>
                <xdr:col>24</xdr:col>
                <xdr:colOff>9525</xdr:colOff>
                <xdr:row>50</xdr:row>
                <xdr:rowOff>19050</xdr:rowOff>
              </from>
              <to>
                <xdr:col>25</xdr:col>
                <xdr:colOff>0</xdr:colOff>
                <xdr:row>50</xdr:row>
                <xdr:rowOff>238125</xdr:rowOff>
              </to>
            </anchor>
          </controlPr>
        </control>
      </mc:Choice>
      <mc:Fallback>
        <control shapeId="2103" r:id="rId84" name="ComboBox42"/>
      </mc:Fallback>
    </mc:AlternateContent>
    <mc:AlternateContent xmlns:mc="http://schemas.openxmlformats.org/markup-compatibility/2006">
      <mc:Choice Requires="x14">
        <control shapeId="2104" r:id="rId86" name="ComboBox43">
          <controlPr defaultSize="0" autoLine="0" linkedCell="P49" listFillRange="'TOAP-Possible Value'!B2:B1649" r:id="rId87">
            <anchor moveWithCells="1" sizeWithCells="1">
              <from>
                <xdr:col>15</xdr:col>
                <xdr:colOff>9525</xdr:colOff>
                <xdr:row>48</xdr:row>
                <xdr:rowOff>19050</xdr:rowOff>
              </from>
              <to>
                <xdr:col>15</xdr:col>
                <xdr:colOff>1943100</xdr:colOff>
                <xdr:row>49</xdr:row>
                <xdr:rowOff>0</xdr:rowOff>
              </to>
            </anchor>
          </controlPr>
        </control>
      </mc:Choice>
      <mc:Fallback>
        <control shapeId="2104" r:id="rId86" name="ComboBox4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9B299-1B0C-482D-B41F-7B2D66B37EA9}">
  <sheetPr codeName="Sheet2"/>
  <dimension ref="A1:CT10859"/>
  <sheetViews>
    <sheetView workbookViewId="0">
      <selection activeCell="P8" sqref="P8"/>
    </sheetView>
  </sheetViews>
  <sheetFormatPr defaultColWidth="9" defaultRowHeight="14.25"/>
  <cols>
    <col min="1" max="1" width="14.125" style="1" bestFit="1" customWidth="1"/>
    <col min="2" max="2" width="25.375" style="416" bestFit="1" customWidth="1"/>
    <col min="3" max="3" width="3.125" style="422" customWidth="1"/>
    <col min="4" max="5" width="13.25" style="1" customWidth="1"/>
    <col min="6" max="6" width="3.125" style="422" customWidth="1"/>
    <col min="7" max="7" width="13.25" style="1" customWidth="1"/>
    <col min="8" max="8" width="17.375" style="1" customWidth="1"/>
    <col min="9" max="9" width="3.125" style="422" customWidth="1"/>
    <col min="10" max="10" width="13.25" style="1" customWidth="1"/>
    <col min="11" max="11" width="17.375" style="1" customWidth="1"/>
    <col min="12" max="12" width="3.125" style="422" customWidth="1"/>
    <col min="13" max="13" width="13.25" style="213" customWidth="1"/>
    <col min="14" max="14" width="17.375" style="416" customWidth="1"/>
    <col min="15" max="15" width="3.125" style="422" customWidth="1"/>
    <col min="16" max="16" width="13.25" style="213" customWidth="1"/>
    <col min="17" max="17" width="17.375" style="1" customWidth="1"/>
    <col min="18" max="18" width="3.125" style="422" customWidth="1"/>
    <col min="19" max="19" width="15" style="213" customWidth="1"/>
    <col min="20" max="20" width="17.375" style="416" customWidth="1"/>
    <col min="21" max="21" width="3.125" style="422" customWidth="1"/>
    <col min="22" max="22" width="15" style="213" customWidth="1"/>
    <col min="23" max="23" width="17.375" style="416" customWidth="1"/>
    <col min="24" max="24" width="3.125" style="422" customWidth="1"/>
    <col min="25" max="25" width="15" style="213" customWidth="1"/>
    <col min="26" max="26" width="17.375" style="416" customWidth="1"/>
    <col min="27" max="27" width="3.125" style="422" customWidth="1"/>
    <col min="28" max="28" width="15" style="213" customWidth="1"/>
    <col min="29" max="29" width="28.5" style="416" customWidth="1"/>
    <col min="30" max="30" width="3.125" style="422" customWidth="1"/>
    <col min="31" max="31" width="15" style="213" customWidth="1"/>
    <col min="32" max="32" width="17.375" style="416" customWidth="1"/>
    <col min="33" max="33" width="3.125" style="422" customWidth="1"/>
    <col min="34" max="35" width="17.375" style="1" customWidth="1"/>
    <col min="36" max="36" width="3.125" style="422" customWidth="1"/>
    <col min="37" max="37" width="30.125" style="1" bestFit="1" customWidth="1"/>
    <col min="38" max="38" width="30.75" style="1" customWidth="1"/>
    <col min="39" max="39" width="3.125" style="422" customWidth="1"/>
    <col min="40" max="40" width="17.375" style="1" customWidth="1"/>
    <col min="41" max="41" width="25.25" style="1" customWidth="1"/>
    <col min="42" max="42" width="3.125" style="422" customWidth="1"/>
    <col min="43" max="43" width="17.375" style="213" customWidth="1"/>
    <col min="44" max="44" width="34.5" style="416" customWidth="1"/>
    <col min="45" max="45" width="3.125" style="422" customWidth="1"/>
    <col min="46" max="46" width="17.375" style="213" customWidth="1"/>
    <col min="47" max="47" width="17.375" style="416" customWidth="1"/>
    <col min="48" max="48" width="3.125" style="422" customWidth="1"/>
    <col min="49" max="49" width="17.375" style="1" customWidth="1"/>
    <col min="50" max="50" width="17.375" style="416" customWidth="1"/>
    <col min="51" max="51" width="3.125" style="422" customWidth="1"/>
    <col min="52" max="52" width="17.375" style="213" customWidth="1"/>
    <col min="53" max="53" width="17.375" style="416" customWidth="1"/>
    <col min="54" max="54" width="3.125" style="422" customWidth="1"/>
    <col min="55" max="55" width="17.375" style="1" customWidth="1"/>
    <col min="56" max="56" width="17.375" style="416" customWidth="1"/>
    <col min="57" max="57" width="3.125" style="422" customWidth="1"/>
    <col min="58" max="58" width="17.375" style="213" customWidth="1"/>
    <col min="59" max="59" width="17.375" style="416" customWidth="1"/>
    <col min="60" max="60" width="3.125" style="422" customWidth="1"/>
    <col min="61" max="61" width="17.375" style="213" customWidth="1"/>
    <col min="62" max="62" width="17.375" style="416" customWidth="1"/>
    <col min="63" max="63" width="17.375" style="213" customWidth="1"/>
    <col min="64" max="64" width="17.375" style="416" customWidth="1"/>
    <col min="65" max="65" width="3.125" style="422" customWidth="1"/>
    <col min="66" max="66" width="17.375" style="213" customWidth="1"/>
    <col min="67" max="67" width="17.375" style="416" customWidth="1"/>
    <col min="68" max="68" width="3.125" style="422" customWidth="1"/>
    <col min="69" max="69" width="17.375" style="213" customWidth="1"/>
    <col min="70" max="70" width="17.375" style="416" customWidth="1"/>
    <col min="71" max="71" width="3.125" style="422" customWidth="1"/>
    <col min="72" max="72" width="17.375" style="213" customWidth="1"/>
    <col min="73" max="73" width="17.375" style="416" customWidth="1"/>
    <col min="74" max="74" width="3.125" style="422" customWidth="1"/>
    <col min="75" max="75" width="17.375" style="213" customWidth="1"/>
    <col min="76" max="76" width="17.375" style="416" customWidth="1"/>
    <col min="77" max="77" width="3.125" style="422" customWidth="1"/>
    <col min="78" max="78" width="17.375" style="213" customWidth="1"/>
    <col min="79" max="79" width="20.375" style="416" customWidth="1"/>
    <col min="80" max="80" width="3.125" style="422" customWidth="1"/>
    <col min="81" max="81" width="17.375" style="213" customWidth="1"/>
    <col min="82" max="82" width="32.625" style="416" customWidth="1"/>
    <col min="83" max="83" width="3.125" style="422" customWidth="1"/>
    <col min="84" max="84" width="18.25" style="416" customWidth="1"/>
    <col min="85" max="85" width="17.375" style="416" customWidth="1"/>
    <col min="86" max="86" width="3.125" style="422" customWidth="1"/>
    <col min="87" max="87" width="17.375" style="213" customWidth="1"/>
    <col min="88" max="88" width="17.375" style="416" customWidth="1"/>
    <col min="89" max="89" width="3.125" style="422" customWidth="1"/>
    <col min="90" max="90" width="17.375" style="213" customWidth="1"/>
    <col min="91" max="91" width="17.375" style="416" customWidth="1"/>
    <col min="92" max="92" width="3.125" style="422" customWidth="1"/>
    <col min="93" max="93" width="17.375" style="213" customWidth="1"/>
    <col min="94" max="94" width="17.375" style="416" customWidth="1"/>
    <col min="95" max="95" width="3.125" style="422" customWidth="1"/>
    <col min="96" max="97" width="17.375" style="1" customWidth="1"/>
    <col min="98" max="98" width="3.125" style="422" customWidth="1"/>
    <col min="99" max="16384" width="9" style="1"/>
  </cols>
  <sheetData>
    <row r="1" spans="1:98" s="414" customFormat="1" ht="30" customHeight="1">
      <c r="A1" s="414" t="s">
        <v>53</v>
      </c>
      <c r="B1" s="439" t="s">
        <v>47</v>
      </c>
      <c r="C1" s="415" t="s">
        <v>337</v>
      </c>
      <c r="D1" s="414" t="s">
        <v>41</v>
      </c>
      <c r="E1" s="414" t="s">
        <v>53</v>
      </c>
      <c r="F1" s="415" t="s">
        <v>337</v>
      </c>
      <c r="G1" s="440" t="s">
        <v>315</v>
      </c>
      <c r="H1" s="440" t="s">
        <v>338</v>
      </c>
      <c r="I1" s="415" t="s">
        <v>337</v>
      </c>
      <c r="J1" s="441" t="s">
        <v>339</v>
      </c>
      <c r="K1" s="440" t="s">
        <v>338</v>
      </c>
      <c r="L1" s="415" t="s">
        <v>337</v>
      </c>
      <c r="M1" s="440" t="s">
        <v>41</v>
      </c>
      <c r="N1" s="440" t="s">
        <v>338</v>
      </c>
      <c r="O1" s="415" t="s">
        <v>337</v>
      </c>
      <c r="P1" s="440" t="s">
        <v>58</v>
      </c>
      <c r="Q1" s="440" t="s">
        <v>338</v>
      </c>
      <c r="R1" s="415" t="s">
        <v>337</v>
      </c>
      <c r="S1" s="441" t="s">
        <v>63</v>
      </c>
      <c r="T1" s="440" t="s">
        <v>338</v>
      </c>
      <c r="U1" s="415" t="s">
        <v>337</v>
      </c>
      <c r="V1" s="441" t="s">
        <v>320</v>
      </c>
      <c r="W1" s="440" t="s">
        <v>338</v>
      </c>
      <c r="X1" s="415"/>
      <c r="Y1" s="441" t="s">
        <v>337</v>
      </c>
      <c r="Z1" s="440" t="s">
        <v>338</v>
      </c>
      <c r="AA1" s="423"/>
      <c r="AB1" s="441" t="s">
        <v>322</v>
      </c>
      <c r="AC1" s="440" t="s">
        <v>338</v>
      </c>
      <c r="AD1" s="415"/>
      <c r="AE1" s="441" t="s">
        <v>201</v>
      </c>
      <c r="AF1" s="440" t="s">
        <v>338</v>
      </c>
      <c r="AG1" s="415"/>
      <c r="AH1" s="443" t="s">
        <v>340</v>
      </c>
      <c r="AI1" s="440" t="s">
        <v>338</v>
      </c>
      <c r="AJ1" s="415" t="s">
        <v>337</v>
      </c>
      <c r="AK1" s="441" t="s">
        <v>341</v>
      </c>
      <c r="AL1" s="440" t="s">
        <v>338</v>
      </c>
      <c r="AM1" s="415" t="s">
        <v>337</v>
      </c>
      <c r="AN1" s="441" t="s">
        <v>324</v>
      </c>
      <c r="AO1" s="440" t="s">
        <v>338</v>
      </c>
      <c r="AP1" s="415" t="s">
        <v>337</v>
      </c>
      <c r="AQ1" s="441" t="s">
        <v>140</v>
      </c>
      <c r="AR1" s="440" t="s">
        <v>338</v>
      </c>
      <c r="AS1" s="415" t="s">
        <v>337</v>
      </c>
      <c r="AT1" s="446" t="s">
        <v>342</v>
      </c>
      <c r="AU1" s="440" t="s">
        <v>338</v>
      </c>
      <c r="AV1" s="415" t="s">
        <v>337</v>
      </c>
      <c r="AW1" s="440" t="s">
        <v>343</v>
      </c>
      <c r="AX1" s="440" t="s">
        <v>338</v>
      </c>
      <c r="AY1" s="415" t="s">
        <v>337</v>
      </c>
      <c r="AZ1" s="440" t="s">
        <v>124</v>
      </c>
      <c r="BA1" s="440" t="s">
        <v>338</v>
      </c>
      <c r="BB1" s="415" t="s">
        <v>337</v>
      </c>
      <c r="BC1" s="443" t="s">
        <v>127</v>
      </c>
      <c r="BD1" s="440" t="s">
        <v>338</v>
      </c>
      <c r="BE1" s="415" t="s">
        <v>337</v>
      </c>
      <c r="BF1" s="443" t="s">
        <v>116</v>
      </c>
      <c r="BG1" s="440" t="s">
        <v>338</v>
      </c>
      <c r="BH1" s="415" t="s">
        <v>337</v>
      </c>
      <c r="BI1" s="447" t="s">
        <v>116</v>
      </c>
      <c r="BJ1" s="448" t="s">
        <v>338</v>
      </c>
      <c r="BK1" s="449" t="s">
        <v>119</v>
      </c>
      <c r="BL1" s="450" t="s">
        <v>338</v>
      </c>
      <c r="BM1" s="415" t="s">
        <v>337</v>
      </c>
      <c r="BN1" s="450" t="s">
        <v>332</v>
      </c>
      <c r="BO1" s="450" t="s">
        <v>338</v>
      </c>
      <c r="BP1" s="415" t="s">
        <v>337</v>
      </c>
      <c r="BQ1" s="440" t="s">
        <v>335</v>
      </c>
      <c r="BR1" s="440" t="s">
        <v>338</v>
      </c>
      <c r="BS1" s="415"/>
      <c r="BT1" s="440" t="s">
        <v>148</v>
      </c>
      <c r="BU1" s="440" t="s">
        <v>338</v>
      </c>
      <c r="BV1" s="415" t="s">
        <v>337</v>
      </c>
      <c r="BW1" s="440" t="s">
        <v>275</v>
      </c>
      <c r="BX1" s="440" t="s">
        <v>338</v>
      </c>
      <c r="BY1" s="415" t="s">
        <v>337</v>
      </c>
      <c r="BZ1" s="446" t="s">
        <v>344</v>
      </c>
      <c r="CA1" s="440" t="s">
        <v>338</v>
      </c>
      <c r="CB1" s="415" t="s">
        <v>337</v>
      </c>
      <c r="CC1" s="440" t="s">
        <v>345</v>
      </c>
      <c r="CD1" s="440" t="s">
        <v>338</v>
      </c>
      <c r="CE1" s="415" t="s">
        <v>337</v>
      </c>
      <c r="CF1" s="441" t="s">
        <v>346</v>
      </c>
      <c r="CG1" s="440" t="s">
        <v>338</v>
      </c>
      <c r="CH1" s="415" t="s">
        <v>337</v>
      </c>
      <c r="CI1" s="441" t="s">
        <v>298</v>
      </c>
      <c r="CJ1" s="440" t="s">
        <v>338</v>
      </c>
      <c r="CK1" s="415" t="s">
        <v>337</v>
      </c>
      <c r="CL1" s="440" t="s">
        <v>327</v>
      </c>
      <c r="CM1" s="440" t="s">
        <v>338</v>
      </c>
      <c r="CN1" s="415" t="s">
        <v>337</v>
      </c>
      <c r="CO1" s="440" t="s">
        <v>330</v>
      </c>
      <c r="CP1" s="440" t="s">
        <v>338</v>
      </c>
      <c r="CQ1" s="415" t="s">
        <v>337</v>
      </c>
      <c r="CR1" s="440" t="s">
        <v>188</v>
      </c>
      <c r="CS1" s="440" t="s">
        <v>338</v>
      </c>
      <c r="CT1" s="415" t="s">
        <v>337</v>
      </c>
    </row>
    <row r="2" spans="1:98">
      <c r="A2" s="1" t="s">
        <v>347</v>
      </c>
      <c r="B2" s="416" t="s">
        <v>348</v>
      </c>
      <c r="C2" s="415" t="s">
        <v>337</v>
      </c>
      <c r="D2" s="416" t="s">
        <v>318</v>
      </c>
      <c r="E2" s="416" t="s">
        <v>347</v>
      </c>
      <c r="F2" s="415" t="s">
        <v>337</v>
      </c>
      <c r="G2" s="436" t="s">
        <v>316</v>
      </c>
      <c r="H2" s="437" t="s">
        <v>349</v>
      </c>
      <c r="I2" s="415" t="s">
        <v>337</v>
      </c>
      <c r="J2" s="213">
        <v>1</v>
      </c>
      <c r="K2" s="416" t="s">
        <v>350</v>
      </c>
      <c r="L2" s="415" t="s">
        <v>337</v>
      </c>
      <c r="M2" s="213" t="s">
        <v>351</v>
      </c>
      <c r="N2" s="416" t="s">
        <v>352</v>
      </c>
      <c r="O2" s="415" t="s">
        <v>337</v>
      </c>
      <c r="P2" s="213" t="s">
        <v>61</v>
      </c>
      <c r="Q2" s="416" t="s">
        <v>353</v>
      </c>
      <c r="R2" s="415" t="s">
        <v>337</v>
      </c>
      <c r="S2" s="213">
        <v>1201</v>
      </c>
      <c r="T2" s="416" t="s">
        <v>354</v>
      </c>
      <c r="U2" s="415" t="s">
        <v>337</v>
      </c>
      <c r="V2" s="213" t="s">
        <v>355</v>
      </c>
      <c r="W2" s="416" t="s">
        <v>356</v>
      </c>
      <c r="X2" s="415"/>
      <c r="Y2" s="213">
        <v>1100</v>
      </c>
      <c r="Z2" s="416" t="s">
        <v>357</v>
      </c>
      <c r="AA2" s="423" t="str">
        <f>_xlfn.CONCAT(Y3," - ",Z3)</f>
        <v>1200 - CAPTAIN COATING CO., LTD.</v>
      </c>
      <c r="AB2" s="213">
        <v>1100</v>
      </c>
      <c r="AC2" s="416" t="s">
        <v>358</v>
      </c>
      <c r="AD2" s="415"/>
      <c r="AE2" s="417" t="s">
        <v>359</v>
      </c>
      <c r="AF2" s="416" t="s">
        <v>360</v>
      </c>
      <c r="AG2" s="415"/>
      <c r="AH2" s="444" t="s">
        <v>270</v>
      </c>
      <c r="AI2" s="445" t="s">
        <v>361</v>
      </c>
      <c r="AJ2" s="415" t="s">
        <v>337</v>
      </c>
      <c r="AK2" s="416" t="s">
        <v>273</v>
      </c>
      <c r="AL2" s="416" t="s">
        <v>362</v>
      </c>
      <c r="AM2" s="415" t="s">
        <v>337</v>
      </c>
      <c r="AN2" s="436">
        <v>12000030</v>
      </c>
      <c r="AO2" s="420" t="s">
        <v>363</v>
      </c>
      <c r="AP2" s="415" t="s">
        <v>337</v>
      </c>
      <c r="AQ2" s="213" t="s">
        <v>364</v>
      </c>
      <c r="AR2" s="416" t="s">
        <v>365</v>
      </c>
      <c r="AS2" s="415" t="s">
        <v>337</v>
      </c>
      <c r="AT2" s="419" t="s">
        <v>290</v>
      </c>
      <c r="AU2" s="420" t="s">
        <v>366</v>
      </c>
      <c r="AV2" s="415" t="s">
        <v>337</v>
      </c>
      <c r="AW2" s="213">
        <v>10</v>
      </c>
      <c r="AX2" s="416" t="s">
        <v>367</v>
      </c>
      <c r="AY2" s="415"/>
      <c r="AZ2" s="417">
        <v>111001</v>
      </c>
      <c r="BA2" s="416" t="s">
        <v>368</v>
      </c>
      <c r="BB2" s="415" t="s">
        <v>337</v>
      </c>
      <c r="BC2" s="417" t="s">
        <v>61</v>
      </c>
      <c r="BD2" s="416" t="s">
        <v>369</v>
      </c>
      <c r="BE2" s="415" t="s">
        <v>337</v>
      </c>
      <c r="BF2" s="418" t="s">
        <v>117</v>
      </c>
      <c r="BG2" s="416" t="s">
        <v>370</v>
      </c>
      <c r="BH2" s="415" t="s">
        <v>337</v>
      </c>
      <c r="BI2" s="213" t="s">
        <v>205</v>
      </c>
      <c r="BJ2" s="416" t="s">
        <v>371</v>
      </c>
      <c r="BK2" s="213" t="s">
        <v>372</v>
      </c>
      <c r="BL2" s="416" t="s">
        <v>373</v>
      </c>
      <c r="BM2" s="415" t="s">
        <v>337</v>
      </c>
      <c r="BN2" s="213" t="s">
        <v>374</v>
      </c>
      <c r="BO2" s="416" t="s">
        <v>375</v>
      </c>
      <c r="BP2" s="415" t="s">
        <v>337</v>
      </c>
      <c r="BQ2" s="213" t="s">
        <v>376</v>
      </c>
      <c r="BR2" s="416" t="s">
        <v>377</v>
      </c>
      <c r="BS2" s="415"/>
      <c r="BT2" s="213" t="s">
        <v>378</v>
      </c>
      <c r="BU2" s="416" t="s">
        <v>379</v>
      </c>
      <c r="BV2" s="415" t="s">
        <v>337</v>
      </c>
      <c r="BW2" s="417" t="s">
        <v>61</v>
      </c>
      <c r="BX2" s="416" t="s">
        <v>380</v>
      </c>
      <c r="BY2" s="415" t="s">
        <v>337</v>
      </c>
      <c r="BZ2" s="421" t="s">
        <v>61</v>
      </c>
      <c r="CA2" s="416" t="s">
        <v>381</v>
      </c>
      <c r="CB2" s="415" t="s">
        <v>337</v>
      </c>
      <c r="CC2" s="213" t="s">
        <v>382</v>
      </c>
      <c r="CD2" s="416" t="s">
        <v>383</v>
      </c>
      <c r="CE2" s="415" t="s">
        <v>337</v>
      </c>
      <c r="CF2" s="417" t="s">
        <v>61</v>
      </c>
      <c r="CG2" s="416" t="s">
        <v>384</v>
      </c>
      <c r="CH2" s="415" t="s">
        <v>337</v>
      </c>
      <c r="CI2" s="213">
        <v>0</v>
      </c>
      <c r="CJ2" s="416" t="s">
        <v>385</v>
      </c>
      <c r="CK2" s="415" t="s">
        <v>337</v>
      </c>
      <c r="CL2" s="213" t="s">
        <v>386</v>
      </c>
      <c r="CM2" s="416" t="s">
        <v>387</v>
      </c>
      <c r="CN2" s="415" t="s">
        <v>337</v>
      </c>
      <c r="CO2" s="213" t="s">
        <v>388</v>
      </c>
      <c r="CP2" s="416" t="s">
        <v>389</v>
      </c>
      <c r="CQ2" s="415" t="s">
        <v>337</v>
      </c>
      <c r="CR2" s="213" t="s">
        <v>189</v>
      </c>
      <c r="CS2" s="213" t="s">
        <v>390</v>
      </c>
      <c r="CT2" s="415" t="s">
        <v>337</v>
      </c>
    </row>
    <row r="3" spans="1:98">
      <c r="A3" s="1" t="s">
        <v>347</v>
      </c>
      <c r="B3" s="416" t="s">
        <v>391</v>
      </c>
      <c r="C3" s="415" t="s">
        <v>337</v>
      </c>
      <c r="D3" s="416" t="s">
        <v>318</v>
      </c>
      <c r="E3" s="416" t="s">
        <v>54</v>
      </c>
      <c r="F3" s="415" t="s">
        <v>337</v>
      </c>
      <c r="G3" s="213" t="s">
        <v>392</v>
      </c>
      <c r="H3" s="1" t="s">
        <v>393</v>
      </c>
      <c r="I3" s="415" t="s">
        <v>337</v>
      </c>
      <c r="J3" s="213">
        <v>2</v>
      </c>
      <c r="K3" s="416" t="s">
        <v>394</v>
      </c>
      <c r="L3" s="415" t="s">
        <v>337</v>
      </c>
      <c r="M3" s="213" t="s">
        <v>395</v>
      </c>
      <c r="N3" s="416" t="s">
        <v>396</v>
      </c>
      <c r="O3" s="415" t="s">
        <v>337</v>
      </c>
      <c r="P3" s="213" t="s">
        <v>130</v>
      </c>
      <c r="Q3" s="416" t="s">
        <v>397</v>
      </c>
      <c r="R3" s="415" t="s">
        <v>337</v>
      </c>
      <c r="S3" s="213">
        <v>1202</v>
      </c>
      <c r="T3" s="416" t="s">
        <v>398</v>
      </c>
      <c r="U3" s="415" t="s">
        <v>337</v>
      </c>
      <c r="V3" s="436" t="s">
        <v>318</v>
      </c>
      <c r="W3" s="420" t="s">
        <v>399</v>
      </c>
      <c r="X3" s="415"/>
      <c r="Y3" s="213">
        <v>1200</v>
      </c>
      <c r="Z3" s="416" t="s">
        <v>400</v>
      </c>
      <c r="AA3" s="423" t="str">
        <f>_xlfn.CONCAT(Y4," - ",Z4)</f>
        <v>5100 - TOA PAINT (VIETNAM) CO., LTD.</v>
      </c>
      <c r="AB3" s="213">
        <v>1200</v>
      </c>
      <c r="AC3" s="416" t="s">
        <v>401</v>
      </c>
      <c r="AD3" s="415"/>
      <c r="AE3" s="417" t="s">
        <v>207</v>
      </c>
      <c r="AF3" s="416" t="s">
        <v>402</v>
      </c>
      <c r="AG3" s="415"/>
      <c r="AH3" s="444" t="s">
        <v>403</v>
      </c>
      <c r="AI3" s="445" t="s">
        <v>404</v>
      </c>
      <c r="AJ3" s="415" t="s">
        <v>337</v>
      </c>
      <c r="AK3" s="416" t="s">
        <v>405</v>
      </c>
      <c r="AL3" s="416" t="s">
        <v>406</v>
      </c>
      <c r="AM3" s="415" t="s">
        <v>337</v>
      </c>
      <c r="AN3" s="213">
        <v>12001030</v>
      </c>
      <c r="AO3" s="416" t="s">
        <v>407</v>
      </c>
      <c r="AP3" s="415" t="s">
        <v>337</v>
      </c>
      <c r="AQ3" s="213" t="s">
        <v>408</v>
      </c>
      <c r="AR3" s="416" t="s">
        <v>409</v>
      </c>
      <c r="AS3" s="415" t="s">
        <v>337</v>
      </c>
      <c r="AT3" s="418" t="s">
        <v>403</v>
      </c>
      <c r="AU3" s="416" t="s">
        <v>410</v>
      </c>
      <c r="AV3" s="415" t="s">
        <v>337</v>
      </c>
      <c r="AW3" s="213">
        <v>20</v>
      </c>
      <c r="AX3" s="416" t="s">
        <v>411</v>
      </c>
      <c r="AY3" s="415"/>
      <c r="AZ3" s="417">
        <v>111002</v>
      </c>
      <c r="BA3" s="416" t="s">
        <v>412</v>
      </c>
      <c r="BB3" s="415" t="s">
        <v>337</v>
      </c>
      <c r="BC3" s="417" t="s">
        <v>130</v>
      </c>
      <c r="BD3" s="416" t="s">
        <v>413</v>
      </c>
      <c r="BE3" s="415" t="s">
        <v>337</v>
      </c>
      <c r="BF3" s="418" t="s">
        <v>414</v>
      </c>
      <c r="BG3" s="416" t="s">
        <v>415</v>
      </c>
      <c r="BH3" s="415" t="s">
        <v>337</v>
      </c>
      <c r="BI3" s="213" t="s">
        <v>117</v>
      </c>
      <c r="BJ3" s="416" t="s">
        <v>370</v>
      </c>
      <c r="BK3" s="213" t="s">
        <v>416</v>
      </c>
      <c r="BL3" s="416" t="s">
        <v>417</v>
      </c>
      <c r="BM3" s="415" t="s">
        <v>337</v>
      </c>
      <c r="BN3" s="213" t="s">
        <v>418</v>
      </c>
      <c r="BO3" s="416" t="s">
        <v>419</v>
      </c>
      <c r="BP3" s="415" t="s">
        <v>337</v>
      </c>
      <c r="BQ3" s="213" t="s">
        <v>420</v>
      </c>
      <c r="BR3" s="416" t="s">
        <v>421</v>
      </c>
      <c r="BS3" s="415"/>
      <c r="BT3" s="213" t="s">
        <v>149</v>
      </c>
      <c r="BU3" s="416" t="s">
        <v>422</v>
      </c>
      <c r="BV3" s="415" t="s">
        <v>337</v>
      </c>
      <c r="BW3" s="417" t="s">
        <v>130</v>
      </c>
      <c r="BX3" s="416" t="s">
        <v>423</v>
      </c>
      <c r="BY3" s="415" t="s">
        <v>337</v>
      </c>
      <c r="BZ3" s="421" t="s">
        <v>130</v>
      </c>
      <c r="CA3" s="416" t="s">
        <v>424</v>
      </c>
      <c r="CB3" s="415" t="s">
        <v>337</v>
      </c>
      <c r="CC3" s="213" t="s">
        <v>425</v>
      </c>
      <c r="CD3" s="416" t="s">
        <v>426</v>
      </c>
      <c r="CE3" s="415" t="s">
        <v>337</v>
      </c>
      <c r="CF3" s="417" t="s">
        <v>130</v>
      </c>
      <c r="CG3" s="416" t="s">
        <v>427</v>
      </c>
      <c r="CH3" s="415" t="s">
        <v>337</v>
      </c>
      <c r="CI3" s="213">
        <v>1</v>
      </c>
      <c r="CJ3" s="416" t="s">
        <v>428</v>
      </c>
      <c r="CK3" s="415" t="s">
        <v>337</v>
      </c>
      <c r="CL3" s="213" t="s">
        <v>429</v>
      </c>
      <c r="CM3" s="416" t="s">
        <v>430</v>
      </c>
      <c r="CN3" s="415" t="s">
        <v>337</v>
      </c>
      <c r="CO3" s="213" t="s">
        <v>61</v>
      </c>
      <c r="CP3" s="416" t="s">
        <v>431</v>
      </c>
      <c r="CQ3" s="415" t="s">
        <v>337</v>
      </c>
      <c r="CR3" s="213" t="s">
        <v>432</v>
      </c>
      <c r="CS3" s="213" t="s">
        <v>433</v>
      </c>
      <c r="CT3" s="415" t="s">
        <v>337</v>
      </c>
    </row>
    <row r="4" spans="1:98">
      <c r="A4" s="1" t="s">
        <v>347</v>
      </c>
      <c r="B4" s="416" t="s">
        <v>434</v>
      </c>
      <c r="C4" s="415" t="s">
        <v>337</v>
      </c>
      <c r="D4" s="416" t="s">
        <v>318</v>
      </c>
      <c r="E4" s="416" t="s">
        <v>435</v>
      </c>
      <c r="F4" s="415" t="s">
        <v>337</v>
      </c>
      <c r="G4" s="213" t="s">
        <v>436</v>
      </c>
      <c r="H4" s="1" t="s">
        <v>437</v>
      </c>
      <c r="I4" s="415" t="s">
        <v>337</v>
      </c>
      <c r="J4" s="213"/>
      <c r="K4" s="213"/>
      <c r="L4" s="415" t="s">
        <v>337</v>
      </c>
      <c r="M4" s="213" t="s">
        <v>438</v>
      </c>
      <c r="N4" s="416" t="s">
        <v>439</v>
      </c>
      <c r="O4" s="415" t="s">
        <v>337</v>
      </c>
      <c r="P4" s="213" t="s">
        <v>440</v>
      </c>
      <c r="Q4" s="416" t="s">
        <v>441</v>
      </c>
      <c r="R4" s="415" t="s">
        <v>337</v>
      </c>
      <c r="S4" s="213">
        <v>1203</v>
      </c>
      <c r="T4" s="416" t="s">
        <v>442</v>
      </c>
      <c r="U4" s="415" t="s">
        <v>337</v>
      </c>
      <c r="X4" s="415"/>
      <c r="Y4" s="213">
        <v>5100</v>
      </c>
      <c r="Z4" s="416" t="s">
        <v>443</v>
      </c>
      <c r="AA4" s="423" t="str">
        <f>_xlfn.CONCAT(Y5," - ",Z5)</f>
        <v xml:space="preserve"> - </v>
      </c>
      <c r="AB4" s="213">
        <v>1300</v>
      </c>
      <c r="AC4" s="416" t="s">
        <v>444</v>
      </c>
      <c r="AD4" s="415"/>
      <c r="AE4" s="417" t="s">
        <v>445</v>
      </c>
      <c r="AF4" s="416" t="s">
        <v>446</v>
      </c>
      <c r="AG4" s="415"/>
      <c r="AH4" s="444" t="s">
        <v>447</v>
      </c>
      <c r="AI4" s="445" t="s">
        <v>448</v>
      </c>
      <c r="AJ4" s="415" t="s">
        <v>337</v>
      </c>
      <c r="AK4" s="416" t="s">
        <v>449</v>
      </c>
      <c r="AL4" s="416" t="s">
        <v>450</v>
      </c>
      <c r="AM4" s="415" t="s">
        <v>337</v>
      </c>
      <c r="AN4" s="213">
        <v>12002030</v>
      </c>
      <c r="AO4" s="416" t="s">
        <v>451</v>
      </c>
      <c r="AP4" s="415" t="s">
        <v>337</v>
      </c>
      <c r="AQ4" s="213" t="s">
        <v>141</v>
      </c>
      <c r="AR4" s="416" t="s">
        <v>452</v>
      </c>
      <c r="AS4" s="415" t="s">
        <v>337</v>
      </c>
      <c r="AT4" s="418" t="s">
        <v>453</v>
      </c>
      <c r="AU4" s="416" t="s">
        <v>454</v>
      </c>
      <c r="AV4" s="415" t="s">
        <v>337</v>
      </c>
      <c r="AW4" s="213">
        <v>30</v>
      </c>
      <c r="AX4" s="416" t="s">
        <v>455</v>
      </c>
      <c r="AY4" s="415"/>
      <c r="AZ4" s="213">
        <v>111003</v>
      </c>
      <c r="BA4" s="416" t="s">
        <v>456</v>
      </c>
      <c r="BB4" s="415" t="s">
        <v>337</v>
      </c>
      <c r="BC4" s="417" t="s">
        <v>440</v>
      </c>
      <c r="BD4" s="416" t="s">
        <v>457</v>
      </c>
      <c r="BE4" s="415" t="s">
        <v>337</v>
      </c>
      <c r="BF4" s="418" t="s">
        <v>458</v>
      </c>
      <c r="BG4" s="416" t="s">
        <v>459</v>
      </c>
      <c r="BH4" s="415" t="s">
        <v>337</v>
      </c>
      <c r="BI4" s="213" t="s">
        <v>117</v>
      </c>
      <c r="BJ4" s="416" t="s">
        <v>370</v>
      </c>
      <c r="BK4" s="213" t="s">
        <v>460</v>
      </c>
      <c r="BL4" s="416" t="s">
        <v>461</v>
      </c>
      <c r="BM4" s="415" t="s">
        <v>337</v>
      </c>
      <c r="BN4" s="213" t="s">
        <v>462</v>
      </c>
      <c r="BO4" s="416" t="s">
        <v>463</v>
      </c>
      <c r="BP4" s="415" t="s">
        <v>337</v>
      </c>
      <c r="BQ4" s="213" t="s">
        <v>464</v>
      </c>
      <c r="BR4" s="416" t="s">
        <v>465</v>
      </c>
      <c r="BS4" s="415"/>
      <c r="BT4" s="213" t="s">
        <v>466</v>
      </c>
      <c r="BU4" s="416" t="s">
        <v>467</v>
      </c>
      <c r="BV4" s="415" t="s">
        <v>337</v>
      </c>
      <c r="BW4" s="417" t="s">
        <v>440</v>
      </c>
      <c r="BX4" s="416" t="s">
        <v>468</v>
      </c>
      <c r="BY4" s="415" t="s">
        <v>337</v>
      </c>
      <c r="BZ4" s="421" t="s">
        <v>440</v>
      </c>
      <c r="CA4" s="416" t="s">
        <v>469</v>
      </c>
      <c r="CB4" s="415" t="s">
        <v>337</v>
      </c>
      <c r="CC4" s="213" t="s">
        <v>470</v>
      </c>
      <c r="CD4" s="416" t="s">
        <v>471</v>
      </c>
      <c r="CE4" s="415" t="s">
        <v>337</v>
      </c>
      <c r="CF4" s="417" t="s">
        <v>440</v>
      </c>
      <c r="CG4" s="416" t="s">
        <v>472</v>
      </c>
      <c r="CH4" s="415" t="s">
        <v>337</v>
      </c>
      <c r="CI4" s="213">
        <v>2</v>
      </c>
      <c r="CJ4" s="416" t="s">
        <v>473</v>
      </c>
      <c r="CK4" s="415" t="s">
        <v>337</v>
      </c>
      <c r="CL4" s="213" t="s">
        <v>328</v>
      </c>
      <c r="CM4" s="416" t="s">
        <v>474</v>
      </c>
      <c r="CN4" s="415" t="s">
        <v>337</v>
      </c>
      <c r="CO4" s="213" t="s">
        <v>130</v>
      </c>
      <c r="CP4" s="416" t="s">
        <v>475</v>
      </c>
      <c r="CQ4" s="415" t="s">
        <v>337</v>
      </c>
      <c r="CR4" s="213"/>
      <c r="CS4" s="213"/>
      <c r="CT4" s="415" t="s">
        <v>337</v>
      </c>
    </row>
    <row r="5" spans="1:98">
      <c r="A5" s="1" t="s">
        <v>347</v>
      </c>
      <c r="B5" s="416" t="s">
        <v>476</v>
      </c>
      <c r="C5" s="415" t="s">
        <v>337</v>
      </c>
      <c r="D5" s="416" t="s">
        <v>318</v>
      </c>
      <c r="E5" s="416" t="s">
        <v>477</v>
      </c>
      <c r="F5" s="415" t="s">
        <v>337</v>
      </c>
      <c r="G5" s="213" t="s">
        <v>478</v>
      </c>
      <c r="H5" s="1" t="s">
        <v>479</v>
      </c>
      <c r="I5" s="415" t="s">
        <v>337</v>
      </c>
      <c r="J5" s="213"/>
      <c r="K5" s="213"/>
      <c r="L5" s="415" t="s">
        <v>337</v>
      </c>
      <c r="M5" s="213" t="s">
        <v>480</v>
      </c>
      <c r="N5" s="416" t="s">
        <v>481</v>
      </c>
      <c r="O5" s="415" t="s">
        <v>337</v>
      </c>
      <c r="P5" s="213" t="s">
        <v>482</v>
      </c>
      <c r="Q5" s="416" t="s">
        <v>483</v>
      </c>
      <c r="R5" s="415" t="s">
        <v>337</v>
      </c>
      <c r="S5" s="213">
        <v>4000</v>
      </c>
      <c r="T5" s="416" t="s">
        <v>380</v>
      </c>
      <c r="U5" s="415" t="s">
        <v>337</v>
      </c>
      <c r="X5" s="415"/>
      <c r="AA5" s="415"/>
      <c r="AB5" s="213">
        <v>1400</v>
      </c>
      <c r="AC5" s="416" t="s">
        <v>484</v>
      </c>
      <c r="AD5" s="415"/>
      <c r="AE5" s="417" t="s">
        <v>485</v>
      </c>
      <c r="AF5" s="416" t="s">
        <v>486</v>
      </c>
      <c r="AG5" s="415"/>
      <c r="AH5" s="444" t="s">
        <v>487</v>
      </c>
      <c r="AI5" s="445" t="s">
        <v>488</v>
      </c>
      <c r="AJ5" s="415" t="s">
        <v>337</v>
      </c>
      <c r="AK5" s="416" t="s">
        <v>489</v>
      </c>
      <c r="AL5" s="416" t="s">
        <v>490</v>
      </c>
      <c r="AM5" s="415" t="s">
        <v>337</v>
      </c>
      <c r="AN5" s="213">
        <v>12100010</v>
      </c>
      <c r="AO5" s="416" t="s">
        <v>491</v>
      </c>
      <c r="AP5" s="415" t="s">
        <v>337</v>
      </c>
      <c r="AQ5" s="213" t="s">
        <v>492</v>
      </c>
      <c r="AR5" s="416" t="s">
        <v>493</v>
      </c>
      <c r="AS5" s="415" t="s">
        <v>337</v>
      </c>
      <c r="AT5" s="418" t="s">
        <v>494</v>
      </c>
      <c r="AU5" s="416" t="s">
        <v>495</v>
      </c>
      <c r="AV5" s="415" t="s">
        <v>337</v>
      </c>
      <c r="AW5" s="213">
        <v>40</v>
      </c>
      <c r="AX5" s="416" t="s">
        <v>496</v>
      </c>
      <c r="AY5" s="415"/>
      <c r="AZ5" s="213">
        <v>111004</v>
      </c>
      <c r="BA5" s="416" t="s">
        <v>497</v>
      </c>
      <c r="BB5" s="415" t="s">
        <v>337</v>
      </c>
      <c r="BC5" s="417" t="s">
        <v>482</v>
      </c>
      <c r="BD5" s="416" t="s">
        <v>498</v>
      </c>
      <c r="BE5" s="415" t="s">
        <v>337</v>
      </c>
      <c r="BF5" s="418" t="s">
        <v>499</v>
      </c>
      <c r="BG5" s="416" t="s">
        <v>500</v>
      </c>
      <c r="BH5" s="415" t="s">
        <v>337</v>
      </c>
      <c r="BI5" s="213" t="s">
        <v>117</v>
      </c>
      <c r="BJ5" s="416" t="s">
        <v>370</v>
      </c>
      <c r="BK5" s="213" t="s">
        <v>501</v>
      </c>
      <c r="BL5" s="416" t="s">
        <v>502</v>
      </c>
      <c r="BM5" s="415" t="s">
        <v>337</v>
      </c>
      <c r="BN5" s="213" t="s">
        <v>503</v>
      </c>
      <c r="BO5" s="416" t="s">
        <v>504</v>
      </c>
      <c r="BP5" s="415" t="s">
        <v>337</v>
      </c>
      <c r="BQ5" s="213" t="s">
        <v>505</v>
      </c>
      <c r="BR5" s="416" t="s">
        <v>506</v>
      </c>
      <c r="BS5" s="415"/>
      <c r="BT5" s="213" t="s">
        <v>507</v>
      </c>
      <c r="BU5" s="416" t="s">
        <v>508</v>
      </c>
      <c r="BV5" s="415" t="s">
        <v>337</v>
      </c>
      <c r="BW5" s="417" t="s">
        <v>482</v>
      </c>
      <c r="BX5" s="416" t="s">
        <v>509</v>
      </c>
      <c r="BY5" s="415" t="s">
        <v>337</v>
      </c>
      <c r="BZ5" s="421" t="s">
        <v>482</v>
      </c>
      <c r="CA5" s="416" t="s">
        <v>510</v>
      </c>
      <c r="CB5" s="415" t="s">
        <v>337</v>
      </c>
      <c r="CC5" s="213" t="s">
        <v>511</v>
      </c>
      <c r="CD5" s="416" t="s">
        <v>512</v>
      </c>
      <c r="CE5" s="415" t="s">
        <v>337</v>
      </c>
      <c r="CF5" s="417" t="s">
        <v>482</v>
      </c>
      <c r="CG5" s="416" t="s">
        <v>513</v>
      </c>
      <c r="CH5" s="415" t="s">
        <v>337</v>
      </c>
      <c r="CK5" s="415" t="s">
        <v>337</v>
      </c>
      <c r="CL5" s="213" t="s">
        <v>514</v>
      </c>
      <c r="CM5" s="416" t="s">
        <v>515</v>
      </c>
      <c r="CN5" s="415" t="s">
        <v>337</v>
      </c>
      <c r="CO5" s="213" t="s">
        <v>516</v>
      </c>
      <c r="CP5" s="416" t="s">
        <v>517</v>
      </c>
      <c r="CQ5" s="415" t="s">
        <v>337</v>
      </c>
      <c r="CR5" s="213"/>
      <c r="CS5" s="213"/>
      <c r="CT5" s="415" t="s">
        <v>337</v>
      </c>
    </row>
    <row r="6" spans="1:98">
      <c r="A6" s="1" t="s">
        <v>347</v>
      </c>
      <c r="B6" s="416" t="s">
        <v>518</v>
      </c>
      <c r="C6" s="415" t="s">
        <v>337</v>
      </c>
      <c r="D6" s="416" t="s">
        <v>318</v>
      </c>
      <c r="E6" s="416" t="s">
        <v>519</v>
      </c>
      <c r="F6" s="415" t="s">
        <v>337</v>
      </c>
      <c r="G6" s="213" t="s">
        <v>520</v>
      </c>
      <c r="H6" s="1" t="s">
        <v>521</v>
      </c>
      <c r="I6" s="415" t="s">
        <v>337</v>
      </c>
      <c r="J6" s="213"/>
      <c r="K6" s="213"/>
      <c r="L6" s="415" t="s">
        <v>337</v>
      </c>
      <c r="M6" s="213" t="s">
        <v>522</v>
      </c>
      <c r="N6" s="416" t="s">
        <v>523</v>
      </c>
      <c r="O6" s="415" t="s">
        <v>337</v>
      </c>
      <c r="P6" s="213" t="s">
        <v>524</v>
      </c>
      <c r="Q6" s="416" t="s">
        <v>525</v>
      </c>
      <c r="R6" s="415" t="s">
        <v>337</v>
      </c>
      <c r="S6" s="213">
        <v>5000</v>
      </c>
      <c r="T6" s="416" t="s">
        <v>526</v>
      </c>
      <c r="U6" s="415" t="s">
        <v>337</v>
      </c>
      <c r="X6" s="415"/>
      <c r="AA6" s="415"/>
      <c r="AB6" s="213">
        <v>1500</v>
      </c>
      <c r="AC6" s="416" t="s">
        <v>527</v>
      </c>
      <c r="AD6" s="415"/>
      <c r="AE6" s="417" t="s">
        <v>528</v>
      </c>
      <c r="AF6" s="416" t="s">
        <v>529</v>
      </c>
      <c r="AG6" s="415"/>
      <c r="AH6" s="444" t="s">
        <v>530</v>
      </c>
      <c r="AI6" s="445" t="s">
        <v>531</v>
      </c>
      <c r="AJ6" s="415" t="s">
        <v>337</v>
      </c>
      <c r="AK6" s="416" t="s">
        <v>532</v>
      </c>
      <c r="AL6" s="416" t="s">
        <v>533</v>
      </c>
      <c r="AM6" s="415" t="s">
        <v>337</v>
      </c>
      <c r="AN6" s="213">
        <v>12101010</v>
      </c>
      <c r="AO6" s="416" t="s">
        <v>534</v>
      </c>
      <c r="AP6" s="415" t="s">
        <v>337</v>
      </c>
      <c r="AQ6" s="213" t="s">
        <v>535</v>
      </c>
      <c r="AR6" s="416" t="s">
        <v>536</v>
      </c>
      <c r="AS6" s="415" t="s">
        <v>337</v>
      </c>
      <c r="AT6" s="418" t="s">
        <v>537</v>
      </c>
      <c r="AU6" s="416" t="s">
        <v>538</v>
      </c>
      <c r="AV6" s="415" t="s">
        <v>337</v>
      </c>
      <c r="AW6" s="213">
        <v>50</v>
      </c>
      <c r="AX6" s="416" t="s">
        <v>539</v>
      </c>
      <c r="AY6" s="415"/>
      <c r="AZ6" s="213">
        <v>111005</v>
      </c>
      <c r="BA6" s="416" t="s">
        <v>540</v>
      </c>
      <c r="BB6" s="415" t="s">
        <v>337</v>
      </c>
      <c r="BC6" s="417" t="s">
        <v>524</v>
      </c>
      <c r="BD6" s="416" t="s">
        <v>541</v>
      </c>
      <c r="BE6" s="415" t="s">
        <v>337</v>
      </c>
      <c r="BF6" s="418" t="s">
        <v>542</v>
      </c>
      <c r="BG6" s="416" t="s">
        <v>543</v>
      </c>
      <c r="BH6" s="415" t="s">
        <v>337</v>
      </c>
      <c r="BI6" s="213" t="s">
        <v>117</v>
      </c>
      <c r="BJ6" s="416" t="s">
        <v>370</v>
      </c>
      <c r="BK6" s="213" t="s">
        <v>544</v>
      </c>
      <c r="BL6" s="416" t="s">
        <v>545</v>
      </c>
      <c r="BM6" s="415" t="s">
        <v>337</v>
      </c>
      <c r="BN6" s="213" t="s">
        <v>546</v>
      </c>
      <c r="BO6" s="416" t="s">
        <v>547</v>
      </c>
      <c r="BP6" s="415" t="s">
        <v>337</v>
      </c>
      <c r="BS6" s="415"/>
      <c r="BT6" s="213" t="s">
        <v>189</v>
      </c>
      <c r="BU6" s="416" t="s">
        <v>548</v>
      </c>
      <c r="BV6" s="415" t="s">
        <v>337</v>
      </c>
      <c r="BW6" s="417" t="s">
        <v>524</v>
      </c>
      <c r="BX6" s="416" t="s">
        <v>549</v>
      </c>
      <c r="BY6" s="415" t="s">
        <v>337</v>
      </c>
      <c r="BZ6" s="421" t="s">
        <v>524</v>
      </c>
      <c r="CA6" s="416" t="s">
        <v>550</v>
      </c>
      <c r="CB6" s="415" t="s">
        <v>337</v>
      </c>
      <c r="CC6" s="213" t="s">
        <v>551</v>
      </c>
      <c r="CD6" s="416" t="s">
        <v>552</v>
      </c>
      <c r="CE6" s="415" t="s">
        <v>337</v>
      </c>
      <c r="CF6" s="417" t="s">
        <v>524</v>
      </c>
      <c r="CG6" s="416" t="s">
        <v>553</v>
      </c>
      <c r="CH6" s="415" t="s">
        <v>337</v>
      </c>
      <c r="CK6" s="415" t="s">
        <v>337</v>
      </c>
      <c r="CL6" s="213" t="s">
        <v>554</v>
      </c>
      <c r="CM6" s="416" t="s">
        <v>555</v>
      </c>
      <c r="CN6" s="415" t="s">
        <v>337</v>
      </c>
      <c r="CQ6" s="415" t="s">
        <v>337</v>
      </c>
      <c r="CR6" s="213"/>
      <c r="CS6" s="213"/>
      <c r="CT6" s="415" t="s">
        <v>337</v>
      </c>
    </row>
    <row r="7" spans="1:98">
      <c r="A7" s="1" t="s">
        <v>347</v>
      </c>
      <c r="B7" s="416" t="s">
        <v>556</v>
      </c>
      <c r="C7" s="415" t="s">
        <v>337</v>
      </c>
      <c r="D7" s="416" t="s">
        <v>318</v>
      </c>
      <c r="E7" s="416" t="s">
        <v>557</v>
      </c>
      <c r="F7" s="415" t="s">
        <v>337</v>
      </c>
      <c r="G7" s="213" t="s">
        <v>558</v>
      </c>
      <c r="H7" s="1" t="s">
        <v>559</v>
      </c>
      <c r="I7" s="415" t="s">
        <v>337</v>
      </c>
      <c r="J7" s="213"/>
      <c r="K7" s="213"/>
      <c r="L7" s="415" t="s">
        <v>337</v>
      </c>
      <c r="M7" s="213" t="s">
        <v>560</v>
      </c>
      <c r="N7" s="416" t="s">
        <v>561</v>
      </c>
      <c r="O7" s="415" t="s">
        <v>337</v>
      </c>
      <c r="P7" s="213" t="s">
        <v>562</v>
      </c>
      <c r="Q7" s="416" t="s">
        <v>563</v>
      </c>
      <c r="R7" s="415" t="s">
        <v>337</v>
      </c>
      <c r="S7" s="213" t="s">
        <v>564</v>
      </c>
      <c r="T7" s="416" t="s">
        <v>565</v>
      </c>
      <c r="U7" s="415" t="s">
        <v>337</v>
      </c>
      <c r="X7" s="415"/>
      <c r="AA7" s="415"/>
      <c r="AB7" s="213">
        <v>1600</v>
      </c>
      <c r="AC7" s="416" t="s">
        <v>566</v>
      </c>
      <c r="AD7" s="415"/>
      <c r="AE7" s="417" t="s">
        <v>567</v>
      </c>
      <c r="AF7" s="416" t="s">
        <v>568</v>
      </c>
      <c r="AG7" s="415"/>
      <c r="AH7" s="213"/>
      <c r="AI7" s="213"/>
      <c r="AJ7" s="415" t="s">
        <v>337</v>
      </c>
      <c r="AK7" s="416" t="s">
        <v>569</v>
      </c>
      <c r="AL7" s="416" t="s">
        <v>570</v>
      </c>
      <c r="AM7" s="415" t="s">
        <v>337</v>
      </c>
      <c r="AN7" s="213">
        <v>12102010</v>
      </c>
      <c r="AO7" s="416" t="s">
        <v>571</v>
      </c>
      <c r="AP7" s="415" t="s">
        <v>337</v>
      </c>
      <c r="AQ7" s="213" t="s">
        <v>572</v>
      </c>
      <c r="AR7" s="416" t="s">
        <v>573</v>
      </c>
      <c r="AS7" s="415" t="s">
        <v>337</v>
      </c>
      <c r="AT7" s="418" t="s">
        <v>574</v>
      </c>
      <c r="AU7" s="416" t="s">
        <v>366</v>
      </c>
      <c r="AV7" s="415" t="s">
        <v>337</v>
      </c>
      <c r="AW7" s="213">
        <v>60</v>
      </c>
      <c r="AX7" s="416" t="s">
        <v>575</v>
      </c>
      <c r="AY7" s="415"/>
      <c r="AZ7" s="213">
        <v>111006</v>
      </c>
      <c r="BA7" s="416" t="s">
        <v>576</v>
      </c>
      <c r="BB7" s="415" t="s">
        <v>337</v>
      </c>
      <c r="BC7" s="417" t="s">
        <v>562</v>
      </c>
      <c r="BD7" s="416" t="s">
        <v>577</v>
      </c>
      <c r="BE7" s="415" t="s">
        <v>337</v>
      </c>
      <c r="BF7" s="418" t="s">
        <v>578</v>
      </c>
      <c r="BG7" s="416" t="s">
        <v>411</v>
      </c>
      <c r="BH7" s="415" t="s">
        <v>337</v>
      </c>
      <c r="BI7" s="213" t="s">
        <v>117</v>
      </c>
      <c r="BJ7" s="416" t="s">
        <v>370</v>
      </c>
      <c r="BK7" s="213" t="s">
        <v>579</v>
      </c>
      <c r="BL7" s="416" t="s">
        <v>580</v>
      </c>
      <c r="BM7" s="415" t="s">
        <v>337</v>
      </c>
      <c r="BN7" s="213" t="s">
        <v>581</v>
      </c>
      <c r="BO7" s="416" t="s">
        <v>582</v>
      </c>
      <c r="BP7" s="415" t="s">
        <v>337</v>
      </c>
      <c r="BS7" s="415"/>
      <c r="BT7" s="213" t="s">
        <v>583</v>
      </c>
      <c r="BU7" s="416" t="s">
        <v>584</v>
      </c>
      <c r="BV7" s="415" t="s">
        <v>337</v>
      </c>
      <c r="BW7" s="417" t="s">
        <v>562</v>
      </c>
      <c r="BX7" s="416" t="s">
        <v>585</v>
      </c>
      <c r="BY7" s="415" t="s">
        <v>337</v>
      </c>
      <c r="BZ7" s="421" t="s">
        <v>562</v>
      </c>
      <c r="CA7" s="416" t="s">
        <v>586</v>
      </c>
      <c r="CB7" s="415" t="s">
        <v>337</v>
      </c>
      <c r="CC7" s="213" t="s">
        <v>587</v>
      </c>
      <c r="CD7" s="416" t="s">
        <v>588</v>
      </c>
      <c r="CE7" s="415" t="s">
        <v>337</v>
      </c>
      <c r="CF7" s="417" t="s">
        <v>562</v>
      </c>
      <c r="CG7" s="416" t="s">
        <v>589</v>
      </c>
      <c r="CH7" s="415" t="s">
        <v>337</v>
      </c>
      <c r="CK7" s="415" t="s">
        <v>337</v>
      </c>
      <c r="CN7" s="415" t="s">
        <v>337</v>
      </c>
      <c r="CQ7" s="415" t="s">
        <v>337</v>
      </c>
      <c r="CR7" s="213"/>
      <c r="CS7" s="213"/>
      <c r="CT7" s="415" t="s">
        <v>337</v>
      </c>
    </row>
    <row r="8" spans="1:98">
      <c r="A8" s="1" t="s">
        <v>347</v>
      </c>
      <c r="B8" s="416" t="s">
        <v>590</v>
      </c>
      <c r="C8" s="415" t="s">
        <v>337</v>
      </c>
      <c r="D8" s="416" t="s">
        <v>318</v>
      </c>
      <c r="E8" s="416" t="s">
        <v>591</v>
      </c>
      <c r="F8" s="415" t="s">
        <v>337</v>
      </c>
      <c r="G8" s="213" t="s">
        <v>592</v>
      </c>
      <c r="H8" s="1" t="s">
        <v>593</v>
      </c>
      <c r="I8" s="415" t="s">
        <v>337</v>
      </c>
      <c r="J8" s="213"/>
      <c r="K8" s="213"/>
      <c r="L8" s="415" t="s">
        <v>337</v>
      </c>
      <c r="M8" s="213" t="s">
        <v>594</v>
      </c>
      <c r="N8" s="416" t="s">
        <v>595</v>
      </c>
      <c r="O8" s="415" t="s">
        <v>337</v>
      </c>
      <c r="Q8" s="213"/>
      <c r="R8" s="415" t="s">
        <v>337</v>
      </c>
      <c r="S8" s="213" t="s">
        <v>596</v>
      </c>
      <c r="T8" s="416" t="s">
        <v>597</v>
      </c>
      <c r="U8" s="415" t="s">
        <v>337</v>
      </c>
      <c r="X8" s="415"/>
      <c r="AA8" s="415"/>
      <c r="AB8" s="213">
        <v>1700</v>
      </c>
      <c r="AC8" s="416" t="s">
        <v>598</v>
      </c>
      <c r="AD8" s="415"/>
      <c r="AE8" s="417" t="s">
        <v>599</v>
      </c>
      <c r="AF8" s="416" t="s">
        <v>600</v>
      </c>
      <c r="AG8" s="415"/>
      <c r="AH8" s="213"/>
      <c r="AI8" s="213"/>
      <c r="AJ8" s="415" t="s">
        <v>337</v>
      </c>
      <c r="AK8" s="416" t="s">
        <v>601</v>
      </c>
      <c r="AL8" s="416" t="s">
        <v>602</v>
      </c>
      <c r="AM8" s="415" t="s">
        <v>337</v>
      </c>
      <c r="AN8" s="213">
        <v>12200010</v>
      </c>
      <c r="AO8" s="416" t="s">
        <v>603</v>
      </c>
      <c r="AP8" s="415" t="s">
        <v>337</v>
      </c>
      <c r="AQ8" s="213" t="s">
        <v>604</v>
      </c>
      <c r="AR8" s="416" t="s">
        <v>605</v>
      </c>
      <c r="AS8" s="415" t="s">
        <v>337</v>
      </c>
      <c r="AT8" s="418" t="s">
        <v>606</v>
      </c>
      <c r="AU8" s="416" t="s">
        <v>410</v>
      </c>
      <c r="AV8" s="415" t="s">
        <v>337</v>
      </c>
      <c r="AW8" s="213"/>
      <c r="AY8" s="415" t="s">
        <v>337</v>
      </c>
      <c r="AZ8" s="213">
        <v>111007</v>
      </c>
      <c r="BA8" s="416" t="s">
        <v>607</v>
      </c>
      <c r="BB8" s="415" t="s">
        <v>337</v>
      </c>
      <c r="BC8" s="417" t="s">
        <v>290</v>
      </c>
      <c r="BD8" s="416" t="s">
        <v>608</v>
      </c>
      <c r="BE8" s="415" t="s">
        <v>337</v>
      </c>
      <c r="BF8" s="418" t="s">
        <v>609</v>
      </c>
      <c r="BG8" s="416" t="s">
        <v>610</v>
      </c>
      <c r="BH8" s="415" t="s">
        <v>337</v>
      </c>
      <c r="BI8" s="213" t="s">
        <v>117</v>
      </c>
      <c r="BJ8" s="416" t="s">
        <v>370</v>
      </c>
      <c r="BK8" s="213" t="s">
        <v>611</v>
      </c>
      <c r="BL8" s="416" t="s">
        <v>612</v>
      </c>
      <c r="BM8" s="415" t="s">
        <v>337</v>
      </c>
      <c r="BN8" s="213" t="s">
        <v>613</v>
      </c>
      <c r="BO8" s="416" t="s">
        <v>614</v>
      </c>
      <c r="BP8" s="415" t="s">
        <v>337</v>
      </c>
      <c r="BS8" s="415"/>
      <c r="BV8" s="415" t="s">
        <v>337</v>
      </c>
      <c r="BW8" s="213">
        <v>11</v>
      </c>
      <c r="BX8" s="416" t="s">
        <v>615</v>
      </c>
      <c r="BY8" s="415" t="s">
        <v>337</v>
      </c>
      <c r="BZ8" s="421" t="s">
        <v>290</v>
      </c>
      <c r="CA8" s="416" t="s">
        <v>616</v>
      </c>
      <c r="CB8" s="415" t="s">
        <v>337</v>
      </c>
      <c r="CC8" s="213" t="s">
        <v>617</v>
      </c>
      <c r="CD8" s="416" t="s">
        <v>618</v>
      </c>
      <c r="CE8" s="415" t="s">
        <v>337</v>
      </c>
      <c r="CH8" s="415" t="s">
        <v>337</v>
      </c>
      <c r="CK8" s="415" t="s">
        <v>337</v>
      </c>
      <c r="CN8" s="415" t="s">
        <v>337</v>
      </c>
      <c r="CQ8" s="415" t="s">
        <v>337</v>
      </c>
      <c r="CR8" s="213"/>
      <c r="CS8" s="213"/>
      <c r="CT8" s="415" t="s">
        <v>337</v>
      </c>
    </row>
    <row r="9" spans="1:98">
      <c r="A9" s="1" t="s">
        <v>347</v>
      </c>
      <c r="B9" s="416" t="s">
        <v>619</v>
      </c>
      <c r="C9" s="415" t="s">
        <v>337</v>
      </c>
      <c r="D9" s="416" t="s">
        <v>318</v>
      </c>
      <c r="E9" s="416" t="s">
        <v>620</v>
      </c>
      <c r="F9" s="415" t="s">
        <v>337</v>
      </c>
      <c r="G9" s="213" t="s">
        <v>621</v>
      </c>
      <c r="H9" s="1" t="s">
        <v>622</v>
      </c>
      <c r="I9" s="415" t="s">
        <v>337</v>
      </c>
      <c r="J9" s="213"/>
      <c r="K9" s="213"/>
      <c r="L9" s="415" t="s">
        <v>337</v>
      </c>
      <c r="M9" s="213" t="s">
        <v>623</v>
      </c>
      <c r="N9" s="416" t="s">
        <v>624</v>
      </c>
      <c r="O9" s="415" t="s">
        <v>337</v>
      </c>
      <c r="Q9" s="213"/>
      <c r="R9" s="415" t="s">
        <v>337</v>
      </c>
      <c r="S9" s="213" t="s">
        <v>625</v>
      </c>
      <c r="T9" s="416" t="s">
        <v>626</v>
      </c>
      <c r="U9" s="415" t="s">
        <v>337</v>
      </c>
      <c r="X9" s="415"/>
      <c r="AA9" s="415"/>
      <c r="AB9" s="213">
        <v>1800</v>
      </c>
      <c r="AC9" s="416" t="s">
        <v>627</v>
      </c>
      <c r="AD9" s="415"/>
      <c r="AE9" s="417" t="s">
        <v>628</v>
      </c>
      <c r="AF9" s="416" t="s">
        <v>629</v>
      </c>
      <c r="AG9" s="415"/>
      <c r="AH9" s="213"/>
      <c r="AI9" s="213"/>
      <c r="AJ9" s="415" t="s">
        <v>337</v>
      </c>
      <c r="AK9" s="416" t="s">
        <v>630</v>
      </c>
      <c r="AL9" s="416" t="s">
        <v>631</v>
      </c>
      <c r="AM9" s="415" t="s">
        <v>337</v>
      </c>
      <c r="AN9" s="213">
        <v>12201010</v>
      </c>
      <c r="AO9" s="416" t="s">
        <v>632</v>
      </c>
      <c r="AP9" s="415" t="s">
        <v>337</v>
      </c>
      <c r="AQ9" s="213" t="s">
        <v>633</v>
      </c>
      <c r="AR9" s="416" t="s">
        <v>634</v>
      </c>
      <c r="AS9" s="415" t="s">
        <v>337</v>
      </c>
      <c r="AV9" s="415" t="s">
        <v>337</v>
      </c>
      <c r="AW9" s="213"/>
      <c r="AY9" s="415" t="s">
        <v>337</v>
      </c>
      <c r="AZ9" s="213">
        <v>111008</v>
      </c>
      <c r="BA9" s="416" t="s">
        <v>635</v>
      </c>
      <c r="BB9" s="415" t="s">
        <v>337</v>
      </c>
      <c r="BC9" s="417" t="s">
        <v>73</v>
      </c>
      <c r="BD9" s="416" t="s">
        <v>636</v>
      </c>
      <c r="BE9" s="415" t="s">
        <v>337</v>
      </c>
      <c r="BF9" s="418" t="s">
        <v>637</v>
      </c>
      <c r="BG9" s="416" t="s">
        <v>638</v>
      </c>
      <c r="BH9" s="415" t="s">
        <v>337</v>
      </c>
      <c r="BI9" s="213" t="s">
        <v>117</v>
      </c>
      <c r="BJ9" s="416" t="s">
        <v>370</v>
      </c>
      <c r="BK9" s="213" t="s">
        <v>120</v>
      </c>
      <c r="BL9" s="416" t="s">
        <v>639</v>
      </c>
      <c r="BM9" s="415" t="s">
        <v>337</v>
      </c>
      <c r="BN9" s="213" t="s">
        <v>640</v>
      </c>
      <c r="BO9" s="416" t="s">
        <v>641</v>
      </c>
      <c r="BP9" s="415" t="s">
        <v>337</v>
      </c>
      <c r="BS9" s="415"/>
      <c r="BV9" s="415" t="s">
        <v>337</v>
      </c>
      <c r="BW9" s="213">
        <v>12</v>
      </c>
      <c r="BX9" s="416" t="s">
        <v>642</v>
      </c>
      <c r="BY9" s="415" t="s">
        <v>337</v>
      </c>
      <c r="BZ9" s="421" t="s">
        <v>73</v>
      </c>
      <c r="CA9" s="416" t="s">
        <v>643</v>
      </c>
      <c r="CB9" s="415" t="s">
        <v>337</v>
      </c>
      <c r="CC9" s="213" t="s">
        <v>644</v>
      </c>
      <c r="CD9" s="416" t="s">
        <v>645</v>
      </c>
      <c r="CE9" s="415" t="s">
        <v>337</v>
      </c>
      <c r="CH9" s="415" t="s">
        <v>337</v>
      </c>
      <c r="CK9" s="415" t="s">
        <v>337</v>
      </c>
      <c r="CN9" s="415" t="s">
        <v>337</v>
      </c>
      <c r="CQ9" s="415" t="s">
        <v>337</v>
      </c>
      <c r="CR9" s="213"/>
      <c r="CS9" s="213"/>
      <c r="CT9" s="415" t="s">
        <v>337</v>
      </c>
    </row>
    <row r="10" spans="1:98">
      <c r="A10" s="1" t="s">
        <v>54</v>
      </c>
      <c r="B10" s="416" t="s">
        <v>646</v>
      </c>
      <c r="C10" s="415" t="s">
        <v>337</v>
      </c>
      <c r="D10" s="416" t="s">
        <v>318</v>
      </c>
      <c r="E10" s="416" t="s">
        <v>647</v>
      </c>
      <c r="F10" s="415" t="s">
        <v>337</v>
      </c>
      <c r="G10" s="213" t="s">
        <v>648</v>
      </c>
      <c r="H10" s="1" t="s">
        <v>649</v>
      </c>
      <c r="I10" s="415" t="s">
        <v>337</v>
      </c>
      <c r="J10" s="213"/>
      <c r="K10" s="213"/>
      <c r="L10" s="415" t="s">
        <v>337</v>
      </c>
      <c r="M10" s="213" t="s">
        <v>650</v>
      </c>
      <c r="N10" s="416" t="s">
        <v>651</v>
      </c>
      <c r="O10" s="415" t="s">
        <v>337</v>
      </c>
      <c r="Q10" s="213"/>
      <c r="R10" s="415" t="s">
        <v>337</v>
      </c>
      <c r="S10" s="213" t="s">
        <v>652</v>
      </c>
      <c r="T10" s="416" t="s">
        <v>653</v>
      </c>
      <c r="U10" s="415" t="s">
        <v>337</v>
      </c>
      <c r="X10" s="415"/>
      <c r="AA10" s="415"/>
      <c r="AB10" s="213">
        <v>1900</v>
      </c>
      <c r="AC10" s="416" t="s">
        <v>654</v>
      </c>
      <c r="AD10" s="415"/>
      <c r="AE10" s="417" t="s">
        <v>655</v>
      </c>
      <c r="AF10" s="416" t="s">
        <v>656</v>
      </c>
      <c r="AG10" s="415"/>
      <c r="AH10" s="213"/>
      <c r="AI10" s="213"/>
      <c r="AJ10" s="415" t="s">
        <v>337</v>
      </c>
      <c r="AK10" s="416" t="s">
        <v>657</v>
      </c>
      <c r="AL10" s="416" t="s">
        <v>658</v>
      </c>
      <c r="AM10" s="415" t="s">
        <v>337</v>
      </c>
      <c r="AN10" s="213">
        <v>12202010</v>
      </c>
      <c r="AO10" s="416" t="s">
        <v>659</v>
      </c>
      <c r="AP10" s="415" t="s">
        <v>337</v>
      </c>
      <c r="AQ10" s="213" t="s">
        <v>660</v>
      </c>
      <c r="AR10" s="416" t="s">
        <v>661</v>
      </c>
      <c r="AS10" s="415" t="s">
        <v>337</v>
      </c>
      <c r="AV10" s="415" t="s">
        <v>337</v>
      </c>
      <c r="AW10" s="213"/>
      <c r="AY10" s="415" t="s">
        <v>337</v>
      </c>
      <c r="AZ10" s="213">
        <v>112001</v>
      </c>
      <c r="BA10" s="416" t="s">
        <v>662</v>
      </c>
      <c r="BB10" s="415" t="s">
        <v>337</v>
      </c>
      <c r="BC10" s="417" t="s">
        <v>80</v>
      </c>
      <c r="BD10" s="416" t="s">
        <v>663</v>
      </c>
      <c r="BE10" s="415" t="s">
        <v>337</v>
      </c>
      <c r="BF10" s="418" t="s">
        <v>664</v>
      </c>
      <c r="BG10" s="416" t="s">
        <v>665</v>
      </c>
      <c r="BH10" s="415" t="s">
        <v>337</v>
      </c>
      <c r="BI10" s="213" t="s">
        <v>117</v>
      </c>
      <c r="BJ10" s="416" t="s">
        <v>370</v>
      </c>
      <c r="BK10" s="213" t="s">
        <v>666</v>
      </c>
      <c r="BL10" s="416" t="s">
        <v>667</v>
      </c>
      <c r="BM10" s="415" t="s">
        <v>337</v>
      </c>
      <c r="BN10" s="213" t="s">
        <v>668</v>
      </c>
      <c r="BO10" s="416" t="s">
        <v>669</v>
      </c>
      <c r="BP10" s="415" t="s">
        <v>337</v>
      </c>
      <c r="BS10" s="415"/>
      <c r="BU10" s="213"/>
      <c r="BV10" s="415" t="s">
        <v>337</v>
      </c>
      <c r="BW10" s="213">
        <v>13</v>
      </c>
      <c r="BX10" s="416" t="s">
        <v>670</v>
      </c>
      <c r="BY10" s="415" t="s">
        <v>337</v>
      </c>
      <c r="BZ10" s="421" t="s">
        <v>80</v>
      </c>
      <c r="CA10" s="416" t="s">
        <v>671</v>
      </c>
      <c r="CB10" s="415" t="s">
        <v>337</v>
      </c>
      <c r="CC10" s="213" t="s">
        <v>672</v>
      </c>
      <c r="CD10" s="416" t="s">
        <v>673</v>
      </c>
      <c r="CE10" s="415" t="s">
        <v>337</v>
      </c>
      <c r="CH10" s="415" t="s">
        <v>337</v>
      </c>
      <c r="CK10" s="415" t="s">
        <v>337</v>
      </c>
      <c r="CN10" s="415" t="s">
        <v>337</v>
      </c>
      <c r="CQ10" s="415" t="s">
        <v>337</v>
      </c>
      <c r="CR10" s="213"/>
      <c r="CS10" s="213"/>
      <c r="CT10" s="415" t="s">
        <v>337</v>
      </c>
    </row>
    <row r="11" spans="1:98">
      <c r="A11" s="1" t="s">
        <v>54</v>
      </c>
      <c r="B11" s="416" t="s">
        <v>674</v>
      </c>
      <c r="C11" s="415" t="s">
        <v>337</v>
      </c>
      <c r="D11" s="416" t="s">
        <v>318</v>
      </c>
      <c r="E11" s="416" t="s">
        <v>675</v>
      </c>
      <c r="F11" s="415" t="s">
        <v>337</v>
      </c>
      <c r="G11" s="213" t="s">
        <v>676</v>
      </c>
      <c r="H11" s="1" t="s">
        <v>677</v>
      </c>
      <c r="I11" s="415" t="s">
        <v>337</v>
      </c>
      <c r="J11" s="213"/>
      <c r="K11" s="213"/>
      <c r="L11" s="415" t="s">
        <v>337</v>
      </c>
      <c r="M11" s="213" t="s">
        <v>678</v>
      </c>
      <c r="N11" s="416" t="s">
        <v>679</v>
      </c>
      <c r="O11" s="415" t="s">
        <v>337</v>
      </c>
      <c r="Q11" s="213"/>
      <c r="R11" s="415" t="s">
        <v>337</v>
      </c>
      <c r="S11" s="213" t="s">
        <v>680</v>
      </c>
      <c r="T11" s="416" t="s">
        <v>681</v>
      </c>
      <c r="U11" s="415" t="s">
        <v>337</v>
      </c>
      <c r="X11" s="415"/>
      <c r="AA11" s="415"/>
      <c r="AB11" s="213">
        <v>2000</v>
      </c>
      <c r="AC11" s="416" t="s">
        <v>682</v>
      </c>
      <c r="AD11" s="415"/>
      <c r="AE11" s="417" t="s">
        <v>683</v>
      </c>
      <c r="AF11" s="416" t="s">
        <v>684</v>
      </c>
      <c r="AG11" s="415"/>
      <c r="AH11" s="213"/>
      <c r="AI11" s="213"/>
      <c r="AJ11" s="415" t="s">
        <v>337</v>
      </c>
      <c r="AK11" s="416" t="s">
        <v>685</v>
      </c>
      <c r="AL11" s="416" t="s">
        <v>686</v>
      </c>
      <c r="AM11" s="415" t="s">
        <v>337</v>
      </c>
      <c r="AN11" s="213">
        <v>12300020</v>
      </c>
      <c r="AO11" s="416" t="s">
        <v>687</v>
      </c>
      <c r="AP11" s="415" t="s">
        <v>337</v>
      </c>
      <c r="AQ11" s="213" t="s">
        <v>688</v>
      </c>
      <c r="AR11" s="416" t="s">
        <v>689</v>
      </c>
      <c r="AS11" s="415" t="s">
        <v>337</v>
      </c>
      <c r="AV11" s="415" t="s">
        <v>337</v>
      </c>
      <c r="AW11" s="213"/>
      <c r="AY11" s="415" t="s">
        <v>337</v>
      </c>
      <c r="AZ11" s="213">
        <v>112002</v>
      </c>
      <c r="BA11" s="416" t="s">
        <v>690</v>
      </c>
      <c r="BB11" s="415" t="s">
        <v>337</v>
      </c>
      <c r="BC11" s="417" t="s">
        <v>17</v>
      </c>
      <c r="BD11" s="416" t="s">
        <v>691</v>
      </c>
      <c r="BE11" s="415" t="s">
        <v>337</v>
      </c>
      <c r="BF11" s="418" t="s">
        <v>692</v>
      </c>
      <c r="BG11" s="416" t="s">
        <v>693</v>
      </c>
      <c r="BH11" s="415" t="s">
        <v>337</v>
      </c>
      <c r="BI11" s="213" t="s">
        <v>117</v>
      </c>
      <c r="BJ11" s="416" t="s">
        <v>370</v>
      </c>
      <c r="BK11" s="213" t="s">
        <v>694</v>
      </c>
      <c r="BL11" s="416" t="s">
        <v>695</v>
      </c>
      <c r="BM11" s="415" t="s">
        <v>337</v>
      </c>
      <c r="BN11" s="213" t="s">
        <v>696</v>
      </c>
      <c r="BO11" s="416" t="s">
        <v>697</v>
      </c>
      <c r="BP11" s="415" t="s">
        <v>337</v>
      </c>
      <c r="BS11" s="415"/>
      <c r="BU11" s="213"/>
      <c r="BV11" s="415" t="s">
        <v>337</v>
      </c>
      <c r="BW11" s="213">
        <v>14</v>
      </c>
      <c r="BX11" s="416" t="s">
        <v>698</v>
      </c>
      <c r="BY11" s="415" t="s">
        <v>337</v>
      </c>
      <c r="BZ11" s="418" t="s">
        <v>17</v>
      </c>
      <c r="CA11" s="416" t="s">
        <v>699</v>
      </c>
      <c r="CB11" s="415" t="s">
        <v>337</v>
      </c>
      <c r="CC11" s="213" t="s">
        <v>700</v>
      </c>
      <c r="CD11" s="416" t="s">
        <v>701</v>
      </c>
      <c r="CE11" s="415" t="s">
        <v>337</v>
      </c>
      <c r="CH11" s="415" t="s">
        <v>337</v>
      </c>
      <c r="CK11" s="415" t="s">
        <v>337</v>
      </c>
      <c r="CN11" s="415" t="s">
        <v>337</v>
      </c>
      <c r="CQ11" s="415" t="s">
        <v>337</v>
      </c>
      <c r="CR11" s="213"/>
      <c r="CS11" s="213"/>
      <c r="CT11" s="415" t="s">
        <v>337</v>
      </c>
    </row>
    <row r="12" spans="1:98">
      <c r="A12" s="1" t="s">
        <v>54</v>
      </c>
      <c r="B12" s="416" t="s">
        <v>702</v>
      </c>
      <c r="C12" s="415" t="s">
        <v>337</v>
      </c>
      <c r="D12" s="416" t="s">
        <v>318</v>
      </c>
      <c r="E12" s="416" t="s">
        <v>703</v>
      </c>
      <c r="F12" s="415" t="s">
        <v>337</v>
      </c>
      <c r="G12" s="213" t="s">
        <v>704</v>
      </c>
      <c r="H12" s="1" t="s">
        <v>705</v>
      </c>
      <c r="I12" s="415" t="s">
        <v>337</v>
      </c>
      <c r="J12" s="213"/>
      <c r="K12" s="213"/>
      <c r="L12" s="415" t="s">
        <v>337</v>
      </c>
      <c r="M12" s="213" t="s">
        <v>349</v>
      </c>
      <c r="N12" s="416" t="s">
        <v>706</v>
      </c>
      <c r="O12" s="415" t="s">
        <v>337</v>
      </c>
      <c r="Q12" s="213"/>
      <c r="R12" s="415" t="s">
        <v>337</v>
      </c>
      <c r="S12" s="213" t="s">
        <v>707</v>
      </c>
      <c r="T12" s="416" t="s">
        <v>708</v>
      </c>
      <c r="U12" s="415" t="s">
        <v>337</v>
      </c>
      <c r="X12" s="415"/>
      <c r="AA12" s="415"/>
      <c r="AB12" s="213">
        <v>5100</v>
      </c>
      <c r="AC12" s="416" t="s">
        <v>709</v>
      </c>
      <c r="AD12" s="415"/>
      <c r="AE12" s="417" t="s">
        <v>710</v>
      </c>
      <c r="AF12" s="416" t="s">
        <v>711</v>
      </c>
      <c r="AG12" s="415"/>
      <c r="AH12" s="213"/>
      <c r="AI12" s="213"/>
      <c r="AJ12" s="415" t="s">
        <v>337</v>
      </c>
      <c r="AK12" s="416" t="s">
        <v>712</v>
      </c>
      <c r="AL12" s="416" t="s">
        <v>713</v>
      </c>
      <c r="AM12" s="415" t="s">
        <v>337</v>
      </c>
      <c r="AN12" s="213">
        <v>12300100</v>
      </c>
      <c r="AO12" s="416" t="s">
        <v>714</v>
      </c>
      <c r="AP12" s="415" t="s">
        <v>337</v>
      </c>
      <c r="AQ12" s="213" t="s">
        <v>715</v>
      </c>
      <c r="AR12" s="416" t="s">
        <v>716</v>
      </c>
      <c r="AS12" s="415" t="s">
        <v>337</v>
      </c>
      <c r="AV12" s="415" t="s">
        <v>337</v>
      </c>
      <c r="AW12" s="213"/>
      <c r="AY12" s="415" t="s">
        <v>337</v>
      </c>
      <c r="AZ12" s="213">
        <v>112003</v>
      </c>
      <c r="BA12" s="416" t="s">
        <v>717</v>
      </c>
      <c r="BB12" s="415" t="s">
        <v>337</v>
      </c>
      <c r="BC12" s="417" t="s">
        <v>270</v>
      </c>
      <c r="BD12" s="416" t="s">
        <v>718</v>
      </c>
      <c r="BE12" s="415" t="s">
        <v>337</v>
      </c>
      <c r="BF12" s="418" t="s">
        <v>719</v>
      </c>
      <c r="BG12" s="416" t="s">
        <v>720</v>
      </c>
      <c r="BH12" s="415" t="s">
        <v>337</v>
      </c>
      <c r="BI12" s="213" t="s">
        <v>117</v>
      </c>
      <c r="BJ12" s="416" t="s">
        <v>370</v>
      </c>
      <c r="BK12" s="213" t="s">
        <v>721</v>
      </c>
      <c r="BL12" s="416" t="s">
        <v>722</v>
      </c>
      <c r="BM12" s="415" t="s">
        <v>337</v>
      </c>
      <c r="BN12" s="213" t="s">
        <v>723</v>
      </c>
      <c r="BO12" s="416" t="s">
        <v>724</v>
      </c>
      <c r="BP12" s="415" t="s">
        <v>337</v>
      </c>
      <c r="BS12" s="415"/>
      <c r="BU12" s="213"/>
      <c r="BV12" s="415" t="s">
        <v>337</v>
      </c>
      <c r="BW12" s="213">
        <v>15</v>
      </c>
      <c r="BX12" s="416" t="s">
        <v>725</v>
      </c>
      <c r="BY12" s="415" t="s">
        <v>337</v>
      </c>
      <c r="BZ12" s="418" t="s">
        <v>726</v>
      </c>
      <c r="CA12" s="416" t="s">
        <v>727</v>
      </c>
      <c r="CB12" s="415" t="s">
        <v>337</v>
      </c>
      <c r="CC12" s="213" t="s">
        <v>728</v>
      </c>
      <c r="CD12" s="416" t="s">
        <v>729</v>
      </c>
      <c r="CE12" s="415" t="s">
        <v>337</v>
      </c>
      <c r="CH12" s="415" t="s">
        <v>337</v>
      </c>
      <c r="CK12" s="415" t="s">
        <v>337</v>
      </c>
      <c r="CN12" s="415" t="s">
        <v>337</v>
      </c>
      <c r="CQ12" s="415" t="s">
        <v>337</v>
      </c>
      <c r="CR12" s="213"/>
      <c r="CS12" s="213"/>
      <c r="CT12" s="415" t="s">
        <v>337</v>
      </c>
    </row>
    <row r="13" spans="1:98">
      <c r="A13" s="1" t="s">
        <v>54</v>
      </c>
      <c r="B13" s="416" t="s">
        <v>730</v>
      </c>
      <c r="C13" s="415" t="s">
        <v>337</v>
      </c>
      <c r="D13" s="416" t="s">
        <v>318</v>
      </c>
      <c r="E13" s="416" t="s">
        <v>731</v>
      </c>
      <c r="F13" s="415" t="s">
        <v>337</v>
      </c>
      <c r="G13" s="213" t="s">
        <v>732</v>
      </c>
      <c r="H13" s="1" t="s">
        <v>733</v>
      </c>
      <c r="I13" s="415" t="s">
        <v>337</v>
      </c>
      <c r="J13" s="213"/>
      <c r="K13" s="213"/>
      <c r="L13" s="415" t="s">
        <v>337</v>
      </c>
      <c r="M13" s="213" t="s">
        <v>734</v>
      </c>
      <c r="N13" s="416" t="s">
        <v>735</v>
      </c>
      <c r="O13" s="415" t="s">
        <v>337</v>
      </c>
      <c r="Q13" s="213"/>
      <c r="R13" s="415" t="s">
        <v>337</v>
      </c>
      <c r="S13" s="213" t="s">
        <v>736</v>
      </c>
      <c r="T13" s="416" t="s">
        <v>737</v>
      </c>
      <c r="U13" s="415" t="s">
        <v>337</v>
      </c>
      <c r="X13" s="415"/>
      <c r="AA13" s="415"/>
      <c r="AB13" s="213">
        <v>5200</v>
      </c>
      <c r="AC13" s="416" t="s">
        <v>738</v>
      </c>
      <c r="AD13" s="415"/>
      <c r="AE13" s="417" t="s">
        <v>739</v>
      </c>
      <c r="AF13" s="416" t="s">
        <v>740</v>
      </c>
      <c r="AG13" s="415"/>
      <c r="AH13" s="213"/>
      <c r="AI13" s="213"/>
      <c r="AJ13" s="415" t="s">
        <v>337</v>
      </c>
      <c r="AK13" s="416" t="s">
        <v>741</v>
      </c>
      <c r="AL13" s="416" t="s">
        <v>742</v>
      </c>
      <c r="AM13" s="415" t="s">
        <v>337</v>
      </c>
      <c r="AN13" s="213"/>
      <c r="AO13" s="213"/>
      <c r="AP13" s="415" t="s">
        <v>337</v>
      </c>
      <c r="AQ13" s="213" t="s">
        <v>743</v>
      </c>
      <c r="AR13" s="416" t="s">
        <v>744</v>
      </c>
      <c r="AS13" s="415" t="s">
        <v>337</v>
      </c>
      <c r="AV13" s="415" t="s">
        <v>337</v>
      </c>
      <c r="AW13" s="213"/>
      <c r="AY13" s="415" t="s">
        <v>337</v>
      </c>
      <c r="AZ13" s="213">
        <v>112004</v>
      </c>
      <c r="BA13" s="416" t="s">
        <v>745</v>
      </c>
      <c r="BB13" s="415" t="s">
        <v>337</v>
      </c>
      <c r="BC13" s="417" t="s">
        <v>403</v>
      </c>
      <c r="BD13" s="416" t="s">
        <v>746</v>
      </c>
      <c r="BE13" s="415" t="s">
        <v>337</v>
      </c>
      <c r="BF13" s="418" t="s">
        <v>747</v>
      </c>
      <c r="BG13" s="416" t="s">
        <v>748</v>
      </c>
      <c r="BH13" s="415" t="s">
        <v>337</v>
      </c>
      <c r="BI13" s="213" t="s">
        <v>117</v>
      </c>
      <c r="BJ13" s="416" t="s">
        <v>370</v>
      </c>
      <c r="BK13" s="213" t="s">
        <v>749</v>
      </c>
      <c r="BL13" s="416" t="s">
        <v>750</v>
      </c>
      <c r="BM13" s="415" t="s">
        <v>337</v>
      </c>
      <c r="BN13" s="213" t="s">
        <v>751</v>
      </c>
      <c r="BO13" s="416" t="s">
        <v>752</v>
      </c>
      <c r="BP13" s="415" t="s">
        <v>337</v>
      </c>
      <c r="BS13" s="415"/>
      <c r="BU13" s="213"/>
      <c r="BV13" s="415" t="s">
        <v>337</v>
      </c>
      <c r="BY13" s="415" t="s">
        <v>337</v>
      </c>
      <c r="BZ13" s="418" t="s">
        <v>753</v>
      </c>
      <c r="CA13" s="416" t="s">
        <v>754</v>
      </c>
      <c r="CB13" s="415" t="s">
        <v>337</v>
      </c>
      <c r="CC13" s="213" t="s">
        <v>755</v>
      </c>
      <c r="CD13" s="416" t="s">
        <v>756</v>
      </c>
      <c r="CE13" s="415" t="s">
        <v>337</v>
      </c>
      <c r="CH13" s="415" t="s">
        <v>337</v>
      </c>
      <c r="CK13" s="415" t="s">
        <v>337</v>
      </c>
      <c r="CN13" s="415" t="s">
        <v>337</v>
      </c>
      <c r="CQ13" s="415" t="s">
        <v>337</v>
      </c>
      <c r="CR13" s="213"/>
      <c r="CS13" s="213"/>
      <c r="CT13" s="415" t="s">
        <v>337</v>
      </c>
    </row>
    <row r="14" spans="1:98">
      <c r="A14" s="1" t="s">
        <v>54</v>
      </c>
      <c r="B14" s="416" t="s">
        <v>186</v>
      </c>
      <c r="C14" s="415" t="s">
        <v>337</v>
      </c>
      <c r="D14" s="416" t="s">
        <v>318</v>
      </c>
      <c r="E14" s="416" t="s">
        <v>757</v>
      </c>
      <c r="F14" s="415" t="s">
        <v>337</v>
      </c>
      <c r="I14" s="415" t="s">
        <v>337</v>
      </c>
      <c r="J14" s="213"/>
      <c r="K14" s="213"/>
      <c r="L14" s="415" t="s">
        <v>337</v>
      </c>
      <c r="M14" s="213" t="s">
        <v>758</v>
      </c>
      <c r="N14" s="416" t="s">
        <v>759</v>
      </c>
      <c r="O14" s="415" t="s">
        <v>337</v>
      </c>
      <c r="Q14" s="213"/>
      <c r="R14" s="415" t="s">
        <v>337</v>
      </c>
      <c r="S14" s="213" t="s">
        <v>760</v>
      </c>
      <c r="T14" s="416" t="s">
        <v>761</v>
      </c>
      <c r="U14" s="415" t="s">
        <v>337</v>
      </c>
      <c r="X14" s="415"/>
      <c r="AA14" s="415"/>
      <c r="AB14" s="213">
        <v>5300</v>
      </c>
      <c r="AC14" s="416" t="s">
        <v>762</v>
      </c>
      <c r="AD14" s="415"/>
      <c r="AE14" s="417" t="s">
        <v>763</v>
      </c>
      <c r="AF14" s="416" t="s">
        <v>764</v>
      </c>
      <c r="AG14" s="415"/>
      <c r="AH14" s="213"/>
      <c r="AI14" s="213"/>
      <c r="AJ14" s="415" t="s">
        <v>337</v>
      </c>
      <c r="AK14" s="416" t="s">
        <v>765</v>
      </c>
      <c r="AL14" s="416" t="s">
        <v>765</v>
      </c>
      <c r="AM14" s="415" t="s">
        <v>337</v>
      </c>
      <c r="AN14" s="213"/>
      <c r="AO14" s="213"/>
      <c r="AP14" s="415" t="s">
        <v>337</v>
      </c>
      <c r="AQ14" s="213" t="s">
        <v>766</v>
      </c>
      <c r="AR14" s="416" t="s">
        <v>767</v>
      </c>
      <c r="AS14" s="415" t="s">
        <v>337</v>
      </c>
      <c r="AV14" s="415" t="s">
        <v>337</v>
      </c>
      <c r="AW14" s="213"/>
      <c r="AY14" s="415" t="s">
        <v>337</v>
      </c>
      <c r="AZ14" s="213">
        <v>112005</v>
      </c>
      <c r="BA14" s="416" t="s">
        <v>768</v>
      </c>
      <c r="BB14" s="415" t="s">
        <v>337</v>
      </c>
      <c r="BC14" s="417" t="s">
        <v>726</v>
      </c>
      <c r="BD14" s="416" t="s">
        <v>769</v>
      </c>
      <c r="BE14" s="415" t="s">
        <v>337</v>
      </c>
      <c r="BF14" s="418" t="s">
        <v>770</v>
      </c>
      <c r="BG14" s="416" t="s">
        <v>771</v>
      </c>
      <c r="BH14" s="415" t="s">
        <v>337</v>
      </c>
      <c r="BI14" s="213" t="s">
        <v>117</v>
      </c>
      <c r="BJ14" s="416" t="s">
        <v>370</v>
      </c>
      <c r="BK14" s="213" t="s">
        <v>772</v>
      </c>
      <c r="BL14" s="416" t="s">
        <v>773</v>
      </c>
      <c r="BM14" s="415" t="s">
        <v>337</v>
      </c>
      <c r="BN14" s="213" t="s">
        <v>774</v>
      </c>
      <c r="BO14" s="416" t="s">
        <v>775</v>
      </c>
      <c r="BP14" s="415" t="s">
        <v>337</v>
      </c>
      <c r="BS14" s="415"/>
      <c r="BU14" s="213"/>
      <c r="BV14" s="415" t="s">
        <v>337</v>
      </c>
      <c r="BY14" s="415" t="s">
        <v>337</v>
      </c>
      <c r="BZ14" s="418" t="s">
        <v>776</v>
      </c>
      <c r="CA14" s="416" t="s">
        <v>777</v>
      </c>
      <c r="CB14" s="415" t="s">
        <v>337</v>
      </c>
      <c r="CC14" s="213" t="s">
        <v>778</v>
      </c>
      <c r="CD14" s="416" t="s">
        <v>779</v>
      </c>
      <c r="CE14" s="415" t="s">
        <v>337</v>
      </c>
      <c r="CH14" s="415" t="s">
        <v>337</v>
      </c>
      <c r="CK14" s="415" t="s">
        <v>337</v>
      </c>
      <c r="CN14" s="415" t="s">
        <v>337</v>
      </c>
      <c r="CQ14" s="415" t="s">
        <v>337</v>
      </c>
      <c r="CR14" s="213"/>
      <c r="CS14" s="213"/>
      <c r="CT14" s="415" t="s">
        <v>337</v>
      </c>
    </row>
    <row r="15" spans="1:98">
      <c r="A15" s="1" t="s">
        <v>54</v>
      </c>
      <c r="B15" s="416" t="s">
        <v>780</v>
      </c>
      <c r="C15" s="415" t="s">
        <v>337</v>
      </c>
      <c r="D15" s="416" t="s">
        <v>318</v>
      </c>
      <c r="E15" s="416" t="s">
        <v>781</v>
      </c>
      <c r="F15" s="415" t="s">
        <v>337</v>
      </c>
      <c r="I15" s="415" t="s">
        <v>337</v>
      </c>
      <c r="J15" s="213"/>
      <c r="K15" s="213"/>
      <c r="L15" s="415" t="s">
        <v>337</v>
      </c>
      <c r="M15" s="213" t="s">
        <v>782</v>
      </c>
      <c r="N15" s="416" t="s">
        <v>783</v>
      </c>
      <c r="O15" s="415" t="s">
        <v>337</v>
      </c>
      <c r="Q15" s="213"/>
      <c r="R15" s="415" t="s">
        <v>337</v>
      </c>
      <c r="S15" s="213" t="s">
        <v>784</v>
      </c>
      <c r="T15" s="416" t="s">
        <v>785</v>
      </c>
      <c r="U15" s="415" t="s">
        <v>337</v>
      </c>
      <c r="X15" s="415"/>
      <c r="AA15" s="415"/>
      <c r="AB15" s="213">
        <v>5400</v>
      </c>
      <c r="AC15" s="416" t="s">
        <v>786</v>
      </c>
      <c r="AD15" s="415"/>
      <c r="AE15" s="417" t="s">
        <v>787</v>
      </c>
      <c r="AF15" s="416" t="s">
        <v>788</v>
      </c>
      <c r="AG15" s="415"/>
      <c r="AH15" s="213"/>
      <c r="AI15" s="213"/>
      <c r="AJ15" s="415" t="s">
        <v>337</v>
      </c>
      <c r="AK15" s="416" t="s">
        <v>789</v>
      </c>
      <c r="AL15" s="416" t="s">
        <v>790</v>
      </c>
      <c r="AM15" s="415" t="s">
        <v>337</v>
      </c>
      <c r="AN15" s="213"/>
      <c r="AO15" s="213"/>
      <c r="AP15" s="415" t="s">
        <v>337</v>
      </c>
      <c r="AQ15" s="213" t="s">
        <v>791</v>
      </c>
      <c r="AR15" s="416" t="s">
        <v>792</v>
      </c>
      <c r="AS15" s="415" t="s">
        <v>337</v>
      </c>
      <c r="AV15" s="415" t="s">
        <v>337</v>
      </c>
      <c r="AW15" s="213"/>
      <c r="AY15" s="415" t="s">
        <v>337</v>
      </c>
      <c r="AZ15" s="213">
        <v>112006</v>
      </c>
      <c r="BA15" s="416" t="s">
        <v>793</v>
      </c>
      <c r="BB15" s="415" t="s">
        <v>337</v>
      </c>
      <c r="BC15" s="417" t="s">
        <v>794</v>
      </c>
      <c r="BD15" s="416" t="s">
        <v>795</v>
      </c>
      <c r="BE15" s="415" t="s">
        <v>337</v>
      </c>
      <c r="BF15" s="418" t="s">
        <v>796</v>
      </c>
      <c r="BG15" s="416" t="s">
        <v>797</v>
      </c>
      <c r="BH15" s="415" t="s">
        <v>337</v>
      </c>
      <c r="BI15" s="213" t="s">
        <v>117</v>
      </c>
      <c r="BJ15" s="416" t="s">
        <v>370</v>
      </c>
      <c r="BK15" s="213" t="s">
        <v>798</v>
      </c>
      <c r="BL15" s="416" t="s">
        <v>799</v>
      </c>
      <c r="BM15" s="415" t="s">
        <v>337</v>
      </c>
      <c r="BN15" s="213" t="s">
        <v>800</v>
      </c>
      <c r="BO15" s="416" t="s">
        <v>801</v>
      </c>
      <c r="BP15" s="415" t="s">
        <v>337</v>
      </c>
      <c r="BS15" s="415"/>
      <c r="BU15" s="213"/>
      <c r="BV15" s="415" t="s">
        <v>337</v>
      </c>
      <c r="BY15" s="415" t="s">
        <v>337</v>
      </c>
      <c r="BZ15" s="418" t="s">
        <v>802</v>
      </c>
      <c r="CA15" s="416" t="s">
        <v>803</v>
      </c>
      <c r="CB15" s="415" t="s">
        <v>337</v>
      </c>
      <c r="CC15" s="213" t="s">
        <v>804</v>
      </c>
      <c r="CD15" s="416" t="s">
        <v>805</v>
      </c>
      <c r="CE15" s="415" t="s">
        <v>337</v>
      </c>
      <c r="CH15" s="415" t="s">
        <v>337</v>
      </c>
      <c r="CK15" s="415" t="s">
        <v>337</v>
      </c>
      <c r="CN15" s="415" t="s">
        <v>337</v>
      </c>
      <c r="CQ15" s="415" t="s">
        <v>337</v>
      </c>
      <c r="CR15" s="213"/>
      <c r="CS15" s="213"/>
      <c r="CT15" s="415" t="s">
        <v>337</v>
      </c>
    </row>
    <row r="16" spans="1:98">
      <c r="A16" s="1" t="s">
        <v>54</v>
      </c>
      <c r="B16" s="416" t="s">
        <v>806</v>
      </c>
      <c r="C16" s="415" t="s">
        <v>337</v>
      </c>
      <c r="D16" s="416" t="s">
        <v>318</v>
      </c>
      <c r="E16" s="416" t="s">
        <v>807</v>
      </c>
      <c r="F16" s="415" t="s">
        <v>337</v>
      </c>
      <c r="I16" s="415" t="s">
        <v>337</v>
      </c>
      <c r="J16" s="213"/>
      <c r="K16" s="213"/>
      <c r="L16" s="415" t="s">
        <v>337</v>
      </c>
      <c r="M16" s="213" t="s">
        <v>808</v>
      </c>
      <c r="N16" s="416" t="s">
        <v>809</v>
      </c>
      <c r="O16" s="415" t="s">
        <v>337</v>
      </c>
      <c r="Q16" s="213"/>
      <c r="R16" s="415" t="s">
        <v>337</v>
      </c>
      <c r="S16" s="213" t="s">
        <v>810</v>
      </c>
      <c r="T16" s="416" t="s">
        <v>811</v>
      </c>
      <c r="U16" s="415" t="s">
        <v>337</v>
      </c>
      <c r="X16" s="415"/>
      <c r="AA16" s="415"/>
      <c r="AB16" s="213">
        <v>5500</v>
      </c>
      <c r="AC16" s="416" t="s">
        <v>812</v>
      </c>
      <c r="AD16" s="415"/>
      <c r="AE16" s="417" t="s">
        <v>813</v>
      </c>
      <c r="AF16" s="416" t="s">
        <v>814</v>
      </c>
      <c r="AG16" s="415"/>
      <c r="AH16" s="213"/>
      <c r="AI16" s="213"/>
      <c r="AJ16" s="415" t="s">
        <v>337</v>
      </c>
      <c r="AK16" s="416" t="s">
        <v>815</v>
      </c>
      <c r="AL16" s="416" t="s">
        <v>816</v>
      </c>
      <c r="AM16" s="415" t="s">
        <v>337</v>
      </c>
      <c r="AN16" s="213"/>
      <c r="AO16" s="213"/>
      <c r="AP16" s="415" t="s">
        <v>337</v>
      </c>
      <c r="AQ16" s="213" t="s">
        <v>817</v>
      </c>
      <c r="AR16" s="416" t="s">
        <v>818</v>
      </c>
      <c r="AS16" s="415" t="s">
        <v>337</v>
      </c>
      <c r="AV16" s="415" t="s">
        <v>337</v>
      </c>
      <c r="AW16" s="213"/>
      <c r="AY16" s="415" t="s">
        <v>337</v>
      </c>
      <c r="AZ16" s="213">
        <v>112007</v>
      </c>
      <c r="BA16" s="416" t="s">
        <v>819</v>
      </c>
      <c r="BB16" s="415" t="s">
        <v>337</v>
      </c>
      <c r="BC16" s="417" t="s">
        <v>820</v>
      </c>
      <c r="BD16" s="416" t="s">
        <v>638</v>
      </c>
      <c r="BE16" s="415" t="s">
        <v>337</v>
      </c>
      <c r="BF16" s="418" t="s">
        <v>821</v>
      </c>
      <c r="BG16" s="416" t="s">
        <v>822</v>
      </c>
      <c r="BH16" s="415" t="s">
        <v>337</v>
      </c>
      <c r="BI16" s="213" t="s">
        <v>117</v>
      </c>
      <c r="BJ16" s="416" t="s">
        <v>370</v>
      </c>
      <c r="BK16" s="213" t="s">
        <v>823</v>
      </c>
      <c r="BL16" s="416" t="s">
        <v>824</v>
      </c>
      <c r="BM16" s="415" t="s">
        <v>337</v>
      </c>
      <c r="BN16" s="213" t="s">
        <v>825</v>
      </c>
      <c r="BO16" s="416" t="s">
        <v>826</v>
      </c>
      <c r="BP16" s="415" t="s">
        <v>337</v>
      </c>
      <c r="BS16" s="415"/>
      <c r="BU16" s="213"/>
      <c r="BV16" s="415" t="s">
        <v>337</v>
      </c>
      <c r="BY16" s="415" t="s">
        <v>337</v>
      </c>
      <c r="BZ16" s="418" t="s">
        <v>827</v>
      </c>
      <c r="CA16" s="416" t="s">
        <v>828</v>
      </c>
      <c r="CB16" s="415" t="s">
        <v>337</v>
      </c>
      <c r="CC16" s="213" t="s">
        <v>829</v>
      </c>
      <c r="CD16" s="416" t="s">
        <v>830</v>
      </c>
      <c r="CE16" s="415" t="s">
        <v>337</v>
      </c>
      <c r="CH16" s="415" t="s">
        <v>337</v>
      </c>
      <c r="CK16" s="415" t="s">
        <v>337</v>
      </c>
      <c r="CN16" s="415" t="s">
        <v>337</v>
      </c>
      <c r="CQ16" s="415" t="s">
        <v>337</v>
      </c>
      <c r="CR16" s="213"/>
      <c r="CS16" s="213"/>
      <c r="CT16" s="415" t="s">
        <v>337</v>
      </c>
    </row>
    <row r="17" spans="1:98">
      <c r="A17" s="1" t="s">
        <v>54</v>
      </c>
      <c r="B17" s="416" t="s">
        <v>831</v>
      </c>
      <c r="C17" s="415" t="s">
        <v>337</v>
      </c>
      <c r="D17" s="416" t="s">
        <v>318</v>
      </c>
      <c r="E17" s="416" t="s">
        <v>832</v>
      </c>
      <c r="F17" s="415" t="s">
        <v>337</v>
      </c>
      <c r="I17" s="415" t="s">
        <v>337</v>
      </c>
      <c r="J17" s="213"/>
      <c r="K17" s="213"/>
      <c r="L17" s="415" t="s">
        <v>337</v>
      </c>
      <c r="M17" s="213" t="s">
        <v>833</v>
      </c>
      <c r="N17" s="416" t="s">
        <v>834</v>
      </c>
      <c r="O17" s="415" t="s">
        <v>337</v>
      </c>
      <c r="Q17" s="213"/>
      <c r="R17" s="415" t="s">
        <v>337</v>
      </c>
      <c r="S17" s="213" t="s">
        <v>835</v>
      </c>
      <c r="T17" s="416" t="s">
        <v>836</v>
      </c>
      <c r="U17" s="415" t="s">
        <v>337</v>
      </c>
      <c r="X17" s="415"/>
      <c r="AA17" s="415"/>
      <c r="AB17" s="213">
        <v>5600</v>
      </c>
      <c r="AC17" s="416" t="s">
        <v>837</v>
      </c>
      <c r="AD17" s="415"/>
      <c r="AE17" s="417" t="s">
        <v>838</v>
      </c>
      <c r="AF17" s="416" t="s">
        <v>839</v>
      </c>
      <c r="AG17" s="415"/>
      <c r="AH17" s="213"/>
      <c r="AI17" s="213"/>
      <c r="AJ17" s="415" t="s">
        <v>337</v>
      </c>
      <c r="AK17" s="416" t="s">
        <v>840</v>
      </c>
      <c r="AL17" s="416" t="s">
        <v>840</v>
      </c>
      <c r="AM17" s="415" t="s">
        <v>337</v>
      </c>
      <c r="AN17" s="213"/>
      <c r="AO17" s="213"/>
      <c r="AP17" s="415" t="s">
        <v>337</v>
      </c>
      <c r="AQ17" s="213" t="s">
        <v>841</v>
      </c>
      <c r="AR17" s="416" t="s">
        <v>716</v>
      </c>
      <c r="AS17" s="415" t="s">
        <v>337</v>
      </c>
      <c r="AV17" s="415" t="s">
        <v>337</v>
      </c>
      <c r="AW17" s="213"/>
      <c r="AY17" s="415" t="s">
        <v>337</v>
      </c>
      <c r="AZ17" s="213">
        <v>112008</v>
      </c>
      <c r="BA17" s="416" t="s">
        <v>842</v>
      </c>
      <c r="BB17" s="415" t="s">
        <v>337</v>
      </c>
      <c r="BC17" s="417" t="s">
        <v>453</v>
      </c>
      <c r="BD17" s="416" t="s">
        <v>843</v>
      </c>
      <c r="BE17" s="415" t="s">
        <v>337</v>
      </c>
      <c r="BF17" s="418" t="s">
        <v>844</v>
      </c>
      <c r="BG17" s="416" t="s">
        <v>496</v>
      </c>
      <c r="BH17" s="415" t="s">
        <v>337</v>
      </c>
      <c r="BI17" s="213" t="s">
        <v>117</v>
      </c>
      <c r="BJ17" s="416" t="s">
        <v>370</v>
      </c>
      <c r="BK17" s="213" t="s">
        <v>845</v>
      </c>
      <c r="BL17" s="416" t="s">
        <v>846</v>
      </c>
      <c r="BM17" s="415" t="s">
        <v>337</v>
      </c>
      <c r="BN17" s="213" t="s">
        <v>847</v>
      </c>
      <c r="BO17" s="416" t="s">
        <v>848</v>
      </c>
      <c r="BP17" s="415" t="s">
        <v>337</v>
      </c>
      <c r="BS17" s="415"/>
      <c r="BU17" s="213"/>
      <c r="BV17" s="415" t="s">
        <v>337</v>
      </c>
      <c r="BY17" s="415" t="s">
        <v>337</v>
      </c>
      <c r="BZ17" s="418" t="s">
        <v>849</v>
      </c>
      <c r="CA17" s="416" t="s">
        <v>850</v>
      </c>
      <c r="CB17" s="415" t="s">
        <v>337</v>
      </c>
      <c r="CC17" s="213" t="s">
        <v>851</v>
      </c>
      <c r="CD17" s="416" t="s">
        <v>852</v>
      </c>
      <c r="CE17" s="415" t="s">
        <v>337</v>
      </c>
      <c r="CH17" s="415" t="s">
        <v>337</v>
      </c>
      <c r="CK17" s="415" t="s">
        <v>337</v>
      </c>
      <c r="CN17" s="415" t="s">
        <v>337</v>
      </c>
      <c r="CQ17" s="415" t="s">
        <v>337</v>
      </c>
      <c r="CR17" s="213"/>
      <c r="CS17" s="213"/>
      <c r="CT17" s="415" t="s">
        <v>337</v>
      </c>
    </row>
    <row r="18" spans="1:98">
      <c r="A18" s="1" t="s">
        <v>54</v>
      </c>
      <c r="B18" s="416" t="s">
        <v>853</v>
      </c>
      <c r="C18" s="415" t="s">
        <v>337</v>
      </c>
      <c r="D18" s="416" t="s">
        <v>318</v>
      </c>
      <c r="E18" s="416" t="s">
        <v>854</v>
      </c>
      <c r="F18" s="415" t="s">
        <v>337</v>
      </c>
      <c r="I18" s="415" t="s">
        <v>337</v>
      </c>
      <c r="J18" s="213"/>
      <c r="K18" s="213"/>
      <c r="L18" s="415" t="s">
        <v>337</v>
      </c>
      <c r="M18" s="213" t="s">
        <v>855</v>
      </c>
      <c r="N18" s="416" t="s">
        <v>856</v>
      </c>
      <c r="O18" s="415" t="s">
        <v>337</v>
      </c>
      <c r="Q18" s="213"/>
      <c r="R18" s="415" t="s">
        <v>337</v>
      </c>
      <c r="S18" s="213" t="s">
        <v>857</v>
      </c>
      <c r="T18" s="416" t="s">
        <v>858</v>
      </c>
      <c r="U18" s="415" t="s">
        <v>337</v>
      </c>
      <c r="X18" s="415"/>
      <c r="AA18" s="415"/>
      <c r="AB18" s="213">
        <v>5700</v>
      </c>
      <c r="AC18" s="416" t="s">
        <v>859</v>
      </c>
      <c r="AD18" s="415"/>
      <c r="AE18" s="417" t="s">
        <v>860</v>
      </c>
      <c r="AF18" s="416" t="s">
        <v>861</v>
      </c>
      <c r="AG18" s="415"/>
      <c r="AH18" s="213"/>
      <c r="AI18" s="213"/>
      <c r="AJ18" s="415" t="s">
        <v>337</v>
      </c>
      <c r="AK18" s="416" t="s">
        <v>862</v>
      </c>
      <c r="AL18" s="416" t="s">
        <v>863</v>
      </c>
      <c r="AM18" s="415" t="s">
        <v>337</v>
      </c>
      <c r="AN18" s="213"/>
      <c r="AO18" s="213"/>
      <c r="AP18" s="415" t="s">
        <v>337</v>
      </c>
      <c r="AQ18" s="213" t="s">
        <v>864</v>
      </c>
      <c r="AR18" s="416" t="s">
        <v>865</v>
      </c>
      <c r="AS18" s="415" t="s">
        <v>337</v>
      </c>
      <c r="AV18" s="415" t="s">
        <v>337</v>
      </c>
      <c r="AW18" s="213"/>
      <c r="AY18" s="415" t="s">
        <v>337</v>
      </c>
      <c r="AZ18" s="213">
        <v>113001</v>
      </c>
      <c r="BA18" s="416" t="s">
        <v>866</v>
      </c>
      <c r="BB18" s="415" t="s">
        <v>337</v>
      </c>
      <c r="BC18" s="417" t="s">
        <v>494</v>
      </c>
      <c r="BD18" s="416" t="s">
        <v>867</v>
      </c>
      <c r="BE18" s="415" t="s">
        <v>337</v>
      </c>
      <c r="BF18" s="418" t="s">
        <v>868</v>
      </c>
      <c r="BG18" s="416" t="s">
        <v>539</v>
      </c>
      <c r="BH18" s="415" t="s">
        <v>337</v>
      </c>
      <c r="BI18" s="213" t="s">
        <v>117</v>
      </c>
      <c r="BJ18" s="416" t="s">
        <v>370</v>
      </c>
      <c r="BK18" s="213" t="s">
        <v>869</v>
      </c>
      <c r="BL18" s="416" t="s">
        <v>870</v>
      </c>
      <c r="BM18" s="415" t="s">
        <v>337</v>
      </c>
      <c r="BN18" s="213" t="s">
        <v>871</v>
      </c>
      <c r="BO18" s="416" t="s">
        <v>872</v>
      </c>
      <c r="BP18" s="415" t="s">
        <v>337</v>
      </c>
      <c r="BS18" s="415"/>
      <c r="BU18" s="213"/>
      <c r="BV18" s="415" t="s">
        <v>337</v>
      </c>
      <c r="BY18" s="415" t="s">
        <v>337</v>
      </c>
      <c r="BZ18" s="418" t="s">
        <v>873</v>
      </c>
      <c r="CA18" s="416" t="s">
        <v>874</v>
      </c>
      <c r="CB18" s="415" t="s">
        <v>337</v>
      </c>
      <c r="CC18" s="213" t="s">
        <v>875</v>
      </c>
      <c r="CD18" s="416" t="s">
        <v>876</v>
      </c>
      <c r="CE18" s="415" t="s">
        <v>337</v>
      </c>
      <c r="CH18" s="415" t="s">
        <v>337</v>
      </c>
      <c r="CK18" s="415" t="s">
        <v>337</v>
      </c>
      <c r="CN18" s="415" t="s">
        <v>337</v>
      </c>
      <c r="CQ18" s="415" t="s">
        <v>337</v>
      </c>
      <c r="CR18" s="213"/>
      <c r="CS18" s="213"/>
      <c r="CT18" s="415" t="s">
        <v>337</v>
      </c>
    </row>
    <row r="19" spans="1:98">
      <c r="A19" s="1" t="s">
        <v>54</v>
      </c>
      <c r="B19" s="416" t="s">
        <v>877</v>
      </c>
      <c r="C19" s="415" t="s">
        <v>337</v>
      </c>
      <c r="D19" s="416" t="s">
        <v>318</v>
      </c>
      <c r="E19" s="416" t="s">
        <v>878</v>
      </c>
      <c r="F19" s="415" t="s">
        <v>337</v>
      </c>
      <c r="I19" s="415" t="s">
        <v>337</v>
      </c>
      <c r="J19" s="213"/>
      <c r="K19" s="213"/>
      <c r="L19" s="415" t="s">
        <v>337</v>
      </c>
      <c r="M19" s="213" t="s">
        <v>879</v>
      </c>
      <c r="N19" s="416" t="s">
        <v>880</v>
      </c>
      <c r="O19" s="415" t="s">
        <v>337</v>
      </c>
      <c r="Q19" s="213"/>
      <c r="R19" s="415" t="s">
        <v>337</v>
      </c>
      <c r="S19" s="213" t="s">
        <v>881</v>
      </c>
      <c r="T19" s="416" t="s">
        <v>882</v>
      </c>
      <c r="U19" s="415" t="s">
        <v>337</v>
      </c>
      <c r="X19" s="415"/>
      <c r="AA19" s="415"/>
      <c r="AB19" s="213">
        <v>5800</v>
      </c>
      <c r="AC19" s="416" t="s">
        <v>883</v>
      </c>
      <c r="AD19" s="415"/>
      <c r="AE19" s="417" t="s">
        <v>884</v>
      </c>
      <c r="AF19" s="416" t="s">
        <v>885</v>
      </c>
      <c r="AG19" s="415"/>
      <c r="AH19" s="213"/>
      <c r="AI19" s="213"/>
      <c r="AJ19" s="415" t="s">
        <v>337</v>
      </c>
      <c r="AK19" s="416" t="s">
        <v>886</v>
      </c>
      <c r="AL19" s="416" t="s">
        <v>886</v>
      </c>
      <c r="AM19" s="415" t="s">
        <v>337</v>
      </c>
      <c r="AN19" s="213"/>
      <c r="AO19" s="213"/>
      <c r="AP19" s="415" t="s">
        <v>337</v>
      </c>
      <c r="AQ19" s="213" t="s">
        <v>887</v>
      </c>
      <c r="AR19" s="416" t="s">
        <v>888</v>
      </c>
      <c r="AS19" s="415" t="s">
        <v>337</v>
      </c>
      <c r="AV19" s="415" t="s">
        <v>337</v>
      </c>
      <c r="AW19" s="213"/>
      <c r="AY19" s="415" t="s">
        <v>337</v>
      </c>
      <c r="AZ19" s="213">
        <v>113002</v>
      </c>
      <c r="BA19" s="416" t="s">
        <v>889</v>
      </c>
      <c r="BB19" s="415" t="s">
        <v>337</v>
      </c>
      <c r="BC19" s="417" t="s">
        <v>537</v>
      </c>
      <c r="BD19" s="416" t="s">
        <v>890</v>
      </c>
      <c r="BE19" s="415" t="s">
        <v>337</v>
      </c>
      <c r="BF19" s="418" t="s">
        <v>891</v>
      </c>
      <c r="BG19" s="416" t="s">
        <v>892</v>
      </c>
      <c r="BH19" s="415" t="s">
        <v>337</v>
      </c>
      <c r="BI19" s="213" t="s">
        <v>414</v>
      </c>
      <c r="BJ19" s="416" t="s">
        <v>415</v>
      </c>
      <c r="BK19" s="213" t="s">
        <v>893</v>
      </c>
      <c r="BL19" s="416" t="s">
        <v>894</v>
      </c>
      <c r="BM19" s="415" t="s">
        <v>337</v>
      </c>
      <c r="BN19" s="213" t="s">
        <v>895</v>
      </c>
      <c r="BO19" s="416" t="s">
        <v>896</v>
      </c>
      <c r="BP19" s="415" t="s">
        <v>337</v>
      </c>
      <c r="BS19" s="415"/>
      <c r="BU19" s="213"/>
      <c r="BV19" s="415" t="s">
        <v>337</v>
      </c>
      <c r="BY19" s="415" t="s">
        <v>337</v>
      </c>
      <c r="BZ19" s="418" t="s">
        <v>897</v>
      </c>
      <c r="CA19" s="416" t="s">
        <v>898</v>
      </c>
      <c r="CB19" s="415" t="s">
        <v>337</v>
      </c>
      <c r="CE19" s="415" t="s">
        <v>337</v>
      </c>
      <c r="CH19" s="415" t="s">
        <v>337</v>
      </c>
      <c r="CK19" s="415" t="s">
        <v>337</v>
      </c>
      <c r="CN19" s="415" t="s">
        <v>337</v>
      </c>
      <c r="CQ19" s="415" t="s">
        <v>337</v>
      </c>
      <c r="CR19" s="213"/>
      <c r="CS19" s="213"/>
      <c r="CT19" s="415" t="s">
        <v>337</v>
      </c>
    </row>
    <row r="20" spans="1:98">
      <c r="A20" s="1" t="s">
        <v>54</v>
      </c>
      <c r="B20" s="416" t="s">
        <v>899</v>
      </c>
      <c r="C20" s="415" t="s">
        <v>337</v>
      </c>
      <c r="D20" s="416" t="s">
        <v>318</v>
      </c>
      <c r="E20" s="416" t="s">
        <v>900</v>
      </c>
      <c r="F20" s="415" t="s">
        <v>337</v>
      </c>
      <c r="I20" s="415" t="s">
        <v>337</v>
      </c>
      <c r="L20" s="415" t="s">
        <v>337</v>
      </c>
      <c r="M20" s="213" t="s">
        <v>901</v>
      </c>
      <c r="N20" s="416" t="s">
        <v>902</v>
      </c>
      <c r="O20" s="415" t="s">
        <v>337</v>
      </c>
      <c r="R20" s="415" t="s">
        <v>337</v>
      </c>
      <c r="S20" s="213" t="s">
        <v>903</v>
      </c>
      <c r="T20" s="416" t="s">
        <v>904</v>
      </c>
      <c r="U20" s="415" t="s">
        <v>337</v>
      </c>
      <c r="X20" s="415"/>
      <c r="AA20" s="415"/>
      <c r="AB20" s="213">
        <v>5900</v>
      </c>
      <c r="AC20" s="416" t="s">
        <v>905</v>
      </c>
      <c r="AD20" s="415"/>
      <c r="AE20" s="417" t="s">
        <v>906</v>
      </c>
      <c r="AF20" s="416" t="s">
        <v>907</v>
      </c>
      <c r="AG20" s="415"/>
      <c r="AJ20" s="415" t="s">
        <v>337</v>
      </c>
      <c r="AK20" s="416" t="s">
        <v>908</v>
      </c>
      <c r="AL20" s="416" t="s">
        <v>908</v>
      </c>
      <c r="AM20" s="415" t="s">
        <v>337</v>
      </c>
      <c r="AP20" s="415" t="s">
        <v>337</v>
      </c>
      <c r="AQ20" s="213" t="s">
        <v>909</v>
      </c>
      <c r="AR20" s="416" t="s">
        <v>910</v>
      </c>
      <c r="AS20" s="415" t="s">
        <v>337</v>
      </c>
      <c r="AV20" s="415" t="s">
        <v>337</v>
      </c>
      <c r="AY20" s="415" t="s">
        <v>337</v>
      </c>
      <c r="AZ20" s="213">
        <v>113003</v>
      </c>
      <c r="BA20" s="416" t="s">
        <v>911</v>
      </c>
      <c r="BB20" s="415" t="s">
        <v>337</v>
      </c>
      <c r="BC20" s="417" t="s">
        <v>574</v>
      </c>
      <c r="BD20" s="416" t="s">
        <v>912</v>
      </c>
      <c r="BE20" s="415" t="s">
        <v>337</v>
      </c>
      <c r="BF20" s="418" t="s">
        <v>913</v>
      </c>
      <c r="BG20" s="416" t="s">
        <v>575</v>
      </c>
      <c r="BH20" s="415" t="s">
        <v>337</v>
      </c>
      <c r="BI20" s="213" t="s">
        <v>414</v>
      </c>
      <c r="BJ20" s="416" t="s">
        <v>415</v>
      </c>
      <c r="BK20" s="213" t="s">
        <v>914</v>
      </c>
      <c r="BL20" s="416" t="s">
        <v>915</v>
      </c>
      <c r="BM20" s="415" t="s">
        <v>337</v>
      </c>
      <c r="BN20" s="213" t="s">
        <v>916</v>
      </c>
      <c r="BO20" s="416" t="s">
        <v>917</v>
      </c>
      <c r="BP20" s="415" t="s">
        <v>337</v>
      </c>
      <c r="BS20" s="415"/>
      <c r="BU20" s="213"/>
      <c r="BV20" s="415" t="s">
        <v>337</v>
      </c>
      <c r="BY20" s="415" t="s">
        <v>337</v>
      </c>
      <c r="BZ20" s="418" t="s">
        <v>879</v>
      </c>
      <c r="CA20" s="416" t="s">
        <v>918</v>
      </c>
      <c r="CB20" s="415" t="s">
        <v>337</v>
      </c>
      <c r="CE20" s="415" t="s">
        <v>337</v>
      </c>
      <c r="CH20" s="415" t="s">
        <v>337</v>
      </c>
      <c r="CK20" s="415" t="s">
        <v>337</v>
      </c>
      <c r="CN20" s="415" t="s">
        <v>337</v>
      </c>
      <c r="CQ20" s="415" t="s">
        <v>337</v>
      </c>
      <c r="CT20" s="415" t="s">
        <v>337</v>
      </c>
    </row>
    <row r="21" spans="1:98">
      <c r="A21" s="1" t="s">
        <v>54</v>
      </c>
      <c r="B21" s="416" t="s">
        <v>919</v>
      </c>
      <c r="C21" s="415" t="s">
        <v>337</v>
      </c>
      <c r="D21" s="416" t="s">
        <v>318</v>
      </c>
      <c r="E21" s="416" t="s">
        <v>920</v>
      </c>
      <c r="F21" s="415" t="s">
        <v>337</v>
      </c>
      <c r="I21" s="415" t="s">
        <v>337</v>
      </c>
      <c r="L21" s="415" t="s">
        <v>337</v>
      </c>
      <c r="M21" s="213" t="s">
        <v>921</v>
      </c>
      <c r="N21" s="416" t="s">
        <v>922</v>
      </c>
      <c r="O21" s="415" t="s">
        <v>337</v>
      </c>
      <c r="R21" s="415" t="s">
        <v>337</v>
      </c>
      <c r="S21" s="213" t="s">
        <v>923</v>
      </c>
      <c r="T21" s="416" t="s">
        <v>924</v>
      </c>
      <c r="U21" s="415" t="s">
        <v>337</v>
      </c>
      <c r="X21" s="415"/>
      <c r="AA21" s="415"/>
      <c r="AB21" s="213">
        <v>6000</v>
      </c>
      <c r="AC21" s="416" t="s">
        <v>925</v>
      </c>
      <c r="AD21" s="415"/>
      <c r="AE21" s="417" t="s">
        <v>926</v>
      </c>
      <c r="AF21" s="416" t="s">
        <v>927</v>
      </c>
      <c r="AG21" s="415"/>
      <c r="AJ21" s="415" t="s">
        <v>337</v>
      </c>
      <c r="AK21" s="416" t="s">
        <v>928</v>
      </c>
      <c r="AL21" s="416" t="s">
        <v>928</v>
      </c>
      <c r="AM21" s="415" t="s">
        <v>337</v>
      </c>
      <c r="AP21" s="415" t="s">
        <v>337</v>
      </c>
      <c r="AQ21" s="213" t="s">
        <v>929</v>
      </c>
      <c r="AR21" s="416" t="s">
        <v>930</v>
      </c>
      <c r="AS21" s="415" t="s">
        <v>337</v>
      </c>
      <c r="AV21" s="415" t="s">
        <v>337</v>
      </c>
      <c r="AY21" s="415" t="s">
        <v>337</v>
      </c>
      <c r="AZ21" s="213">
        <v>113004</v>
      </c>
      <c r="BA21" s="416" t="s">
        <v>931</v>
      </c>
      <c r="BB21" s="415" t="s">
        <v>337</v>
      </c>
      <c r="BC21" s="417" t="s">
        <v>606</v>
      </c>
      <c r="BD21" s="416" t="s">
        <v>932</v>
      </c>
      <c r="BE21" s="415" t="s">
        <v>337</v>
      </c>
      <c r="BH21" s="415" t="s">
        <v>337</v>
      </c>
      <c r="BI21" s="213" t="s">
        <v>414</v>
      </c>
      <c r="BJ21" s="416" t="s">
        <v>415</v>
      </c>
      <c r="BK21" s="213" t="s">
        <v>933</v>
      </c>
      <c r="BL21" s="416" t="s">
        <v>934</v>
      </c>
      <c r="BM21" s="415" t="s">
        <v>337</v>
      </c>
      <c r="BN21" s="213" t="s">
        <v>935</v>
      </c>
      <c r="BO21" s="416" t="s">
        <v>936</v>
      </c>
      <c r="BP21" s="415" t="s">
        <v>337</v>
      </c>
      <c r="BS21" s="415"/>
      <c r="BU21" s="213"/>
      <c r="BV21" s="415" t="s">
        <v>337</v>
      </c>
      <c r="BY21" s="415" t="s">
        <v>337</v>
      </c>
      <c r="BZ21" s="418" t="s">
        <v>901</v>
      </c>
      <c r="CA21" s="416" t="s">
        <v>937</v>
      </c>
      <c r="CB21" s="415" t="s">
        <v>337</v>
      </c>
      <c r="CE21" s="415" t="s">
        <v>337</v>
      </c>
      <c r="CH21" s="415" t="s">
        <v>337</v>
      </c>
      <c r="CK21" s="415" t="s">
        <v>337</v>
      </c>
      <c r="CN21" s="415" t="s">
        <v>337</v>
      </c>
      <c r="CQ21" s="415" t="s">
        <v>337</v>
      </c>
      <c r="CT21" s="415" t="s">
        <v>337</v>
      </c>
    </row>
    <row r="22" spans="1:98">
      <c r="A22" s="1" t="s">
        <v>54</v>
      </c>
      <c r="B22" s="416" t="s">
        <v>938</v>
      </c>
      <c r="C22" s="415" t="s">
        <v>337</v>
      </c>
      <c r="D22" s="416" t="s">
        <v>318</v>
      </c>
      <c r="E22" s="416" t="s">
        <v>939</v>
      </c>
      <c r="F22" s="415" t="s">
        <v>337</v>
      </c>
      <c r="I22" s="415" t="s">
        <v>337</v>
      </c>
      <c r="L22" s="415" t="s">
        <v>337</v>
      </c>
      <c r="M22" s="213" t="s">
        <v>940</v>
      </c>
      <c r="N22" s="416" t="s">
        <v>941</v>
      </c>
      <c r="O22" s="415" t="s">
        <v>337</v>
      </c>
      <c r="R22" s="415" t="s">
        <v>337</v>
      </c>
      <c r="S22" s="213" t="s">
        <v>942</v>
      </c>
      <c r="T22" s="416" t="s">
        <v>943</v>
      </c>
      <c r="U22" s="415" t="s">
        <v>337</v>
      </c>
      <c r="X22" s="415"/>
      <c r="AA22" s="415"/>
      <c r="AB22" s="213">
        <v>6100</v>
      </c>
      <c r="AC22" s="416" t="s">
        <v>944</v>
      </c>
      <c r="AD22" s="415"/>
      <c r="AE22" s="417" t="s">
        <v>945</v>
      </c>
      <c r="AF22" s="416" t="s">
        <v>946</v>
      </c>
      <c r="AG22" s="415"/>
      <c r="AJ22" s="415" t="s">
        <v>337</v>
      </c>
      <c r="AK22" s="416" t="s">
        <v>947</v>
      </c>
      <c r="AL22" s="416" t="s">
        <v>947</v>
      </c>
      <c r="AM22" s="415" t="s">
        <v>337</v>
      </c>
      <c r="AP22" s="415" t="s">
        <v>337</v>
      </c>
      <c r="AQ22" s="213" t="s">
        <v>948</v>
      </c>
      <c r="AR22" s="416" t="s">
        <v>949</v>
      </c>
      <c r="AS22" s="415" t="s">
        <v>337</v>
      </c>
      <c r="AV22" s="415" t="s">
        <v>337</v>
      </c>
      <c r="AY22" s="415" t="s">
        <v>337</v>
      </c>
      <c r="AZ22" s="213">
        <v>113005</v>
      </c>
      <c r="BA22" s="416" t="s">
        <v>950</v>
      </c>
      <c r="BB22" s="415" t="s">
        <v>337</v>
      </c>
      <c r="BC22" s="417" t="s">
        <v>951</v>
      </c>
      <c r="BD22" s="416" t="s">
        <v>797</v>
      </c>
      <c r="BE22" s="415" t="s">
        <v>337</v>
      </c>
      <c r="BH22" s="415" t="s">
        <v>337</v>
      </c>
      <c r="BI22" s="213" t="s">
        <v>414</v>
      </c>
      <c r="BJ22" s="416" t="s">
        <v>415</v>
      </c>
      <c r="BK22" s="213" t="s">
        <v>952</v>
      </c>
      <c r="BL22" s="416" t="s">
        <v>953</v>
      </c>
      <c r="BM22" s="415" t="s">
        <v>337</v>
      </c>
      <c r="BN22" s="213" t="s">
        <v>954</v>
      </c>
      <c r="BO22" s="416" t="s">
        <v>955</v>
      </c>
      <c r="BP22" s="415" t="s">
        <v>337</v>
      </c>
      <c r="BS22" s="415"/>
      <c r="BV22" s="415" t="s">
        <v>337</v>
      </c>
      <c r="BY22" s="415" t="s">
        <v>337</v>
      </c>
      <c r="BZ22" s="418" t="s">
        <v>956</v>
      </c>
      <c r="CA22" s="416" t="s">
        <v>957</v>
      </c>
      <c r="CB22" s="415" t="s">
        <v>337</v>
      </c>
      <c r="CE22" s="415" t="s">
        <v>337</v>
      </c>
      <c r="CH22" s="415" t="s">
        <v>337</v>
      </c>
      <c r="CK22" s="415" t="s">
        <v>337</v>
      </c>
      <c r="CN22" s="415" t="s">
        <v>337</v>
      </c>
      <c r="CQ22" s="415" t="s">
        <v>337</v>
      </c>
      <c r="CT22" s="415" t="s">
        <v>337</v>
      </c>
    </row>
    <row r="23" spans="1:98">
      <c r="A23" s="1" t="s">
        <v>54</v>
      </c>
      <c r="B23" s="416" t="s">
        <v>958</v>
      </c>
      <c r="C23" s="415" t="s">
        <v>337</v>
      </c>
      <c r="D23" s="416" t="s">
        <v>318</v>
      </c>
      <c r="E23" s="416" t="s">
        <v>959</v>
      </c>
      <c r="F23" s="415" t="s">
        <v>337</v>
      </c>
      <c r="I23" s="415" t="s">
        <v>337</v>
      </c>
      <c r="L23" s="415" t="s">
        <v>337</v>
      </c>
      <c r="M23" s="213" t="s">
        <v>960</v>
      </c>
      <c r="N23" s="416" t="s">
        <v>961</v>
      </c>
      <c r="O23" s="415" t="s">
        <v>337</v>
      </c>
      <c r="R23" s="415" t="s">
        <v>337</v>
      </c>
      <c r="S23" s="213" t="s">
        <v>962</v>
      </c>
      <c r="T23" s="416" t="s">
        <v>963</v>
      </c>
      <c r="U23" s="415" t="s">
        <v>337</v>
      </c>
      <c r="X23" s="415"/>
      <c r="AA23" s="415"/>
      <c r="AB23" s="213">
        <v>9001</v>
      </c>
      <c r="AC23" s="416" t="s">
        <v>964</v>
      </c>
      <c r="AD23" s="415"/>
      <c r="AE23" s="417" t="s">
        <v>965</v>
      </c>
      <c r="AF23" s="416" t="s">
        <v>966</v>
      </c>
      <c r="AG23" s="415"/>
      <c r="AJ23" s="415" t="s">
        <v>337</v>
      </c>
      <c r="AK23" s="416" t="s">
        <v>967</v>
      </c>
      <c r="AL23" s="416" t="s">
        <v>967</v>
      </c>
      <c r="AM23" s="415" t="s">
        <v>337</v>
      </c>
      <c r="AP23" s="415" t="s">
        <v>337</v>
      </c>
      <c r="AQ23" s="213" t="s">
        <v>968</v>
      </c>
      <c r="AR23" s="416" t="s">
        <v>969</v>
      </c>
      <c r="AS23" s="415" t="s">
        <v>337</v>
      </c>
      <c r="AV23" s="415" t="s">
        <v>337</v>
      </c>
      <c r="AY23" s="415" t="s">
        <v>337</v>
      </c>
      <c r="AZ23" s="213">
        <v>113006</v>
      </c>
      <c r="BA23" s="416" t="s">
        <v>970</v>
      </c>
      <c r="BB23" s="415" t="s">
        <v>337</v>
      </c>
      <c r="BC23" s="417" t="s">
        <v>971</v>
      </c>
      <c r="BD23" s="416" t="s">
        <v>720</v>
      </c>
      <c r="BE23" s="415" t="s">
        <v>337</v>
      </c>
      <c r="BH23" s="415" t="s">
        <v>337</v>
      </c>
      <c r="BI23" s="213" t="s">
        <v>414</v>
      </c>
      <c r="BJ23" s="416" t="s">
        <v>415</v>
      </c>
      <c r="BK23" s="213" t="s">
        <v>120</v>
      </c>
      <c r="BL23" s="416" t="s">
        <v>639</v>
      </c>
      <c r="BM23" s="415" t="s">
        <v>337</v>
      </c>
      <c r="BN23" s="213" t="s">
        <v>972</v>
      </c>
      <c r="BO23" s="416" t="s">
        <v>973</v>
      </c>
      <c r="BP23" s="415" t="s">
        <v>337</v>
      </c>
      <c r="BS23" s="415"/>
      <c r="BV23" s="415" t="s">
        <v>337</v>
      </c>
      <c r="BY23" s="415" t="s">
        <v>337</v>
      </c>
      <c r="BZ23" s="418" t="s">
        <v>921</v>
      </c>
      <c r="CA23" s="416" t="s">
        <v>974</v>
      </c>
      <c r="CB23" s="415" t="s">
        <v>337</v>
      </c>
      <c r="CE23" s="415" t="s">
        <v>337</v>
      </c>
      <c r="CH23" s="415" t="s">
        <v>337</v>
      </c>
      <c r="CK23" s="415" t="s">
        <v>337</v>
      </c>
      <c r="CN23" s="415" t="s">
        <v>337</v>
      </c>
      <c r="CQ23" s="415" t="s">
        <v>337</v>
      </c>
      <c r="CT23" s="415" t="s">
        <v>337</v>
      </c>
    </row>
    <row r="24" spans="1:98">
      <c r="A24" s="1" t="s">
        <v>54</v>
      </c>
      <c r="B24" s="416" t="s">
        <v>975</v>
      </c>
      <c r="C24" s="415" t="s">
        <v>337</v>
      </c>
      <c r="D24" s="416" t="s">
        <v>318</v>
      </c>
      <c r="E24" s="416" t="s">
        <v>976</v>
      </c>
      <c r="F24" s="415" t="s">
        <v>337</v>
      </c>
      <c r="I24" s="415" t="s">
        <v>337</v>
      </c>
      <c r="L24" s="415" t="s">
        <v>337</v>
      </c>
      <c r="M24" s="213" t="s">
        <v>977</v>
      </c>
      <c r="N24" s="416" t="s">
        <v>978</v>
      </c>
      <c r="O24" s="415" t="s">
        <v>337</v>
      </c>
      <c r="R24" s="415" t="s">
        <v>337</v>
      </c>
      <c r="S24" s="213" t="s">
        <v>979</v>
      </c>
      <c r="T24" s="416" t="s">
        <v>980</v>
      </c>
      <c r="U24" s="415" t="s">
        <v>337</v>
      </c>
      <c r="X24" s="415"/>
      <c r="AA24" s="415"/>
      <c r="AB24" s="213">
        <v>9002</v>
      </c>
      <c r="AC24" s="416" t="s">
        <v>981</v>
      </c>
      <c r="AD24" s="415"/>
      <c r="AE24" s="417" t="s">
        <v>982</v>
      </c>
      <c r="AF24" s="416" t="s">
        <v>983</v>
      </c>
      <c r="AG24" s="415"/>
      <c r="AJ24" s="415" t="s">
        <v>337</v>
      </c>
      <c r="AK24" s="416" t="s">
        <v>984</v>
      </c>
      <c r="AL24" s="416" t="s">
        <v>984</v>
      </c>
      <c r="AM24" s="415" t="s">
        <v>337</v>
      </c>
      <c r="AP24" s="415" t="s">
        <v>337</v>
      </c>
      <c r="AQ24" s="213" t="s">
        <v>985</v>
      </c>
      <c r="AR24" s="416" t="s">
        <v>986</v>
      </c>
      <c r="AS24" s="415" t="s">
        <v>337</v>
      </c>
      <c r="AV24" s="415" t="s">
        <v>337</v>
      </c>
      <c r="AY24" s="415" t="s">
        <v>337</v>
      </c>
      <c r="AZ24" s="213">
        <v>113007</v>
      </c>
      <c r="BA24" s="416" t="s">
        <v>987</v>
      </c>
      <c r="BB24" s="415" t="s">
        <v>337</v>
      </c>
      <c r="BC24" s="417" t="s">
        <v>988</v>
      </c>
      <c r="BD24" s="416" t="s">
        <v>989</v>
      </c>
      <c r="BE24" s="415" t="s">
        <v>337</v>
      </c>
      <c r="BH24" s="415" t="s">
        <v>337</v>
      </c>
      <c r="BI24" s="213" t="s">
        <v>414</v>
      </c>
      <c r="BJ24" s="416" t="s">
        <v>415</v>
      </c>
      <c r="BK24" s="213" t="s">
        <v>666</v>
      </c>
      <c r="BL24" s="416" t="s">
        <v>667</v>
      </c>
      <c r="BM24" s="415" t="s">
        <v>337</v>
      </c>
      <c r="BN24" s="213" t="s">
        <v>990</v>
      </c>
      <c r="BO24" s="416" t="s">
        <v>991</v>
      </c>
      <c r="BP24" s="415" t="s">
        <v>337</v>
      </c>
      <c r="BS24" s="415"/>
      <c r="BV24" s="415" t="s">
        <v>337</v>
      </c>
      <c r="BY24" s="415" t="s">
        <v>337</v>
      </c>
      <c r="BZ24" s="418" t="s">
        <v>940</v>
      </c>
      <c r="CA24" s="416" t="s">
        <v>992</v>
      </c>
      <c r="CB24" s="415" t="s">
        <v>337</v>
      </c>
      <c r="CE24" s="415" t="s">
        <v>337</v>
      </c>
      <c r="CH24" s="415" t="s">
        <v>337</v>
      </c>
      <c r="CK24" s="415" t="s">
        <v>337</v>
      </c>
      <c r="CN24" s="415" t="s">
        <v>337</v>
      </c>
      <c r="CQ24" s="415" t="s">
        <v>337</v>
      </c>
      <c r="CT24" s="415" t="s">
        <v>337</v>
      </c>
    </row>
    <row r="25" spans="1:98">
      <c r="A25" s="1" t="s">
        <v>54</v>
      </c>
      <c r="B25" s="416" t="s">
        <v>993</v>
      </c>
      <c r="C25" s="415" t="s">
        <v>337</v>
      </c>
      <c r="D25" s="416" t="s">
        <v>318</v>
      </c>
      <c r="E25" s="416" t="s">
        <v>994</v>
      </c>
      <c r="F25" s="415" t="s">
        <v>337</v>
      </c>
      <c r="I25" s="415" t="s">
        <v>337</v>
      </c>
      <c r="L25" s="415" t="s">
        <v>337</v>
      </c>
      <c r="M25" s="213" t="s">
        <v>995</v>
      </c>
      <c r="N25" s="416" t="s">
        <v>996</v>
      </c>
      <c r="O25" s="415" t="s">
        <v>337</v>
      </c>
      <c r="R25" s="415" t="s">
        <v>337</v>
      </c>
      <c r="S25" s="213" t="s">
        <v>997</v>
      </c>
      <c r="T25" s="416" t="s">
        <v>998</v>
      </c>
      <c r="U25" s="415" t="s">
        <v>337</v>
      </c>
      <c r="X25" s="415"/>
      <c r="AA25" s="415"/>
      <c r="AB25" s="213">
        <v>9003</v>
      </c>
      <c r="AC25" s="416" t="s">
        <v>999</v>
      </c>
      <c r="AD25" s="415"/>
      <c r="AE25" s="417" t="s">
        <v>1000</v>
      </c>
      <c r="AF25" s="416" t="s">
        <v>1001</v>
      </c>
      <c r="AG25" s="415"/>
      <c r="AJ25" s="415" t="s">
        <v>337</v>
      </c>
      <c r="AK25" s="416" t="s">
        <v>1002</v>
      </c>
      <c r="AL25" s="416" t="s">
        <v>1002</v>
      </c>
      <c r="AM25" s="415" t="s">
        <v>337</v>
      </c>
      <c r="AP25" s="415" t="s">
        <v>337</v>
      </c>
      <c r="AQ25" s="213" t="s">
        <v>1003</v>
      </c>
      <c r="AR25" s="416" t="s">
        <v>1004</v>
      </c>
      <c r="AS25" s="415" t="s">
        <v>337</v>
      </c>
      <c r="AV25" s="415" t="s">
        <v>337</v>
      </c>
      <c r="AY25" s="415" t="s">
        <v>337</v>
      </c>
      <c r="AZ25" s="213">
        <v>113008</v>
      </c>
      <c r="BA25" s="416" t="s">
        <v>1005</v>
      </c>
      <c r="BB25" s="415" t="s">
        <v>337</v>
      </c>
      <c r="BC25" s="417" t="s">
        <v>1006</v>
      </c>
      <c r="BD25" s="416" t="s">
        <v>1007</v>
      </c>
      <c r="BE25" s="415" t="s">
        <v>337</v>
      </c>
      <c r="BH25" s="415" t="s">
        <v>337</v>
      </c>
      <c r="BI25" s="213" t="s">
        <v>414</v>
      </c>
      <c r="BJ25" s="416" t="s">
        <v>415</v>
      </c>
      <c r="BK25" s="213" t="s">
        <v>694</v>
      </c>
      <c r="BL25" s="416" t="s">
        <v>695</v>
      </c>
      <c r="BM25" s="415" t="s">
        <v>337</v>
      </c>
      <c r="BN25" s="213" t="s">
        <v>1008</v>
      </c>
      <c r="BO25" s="416" t="s">
        <v>1009</v>
      </c>
      <c r="BP25" s="415" t="s">
        <v>337</v>
      </c>
      <c r="BS25" s="415"/>
      <c r="BV25" s="415" t="s">
        <v>337</v>
      </c>
      <c r="BY25" s="415" t="s">
        <v>337</v>
      </c>
      <c r="BZ25" s="418" t="s">
        <v>960</v>
      </c>
      <c r="CA25" s="416" t="s">
        <v>1010</v>
      </c>
      <c r="CB25" s="415" t="s">
        <v>337</v>
      </c>
      <c r="CE25" s="415" t="s">
        <v>337</v>
      </c>
      <c r="CH25" s="415" t="s">
        <v>337</v>
      </c>
      <c r="CK25" s="415" t="s">
        <v>337</v>
      </c>
      <c r="CN25" s="415" t="s">
        <v>337</v>
      </c>
      <c r="CQ25" s="415" t="s">
        <v>337</v>
      </c>
      <c r="CT25" s="415" t="s">
        <v>337</v>
      </c>
    </row>
    <row r="26" spans="1:98">
      <c r="A26" s="1" t="s">
        <v>54</v>
      </c>
      <c r="B26" s="416" t="s">
        <v>1011</v>
      </c>
      <c r="C26" s="415" t="s">
        <v>337</v>
      </c>
      <c r="D26" s="416" t="s">
        <v>318</v>
      </c>
      <c r="E26" s="416" t="s">
        <v>1012</v>
      </c>
      <c r="F26" s="415" t="s">
        <v>337</v>
      </c>
      <c r="I26" s="415" t="s">
        <v>337</v>
      </c>
      <c r="L26" s="415" t="s">
        <v>337</v>
      </c>
      <c r="M26" s="213" t="s">
        <v>1013</v>
      </c>
      <c r="N26" s="416" t="s">
        <v>1014</v>
      </c>
      <c r="O26" s="415" t="s">
        <v>337</v>
      </c>
      <c r="R26" s="415" t="s">
        <v>337</v>
      </c>
      <c r="S26" s="213" t="s">
        <v>1015</v>
      </c>
      <c r="T26" s="416" t="s">
        <v>1016</v>
      </c>
      <c r="U26" s="415" t="s">
        <v>337</v>
      </c>
      <c r="X26" s="415"/>
      <c r="AA26" s="415"/>
      <c r="AB26" s="213">
        <v>9004</v>
      </c>
      <c r="AC26" s="416" t="s">
        <v>1017</v>
      </c>
      <c r="AD26" s="415"/>
      <c r="AE26" s="417" t="s">
        <v>1018</v>
      </c>
      <c r="AF26" s="416" t="s">
        <v>1019</v>
      </c>
      <c r="AG26" s="415"/>
      <c r="AJ26" s="415" t="s">
        <v>337</v>
      </c>
      <c r="AK26" s="416" t="s">
        <v>1020</v>
      </c>
      <c r="AL26" s="416" t="s">
        <v>1020</v>
      </c>
      <c r="AM26" s="415" t="s">
        <v>337</v>
      </c>
      <c r="AP26" s="415" t="s">
        <v>337</v>
      </c>
      <c r="AQ26" s="213" t="s">
        <v>1021</v>
      </c>
      <c r="AR26" s="416" t="s">
        <v>1022</v>
      </c>
      <c r="AS26" s="415" t="s">
        <v>337</v>
      </c>
      <c r="AV26" s="415" t="s">
        <v>337</v>
      </c>
      <c r="AY26" s="415" t="s">
        <v>337</v>
      </c>
      <c r="AZ26" s="213">
        <v>114001</v>
      </c>
      <c r="BA26" s="416" t="s">
        <v>1023</v>
      </c>
      <c r="BB26" s="415" t="s">
        <v>337</v>
      </c>
      <c r="BE26" s="415" t="s">
        <v>337</v>
      </c>
      <c r="BH26" s="415" t="s">
        <v>337</v>
      </c>
      <c r="BI26" s="213" t="s">
        <v>414</v>
      </c>
      <c r="BJ26" s="416" t="s">
        <v>415</v>
      </c>
      <c r="BK26" s="213" t="s">
        <v>1024</v>
      </c>
      <c r="BL26" s="416" t="s">
        <v>1025</v>
      </c>
      <c r="BM26" s="415" t="s">
        <v>337</v>
      </c>
      <c r="BN26" s="213" t="s">
        <v>1026</v>
      </c>
      <c r="BO26" s="416" t="s">
        <v>1027</v>
      </c>
      <c r="BP26" s="415" t="s">
        <v>337</v>
      </c>
      <c r="BS26" s="415"/>
      <c r="BV26" s="415" t="s">
        <v>337</v>
      </c>
      <c r="BY26" s="415" t="s">
        <v>337</v>
      </c>
      <c r="CB26" s="415" t="s">
        <v>337</v>
      </c>
      <c r="CE26" s="415" t="s">
        <v>337</v>
      </c>
      <c r="CH26" s="415" t="s">
        <v>337</v>
      </c>
      <c r="CK26" s="415" t="s">
        <v>337</v>
      </c>
      <c r="CN26" s="415" t="s">
        <v>337</v>
      </c>
      <c r="CQ26" s="415" t="s">
        <v>337</v>
      </c>
      <c r="CT26" s="415" t="s">
        <v>337</v>
      </c>
    </row>
    <row r="27" spans="1:98">
      <c r="A27" s="1" t="s">
        <v>54</v>
      </c>
      <c r="B27" s="416" t="s">
        <v>1028</v>
      </c>
      <c r="C27" s="415" t="s">
        <v>337</v>
      </c>
      <c r="D27" s="416" t="s">
        <v>318</v>
      </c>
      <c r="E27" s="416" t="s">
        <v>1029</v>
      </c>
      <c r="F27" s="415" t="s">
        <v>337</v>
      </c>
      <c r="I27" s="415" t="s">
        <v>337</v>
      </c>
      <c r="L27" s="415" t="s">
        <v>337</v>
      </c>
      <c r="M27" s="213" t="s">
        <v>1030</v>
      </c>
      <c r="N27" s="416" t="s">
        <v>1031</v>
      </c>
      <c r="O27" s="415" t="s">
        <v>337</v>
      </c>
      <c r="R27" s="415" t="s">
        <v>337</v>
      </c>
      <c r="S27" s="213" t="s">
        <v>1032</v>
      </c>
      <c r="T27" s="416" t="s">
        <v>1033</v>
      </c>
      <c r="U27" s="415" t="s">
        <v>337</v>
      </c>
      <c r="X27" s="415"/>
      <c r="AA27" s="415"/>
      <c r="AB27" s="213">
        <v>9005</v>
      </c>
      <c r="AC27" s="416" t="s">
        <v>1034</v>
      </c>
      <c r="AD27" s="415"/>
      <c r="AE27" s="417" t="s">
        <v>1035</v>
      </c>
      <c r="AF27" s="416" t="s">
        <v>1036</v>
      </c>
      <c r="AG27" s="415"/>
      <c r="AJ27" s="415" t="s">
        <v>337</v>
      </c>
      <c r="AK27" s="416" t="s">
        <v>1037</v>
      </c>
      <c r="AL27" s="416" t="s">
        <v>1037</v>
      </c>
      <c r="AM27" s="415" t="s">
        <v>337</v>
      </c>
      <c r="AP27" s="415" t="s">
        <v>337</v>
      </c>
      <c r="AQ27" s="213" t="s">
        <v>1038</v>
      </c>
      <c r="AR27" s="416" t="s">
        <v>1039</v>
      </c>
      <c r="AS27" s="415" t="s">
        <v>337</v>
      </c>
      <c r="AV27" s="415" t="s">
        <v>337</v>
      </c>
      <c r="AY27" s="415" t="s">
        <v>337</v>
      </c>
      <c r="AZ27" s="213">
        <v>114002</v>
      </c>
      <c r="BA27" s="416" t="s">
        <v>1040</v>
      </c>
      <c r="BB27" s="415" t="s">
        <v>337</v>
      </c>
      <c r="BE27" s="415" t="s">
        <v>337</v>
      </c>
      <c r="BH27" s="415" t="s">
        <v>337</v>
      </c>
      <c r="BI27" s="213" t="s">
        <v>414</v>
      </c>
      <c r="BJ27" s="416" t="s">
        <v>415</v>
      </c>
      <c r="BK27" s="213" t="s">
        <v>721</v>
      </c>
      <c r="BL27" s="416" t="s">
        <v>722</v>
      </c>
      <c r="BM27" s="415" t="s">
        <v>337</v>
      </c>
      <c r="BN27" s="213" t="s">
        <v>1041</v>
      </c>
      <c r="BO27" s="416" t="s">
        <v>1042</v>
      </c>
      <c r="BP27" s="415" t="s">
        <v>337</v>
      </c>
      <c r="BS27" s="415"/>
      <c r="BV27" s="415" t="s">
        <v>337</v>
      </c>
      <c r="BY27" s="415" t="s">
        <v>337</v>
      </c>
      <c r="CB27" s="415" t="s">
        <v>337</v>
      </c>
      <c r="CE27" s="415" t="s">
        <v>337</v>
      </c>
      <c r="CH27" s="415" t="s">
        <v>337</v>
      </c>
      <c r="CK27" s="415" t="s">
        <v>337</v>
      </c>
      <c r="CN27" s="415" t="s">
        <v>337</v>
      </c>
      <c r="CQ27" s="415" t="s">
        <v>337</v>
      </c>
      <c r="CT27" s="415" t="s">
        <v>337</v>
      </c>
    </row>
    <row r="28" spans="1:98">
      <c r="A28" s="1" t="s">
        <v>54</v>
      </c>
      <c r="B28" s="416" t="s">
        <v>1043</v>
      </c>
      <c r="C28" s="415" t="s">
        <v>337</v>
      </c>
      <c r="D28" s="416" t="s">
        <v>318</v>
      </c>
      <c r="E28" s="416" t="s">
        <v>1044</v>
      </c>
      <c r="F28" s="415" t="s">
        <v>337</v>
      </c>
      <c r="I28" s="415" t="s">
        <v>337</v>
      </c>
      <c r="L28" s="415" t="s">
        <v>337</v>
      </c>
      <c r="M28" s="213" t="s">
        <v>1045</v>
      </c>
      <c r="N28" s="416" t="s">
        <v>1046</v>
      </c>
      <c r="O28" s="415" t="s">
        <v>337</v>
      </c>
      <c r="R28" s="415" t="s">
        <v>337</v>
      </c>
      <c r="S28" s="213" t="s">
        <v>1047</v>
      </c>
      <c r="T28" s="416" t="s">
        <v>1048</v>
      </c>
      <c r="U28" s="415" t="s">
        <v>337</v>
      </c>
      <c r="X28" s="415"/>
      <c r="AA28" s="415"/>
      <c r="AB28" s="213">
        <v>9006</v>
      </c>
      <c r="AC28" s="416" t="s">
        <v>1049</v>
      </c>
      <c r="AD28" s="415"/>
      <c r="AE28" s="417" t="s">
        <v>1050</v>
      </c>
      <c r="AF28" s="416" t="s">
        <v>1051</v>
      </c>
      <c r="AG28" s="415"/>
      <c r="AJ28" s="415" t="s">
        <v>337</v>
      </c>
      <c r="AK28" s="416" t="s">
        <v>1052</v>
      </c>
      <c r="AL28" s="416" t="s">
        <v>1052</v>
      </c>
      <c r="AM28" s="415" t="s">
        <v>337</v>
      </c>
      <c r="AP28" s="415" t="s">
        <v>337</v>
      </c>
      <c r="AQ28" s="213" t="s">
        <v>1053</v>
      </c>
      <c r="AR28" s="416" t="s">
        <v>1054</v>
      </c>
      <c r="AS28" s="415" t="s">
        <v>337</v>
      </c>
      <c r="AV28" s="415" t="s">
        <v>337</v>
      </c>
      <c r="AY28" s="415" t="s">
        <v>337</v>
      </c>
      <c r="AZ28" s="213">
        <v>114003</v>
      </c>
      <c r="BA28" s="416" t="s">
        <v>1055</v>
      </c>
      <c r="BB28" s="415" t="s">
        <v>337</v>
      </c>
      <c r="BE28" s="415" t="s">
        <v>337</v>
      </c>
      <c r="BH28" s="415" t="s">
        <v>337</v>
      </c>
      <c r="BI28" s="213" t="s">
        <v>414</v>
      </c>
      <c r="BJ28" s="416" t="s">
        <v>415</v>
      </c>
      <c r="BK28" s="213" t="s">
        <v>1056</v>
      </c>
      <c r="BL28" s="416" t="s">
        <v>1057</v>
      </c>
      <c r="BM28" s="415" t="s">
        <v>337</v>
      </c>
      <c r="BN28" s="213" t="s">
        <v>1058</v>
      </c>
      <c r="BO28" s="416" t="s">
        <v>1059</v>
      </c>
      <c r="BP28" s="415" t="s">
        <v>337</v>
      </c>
      <c r="BS28" s="415"/>
      <c r="BV28" s="415" t="s">
        <v>337</v>
      </c>
      <c r="BY28" s="415" t="s">
        <v>337</v>
      </c>
      <c r="CB28" s="415" t="s">
        <v>337</v>
      </c>
      <c r="CE28" s="415" t="s">
        <v>337</v>
      </c>
      <c r="CH28" s="415" t="s">
        <v>337</v>
      </c>
      <c r="CK28" s="415" t="s">
        <v>337</v>
      </c>
      <c r="CN28" s="415" t="s">
        <v>337</v>
      </c>
      <c r="CQ28" s="415" t="s">
        <v>337</v>
      </c>
      <c r="CT28" s="415" t="s">
        <v>337</v>
      </c>
    </row>
    <row r="29" spans="1:98">
      <c r="A29" s="1" t="s">
        <v>54</v>
      </c>
      <c r="B29" s="416" t="s">
        <v>1060</v>
      </c>
      <c r="C29" s="415" t="s">
        <v>337</v>
      </c>
      <c r="D29" s="416" t="s">
        <v>318</v>
      </c>
      <c r="E29" s="416" t="s">
        <v>1061</v>
      </c>
      <c r="F29" s="415" t="s">
        <v>337</v>
      </c>
      <c r="I29" s="415" t="s">
        <v>337</v>
      </c>
      <c r="L29" s="415" t="s">
        <v>337</v>
      </c>
      <c r="M29" s="213" t="s">
        <v>1062</v>
      </c>
      <c r="N29" s="416" t="s">
        <v>1063</v>
      </c>
      <c r="O29" s="415" t="s">
        <v>337</v>
      </c>
      <c r="R29" s="415" t="s">
        <v>337</v>
      </c>
      <c r="S29" s="213" t="s">
        <v>1064</v>
      </c>
      <c r="T29" s="416" t="s">
        <v>1065</v>
      </c>
      <c r="U29" s="415" t="s">
        <v>337</v>
      </c>
      <c r="X29" s="415"/>
      <c r="AA29" s="415"/>
      <c r="AB29" s="213">
        <v>9007</v>
      </c>
      <c r="AC29" s="416" t="s">
        <v>1066</v>
      </c>
      <c r="AD29" s="415"/>
      <c r="AE29" s="417" t="s">
        <v>1067</v>
      </c>
      <c r="AF29" s="416" t="s">
        <v>1068</v>
      </c>
      <c r="AG29" s="415"/>
      <c r="AJ29" s="415" t="s">
        <v>337</v>
      </c>
      <c r="AK29" s="416" t="s">
        <v>1069</v>
      </c>
      <c r="AL29" s="416" t="s">
        <v>1069</v>
      </c>
      <c r="AM29" s="415" t="s">
        <v>337</v>
      </c>
      <c r="AP29" s="415" t="s">
        <v>337</v>
      </c>
      <c r="AQ29" s="213" t="s">
        <v>1070</v>
      </c>
      <c r="AR29" s="416" t="s">
        <v>1071</v>
      </c>
      <c r="AS29" s="415" t="s">
        <v>337</v>
      </c>
      <c r="AV29" s="415" t="s">
        <v>337</v>
      </c>
      <c r="AY29" s="415" t="s">
        <v>337</v>
      </c>
      <c r="AZ29" s="213">
        <v>114004</v>
      </c>
      <c r="BA29" s="416" t="s">
        <v>1072</v>
      </c>
      <c r="BB29" s="415" t="s">
        <v>337</v>
      </c>
      <c r="BE29" s="415" t="s">
        <v>337</v>
      </c>
      <c r="BH29" s="415" t="s">
        <v>337</v>
      </c>
      <c r="BI29" s="213" t="s">
        <v>414</v>
      </c>
      <c r="BJ29" s="416" t="s">
        <v>415</v>
      </c>
      <c r="BK29" s="213" t="s">
        <v>1073</v>
      </c>
      <c r="BL29" s="416" t="s">
        <v>1074</v>
      </c>
      <c r="BM29" s="415" t="s">
        <v>337</v>
      </c>
      <c r="BN29" s="213" t="s">
        <v>1075</v>
      </c>
      <c r="BO29" s="416" t="s">
        <v>1076</v>
      </c>
      <c r="BP29" s="415" t="s">
        <v>337</v>
      </c>
      <c r="BS29" s="415"/>
      <c r="BV29" s="415" t="s">
        <v>337</v>
      </c>
      <c r="BY29" s="415" t="s">
        <v>337</v>
      </c>
      <c r="CB29" s="415" t="s">
        <v>337</v>
      </c>
      <c r="CE29" s="415" t="s">
        <v>337</v>
      </c>
      <c r="CH29" s="415" t="s">
        <v>337</v>
      </c>
      <c r="CK29" s="415" t="s">
        <v>337</v>
      </c>
      <c r="CN29" s="415" t="s">
        <v>337</v>
      </c>
      <c r="CQ29" s="415" t="s">
        <v>337</v>
      </c>
      <c r="CT29" s="415" t="s">
        <v>337</v>
      </c>
    </row>
    <row r="30" spans="1:98">
      <c r="A30" s="1" t="s">
        <v>54</v>
      </c>
      <c r="B30" s="416" t="s">
        <v>1077</v>
      </c>
      <c r="C30" s="415" t="s">
        <v>337</v>
      </c>
      <c r="D30" s="416" t="s">
        <v>318</v>
      </c>
      <c r="E30" s="416" t="s">
        <v>1078</v>
      </c>
      <c r="F30" s="415" t="s">
        <v>337</v>
      </c>
      <c r="I30" s="415" t="s">
        <v>337</v>
      </c>
      <c r="L30" s="415" t="s">
        <v>337</v>
      </c>
      <c r="M30" s="213" t="s">
        <v>1079</v>
      </c>
      <c r="N30" s="416" t="s">
        <v>1080</v>
      </c>
      <c r="O30" s="415" t="s">
        <v>337</v>
      </c>
      <c r="R30" s="415" t="s">
        <v>337</v>
      </c>
      <c r="S30" s="213" t="s">
        <v>1081</v>
      </c>
      <c r="T30" s="416" t="s">
        <v>1082</v>
      </c>
      <c r="U30" s="415" t="s">
        <v>337</v>
      </c>
      <c r="X30" s="415"/>
      <c r="AA30" s="415"/>
      <c r="AB30" s="213">
        <v>9008</v>
      </c>
      <c r="AC30" s="416" t="s">
        <v>1083</v>
      </c>
      <c r="AD30" s="415"/>
      <c r="AE30" s="417" t="s">
        <v>1084</v>
      </c>
      <c r="AF30" s="416" t="s">
        <v>1085</v>
      </c>
      <c r="AG30" s="415"/>
      <c r="AJ30" s="415" t="s">
        <v>337</v>
      </c>
      <c r="AK30" s="416" t="s">
        <v>1086</v>
      </c>
      <c r="AL30" s="416" t="s">
        <v>1086</v>
      </c>
      <c r="AM30" s="415" t="s">
        <v>337</v>
      </c>
      <c r="AP30" s="415" t="s">
        <v>337</v>
      </c>
      <c r="AQ30" s="213" t="s">
        <v>1087</v>
      </c>
      <c r="AR30" s="416" t="s">
        <v>1088</v>
      </c>
      <c r="AS30" s="415" t="s">
        <v>337</v>
      </c>
      <c r="AV30" s="415" t="s">
        <v>337</v>
      </c>
      <c r="AY30" s="415" t="s">
        <v>337</v>
      </c>
      <c r="AZ30" s="213">
        <v>114005</v>
      </c>
      <c r="BA30" s="416" t="s">
        <v>1089</v>
      </c>
      <c r="BB30" s="415" t="s">
        <v>337</v>
      </c>
      <c r="BE30" s="415" t="s">
        <v>337</v>
      </c>
      <c r="BH30" s="415" t="s">
        <v>337</v>
      </c>
      <c r="BI30" s="213" t="s">
        <v>414</v>
      </c>
      <c r="BJ30" s="416" t="s">
        <v>415</v>
      </c>
      <c r="BK30" s="213" t="s">
        <v>1090</v>
      </c>
      <c r="BL30" s="416" t="s">
        <v>1091</v>
      </c>
      <c r="BM30" s="415" t="s">
        <v>337</v>
      </c>
      <c r="BN30" s="213" t="s">
        <v>1092</v>
      </c>
      <c r="BO30" s="416" t="s">
        <v>1093</v>
      </c>
      <c r="BP30" s="415" t="s">
        <v>337</v>
      </c>
      <c r="BS30" s="415"/>
      <c r="BV30" s="415" t="s">
        <v>337</v>
      </c>
      <c r="BY30" s="415" t="s">
        <v>337</v>
      </c>
      <c r="CB30" s="415" t="s">
        <v>337</v>
      </c>
      <c r="CE30" s="415" t="s">
        <v>337</v>
      </c>
      <c r="CH30" s="415" t="s">
        <v>337</v>
      </c>
      <c r="CK30" s="415" t="s">
        <v>337</v>
      </c>
      <c r="CN30" s="415" t="s">
        <v>337</v>
      </c>
      <c r="CQ30" s="415" t="s">
        <v>337</v>
      </c>
      <c r="CT30" s="415" t="s">
        <v>337</v>
      </c>
    </row>
    <row r="31" spans="1:98">
      <c r="A31" s="1" t="s">
        <v>54</v>
      </c>
      <c r="B31" s="416" t="s">
        <v>1094</v>
      </c>
      <c r="C31" s="415" t="s">
        <v>337</v>
      </c>
      <c r="D31" s="416" t="s">
        <v>318</v>
      </c>
      <c r="E31" s="416" t="s">
        <v>1095</v>
      </c>
      <c r="F31" s="415" t="s">
        <v>337</v>
      </c>
      <c r="I31" s="415" t="s">
        <v>337</v>
      </c>
      <c r="L31" s="415" t="s">
        <v>337</v>
      </c>
      <c r="M31" s="213" t="s">
        <v>1096</v>
      </c>
      <c r="N31" s="416" t="s">
        <v>1097</v>
      </c>
      <c r="O31" s="415" t="s">
        <v>337</v>
      </c>
      <c r="R31" s="415" t="s">
        <v>337</v>
      </c>
      <c r="S31" s="213" t="s">
        <v>1098</v>
      </c>
      <c r="T31" s="416" t="s">
        <v>1099</v>
      </c>
      <c r="U31" s="415" t="s">
        <v>337</v>
      </c>
      <c r="X31" s="415"/>
      <c r="AA31" s="415"/>
      <c r="AB31" s="213">
        <v>9009</v>
      </c>
      <c r="AC31" s="416" t="s">
        <v>1100</v>
      </c>
      <c r="AD31" s="415"/>
      <c r="AE31" s="417" t="s">
        <v>1101</v>
      </c>
      <c r="AF31" s="416" t="s">
        <v>1102</v>
      </c>
      <c r="AG31" s="415"/>
      <c r="AJ31" s="415" t="s">
        <v>337</v>
      </c>
      <c r="AK31" s="416" t="s">
        <v>1103</v>
      </c>
      <c r="AL31" s="416" t="s">
        <v>1103</v>
      </c>
      <c r="AM31" s="415" t="s">
        <v>337</v>
      </c>
      <c r="AP31" s="415" t="s">
        <v>337</v>
      </c>
      <c r="AQ31" s="213" t="s">
        <v>1104</v>
      </c>
      <c r="AR31" s="416" t="s">
        <v>1105</v>
      </c>
      <c r="AS31" s="415" t="s">
        <v>337</v>
      </c>
      <c r="AV31" s="415" t="s">
        <v>337</v>
      </c>
      <c r="AY31" s="415" t="s">
        <v>337</v>
      </c>
      <c r="AZ31" s="213">
        <v>114006</v>
      </c>
      <c r="BA31" s="416" t="s">
        <v>1106</v>
      </c>
      <c r="BB31" s="415" t="s">
        <v>337</v>
      </c>
      <c r="BE31" s="415" t="s">
        <v>337</v>
      </c>
      <c r="BH31" s="415" t="s">
        <v>337</v>
      </c>
      <c r="BI31" s="213" t="s">
        <v>414</v>
      </c>
      <c r="BJ31" s="416" t="s">
        <v>415</v>
      </c>
      <c r="BK31" s="213" t="s">
        <v>1107</v>
      </c>
      <c r="BL31" s="416" t="s">
        <v>1108</v>
      </c>
      <c r="BM31" s="415" t="s">
        <v>337</v>
      </c>
      <c r="BN31" s="213" t="s">
        <v>1109</v>
      </c>
      <c r="BO31" s="416" t="s">
        <v>1110</v>
      </c>
      <c r="BP31" s="415" t="s">
        <v>337</v>
      </c>
      <c r="BS31" s="415"/>
      <c r="BV31" s="415" t="s">
        <v>337</v>
      </c>
      <c r="BY31" s="415" t="s">
        <v>337</v>
      </c>
      <c r="CB31" s="415" t="s">
        <v>337</v>
      </c>
      <c r="CE31" s="415" t="s">
        <v>337</v>
      </c>
      <c r="CH31" s="415" t="s">
        <v>337</v>
      </c>
      <c r="CK31" s="415" t="s">
        <v>337</v>
      </c>
      <c r="CN31" s="415" t="s">
        <v>337</v>
      </c>
      <c r="CQ31" s="415" t="s">
        <v>337</v>
      </c>
      <c r="CT31" s="415" t="s">
        <v>337</v>
      </c>
    </row>
    <row r="32" spans="1:98">
      <c r="A32" s="1" t="s">
        <v>54</v>
      </c>
      <c r="B32" s="416" t="s">
        <v>1111</v>
      </c>
      <c r="C32" s="415" t="s">
        <v>337</v>
      </c>
      <c r="D32" s="416" t="s">
        <v>318</v>
      </c>
      <c r="E32" s="416" t="s">
        <v>1112</v>
      </c>
      <c r="F32" s="415" t="s">
        <v>337</v>
      </c>
      <c r="I32" s="415" t="s">
        <v>337</v>
      </c>
      <c r="L32" s="415" t="s">
        <v>337</v>
      </c>
      <c r="M32" s="213" t="s">
        <v>1113</v>
      </c>
      <c r="N32" s="416" t="s">
        <v>1114</v>
      </c>
      <c r="O32" s="415" t="s">
        <v>337</v>
      </c>
      <c r="R32" s="415" t="s">
        <v>337</v>
      </c>
      <c r="S32" s="213" t="s">
        <v>1115</v>
      </c>
      <c r="T32" s="416" t="s">
        <v>1116</v>
      </c>
      <c r="U32" s="415" t="s">
        <v>337</v>
      </c>
      <c r="X32" s="415"/>
      <c r="AA32" s="415"/>
      <c r="AB32" s="213">
        <v>9010</v>
      </c>
      <c r="AC32" s="416" t="s">
        <v>1117</v>
      </c>
      <c r="AD32" s="415"/>
      <c r="AE32" s="417" t="s">
        <v>1118</v>
      </c>
      <c r="AF32" s="416" t="s">
        <v>1119</v>
      </c>
      <c r="AG32" s="415"/>
      <c r="AJ32" s="415" t="s">
        <v>337</v>
      </c>
      <c r="AK32" s="416" t="s">
        <v>1120</v>
      </c>
      <c r="AL32" s="416" t="s">
        <v>1120</v>
      </c>
      <c r="AM32" s="415" t="s">
        <v>337</v>
      </c>
      <c r="AP32" s="415" t="s">
        <v>337</v>
      </c>
      <c r="AQ32" s="213" t="s">
        <v>1121</v>
      </c>
      <c r="AR32" s="416" t="s">
        <v>1122</v>
      </c>
      <c r="AS32" s="415" t="s">
        <v>337</v>
      </c>
      <c r="AV32" s="415" t="s">
        <v>337</v>
      </c>
      <c r="AY32" s="415" t="s">
        <v>337</v>
      </c>
      <c r="AZ32" s="213">
        <v>114007</v>
      </c>
      <c r="BA32" s="416" t="s">
        <v>1123</v>
      </c>
      <c r="BB32" s="415" t="s">
        <v>337</v>
      </c>
      <c r="BE32" s="415" t="s">
        <v>337</v>
      </c>
      <c r="BH32" s="415" t="s">
        <v>337</v>
      </c>
      <c r="BI32" s="213" t="s">
        <v>458</v>
      </c>
      <c r="BJ32" s="416" t="s">
        <v>459</v>
      </c>
      <c r="BK32" s="213" t="s">
        <v>1124</v>
      </c>
      <c r="BL32" s="416" t="s">
        <v>1125</v>
      </c>
      <c r="BM32" s="415" t="s">
        <v>337</v>
      </c>
      <c r="BN32" s="213" t="s">
        <v>1126</v>
      </c>
      <c r="BO32" s="416" t="s">
        <v>1127</v>
      </c>
      <c r="BP32" s="415" t="s">
        <v>337</v>
      </c>
      <c r="BS32" s="415"/>
      <c r="BV32" s="415" t="s">
        <v>337</v>
      </c>
      <c r="BY32" s="415" t="s">
        <v>337</v>
      </c>
      <c r="CB32" s="415" t="s">
        <v>337</v>
      </c>
      <c r="CE32" s="415" t="s">
        <v>337</v>
      </c>
      <c r="CH32" s="415" t="s">
        <v>337</v>
      </c>
      <c r="CK32" s="415" t="s">
        <v>337</v>
      </c>
      <c r="CN32" s="415" t="s">
        <v>337</v>
      </c>
      <c r="CQ32" s="415" t="s">
        <v>337</v>
      </c>
      <c r="CT32" s="415" t="s">
        <v>337</v>
      </c>
    </row>
    <row r="33" spans="1:98">
      <c r="A33" s="1" t="s">
        <v>54</v>
      </c>
      <c r="B33" s="416" t="s">
        <v>1128</v>
      </c>
      <c r="C33" s="415" t="s">
        <v>337</v>
      </c>
      <c r="D33" s="416" t="s">
        <v>318</v>
      </c>
      <c r="E33" s="416" t="s">
        <v>1129</v>
      </c>
      <c r="F33" s="415" t="s">
        <v>337</v>
      </c>
      <c r="I33" s="415" t="s">
        <v>337</v>
      </c>
      <c r="L33" s="415" t="s">
        <v>337</v>
      </c>
      <c r="M33" s="213" t="s">
        <v>1130</v>
      </c>
      <c r="N33" s="416" t="s">
        <v>1131</v>
      </c>
      <c r="O33" s="415" t="s">
        <v>337</v>
      </c>
      <c r="R33" s="415" t="s">
        <v>337</v>
      </c>
      <c r="S33" s="213" t="s">
        <v>1132</v>
      </c>
      <c r="T33" s="416" t="s">
        <v>1133</v>
      </c>
      <c r="U33" s="415" t="s">
        <v>337</v>
      </c>
      <c r="X33" s="415"/>
      <c r="AA33" s="415"/>
      <c r="AB33" s="213">
        <v>9011</v>
      </c>
      <c r="AC33" s="416" t="s">
        <v>1134</v>
      </c>
      <c r="AD33" s="415"/>
      <c r="AE33" s="417" t="s">
        <v>1135</v>
      </c>
      <c r="AF33" s="416" t="s">
        <v>1136</v>
      </c>
      <c r="AG33" s="415"/>
      <c r="AJ33" s="415" t="s">
        <v>337</v>
      </c>
      <c r="AM33" s="415" t="s">
        <v>337</v>
      </c>
      <c r="AP33" s="415" t="s">
        <v>337</v>
      </c>
      <c r="AQ33" s="213" t="s">
        <v>1137</v>
      </c>
      <c r="AR33" s="416" t="s">
        <v>1138</v>
      </c>
      <c r="AS33" s="415" t="s">
        <v>337</v>
      </c>
      <c r="AV33" s="415" t="s">
        <v>337</v>
      </c>
      <c r="AY33" s="415" t="s">
        <v>337</v>
      </c>
      <c r="AZ33" s="213">
        <v>114008</v>
      </c>
      <c r="BA33" s="416" t="s">
        <v>1139</v>
      </c>
      <c r="BB33" s="415" t="s">
        <v>337</v>
      </c>
      <c r="BE33" s="415" t="s">
        <v>337</v>
      </c>
      <c r="BH33" s="415" t="s">
        <v>337</v>
      </c>
      <c r="BI33" s="213" t="s">
        <v>458</v>
      </c>
      <c r="BJ33" s="416" t="s">
        <v>459</v>
      </c>
      <c r="BK33" s="213" t="s">
        <v>1140</v>
      </c>
      <c r="BL33" s="416" t="s">
        <v>1141</v>
      </c>
      <c r="BM33" s="415" t="s">
        <v>337</v>
      </c>
      <c r="BN33" s="213" t="s">
        <v>1142</v>
      </c>
      <c r="BO33" s="416" t="s">
        <v>1143</v>
      </c>
      <c r="BP33" s="415" t="s">
        <v>337</v>
      </c>
      <c r="BS33" s="415"/>
      <c r="BV33" s="415" t="s">
        <v>337</v>
      </c>
      <c r="BY33" s="415" t="s">
        <v>337</v>
      </c>
      <c r="CB33" s="415" t="s">
        <v>337</v>
      </c>
      <c r="CE33" s="415" t="s">
        <v>337</v>
      </c>
      <c r="CH33" s="415" t="s">
        <v>337</v>
      </c>
      <c r="CK33" s="415" t="s">
        <v>337</v>
      </c>
      <c r="CN33" s="415" t="s">
        <v>337</v>
      </c>
      <c r="CQ33" s="415" t="s">
        <v>337</v>
      </c>
      <c r="CT33" s="415" t="s">
        <v>337</v>
      </c>
    </row>
    <row r="34" spans="1:98">
      <c r="A34" s="1" t="s">
        <v>54</v>
      </c>
      <c r="B34" s="416" t="s">
        <v>1144</v>
      </c>
      <c r="C34" s="415" t="s">
        <v>337</v>
      </c>
      <c r="D34" s="416" t="s">
        <v>318</v>
      </c>
      <c r="E34" s="416" t="s">
        <v>1145</v>
      </c>
      <c r="F34" s="415" t="s">
        <v>337</v>
      </c>
      <c r="I34" s="415" t="s">
        <v>337</v>
      </c>
      <c r="L34" s="415" t="s">
        <v>337</v>
      </c>
      <c r="M34" s="213" t="s">
        <v>1146</v>
      </c>
      <c r="N34" s="416" t="s">
        <v>1147</v>
      </c>
      <c r="O34" s="415" t="s">
        <v>337</v>
      </c>
      <c r="R34" s="415" t="s">
        <v>337</v>
      </c>
      <c r="S34" s="213" t="s">
        <v>1148</v>
      </c>
      <c r="T34" s="416" t="s">
        <v>1149</v>
      </c>
      <c r="U34" s="415" t="s">
        <v>337</v>
      </c>
      <c r="X34" s="415"/>
      <c r="AA34" s="415"/>
      <c r="AB34" s="213">
        <v>9012</v>
      </c>
      <c r="AC34" s="416" t="s">
        <v>1150</v>
      </c>
      <c r="AD34" s="415"/>
      <c r="AE34" s="417" t="s">
        <v>1151</v>
      </c>
      <c r="AF34" s="416" t="s">
        <v>1152</v>
      </c>
      <c r="AG34" s="415"/>
      <c r="AJ34" s="415" t="s">
        <v>337</v>
      </c>
      <c r="AM34" s="415" t="s">
        <v>337</v>
      </c>
      <c r="AP34" s="415" t="s">
        <v>337</v>
      </c>
      <c r="AQ34" s="213" t="s">
        <v>1153</v>
      </c>
      <c r="AR34" s="416" t="s">
        <v>1154</v>
      </c>
      <c r="AS34" s="415" t="s">
        <v>337</v>
      </c>
      <c r="AV34" s="415" t="s">
        <v>337</v>
      </c>
      <c r="AY34" s="415" t="s">
        <v>337</v>
      </c>
      <c r="AZ34" s="213">
        <v>115001</v>
      </c>
      <c r="BA34" s="416" t="s">
        <v>1155</v>
      </c>
      <c r="BB34" s="415" t="s">
        <v>337</v>
      </c>
      <c r="BE34" s="415" t="s">
        <v>337</v>
      </c>
      <c r="BH34" s="415" t="s">
        <v>337</v>
      </c>
      <c r="BI34" s="213" t="s">
        <v>458</v>
      </c>
      <c r="BJ34" s="416" t="s">
        <v>459</v>
      </c>
      <c r="BK34" s="213" t="s">
        <v>1156</v>
      </c>
      <c r="BL34" s="416" t="s">
        <v>1157</v>
      </c>
      <c r="BM34" s="415" t="s">
        <v>337</v>
      </c>
      <c r="BN34" s="213" t="s">
        <v>1158</v>
      </c>
      <c r="BO34" s="416" t="s">
        <v>1159</v>
      </c>
      <c r="BP34" s="415" t="s">
        <v>337</v>
      </c>
      <c r="BS34" s="415"/>
      <c r="BV34" s="415" t="s">
        <v>337</v>
      </c>
      <c r="BY34" s="415" t="s">
        <v>337</v>
      </c>
      <c r="CB34" s="415" t="s">
        <v>337</v>
      </c>
      <c r="CE34" s="415" t="s">
        <v>337</v>
      </c>
      <c r="CH34" s="415" t="s">
        <v>337</v>
      </c>
      <c r="CK34" s="415" t="s">
        <v>337</v>
      </c>
      <c r="CN34" s="415" t="s">
        <v>337</v>
      </c>
      <c r="CQ34" s="415" t="s">
        <v>337</v>
      </c>
      <c r="CT34" s="415" t="s">
        <v>337</v>
      </c>
    </row>
    <row r="35" spans="1:98">
      <c r="A35" s="1" t="s">
        <v>54</v>
      </c>
      <c r="B35" s="416" t="s">
        <v>1160</v>
      </c>
      <c r="C35" s="415" t="s">
        <v>337</v>
      </c>
      <c r="D35" s="416" t="s">
        <v>318</v>
      </c>
      <c r="E35" s="416" t="s">
        <v>1161</v>
      </c>
      <c r="F35" s="415" t="s">
        <v>337</v>
      </c>
      <c r="I35" s="415" t="s">
        <v>337</v>
      </c>
      <c r="L35" s="415" t="s">
        <v>337</v>
      </c>
      <c r="M35" s="213" t="s">
        <v>1162</v>
      </c>
      <c r="N35" s="416" t="s">
        <v>1163</v>
      </c>
      <c r="O35" s="415" t="s">
        <v>337</v>
      </c>
      <c r="R35" s="415" t="s">
        <v>337</v>
      </c>
      <c r="S35" s="213" t="s">
        <v>1164</v>
      </c>
      <c r="T35" s="416" t="s">
        <v>1165</v>
      </c>
      <c r="U35" s="415" t="s">
        <v>337</v>
      </c>
      <c r="X35" s="415"/>
      <c r="AA35" s="415"/>
      <c r="AB35" s="213">
        <v>9013</v>
      </c>
      <c r="AC35" s="416" t="s">
        <v>1166</v>
      </c>
      <c r="AD35" s="415"/>
      <c r="AE35" s="417" t="s">
        <v>1167</v>
      </c>
      <c r="AF35" s="416" t="s">
        <v>1168</v>
      </c>
      <c r="AG35" s="415"/>
      <c r="AJ35" s="415" t="s">
        <v>337</v>
      </c>
      <c r="AM35" s="415" t="s">
        <v>337</v>
      </c>
      <c r="AP35" s="415" t="s">
        <v>337</v>
      </c>
      <c r="AQ35" s="213" t="s">
        <v>1169</v>
      </c>
      <c r="AR35" s="416" t="s">
        <v>1170</v>
      </c>
      <c r="AS35" s="415" t="s">
        <v>337</v>
      </c>
      <c r="AV35" s="415" t="s">
        <v>337</v>
      </c>
      <c r="AY35" s="415" t="s">
        <v>337</v>
      </c>
      <c r="AZ35" s="213">
        <v>115002</v>
      </c>
      <c r="BA35" s="416" t="s">
        <v>1171</v>
      </c>
      <c r="BB35" s="415" t="s">
        <v>337</v>
      </c>
      <c r="BE35" s="415" t="s">
        <v>337</v>
      </c>
      <c r="BH35" s="415" t="s">
        <v>337</v>
      </c>
      <c r="BI35" s="213" t="s">
        <v>458</v>
      </c>
      <c r="BJ35" s="416" t="s">
        <v>459</v>
      </c>
      <c r="BK35" s="213" t="s">
        <v>721</v>
      </c>
      <c r="BL35" s="416" t="s">
        <v>722</v>
      </c>
      <c r="BM35" s="415" t="s">
        <v>337</v>
      </c>
      <c r="BN35" s="213" t="s">
        <v>1172</v>
      </c>
      <c r="BO35" s="416" t="s">
        <v>1173</v>
      </c>
      <c r="BP35" s="415" t="s">
        <v>337</v>
      </c>
      <c r="BS35" s="415"/>
      <c r="BV35" s="415" t="s">
        <v>337</v>
      </c>
      <c r="BY35" s="415" t="s">
        <v>337</v>
      </c>
      <c r="CB35" s="415" t="s">
        <v>337</v>
      </c>
      <c r="CE35" s="415" t="s">
        <v>337</v>
      </c>
      <c r="CH35" s="415" t="s">
        <v>337</v>
      </c>
      <c r="CK35" s="415" t="s">
        <v>337</v>
      </c>
      <c r="CN35" s="415" t="s">
        <v>337</v>
      </c>
      <c r="CQ35" s="415" t="s">
        <v>337</v>
      </c>
      <c r="CT35" s="415" t="s">
        <v>337</v>
      </c>
    </row>
    <row r="36" spans="1:98">
      <c r="A36" s="1" t="s">
        <v>54</v>
      </c>
      <c r="B36" s="416" t="s">
        <v>1174</v>
      </c>
      <c r="C36" s="415" t="s">
        <v>337</v>
      </c>
      <c r="D36" s="416" t="s">
        <v>318</v>
      </c>
      <c r="E36" s="416" t="s">
        <v>1175</v>
      </c>
      <c r="F36" s="415" t="s">
        <v>337</v>
      </c>
      <c r="I36" s="415" t="s">
        <v>337</v>
      </c>
      <c r="L36" s="415" t="s">
        <v>337</v>
      </c>
      <c r="M36" s="213" t="s">
        <v>1176</v>
      </c>
      <c r="N36" s="416" t="s">
        <v>1177</v>
      </c>
      <c r="O36" s="415" t="s">
        <v>337</v>
      </c>
      <c r="R36" s="415" t="s">
        <v>337</v>
      </c>
      <c r="S36" s="213" t="s">
        <v>1178</v>
      </c>
      <c r="T36" s="416" t="s">
        <v>1179</v>
      </c>
      <c r="U36" s="415" t="s">
        <v>337</v>
      </c>
      <c r="X36" s="415"/>
      <c r="AA36" s="415"/>
      <c r="AB36" s="213">
        <v>9014</v>
      </c>
      <c r="AC36" s="416" t="s">
        <v>1180</v>
      </c>
      <c r="AD36" s="415"/>
      <c r="AE36" s="417" t="s">
        <v>1181</v>
      </c>
      <c r="AF36" s="416" t="s">
        <v>1182</v>
      </c>
      <c r="AG36" s="415"/>
      <c r="AJ36" s="415" t="s">
        <v>337</v>
      </c>
      <c r="AM36" s="415" t="s">
        <v>337</v>
      </c>
      <c r="AP36" s="415" t="s">
        <v>337</v>
      </c>
      <c r="AQ36" s="213" t="s">
        <v>1183</v>
      </c>
      <c r="AR36" s="416" t="s">
        <v>1184</v>
      </c>
      <c r="AS36" s="415" t="s">
        <v>337</v>
      </c>
      <c r="AV36" s="415" t="s">
        <v>337</v>
      </c>
      <c r="AY36" s="415" t="s">
        <v>337</v>
      </c>
      <c r="AZ36" s="213">
        <v>115003</v>
      </c>
      <c r="BA36" s="416" t="s">
        <v>1185</v>
      </c>
      <c r="BB36" s="415" t="s">
        <v>337</v>
      </c>
      <c r="BE36" s="415" t="s">
        <v>337</v>
      </c>
      <c r="BH36" s="415" t="s">
        <v>337</v>
      </c>
      <c r="BI36" s="213" t="s">
        <v>499</v>
      </c>
      <c r="BJ36" s="416" t="s">
        <v>500</v>
      </c>
      <c r="BK36" s="213" t="s">
        <v>1186</v>
      </c>
      <c r="BL36" s="416" t="s">
        <v>1187</v>
      </c>
      <c r="BM36" s="415" t="s">
        <v>337</v>
      </c>
      <c r="BN36" s="213" t="s">
        <v>1188</v>
      </c>
      <c r="BO36" s="416" t="s">
        <v>1189</v>
      </c>
      <c r="BP36" s="415" t="s">
        <v>337</v>
      </c>
      <c r="BS36" s="415"/>
      <c r="BV36" s="415" t="s">
        <v>337</v>
      </c>
      <c r="BY36" s="415" t="s">
        <v>337</v>
      </c>
      <c r="CB36" s="415" t="s">
        <v>337</v>
      </c>
      <c r="CE36" s="415" t="s">
        <v>337</v>
      </c>
      <c r="CH36" s="415" t="s">
        <v>337</v>
      </c>
      <c r="CK36" s="415" t="s">
        <v>337</v>
      </c>
      <c r="CN36" s="415" t="s">
        <v>337</v>
      </c>
      <c r="CQ36" s="415" t="s">
        <v>337</v>
      </c>
      <c r="CT36" s="415" t="s">
        <v>337</v>
      </c>
    </row>
    <row r="37" spans="1:98">
      <c r="A37" s="1" t="s">
        <v>54</v>
      </c>
      <c r="B37" s="416" t="s">
        <v>1190</v>
      </c>
      <c r="C37" s="415" t="s">
        <v>337</v>
      </c>
      <c r="D37" s="416" t="s">
        <v>318</v>
      </c>
      <c r="E37" s="416" t="s">
        <v>1191</v>
      </c>
      <c r="F37" s="415" t="s">
        <v>337</v>
      </c>
      <c r="I37" s="415" t="s">
        <v>337</v>
      </c>
      <c r="L37" s="415" t="s">
        <v>337</v>
      </c>
      <c r="M37" s="213" t="s">
        <v>1192</v>
      </c>
      <c r="N37" s="416" t="s">
        <v>1193</v>
      </c>
      <c r="O37" s="415" t="s">
        <v>337</v>
      </c>
      <c r="R37" s="415" t="s">
        <v>337</v>
      </c>
      <c r="S37" s="213" t="s">
        <v>1194</v>
      </c>
      <c r="T37" s="416" t="s">
        <v>1195</v>
      </c>
      <c r="U37" s="415" t="s">
        <v>337</v>
      </c>
      <c r="X37" s="415"/>
      <c r="AA37" s="415"/>
      <c r="AB37" s="213">
        <v>9015</v>
      </c>
      <c r="AC37" s="416" t="s">
        <v>1196</v>
      </c>
      <c r="AD37" s="415"/>
      <c r="AE37" s="417" t="s">
        <v>1197</v>
      </c>
      <c r="AF37" s="416" t="s">
        <v>1198</v>
      </c>
      <c r="AG37" s="415"/>
      <c r="AJ37" s="415" t="s">
        <v>337</v>
      </c>
      <c r="AM37" s="415" t="s">
        <v>337</v>
      </c>
      <c r="AP37" s="415" t="s">
        <v>337</v>
      </c>
      <c r="AQ37" s="213" t="s">
        <v>1199</v>
      </c>
      <c r="AR37" s="416" t="s">
        <v>1200</v>
      </c>
      <c r="AS37" s="415" t="s">
        <v>337</v>
      </c>
      <c r="AV37" s="415" t="s">
        <v>337</v>
      </c>
      <c r="AY37" s="415" t="s">
        <v>337</v>
      </c>
      <c r="AZ37" s="213">
        <v>115004</v>
      </c>
      <c r="BA37" s="416" t="s">
        <v>1201</v>
      </c>
      <c r="BB37" s="415" t="s">
        <v>337</v>
      </c>
      <c r="BE37" s="415" t="s">
        <v>337</v>
      </c>
      <c r="BH37" s="415" t="s">
        <v>337</v>
      </c>
      <c r="BI37" s="213" t="s">
        <v>499</v>
      </c>
      <c r="BJ37" s="416" t="s">
        <v>500</v>
      </c>
      <c r="BK37" s="213" t="s">
        <v>1202</v>
      </c>
      <c r="BL37" s="416" t="s">
        <v>1203</v>
      </c>
      <c r="BM37" s="415" t="s">
        <v>337</v>
      </c>
      <c r="BN37" s="213" t="s">
        <v>1204</v>
      </c>
      <c r="BO37" s="416" t="s">
        <v>1205</v>
      </c>
      <c r="BP37" s="415" t="s">
        <v>337</v>
      </c>
      <c r="BS37" s="415"/>
      <c r="BV37" s="415" t="s">
        <v>337</v>
      </c>
      <c r="BY37" s="415" t="s">
        <v>337</v>
      </c>
      <c r="CB37" s="415" t="s">
        <v>337</v>
      </c>
      <c r="CE37" s="415" t="s">
        <v>337</v>
      </c>
      <c r="CH37" s="415" t="s">
        <v>337</v>
      </c>
      <c r="CK37" s="415" t="s">
        <v>337</v>
      </c>
      <c r="CN37" s="415" t="s">
        <v>337</v>
      </c>
      <c r="CQ37" s="415" t="s">
        <v>337</v>
      </c>
      <c r="CT37" s="415" t="s">
        <v>337</v>
      </c>
    </row>
    <row r="38" spans="1:98">
      <c r="A38" s="1" t="s">
        <v>54</v>
      </c>
      <c r="B38" s="416" t="s">
        <v>1206</v>
      </c>
      <c r="C38" s="415" t="s">
        <v>337</v>
      </c>
      <c r="D38" s="416" t="s">
        <v>318</v>
      </c>
      <c r="E38" s="416" t="s">
        <v>1207</v>
      </c>
      <c r="F38" s="415" t="s">
        <v>337</v>
      </c>
      <c r="I38" s="415" t="s">
        <v>337</v>
      </c>
      <c r="L38" s="415" t="s">
        <v>337</v>
      </c>
      <c r="M38" s="213" t="s">
        <v>1208</v>
      </c>
      <c r="N38" s="416" t="s">
        <v>1209</v>
      </c>
      <c r="O38" s="415" t="s">
        <v>337</v>
      </c>
      <c r="R38" s="415" t="s">
        <v>337</v>
      </c>
      <c r="S38" s="213" t="s">
        <v>1210</v>
      </c>
      <c r="T38" s="416" t="s">
        <v>1211</v>
      </c>
      <c r="U38" s="415" t="s">
        <v>337</v>
      </c>
      <c r="X38" s="415"/>
      <c r="AA38" s="415"/>
      <c r="AB38" s="213">
        <v>9016</v>
      </c>
      <c r="AC38" s="416" t="s">
        <v>1212</v>
      </c>
      <c r="AD38" s="415"/>
      <c r="AE38" s="417" t="s">
        <v>1213</v>
      </c>
      <c r="AF38" s="416" t="s">
        <v>1214</v>
      </c>
      <c r="AG38" s="415"/>
      <c r="AJ38" s="415" t="s">
        <v>337</v>
      </c>
      <c r="AM38" s="415" t="s">
        <v>337</v>
      </c>
      <c r="AP38" s="415" t="s">
        <v>337</v>
      </c>
      <c r="AQ38" s="213" t="s">
        <v>1215</v>
      </c>
      <c r="AR38" s="416" t="s">
        <v>1216</v>
      </c>
      <c r="AS38" s="415" t="s">
        <v>337</v>
      </c>
      <c r="AV38" s="415" t="s">
        <v>337</v>
      </c>
      <c r="AY38" s="415" t="s">
        <v>337</v>
      </c>
      <c r="AZ38" s="213">
        <v>115005</v>
      </c>
      <c r="BA38" s="416" t="s">
        <v>1217</v>
      </c>
      <c r="BB38" s="415" t="s">
        <v>337</v>
      </c>
      <c r="BE38" s="415" t="s">
        <v>337</v>
      </c>
      <c r="BH38" s="415" t="s">
        <v>337</v>
      </c>
      <c r="BI38" s="213" t="s">
        <v>499</v>
      </c>
      <c r="BJ38" s="416" t="s">
        <v>500</v>
      </c>
      <c r="BK38" s="213" t="s">
        <v>1218</v>
      </c>
      <c r="BL38" s="416" t="s">
        <v>1219</v>
      </c>
      <c r="BM38" s="415" t="s">
        <v>337</v>
      </c>
      <c r="BN38" s="213" t="s">
        <v>1220</v>
      </c>
      <c r="BO38" s="416" t="s">
        <v>1221</v>
      </c>
      <c r="BP38" s="415" t="s">
        <v>337</v>
      </c>
      <c r="BS38" s="415"/>
      <c r="BV38" s="415" t="s">
        <v>337</v>
      </c>
      <c r="BY38" s="415" t="s">
        <v>337</v>
      </c>
      <c r="CB38" s="415" t="s">
        <v>337</v>
      </c>
      <c r="CE38" s="415" t="s">
        <v>337</v>
      </c>
      <c r="CH38" s="415" t="s">
        <v>337</v>
      </c>
      <c r="CK38" s="415" t="s">
        <v>337</v>
      </c>
      <c r="CN38" s="415" t="s">
        <v>337</v>
      </c>
      <c r="CQ38" s="415" t="s">
        <v>337</v>
      </c>
      <c r="CT38" s="415" t="s">
        <v>337</v>
      </c>
    </row>
    <row r="39" spans="1:98">
      <c r="A39" s="1" t="s">
        <v>54</v>
      </c>
      <c r="B39" s="416" t="s">
        <v>1222</v>
      </c>
      <c r="C39" s="415" t="s">
        <v>337</v>
      </c>
      <c r="D39" s="416" t="s">
        <v>318</v>
      </c>
      <c r="E39" s="416" t="s">
        <v>1223</v>
      </c>
      <c r="F39" s="415" t="s">
        <v>337</v>
      </c>
      <c r="I39" s="415" t="s">
        <v>337</v>
      </c>
      <c r="L39" s="415" t="s">
        <v>337</v>
      </c>
      <c r="M39" s="213" t="s">
        <v>1224</v>
      </c>
      <c r="N39" s="416" t="s">
        <v>1225</v>
      </c>
      <c r="O39" s="415" t="s">
        <v>337</v>
      </c>
      <c r="R39" s="415" t="s">
        <v>337</v>
      </c>
      <c r="S39" s="213" t="s">
        <v>1226</v>
      </c>
      <c r="T39" s="416" t="s">
        <v>1227</v>
      </c>
      <c r="U39" s="415" t="s">
        <v>337</v>
      </c>
      <c r="X39" s="415"/>
      <c r="AA39" s="415"/>
      <c r="AB39" s="213">
        <v>9017</v>
      </c>
      <c r="AC39" s="416" t="s">
        <v>1228</v>
      </c>
      <c r="AD39" s="415"/>
      <c r="AE39" s="417" t="s">
        <v>1229</v>
      </c>
      <c r="AF39" s="416" t="s">
        <v>1230</v>
      </c>
      <c r="AG39" s="415"/>
      <c r="AJ39" s="415" t="s">
        <v>337</v>
      </c>
      <c r="AM39" s="415" t="s">
        <v>337</v>
      </c>
      <c r="AP39" s="415" t="s">
        <v>337</v>
      </c>
      <c r="AQ39" s="213" t="s">
        <v>1231</v>
      </c>
      <c r="AR39" s="416" t="s">
        <v>1232</v>
      </c>
      <c r="AS39" s="415" t="s">
        <v>337</v>
      </c>
      <c r="AV39" s="415" t="s">
        <v>337</v>
      </c>
      <c r="AY39" s="415" t="s">
        <v>337</v>
      </c>
      <c r="AZ39" s="213">
        <v>115006</v>
      </c>
      <c r="BA39" s="416" t="s">
        <v>1233</v>
      </c>
      <c r="BB39" s="415" t="s">
        <v>337</v>
      </c>
      <c r="BE39" s="415" t="s">
        <v>337</v>
      </c>
      <c r="BH39" s="415" t="s">
        <v>337</v>
      </c>
      <c r="BI39" s="213" t="s">
        <v>499</v>
      </c>
      <c r="BJ39" s="416" t="s">
        <v>500</v>
      </c>
      <c r="BK39" s="213" t="s">
        <v>1234</v>
      </c>
      <c r="BL39" s="416" t="s">
        <v>1235</v>
      </c>
      <c r="BM39" s="415" t="s">
        <v>337</v>
      </c>
      <c r="BN39" s="213" t="s">
        <v>1236</v>
      </c>
      <c r="BO39" s="416" t="s">
        <v>1237</v>
      </c>
      <c r="BP39" s="415" t="s">
        <v>337</v>
      </c>
      <c r="BS39" s="415"/>
      <c r="BV39" s="415" t="s">
        <v>337</v>
      </c>
      <c r="BY39" s="415" t="s">
        <v>337</v>
      </c>
      <c r="CB39" s="415" t="s">
        <v>337</v>
      </c>
      <c r="CE39" s="415" t="s">
        <v>337</v>
      </c>
      <c r="CH39" s="415" t="s">
        <v>337</v>
      </c>
      <c r="CK39" s="415" t="s">
        <v>337</v>
      </c>
      <c r="CN39" s="415" t="s">
        <v>337</v>
      </c>
      <c r="CQ39" s="415" t="s">
        <v>337</v>
      </c>
      <c r="CT39" s="415" t="s">
        <v>337</v>
      </c>
    </row>
    <row r="40" spans="1:98">
      <c r="A40" s="1" t="s">
        <v>54</v>
      </c>
      <c r="B40" s="416" t="s">
        <v>1238</v>
      </c>
      <c r="C40" s="415" t="s">
        <v>337</v>
      </c>
      <c r="D40" s="416" t="s">
        <v>318</v>
      </c>
      <c r="E40" s="416" t="s">
        <v>1239</v>
      </c>
      <c r="F40" s="415" t="s">
        <v>337</v>
      </c>
      <c r="I40" s="415" t="s">
        <v>337</v>
      </c>
      <c r="L40" s="415" t="s">
        <v>337</v>
      </c>
      <c r="M40" s="213" t="s">
        <v>1240</v>
      </c>
      <c r="N40" s="416" t="s">
        <v>1241</v>
      </c>
      <c r="O40" s="415" t="s">
        <v>337</v>
      </c>
      <c r="R40" s="415" t="s">
        <v>337</v>
      </c>
      <c r="S40" s="213" t="s">
        <v>1242</v>
      </c>
      <c r="T40" s="416" t="s">
        <v>1243</v>
      </c>
      <c r="U40" s="415" t="s">
        <v>337</v>
      </c>
      <c r="X40" s="415"/>
      <c r="AA40" s="415"/>
      <c r="AB40" s="213">
        <v>9018</v>
      </c>
      <c r="AC40" s="416" t="s">
        <v>1244</v>
      </c>
      <c r="AD40" s="415"/>
      <c r="AE40" s="417" t="s">
        <v>1245</v>
      </c>
      <c r="AF40" s="416" t="s">
        <v>1246</v>
      </c>
      <c r="AG40" s="415"/>
      <c r="AJ40" s="415" t="s">
        <v>337</v>
      </c>
      <c r="AM40" s="415" t="s">
        <v>337</v>
      </c>
      <c r="AP40" s="415" t="s">
        <v>337</v>
      </c>
      <c r="AQ40" s="213" t="s">
        <v>1247</v>
      </c>
      <c r="AR40" s="416" t="s">
        <v>1248</v>
      </c>
      <c r="AS40" s="415" t="s">
        <v>337</v>
      </c>
      <c r="AV40" s="415" t="s">
        <v>337</v>
      </c>
      <c r="AY40" s="415" t="s">
        <v>337</v>
      </c>
      <c r="AZ40" s="213">
        <v>116001</v>
      </c>
      <c r="BA40" s="416" t="s">
        <v>1005</v>
      </c>
      <c r="BB40" s="415" t="s">
        <v>337</v>
      </c>
      <c r="BE40" s="415" t="s">
        <v>337</v>
      </c>
      <c r="BH40" s="415" t="s">
        <v>337</v>
      </c>
      <c r="BI40" s="213" t="s">
        <v>499</v>
      </c>
      <c r="BJ40" s="416" t="s">
        <v>500</v>
      </c>
      <c r="BK40" s="213" t="s">
        <v>1249</v>
      </c>
      <c r="BL40" s="416" t="s">
        <v>1250</v>
      </c>
      <c r="BM40" s="415" t="s">
        <v>337</v>
      </c>
      <c r="BN40" s="213" t="s">
        <v>1251</v>
      </c>
      <c r="BO40" s="416" t="s">
        <v>1252</v>
      </c>
      <c r="BP40" s="415" t="s">
        <v>337</v>
      </c>
      <c r="BS40" s="415"/>
      <c r="BV40" s="415" t="s">
        <v>337</v>
      </c>
      <c r="BY40" s="415" t="s">
        <v>337</v>
      </c>
      <c r="CB40" s="415" t="s">
        <v>337</v>
      </c>
      <c r="CE40" s="415" t="s">
        <v>337</v>
      </c>
      <c r="CH40" s="415" t="s">
        <v>337</v>
      </c>
      <c r="CK40" s="415" t="s">
        <v>337</v>
      </c>
      <c r="CN40" s="415" t="s">
        <v>337</v>
      </c>
      <c r="CQ40" s="415" t="s">
        <v>337</v>
      </c>
      <c r="CT40" s="415" t="s">
        <v>337</v>
      </c>
    </row>
    <row r="41" spans="1:98">
      <c r="A41" s="1" t="s">
        <v>54</v>
      </c>
      <c r="B41" s="416" t="s">
        <v>1253</v>
      </c>
      <c r="C41" s="415" t="s">
        <v>337</v>
      </c>
      <c r="D41" s="416" t="s">
        <v>318</v>
      </c>
      <c r="E41" s="416" t="s">
        <v>1254</v>
      </c>
      <c r="F41" s="415" t="s">
        <v>337</v>
      </c>
      <c r="I41" s="415" t="s">
        <v>337</v>
      </c>
      <c r="L41" s="415" t="s">
        <v>337</v>
      </c>
      <c r="M41" s="213" t="s">
        <v>1255</v>
      </c>
      <c r="N41" s="416" t="s">
        <v>1256</v>
      </c>
      <c r="O41" s="415" t="s">
        <v>337</v>
      </c>
      <c r="R41" s="415" t="s">
        <v>337</v>
      </c>
      <c r="S41" s="213" t="s">
        <v>1257</v>
      </c>
      <c r="T41" s="416" t="s">
        <v>1258</v>
      </c>
      <c r="U41" s="415" t="s">
        <v>337</v>
      </c>
      <c r="X41" s="415"/>
      <c r="AA41" s="415"/>
      <c r="AB41" s="213">
        <v>9019</v>
      </c>
      <c r="AC41" s="416" t="s">
        <v>1259</v>
      </c>
      <c r="AD41" s="415"/>
      <c r="AE41" s="417" t="s">
        <v>1260</v>
      </c>
      <c r="AF41" s="416" t="s">
        <v>1261</v>
      </c>
      <c r="AG41" s="415"/>
      <c r="AJ41" s="415" t="s">
        <v>337</v>
      </c>
      <c r="AM41" s="415" t="s">
        <v>337</v>
      </c>
      <c r="AP41" s="415" t="s">
        <v>337</v>
      </c>
      <c r="AQ41" s="213" t="s">
        <v>1262</v>
      </c>
      <c r="AR41" s="416" t="s">
        <v>1263</v>
      </c>
      <c r="AS41" s="415" t="s">
        <v>337</v>
      </c>
      <c r="AV41" s="415" t="s">
        <v>337</v>
      </c>
      <c r="AY41" s="415" t="s">
        <v>337</v>
      </c>
      <c r="AZ41" s="213">
        <v>116002</v>
      </c>
      <c r="BA41" s="416" t="s">
        <v>1264</v>
      </c>
      <c r="BB41" s="415" t="s">
        <v>337</v>
      </c>
      <c r="BE41" s="415" t="s">
        <v>337</v>
      </c>
      <c r="BH41" s="415" t="s">
        <v>337</v>
      </c>
      <c r="BI41" s="213" t="s">
        <v>499</v>
      </c>
      <c r="BJ41" s="416" t="s">
        <v>500</v>
      </c>
      <c r="BK41" s="213" t="s">
        <v>1265</v>
      </c>
      <c r="BL41" s="416" t="s">
        <v>1266</v>
      </c>
      <c r="BM41" s="415" t="s">
        <v>337</v>
      </c>
      <c r="BN41" s="213" t="s">
        <v>1267</v>
      </c>
      <c r="BP41" s="415" t="s">
        <v>337</v>
      </c>
      <c r="BS41" s="415"/>
      <c r="BV41" s="415" t="s">
        <v>337</v>
      </c>
      <c r="BY41" s="415" t="s">
        <v>337</v>
      </c>
      <c r="CB41" s="415" t="s">
        <v>337</v>
      </c>
      <c r="CE41" s="415" t="s">
        <v>337</v>
      </c>
      <c r="CH41" s="415" t="s">
        <v>337</v>
      </c>
      <c r="CK41" s="415" t="s">
        <v>337</v>
      </c>
      <c r="CN41" s="415" t="s">
        <v>337</v>
      </c>
      <c r="CQ41" s="415" t="s">
        <v>337</v>
      </c>
      <c r="CT41" s="415" t="s">
        <v>337</v>
      </c>
    </row>
    <row r="42" spans="1:98">
      <c r="A42" s="1" t="s">
        <v>54</v>
      </c>
      <c r="B42" s="416" t="s">
        <v>1268</v>
      </c>
      <c r="C42" s="415" t="s">
        <v>337</v>
      </c>
      <c r="D42" s="416" t="s">
        <v>318</v>
      </c>
      <c r="E42" s="416" t="s">
        <v>1269</v>
      </c>
      <c r="F42" s="415" t="s">
        <v>337</v>
      </c>
      <c r="I42" s="415" t="s">
        <v>337</v>
      </c>
      <c r="L42" s="415" t="s">
        <v>337</v>
      </c>
      <c r="M42" s="213" t="s">
        <v>1270</v>
      </c>
      <c r="N42" s="416" t="s">
        <v>1271</v>
      </c>
      <c r="O42" s="415" t="s">
        <v>337</v>
      </c>
      <c r="R42" s="415" t="s">
        <v>337</v>
      </c>
      <c r="S42" s="213" t="s">
        <v>1272</v>
      </c>
      <c r="T42" s="416" t="s">
        <v>1273</v>
      </c>
      <c r="U42" s="415" t="s">
        <v>337</v>
      </c>
      <c r="X42" s="415"/>
      <c r="AA42" s="415"/>
      <c r="AB42" s="213">
        <v>9020</v>
      </c>
      <c r="AC42" s="416" t="s">
        <v>1274</v>
      </c>
      <c r="AD42" s="415"/>
      <c r="AE42" s="417" t="s">
        <v>1275</v>
      </c>
      <c r="AF42" s="416" t="s">
        <v>1276</v>
      </c>
      <c r="AG42" s="415"/>
      <c r="AJ42" s="415" t="s">
        <v>337</v>
      </c>
      <c r="AM42" s="415" t="s">
        <v>337</v>
      </c>
      <c r="AP42" s="415" t="s">
        <v>337</v>
      </c>
      <c r="AQ42" s="213" t="s">
        <v>1277</v>
      </c>
      <c r="AR42" s="416" t="s">
        <v>1263</v>
      </c>
      <c r="AS42" s="415" t="s">
        <v>337</v>
      </c>
      <c r="AV42" s="415" t="s">
        <v>337</v>
      </c>
      <c r="AY42" s="415" t="s">
        <v>337</v>
      </c>
      <c r="AZ42" s="213">
        <v>116003</v>
      </c>
      <c r="BA42" s="416" t="s">
        <v>1160</v>
      </c>
      <c r="BB42" s="415" t="s">
        <v>337</v>
      </c>
      <c r="BE42" s="415" t="s">
        <v>337</v>
      </c>
      <c r="BH42" s="415" t="s">
        <v>337</v>
      </c>
      <c r="BI42" s="213" t="s">
        <v>499</v>
      </c>
      <c r="BJ42" s="416" t="s">
        <v>500</v>
      </c>
      <c r="BK42" s="213" t="s">
        <v>1278</v>
      </c>
      <c r="BL42" s="416" t="s">
        <v>1279</v>
      </c>
      <c r="BM42" s="415" t="s">
        <v>337</v>
      </c>
      <c r="BN42" s="213" t="s">
        <v>1280</v>
      </c>
      <c r="BO42" s="416" t="s">
        <v>1281</v>
      </c>
      <c r="BP42" s="415" t="s">
        <v>337</v>
      </c>
      <c r="BS42" s="415"/>
      <c r="BV42" s="415" t="s">
        <v>337</v>
      </c>
      <c r="BY42" s="415" t="s">
        <v>337</v>
      </c>
      <c r="CB42" s="415" t="s">
        <v>337</v>
      </c>
      <c r="CE42" s="415" t="s">
        <v>337</v>
      </c>
      <c r="CH42" s="415" t="s">
        <v>337</v>
      </c>
      <c r="CK42" s="415" t="s">
        <v>337</v>
      </c>
      <c r="CN42" s="415" t="s">
        <v>337</v>
      </c>
      <c r="CQ42" s="415" t="s">
        <v>337</v>
      </c>
      <c r="CT42" s="415" t="s">
        <v>337</v>
      </c>
    </row>
    <row r="43" spans="1:98">
      <c r="A43" s="1" t="s">
        <v>54</v>
      </c>
      <c r="B43" s="416" t="s">
        <v>1282</v>
      </c>
      <c r="C43" s="415" t="s">
        <v>337</v>
      </c>
      <c r="D43" s="416" t="s">
        <v>318</v>
      </c>
      <c r="E43" s="416" t="s">
        <v>1283</v>
      </c>
      <c r="F43" s="415" t="s">
        <v>337</v>
      </c>
      <c r="I43" s="415" t="s">
        <v>337</v>
      </c>
      <c r="L43" s="415" t="s">
        <v>337</v>
      </c>
      <c r="M43" s="213" t="s">
        <v>1284</v>
      </c>
      <c r="N43" s="416" t="s">
        <v>1285</v>
      </c>
      <c r="O43" s="415" t="s">
        <v>337</v>
      </c>
      <c r="R43" s="415" t="s">
        <v>337</v>
      </c>
      <c r="S43" s="213" t="s">
        <v>1286</v>
      </c>
      <c r="T43" s="416" t="s">
        <v>1273</v>
      </c>
      <c r="U43" s="415" t="s">
        <v>337</v>
      </c>
      <c r="X43" s="415"/>
      <c r="AA43" s="415"/>
      <c r="AB43" s="213">
        <v>9021</v>
      </c>
      <c r="AC43" s="416" t="s">
        <v>1287</v>
      </c>
      <c r="AD43" s="415"/>
      <c r="AE43" s="417" t="s">
        <v>1288</v>
      </c>
      <c r="AF43" s="416" t="s">
        <v>1289</v>
      </c>
      <c r="AG43" s="415"/>
      <c r="AJ43" s="415" t="s">
        <v>337</v>
      </c>
      <c r="AM43" s="415" t="s">
        <v>337</v>
      </c>
      <c r="AP43" s="415" t="s">
        <v>337</v>
      </c>
      <c r="AS43" s="415" t="s">
        <v>337</v>
      </c>
      <c r="AV43" s="415" t="s">
        <v>337</v>
      </c>
      <c r="AY43" s="415" t="s">
        <v>337</v>
      </c>
      <c r="AZ43" s="213">
        <v>116004</v>
      </c>
      <c r="BA43" s="416" t="s">
        <v>1290</v>
      </c>
      <c r="BB43" s="415" t="s">
        <v>337</v>
      </c>
      <c r="BE43" s="415" t="s">
        <v>337</v>
      </c>
      <c r="BH43" s="415" t="s">
        <v>337</v>
      </c>
      <c r="BI43" s="213" t="s">
        <v>499</v>
      </c>
      <c r="BJ43" s="416" t="s">
        <v>500</v>
      </c>
      <c r="BK43" s="213" t="s">
        <v>1291</v>
      </c>
      <c r="BL43" s="416" t="s">
        <v>1292</v>
      </c>
      <c r="BM43" s="415" t="s">
        <v>337</v>
      </c>
      <c r="BN43" s="213" t="s">
        <v>1293</v>
      </c>
      <c r="BO43" s="416" t="s">
        <v>1294</v>
      </c>
      <c r="BP43" s="415" t="s">
        <v>337</v>
      </c>
      <c r="BS43" s="415"/>
      <c r="BV43" s="415" t="s">
        <v>337</v>
      </c>
      <c r="BY43" s="415" t="s">
        <v>337</v>
      </c>
      <c r="CB43" s="415" t="s">
        <v>337</v>
      </c>
      <c r="CE43" s="415" t="s">
        <v>337</v>
      </c>
      <c r="CH43" s="415" t="s">
        <v>337</v>
      </c>
      <c r="CK43" s="415" t="s">
        <v>337</v>
      </c>
      <c r="CN43" s="415" t="s">
        <v>337</v>
      </c>
      <c r="CQ43" s="415" t="s">
        <v>337</v>
      </c>
      <c r="CT43" s="415" t="s">
        <v>337</v>
      </c>
    </row>
    <row r="44" spans="1:98">
      <c r="A44" s="1" t="s">
        <v>54</v>
      </c>
      <c r="B44" s="416" t="s">
        <v>1295</v>
      </c>
      <c r="C44" s="415" t="s">
        <v>337</v>
      </c>
      <c r="D44" s="416" t="s">
        <v>318</v>
      </c>
      <c r="E44" s="416" t="s">
        <v>1296</v>
      </c>
      <c r="F44" s="415" t="s">
        <v>337</v>
      </c>
      <c r="I44" s="415" t="s">
        <v>337</v>
      </c>
      <c r="L44" s="415" t="s">
        <v>337</v>
      </c>
      <c r="M44" s="213" t="s">
        <v>1297</v>
      </c>
      <c r="N44" s="416" t="s">
        <v>1298</v>
      </c>
      <c r="O44" s="415" t="s">
        <v>337</v>
      </c>
      <c r="R44" s="415" t="s">
        <v>337</v>
      </c>
      <c r="S44" s="213" t="s">
        <v>1299</v>
      </c>
      <c r="T44" s="416" t="s">
        <v>1300</v>
      </c>
      <c r="U44" s="415" t="s">
        <v>337</v>
      </c>
      <c r="X44" s="415"/>
      <c r="AA44" s="415"/>
      <c r="AB44" s="213">
        <v>9022</v>
      </c>
      <c r="AC44" s="416" t="s">
        <v>1301</v>
      </c>
      <c r="AD44" s="415"/>
      <c r="AE44" s="417" t="s">
        <v>1302</v>
      </c>
      <c r="AF44" s="416" t="s">
        <v>1303</v>
      </c>
      <c r="AG44" s="415"/>
      <c r="AJ44" s="415" t="s">
        <v>337</v>
      </c>
      <c r="AM44" s="415" t="s">
        <v>337</v>
      </c>
      <c r="AP44" s="415" t="s">
        <v>337</v>
      </c>
      <c r="AS44" s="415" t="s">
        <v>337</v>
      </c>
      <c r="AV44" s="415" t="s">
        <v>337</v>
      </c>
      <c r="AY44" s="415" t="s">
        <v>337</v>
      </c>
      <c r="AZ44" s="213">
        <v>116005</v>
      </c>
      <c r="BA44" s="416" t="s">
        <v>1304</v>
      </c>
      <c r="BB44" s="415" t="s">
        <v>337</v>
      </c>
      <c r="BE44" s="415" t="s">
        <v>337</v>
      </c>
      <c r="BH44" s="415" t="s">
        <v>337</v>
      </c>
      <c r="BI44" s="213" t="s">
        <v>499</v>
      </c>
      <c r="BJ44" s="416" t="s">
        <v>500</v>
      </c>
      <c r="BK44" s="213" t="s">
        <v>1305</v>
      </c>
      <c r="BL44" s="416" t="s">
        <v>1306</v>
      </c>
      <c r="BM44" s="415" t="s">
        <v>337</v>
      </c>
      <c r="BN44" s="213" t="s">
        <v>1307</v>
      </c>
      <c r="BO44" s="416" t="s">
        <v>1308</v>
      </c>
      <c r="BP44" s="415" t="s">
        <v>337</v>
      </c>
      <c r="BS44" s="415"/>
      <c r="BV44" s="415" t="s">
        <v>337</v>
      </c>
      <c r="BY44" s="415" t="s">
        <v>337</v>
      </c>
      <c r="CB44" s="415" t="s">
        <v>337</v>
      </c>
      <c r="CE44" s="415" t="s">
        <v>337</v>
      </c>
      <c r="CH44" s="415" t="s">
        <v>337</v>
      </c>
      <c r="CK44" s="415" t="s">
        <v>337</v>
      </c>
      <c r="CN44" s="415" t="s">
        <v>337</v>
      </c>
      <c r="CQ44" s="415" t="s">
        <v>337</v>
      </c>
      <c r="CT44" s="415" t="s">
        <v>337</v>
      </c>
    </row>
    <row r="45" spans="1:98">
      <c r="A45" s="1" t="s">
        <v>54</v>
      </c>
      <c r="B45" s="416" t="s">
        <v>48</v>
      </c>
      <c r="C45" s="415" t="s">
        <v>337</v>
      </c>
      <c r="D45" s="416" t="s">
        <v>318</v>
      </c>
      <c r="E45" s="416" t="s">
        <v>1309</v>
      </c>
      <c r="F45" s="415" t="s">
        <v>337</v>
      </c>
      <c r="I45" s="415" t="s">
        <v>337</v>
      </c>
      <c r="L45" s="415" t="s">
        <v>337</v>
      </c>
      <c r="M45" s="213" t="s">
        <v>1310</v>
      </c>
      <c r="N45" s="416" t="s">
        <v>1311</v>
      </c>
      <c r="O45" s="415" t="s">
        <v>337</v>
      </c>
      <c r="R45" s="415" t="s">
        <v>337</v>
      </c>
      <c r="S45" s="213" t="s">
        <v>1312</v>
      </c>
      <c r="T45" s="416" t="s">
        <v>1313</v>
      </c>
      <c r="U45" s="415" t="s">
        <v>337</v>
      </c>
      <c r="X45" s="415"/>
      <c r="AA45" s="415"/>
      <c r="AB45" s="213">
        <v>9023</v>
      </c>
      <c r="AC45" s="416" t="s">
        <v>1314</v>
      </c>
      <c r="AD45" s="415"/>
      <c r="AE45" s="417" t="s">
        <v>1315</v>
      </c>
      <c r="AF45" s="416" t="s">
        <v>1316</v>
      </c>
      <c r="AG45" s="415"/>
      <c r="AJ45" s="415" t="s">
        <v>337</v>
      </c>
      <c r="AM45" s="415" t="s">
        <v>337</v>
      </c>
      <c r="AP45" s="415" t="s">
        <v>337</v>
      </c>
      <c r="AS45" s="415" t="s">
        <v>337</v>
      </c>
      <c r="AV45" s="415" t="s">
        <v>337</v>
      </c>
      <c r="AY45" s="415" t="s">
        <v>337</v>
      </c>
      <c r="AZ45" s="213">
        <v>116006</v>
      </c>
      <c r="BA45" s="416" t="s">
        <v>1317</v>
      </c>
      <c r="BB45" s="415" t="s">
        <v>337</v>
      </c>
      <c r="BE45" s="415" t="s">
        <v>337</v>
      </c>
      <c r="BH45" s="415" t="s">
        <v>337</v>
      </c>
      <c r="BI45" s="213" t="s">
        <v>499</v>
      </c>
      <c r="BJ45" s="416" t="s">
        <v>500</v>
      </c>
      <c r="BK45" s="213" t="s">
        <v>1318</v>
      </c>
      <c r="BL45" s="416" t="s">
        <v>1319</v>
      </c>
      <c r="BM45" s="415" t="s">
        <v>337</v>
      </c>
      <c r="BN45" s="213" t="s">
        <v>1320</v>
      </c>
      <c r="BO45" s="416" t="s">
        <v>1321</v>
      </c>
      <c r="BP45" s="415" t="s">
        <v>337</v>
      </c>
      <c r="BS45" s="415"/>
      <c r="BV45" s="415" t="s">
        <v>337</v>
      </c>
      <c r="BY45" s="415" t="s">
        <v>337</v>
      </c>
      <c r="CB45" s="415" t="s">
        <v>337</v>
      </c>
      <c r="CE45" s="415" t="s">
        <v>337</v>
      </c>
      <c r="CH45" s="415" t="s">
        <v>337</v>
      </c>
      <c r="CK45" s="415" t="s">
        <v>337</v>
      </c>
      <c r="CN45" s="415" t="s">
        <v>337</v>
      </c>
      <c r="CQ45" s="415" t="s">
        <v>337</v>
      </c>
      <c r="CT45" s="415" t="s">
        <v>337</v>
      </c>
    </row>
    <row r="46" spans="1:98">
      <c r="A46" s="1" t="s">
        <v>54</v>
      </c>
      <c r="B46" s="416" t="s">
        <v>1322</v>
      </c>
      <c r="C46" s="415" t="s">
        <v>337</v>
      </c>
      <c r="D46" s="416" t="s">
        <v>318</v>
      </c>
      <c r="E46" s="416" t="s">
        <v>1323</v>
      </c>
      <c r="F46" s="415" t="s">
        <v>337</v>
      </c>
      <c r="I46" s="415" t="s">
        <v>337</v>
      </c>
      <c r="L46" s="415" t="s">
        <v>337</v>
      </c>
      <c r="M46" s="213" t="s">
        <v>1324</v>
      </c>
      <c r="N46" s="416" t="s">
        <v>1325</v>
      </c>
      <c r="O46" s="415" t="s">
        <v>337</v>
      </c>
      <c r="R46" s="415" t="s">
        <v>337</v>
      </c>
      <c r="S46" s="213" t="s">
        <v>1326</v>
      </c>
      <c r="T46" s="416" t="s">
        <v>1327</v>
      </c>
      <c r="U46" s="415" t="s">
        <v>337</v>
      </c>
      <c r="X46" s="415"/>
      <c r="AA46" s="415"/>
      <c r="AB46" s="213">
        <v>9024</v>
      </c>
      <c r="AC46" s="416" t="s">
        <v>1328</v>
      </c>
      <c r="AD46" s="415"/>
      <c r="AE46" s="417" t="s">
        <v>1329</v>
      </c>
      <c r="AF46" s="416" t="s">
        <v>1330</v>
      </c>
      <c r="AG46" s="415"/>
      <c r="AJ46" s="415" t="s">
        <v>337</v>
      </c>
      <c r="AM46" s="415" t="s">
        <v>337</v>
      </c>
      <c r="AP46" s="415" t="s">
        <v>337</v>
      </c>
      <c r="AS46" s="415" t="s">
        <v>337</v>
      </c>
      <c r="AV46" s="415" t="s">
        <v>337</v>
      </c>
      <c r="AY46" s="415" t="s">
        <v>337</v>
      </c>
      <c r="AZ46" s="213">
        <v>116007</v>
      </c>
      <c r="BA46" s="416" t="s">
        <v>1331</v>
      </c>
      <c r="BB46" s="415" t="s">
        <v>337</v>
      </c>
      <c r="BE46" s="415" t="s">
        <v>337</v>
      </c>
      <c r="BH46" s="415" t="s">
        <v>337</v>
      </c>
      <c r="BI46" s="213" t="s">
        <v>542</v>
      </c>
      <c r="BJ46" s="416" t="s">
        <v>543</v>
      </c>
      <c r="BK46" s="213" t="s">
        <v>1332</v>
      </c>
      <c r="BL46" s="416" t="s">
        <v>1333</v>
      </c>
      <c r="BM46" s="415" t="s">
        <v>337</v>
      </c>
      <c r="BN46" s="213" t="s">
        <v>1334</v>
      </c>
      <c r="BO46" s="416" t="s">
        <v>1335</v>
      </c>
      <c r="BP46" s="415" t="s">
        <v>337</v>
      </c>
      <c r="BS46" s="415"/>
      <c r="BV46" s="415" t="s">
        <v>337</v>
      </c>
      <c r="BY46" s="415" t="s">
        <v>337</v>
      </c>
      <c r="CB46" s="415" t="s">
        <v>337</v>
      </c>
      <c r="CE46" s="415" t="s">
        <v>337</v>
      </c>
      <c r="CH46" s="415" t="s">
        <v>337</v>
      </c>
      <c r="CK46" s="415" t="s">
        <v>337</v>
      </c>
      <c r="CN46" s="415" t="s">
        <v>337</v>
      </c>
      <c r="CQ46" s="415" t="s">
        <v>337</v>
      </c>
      <c r="CT46" s="415" t="s">
        <v>337</v>
      </c>
    </row>
    <row r="47" spans="1:98">
      <c r="A47" s="1" t="s">
        <v>54</v>
      </c>
      <c r="B47" s="416" t="s">
        <v>1336</v>
      </c>
      <c r="C47" s="415" t="s">
        <v>337</v>
      </c>
      <c r="D47" s="416" t="s">
        <v>318</v>
      </c>
      <c r="E47" s="416" t="s">
        <v>1337</v>
      </c>
      <c r="F47" s="415" t="s">
        <v>337</v>
      </c>
      <c r="I47" s="415" t="s">
        <v>337</v>
      </c>
      <c r="L47" s="415" t="s">
        <v>337</v>
      </c>
      <c r="M47" s="213" t="s">
        <v>1338</v>
      </c>
      <c r="N47" s="416" t="s">
        <v>1339</v>
      </c>
      <c r="O47" s="415" t="s">
        <v>337</v>
      </c>
      <c r="R47" s="415" t="s">
        <v>337</v>
      </c>
      <c r="S47" s="213" t="s">
        <v>1340</v>
      </c>
      <c r="T47" s="416" t="s">
        <v>1341</v>
      </c>
      <c r="U47" s="415" t="s">
        <v>337</v>
      </c>
      <c r="X47" s="415"/>
      <c r="AA47" s="415"/>
      <c r="AB47" s="213">
        <v>9025</v>
      </c>
      <c r="AC47" s="416" t="s">
        <v>1342</v>
      </c>
      <c r="AD47" s="415"/>
      <c r="AE47" s="417" t="s">
        <v>1343</v>
      </c>
      <c r="AF47" s="416" t="s">
        <v>1344</v>
      </c>
      <c r="AG47" s="415"/>
      <c r="AJ47" s="415" t="s">
        <v>337</v>
      </c>
      <c r="AM47" s="415" t="s">
        <v>337</v>
      </c>
      <c r="AP47" s="415" t="s">
        <v>337</v>
      </c>
      <c r="AS47" s="415" t="s">
        <v>337</v>
      </c>
      <c r="AV47" s="415" t="s">
        <v>337</v>
      </c>
      <c r="AY47" s="415" t="s">
        <v>337</v>
      </c>
      <c r="AZ47" s="213">
        <v>121001</v>
      </c>
      <c r="BA47" s="416" t="s">
        <v>1345</v>
      </c>
      <c r="BB47" s="415" t="s">
        <v>337</v>
      </c>
      <c r="BE47" s="415" t="s">
        <v>337</v>
      </c>
      <c r="BH47" s="415" t="s">
        <v>337</v>
      </c>
      <c r="BI47" s="213" t="s">
        <v>542</v>
      </c>
      <c r="BJ47" s="416" t="s">
        <v>543</v>
      </c>
      <c r="BK47" s="213" t="s">
        <v>1346</v>
      </c>
      <c r="BL47" s="416" t="s">
        <v>1347</v>
      </c>
      <c r="BM47" s="415" t="s">
        <v>337</v>
      </c>
      <c r="BN47" s="213" t="s">
        <v>1348</v>
      </c>
      <c r="BO47" s="416" t="s">
        <v>1349</v>
      </c>
      <c r="BP47" s="415" t="s">
        <v>337</v>
      </c>
      <c r="BS47" s="415"/>
      <c r="BV47" s="415" t="s">
        <v>337</v>
      </c>
      <c r="BY47" s="415" t="s">
        <v>337</v>
      </c>
      <c r="CB47" s="415" t="s">
        <v>337</v>
      </c>
      <c r="CE47" s="415" t="s">
        <v>337</v>
      </c>
      <c r="CH47" s="415" t="s">
        <v>337</v>
      </c>
      <c r="CK47" s="415" t="s">
        <v>337</v>
      </c>
      <c r="CN47" s="415" t="s">
        <v>337</v>
      </c>
      <c r="CQ47" s="415" t="s">
        <v>337</v>
      </c>
      <c r="CT47" s="415" t="s">
        <v>337</v>
      </c>
    </row>
    <row r="48" spans="1:98">
      <c r="A48" s="1" t="s">
        <v>54</v>
      </c>
      <c r="B48" s="416" t="s">
        <v>1350</v>
      </c>
      <c r="C48" s="415" t="s">
        <v>337</v>
      </c>
      <c r="D48" s="416" t="s">
        <v>318</v>
      </c>
      <c r="E48" s="416" t="s">
        <v>1351</v>
      </c>
      <c r="F48" s="415" t="s">
        <v>337</v>
      </c>
      <c r="I48" s="415" t="s">
        <v>337</v>
      </c>
      <c r="L48" s="415" t="s">
        <v>337</v>
      </c>
      <c r="M48" s="213" t="s">
        <v>1352</v>
      </c>
      <c r="N48" s="416" t="s">
        <v>1353</v>
      </c>
      <c r="O48" s="415" t="s">
        <v>337</v>
      </c>
      <c r="R48" s="415" t="s">
        <v>337</v>
      </c>
      <c r="S48" s="213" t="s">
        <v>1354</v>
      </c>
      <c r="T48" s="416" t="s">
        <v>1355</v>
      </c>
      <c r="U48" s="415" t="s">
        <v>337</v>
      </c>
      <c r="X48" s="415"/>
      <c r="AA48" s="415"/>
      <c r="AB48" s="213">
        <v>9026</v>
      </c>
      <c r="AC48" s="416" t="s">
        <v>1356</v>
      </c>
      <c r="AD48" s="415"/>
      <c r="AE48" s="417" t="s">
        <v>1357</v>
      </c>
      <c r="AF48" s="416" t="s">
        <v>1358</v>
      </c>
      <c r="AG48" s="415"/>
      <c r="AJ48" s="415" t="s">
        <v>337</v>
      </c>
      <c r="AM48" s="415" t="s">
        <v>337</v>
      </c>
      <c r="AP48" s="415" t="s">
        <v>337</v>
      </c>
      <c r="AS48" s="415" t="s">
        <v>337</v>
      </c>
      <c r="AV48" s="415" t="s">
        <v>337</v>
      </c>
      <c r="AY48" s="415" t="s">
        <v>337</v>
      </c>
      <c r="AZ48" s="213">
        <v>121002</v>
      </c>
      <c r="BA48" s="416" t="s">
        <v>1359</v>
      </c>
      <c r="BB48" s="415" t="s">
        <v>337</v>
      </c>
      <c r="BE48" s="415" t="s">
        <v>337</v>
      </c>
      <c r="BH48" s="415" t="s">
        <v>337</v>
      </c>
      <c r="BI48" s="213" t="s">
        <v>542</v>
      </c>
      <c r="BJ48" s="416" t="s">
        <v>543</v>
      </c>
      <c r="BK48" s="213" t="s">
        <v>1360</v>
      </c>
      <c r="BL48" s="416" t="s">
        <v>1361</v>
      </c>
      <c r="BM48" s="415" t="s">
        <v>337</v>
      </c>
      <c r="BN48" s="213" t="s">
        <v>1362</v>
      </c>
      <c r="BO48" s="416" t="s">
        <v>1363</v>
      </c>
      <c r="BP48" s="415" t="s">
        <v>337</v>
      </c>
      <c r="BS48" s="415"/>
      <c r="BV48" s="415" t="s">
        <v>337</v>
      </c>
      <c r="BY48" s="415" t="s">
        <v>337</v>
      </c>
      <c r="CB48" s="415" t="s">
        <v>337</v>
      </c>
      <c r="CE48" s="415" t="s">
        <v>337</v>
      </c>
      <c r="CH48" s="415" t="s">
        <v>337</v>
      </c>
      <c r="CK48" s="415" t="s">
        <v>337</v>
      </c>
      <c r="CN48" s="415" t="s">
        <v>337</v>
      </c>
      <c r="CQ48" s="415" t="s">
        <v>337</v>
      </c>
      <c r="CT48" s="415" t="s">
        <v>337</v>
      </c>
    </row>
    <row r="49" spans="1:98">
      <c r="A49" s="1" t="s">
        <v>54</v>
      </c>
      <c r="B49" s="416" t="s">
        <v>1331</v>
      </c>
      <c r="C49" s="415" t="s">
        <v>337</v>
      </c>
      <c r="D49" s="416" t="s">
        <v>318</v>
      </c>
      <c r="E49" s="416" t="s">
        <v>1364</v>
      </c>
      <c r="F49" s="415" t="s">
        <v>337</v>
      </c>
      <c r="I49" s="415" t="s">
        <v>337</v>
      </c>
      <c r="L49" s="415" t="s">
        <v>337</v>
      </c>
      <c r="M49" s="213" t="s">
        <v>1365</v>
      </c>
      <c r="N49" s="416" t="s">
        <v>1366</v>
      </c>
      <c r="O49" s="415" t="s">
        <v>337</v>
      </c>
      <c r="R49" s="415" t="s">
        <v>337</v>
      </c>
      <c r="S49" s="213" t="s">
        <v>1367</v>
      </c>
      <c r="T49" s="416" t="s">
        <v>1368</v>
      </c>
      <c r="U49" s="415" t="s">
        <v>337</v>
      </c>
      <c r="X49" s="415"/>
      <c r="AA49" s="415"/>
      <c r="AB49" s="213">
        <v>9027</v>
      </c>
      <c r="AC49" s="416" t="s">
        <v>1369</v>
      </c>
      <c r="AD49" s="415"/>
      <c r="AE49" s="417" t="s">
        <v>1370</v>
      </c>
      <c r="AF49" s="416" t="s">
        <v>1371</v>
      </c>
      <c r="AG49" s="415"/>
      <c r="AJ49" s="415" t="s">
        <v>337</v>
      </c>
      <c r="AM49" s="415" t="s">
        <v>337</v>
      </c>
      <c r="AP49" s="415" t="s">
        <v>337</v>
      </c>
      <c r="AS49" s="415" t="s">
        <v>337</v>
      </c>
      <c r="AV49" s="415" t="s">
        <v>337</v>
      </c>
      <c r="AY49" s="415" t="s">
        <v>337</v>
      </c>
      <c r="AZ49" s="213">
        <v>121003</v>
      </c>
      <c r="BA49" s="416" t="s">
        <v>1372</v>
      </c>
      <c r="BB49" s="415" t="s">
        <v>337</v>
      </c>
      <c r="BE49" s="415" t="s">
        <v>337</v>
      </c>
      <c r="BH49" s="415" t="s">
        <v>337</v>
      </c>
      <c r="BI49" s="213" t="s">
        <v>542</v>
      </c>
      <c r="BJ49" s="416" t="s">
        <v>543</v>
      </c>
      <c r="BK49" s="213" t="s">
        <v>1373</v>
      </c>
      <c r="BL49" s="416" t="s">
        <v>1374</v>
      </c>
      <c r="BM49" s="415" t="s">
        <v>337</v>
      </c>
      <c r="BN49" s="213" t="s">
        <v>1375</v>
      </c>
      <c r="BO49" s="416" t="s">
        <v>1376</v>
      </c>
      <c r="BP49" s="415" t="s">
        <v>337</v>
      </c>
      <c r="BS49" s="415"/>
      <c r="BV49" s="415" t="s">
        <v>337</v>
      </c>
      <c r="BY49" s="415" t="s">
        <v>337</v>
      </c>
      <c r="CB49" s="415" t="s">
        <v>337</v>
      </c>
      <c r="CE49" s="415" t="s">
        <v>337</v>
      </c>
      <c r="CH49" s="415" t="s">
        <v>337</v>
      </c>
      <c r="CK49" s="415" t="s">
        <v>337</v>
      </c>
      <c r="CN49" s="415" t="s">
        <v>337</v>
      </c>
      <c r="CQ49" s="415" t="s">
        <v>337</v>
      </c>
      <c r="CT49" s="415" t="s">
        <v>337</v>
      </c>
    </row>
    <row r="50" spans="1:98">
      <c r="A50" s="1" t="s">
        <v>54</v>
      </c>
      <c r="B50" s="416" t="s">
        <v>1377</v>
      </c>
      <c r="C50" s="415" t="s">
        <v>337</v>
      </c>
      <c r="D50" s="416" t="s">
        <v>318</v>
      </c>
      <c r="E50" s="416" t="s">
        <v>1378</v>
      </c>
      <c r="F50" s="415" t="s">
        <v>337</v>
      </c>
      <c r="I50" s="415" t="s">
        <v>337</v>
      </c>
      <c r="L50" s="415" t="s">
        <v>337</v>
      </c>
      <c r="M50" s="213" t="s">
        <v>1379</v>
      </c>
      <c r="N50" s="416" t="s">
        <v>1380</v>
      </c>
      <c r="O50" s="415" t="s">
        <v>337</v>
      </c>
      <c r="R50" s="415" t="s">
        <v>337</v>
      </c>
      <c r="S50" s="213" t="s">
        <v>1381</v>
      </c>
      <c r="T50" s="416" t="s">
        <v>1382</v>
      </c>
      <c r="U50" s="415" t="s">
        <v>337</v>
      </c>
      <c r="X50" s="415"/>
      <c r="AA50" s="415"/>
      <c r="AB50" s="213">
        <v>9028</v>
      </c>
      <c r="AC50" s="416" t="s">
        <v>1383</v>
      </c>
      <c r="AD50" s="415"/>
      <c r="AE50" s="417" t="s">
        <v>1384</v>
      </c>
      <c r="AF50" s="416" t="s">
        <v>1385</v>
      </c>
      <c r="AG50" s="415"/>
      <c r="AJ50" s="415" t="s">
        <v>337</v>
      </c>
      <c r="AM50" s="415" t="s">
        <v>337</v>
      </c>
      <c r="AP50" s="415" t="s">
        <v>337</v>
      </c>
      <c r="AS50" s="415" t="s">
        <v>337</v>
      </c>
      <c r="AV50" s="415" t="s">
        <v>337</v>
      </c>
      <c r="AY50" s="415" t="s">
        <v>337</v>
      </c>
      <c r="AZ50" s="213">
        <v>121004</v>
      </c>
      <c r="BA50" s="416" t="s">
        <v>1386</v>
      </c>
      <c r="BB50" s="415" t="s">
        <v>337</v>
      </c>
      <c r="BE50" s="415" t="s">
        <v>337</v>
      </c>
      <c r="BH50" s="415" t="s">
        <v>337</v>
      </c>
      <c r="BI50" s="213" t="s">
        <v>542</v>
      </c>
      <c r="BJ50" s="416" t="s">
        <v>543</v>
      </c>
      <c r="BK50" s="213" t="s">
        <v>749</v>
      </c>
      <c r="BL50" s="416" t="s">
        <v>750</v>
      </c>
      <c r="BM50" s="415" t="s">
        <v>337</v>
      </c>
      <c r="BN50" s="213" t="s">
        <v>1387</v>
      </c>
      <c r="BO50" s="416" t="s">
        <v>1388</v>
      </c>
      <c r="BP50" s="415" t="s">
        <v>337</v>
      </c>
      <c r="BS50" s="415"/>
      <c r="BV50" s="415" t="s">
        <v>337</v>
      </c>
      <c r="BY50" s="415" t="s">
        <v>337</v>
      </c>
      <c r="CB50" s="415" t="s">
        <v>337</v>
      </c>
      <c r="CE50" s="415" t="s">
        <v>337</v>
      </c>
      <c r="CH50" s="415" t="s">
        <v>337</v>
      </c>
      <c r="CK50" s="415" t="s">
        <v>337</v>
      </c>
      <c r="CN50" s="415" t="s">
        <v>337</v>
      </c>
      <c r="CQ50" s="415" t="s">
        <v>337</v>
      </c>
      <c r="CT50" s="415" t="s">
        <v>337</v>
      </c>
    </row>
    <row r="51" spans="1:98">
      <c r="A51" s="1" t="s">
        <v>54</v>
      </c>
      <c r="B51" s="416" t="s">
        <v>1389</v>
      </c>
      <c r="C51" s="415" t="s">
        <v>337</v>
      </c>
      <c r="D51" s="416" t="s">
        <v>318</v>
      </c>
      <c r="E51" s="416" t="s">
        <v>1390</v>
      </c>
      <c r="F51" s="415" t="s">
        <v>337</v>
      </c>
      <c r="I51" s="415" t="s">
        <v>337</v>
      </c>
      <c r="L51" s="415" t="s">
        <v>337</v>
      </c>
      <c r="M51" s="213" t="s">
        <v>1391</v>
      </c>
      <c r="N51" s="416" t="s">
        <v>1392</v>
      </c>
      <c r="O51" s="415" t="s">
        <v>337</v>
      </c>
      <c r="R51" s="415" t="s">
        <v>337</v>
      </c>
      <c r="S51" s="213" t="s">
        <v>1393</v>
      </c>
      <c r="T51" s="416" t="s">
        <v>1394</v>
      </c>
      <c r="U51" s="415" t="s">
        <v>337</v>
      </c>
      <c r="X51" s="415"/>
      <c r="AA51" s="415"/>
      <c r="AB51" s="213">
        <v>9029</v>
      </c>
      <c r="AC51" s="416" t="s">
        <v>1395</v>
      </c>
      <c r="AD51" s="415"/>
      <c r="AE51" s="417" t="s">
        <v>1396</v>
      </c>
      <c r="AF51" s="416" t="s">
        <v>1397</v>
      </c>
      <c r="AG51" s="415"/>
      <c r="AJ51" s="415" t="s">
        <v>337</v>
      </c>
      <c r="AM51" s="415" t="s">
        <v>337</v>
      </c>
      <c r="AP51" s="415" t="s">
        <v>337</v>
      </c>
      <c r="AS51" s="415" t="s">
        <v>337</v>
      </c>
      <c r="AV51" s="415" t="s">
        <v>337</v>
      </c>
      <c r="AY51" s="415" t="s">
        <v>337</v>
      </c>
      <c r="AZ51" s="213">
        <v>121005</v>
      </c>
      <c r="BA51" s="416" t="s">
        <v>1398</v>
      </c>
      <c r="BB51" s="415" t="s">
        <v>337</v>
      </c>
      <c r="BE51" s="415" t="s">
        <v>337</v>
      </c>
      <c r="BH51" s="415" t="s">
        <v>337</v>
      </c>
      <c r="BI51" s="213" t="s">
        <v>542</v>
      </c>
      <c r="BJ51" s="416" t="s">
        <v>543</v>
      </c>
      <c r="BK51" s="213" t="s">
        <v>1399</v>
      </c>
      <c r="BL51" s="416" t="s">
        <v>1400</v>
      </c>
      <c r="BM51" s="415" t="s">
        <v>337</v>
      </c>
      <c r="BN51" s="213" t="s">
        <v>1401</v>
      </c>
      <c r="BO51" s="416" t="s">
        <v>1402</v>
      </c>
      <c r="BP51" s="415" t="s">
        <v>337</v>
      </c>
      <c r="BS51" s="415"/>
      <c r="BV51" s="415" t="s">
        <v>337</v>
      </c>
      <c r="BY51" s="415" t="s">
        <v>337</v>
      </c>
      <c r="CB51" s="415" t="s">
        <v>337</v>
      </c>
      <c r="CE51" s="415" t="s">
        <v>337</v>
      </c>
      <c r="CH51" s="415" t="s">
        <v>337</v>
      </c>
      <c r="CK51" s="415" t="s">
        <v>337</v>
      </c>
      <c r="CN51" s="415" t="s">
        <v>337</v>
      </c>
      <c r="CQ51" s="415" t="s">
        <v>337</v>
      </c>
      <c r="CT51" s="415" t="s">
        <v>337</v>
      </c>
    </row>
    <row r="52" spans="1:98">
      <c r="A52" s="1" t="s">
        <v>54</v>
      </c>
      <c r="B52" s="416" t="s">
        <v>1403</v>
      </c>
      <c r="C52" s="415" t="s">
        <v>337</v>
      </c>
      <c r="D52" s="416" t="s">
        <v>318</v>
      </c>
      <c r="E52" s="416" t="s">
        <v>1404</v>
      </c>
      <c r="F52" s="415" t="s">
        <v>337</v>
      </c>
      <c r="I52" s="415" t="s">
        <v>337</v>
      </c>
      <c r="L52" s="415" t="s">
        <v>337</v>
      </c>
      <c r="M52" s="213" t="s">
        <v>1405</v>
      </c>
      <c r="N52" s="416" t="s">
        <v>1406</v>
      </c>
      <c r="O52" s="415" t="s">
        <v>337</v>
      </c>
      <c r="R52" s="415" t="s">
        <v>337</v>
      </c>
      <c r="S52" s="213" t="s">
        <v>1407</v>
      </c>
      <c r="T52" s="416" t="s">
        <v>1408</v>
      </c>
      <c r="U52" s="415" t="s">
        <v>337</v>
      </c>
      <c r="X52" s="415"/>
      <c r="AA52" s="415"/>
      <c r="AB52" s="213">
        <v>9030</v>
      </c>
      <c r="AC52" s="416" t="s">
        <v>1409</v>
      </c>
      <c r="AD52" s="415"/>
      <c r="AE52" s="417" t="s">
        <v>1410</v>
      </c>
      <c r="AF52" s="416" t="s">
        <v>1411</v>
      </c>
      <c r="AG52" s="415"/>
      <c r="AJ52" s="415" t="s">
        <v>337</v>
      </c>
      <c r="AM52" s="415" t="s">
        <v>337</v>
      </c>
      <c r="AP52" s="415" t="s">
        <v>337</v>
      </c>
      <c r="AS52" s="415" t="s">
        <v>337</v>
      </c>
      <c r="AV52" s="415" t="s">
        <v>337</v>
      </c>
      <c r="AY52" s="415" t="s">
        <v>337</v>
      </c>
      <c r="AZ52" s="213">
        <v>121006</v>
      </c>
      <c r="BA52" s="416" t="s">
        <v>1412</v>
      </c>
      <c r="BB52" s="415" t="s">
        <v>337</v>
      </c>
      <c r="BE52" s="415" t="s">
        <v>337</v>
      </c>
      <c r="BH52" s="415" t="s">
        <v>337</v>
      </c>
      <c r="BI52" s="213" t="s">
        <v>542</v>
      </c>
      <c r="BJ52" s="416" t="s">
        <v>543</v>
      </c>
      <c r="BK52" s="213" t="s">
        <v>1413</v>
      </c>
      <c r="BL52" s="416" t="s">
        <v>1414</v>
      </c>
      <c r="BM52" s="415" t="s">
        <v>337</v>
      </c>
      <c r="BN52" s="213" t="s">
        <v>1415</v>
      </c>
      <c r="BO52" s="416" t="s">
        <v>1416</v>
      </c>
      <c r="BP52" s="415" t="s">
        <v>337</v>
      </c>
      <c r="BS52" s="415"/>
      <c r="BV52" s="415" t="s">
        <v>337</v>
      </c>
      <c r="BY52" s="415" t="s">
        <v>337</v>
      </c>
      <c r="CB52" s="415" t="s">
        <v>337</v>
      </c>
      <c r="CE52" s="415" t="s">
        <v>337</v>
      </c>
      <c r="CH52" s="415" t="s">
        <v>337</v>
      </c>
      <c r="CK52" s="415" t="s">
        <v>337</v>
      </c>
      <c r="CN52" s="415" t="s">
        <v>337</v>
      </c>
      <c r="CQ52" s="415" t="s">
        <v>337</v>
      </c>
      <c r="CT52" s="415" t="s">
        <v>337</v>
      </c>
    </row>
    <row r="53" spans="1:98">
      <c r="A53" s="1" t="s">
        <v>54</v>
      </c>
      <c r="B53" s="416" t="s">
        <v>1417</v>
      </c>
      <c r="C53" s="415" t="s">
        <v>337</v>
      </c>
      <c r="D53" s="416" t="s">
        <v>318</v>
      </c>
      <c r="E53" s="416" t="s">
        <v>1418</v>
      </c>
      <c r="F53" s="415" t="s">
        <v>337</v>
      </c>
      <c r="I53" s="415" t="s">
        <v>337</v>
      </c>
      <c r="L53" s="415" t="s">
        <v>337</v>
      </c>
      <c r="M53" s="213" t="s">
        <v>1419</v>
      </c>
      <c r="N53" s="416" t="s">
        <v>1420</v>
      </c>
      <c r="O53" s="415" t="s">
        <v>337</v>
      </c>
      <c r="R53" s="415" t="s">
        <v>337</v>
      </c>
      <c r="S53" s="213" t="s">
        <v>1421</v>
      </c>
      <c r="T53" s="416" t="s">
        <v>1422</v>
      </c>
      <c r="U53" s="415" t="s">
        <v>337</v>
      </c>
      <c r="X53" s="415"/>
      <c r="AA53" s="415"/>
      <c r="AB53" s="213">
        <v>9031</v>
      </c>
      <c r="AC53" s="416" t="s">
        <v>1423</v>
      </c>
      <c r="AD53" s="415"/>
      <c r="AE53" s="417" t="s">
        <v>1424</v>
      </c>
      <c r="AF53" s="416" t="s">
        <v>1425</v>
      </c>
      <c r="AG53" s="415"/>
      <c r="AJ53" s="415" t="s">
        <v>337</v>
      </c>
      <c r="AM53" s="415" t="s">
        <v>337</v>
      </c>
      <c r="AP53" s="415" t="s">
        <v>337</v>
      </c>
      <c r="AS53" s="415" t="s">
        <v>337</v>
      </c>
      <c r="AV53" s="415" t="s">
        <v>337</v>
      </c>
      <c r="AY53" s="415" t="s">
        <v>337</v>
      </c>
      <c r="AZ53" s="213">
        <v>121007</v>
      </c>
      <c r="BA53" s="416" t="s">
        <v>1426</v>
      </c>
      <c r="BB53" s="415" t="s">
        <v>337</v>
      </c>
      <c r="BE53" s="415" t="s">
        <v>337</v>
      </c>
      <c r="BH53" s="415" t="s">
        <v>337</v>
      </c>
      <c r="BI53" s="213" t="s">
        <v>542</v>
      </c>
      <c r="BJ53" s="416" t="s">
        <v>543</v>
      </c>
      <c r="BK53" s="213" t="s">
        <v>1427</v>
      </c>
      <c r="BL53" s="416" t="s">
        <v>1428</v>
      </c>
      <c r="BM53" s="415" t="s">
        <v>337</v>
      </c>
      <c r="BN53" s="213" t="s">
        <v>1429</v>
      </c>
      <c r="BO53" s="416" t="s">
        <v>1430</v>
      </c>
      <c r="BP53" s="415" t="s">
        <v>337</v>
      </c>
      <c r="BS53" s="415"/>
      <c r="BV53" s="415" t="s">
        <v>337</v>
      </c>
      <c r="BY53" s="415" t="s">
        <v>337</v>
      </c>
      <c r="CB53" s="415" t="s">
        <v>337</v>
      </c>
      <c r="CE53" s="415" t="s">
        <v>337</v>
      </c>
      <c r="CH53" s="415" t="s">
        <v>337</v>
      </c>
      <c r="CK53" s="415" t="s">
        <v>337</v>
      </c>
      <c r="CN53" s="415" t="s">
        <v>337</v>
      </c>
      <c r="CQ53" s="415" t="s">
        <v>337</v>
      </c>
      <c r="CT53" s="415" t="s">
        <v>337</v>
      </c>
    </row>
    <row r="54" spans="1:98">
      <c r="A54" s="1" t="s">
        <v>54</v>
      </c>
      <c r="B54" s="416" t="s">
        <v>1431</v>
      </c>
      <c r="C54" s="415" t="s">
        <v>337</v>
      </c>
      <c r="D54" s="416" t="s">
        <v>318</v>
      </c>
      <c r="E54" s="416" t="s">
        <v>1432</v>
      </c>
      <c r="F54" s="415" t="s">
        <v>337</v>
      </c>
      <c r="I54" s="415" t="s">
        <v>337</v>
      </c>
      <c r="L54" s="415" t="s">
        <v>337</v>
      </c>
      <c r="M54" s="213" t="s">
        <v>1433</v>
      </c>
      <c r="N54" s="416" t="s">
        <v>1434</v>
      </c>
      <c r="O54" s="415" t="s">
        <v>337</v>
      </c>
      <c r="R54" s="415" t="s">
        <v>337</v>
      </c>
      <c r="S54" s="213" t="s">
        <v>1435</v>
      </c>
      <c r="T54" s="416" t="s">
        <v>1436</v>
      </c>
      <c r="U54" s="415" t="s">
        <v>337</v>
      </c>
      <c r="X54" s="415"/>
      <c r="AA54" s="415"/>
      <c r="AB54" s="213">
        <v>9032</v>
      </c>
      <c r="AC54" s="416" t="s">
        <v>1437</v>
      </c>
      <c r="AD54" s="415"/>
      <c r="AE54" s="417" t="s">
        <v>1438</v>
      </c>
      <c r="AF54" s="416" t="s">
        <v>1439</v>
      </c>
      <c r="AG54" s="415"/>
      <c r="AJ54" s="415" t="s">
        <v>337</v>
      </c>
      <c r="AM54" s="415" t="s">
        <v>337</v>
      </c>
      <c r="AP54" s="415" t="s">
        <v>337</v>
      </c>
      <c r="AS54" s="415" t="s">
        <v>337</v>
      </c>
      <c r="AV54" s="415" t="s">
        <v>337</v>
      </c>
      <c r="AY54" s="415" t="s">
        <v>337</v>
      </c>
      <c r="AZ54" s="213">
        <v>122001</v>
      </c>
      <c r="BA54" s="416" t="s">
        <v>1440</v>
      </c>
      <c r="BB54" s="415" t="s">
        <v>337</v>
      </c>
      <c r="BE54" s="415" t="s">
        <v>337</v>
      </c>
      <c r="BH54" s="415" t="s">
        <v>337</v>
      </c>
      <c r="BI54" s="213" t="s">
        <v>542</v>
      </c>
      <c r="BJ54" s="416" t="s">
        <v>543</v>
      </c>
      <c r="BK54" s="213" t="s">
        <v>1441</v>
      </c>
      <c r="BL54" s="416" t="s">
        <v>1442</v>
      </c>
      <c r="BM54" s="415" t="s">
        <v>337</v>
      </c>
      <c r="BN54" s="213" t="s">
        <v>1443</v>
      </c>
      <c r="BO54" s="416" t="s">
        <v>1444</v>
      </c>
      <c r="BP54" s="415" t="s">
        <v>337</v>
      </c>
      <c r="BS54" s="415"/>
      <c r="BV54" s="415" t="s">
        <v>337</v>
      </c>
      <c r="BY54" s="415" t="s">
        <v>337</v>
      </c>
      <c r="CB54" s="415" t="s">
        <v>337</v>
      </c>
      <c r="CE54" s="415" t="s">
        <v>337</v>
      </c>
      <c r="CH54" s="415" t="s">
        <v>337</v>
      </c>
      <c r="CK54" s="415" t="s">
        <v>337</v>
      </c>
      <c r="CN54" s="415" t="s">
        <v>337</v>
      </c>
      <c r="CQ54" s="415" t="s">
        <v>337</v>
      </c>
      <c r="CT54" s="415" t="s">
        <v>337</v>
      </c>
    </row>
    <row r="55" spans="1:98">
      <c r="A55" s="1" t="s">
        <v>54</v>
      </c>
      <c r="B55" s="416" t="s">
        <v>1445</v>
      </c>
      <c r="C55" s="415" t="s">
        <v>337</v>
      </c>
      <c r="D55" s="416" t="s">
        <v>318</v>
      </c>
      <c r="E55" s="416" t="s">
        <v>1446</v>
      </c>
      <c r="F55" s="415" t="s">
        <v>337</v>
      </c>
      <c r="I55" s="415" t="s">
        <v>337</v>
      </c>
      <c r="L55" s="415" t="s">
        <v>337</v>
      </c>
      <c r="M55" s="213" t="s">
        <v>1447</v>
      </c>
      <c r="N55" s="416" t="s">
        <v>1448</v>
      </c>
      <c r="O55" s="415" t="s">
        <v>337</v>
      </c>
      <c r="R55" s="415" t="s">
        <v>337</v>
      </c>
      <c r="S55" s="213" t="s">
        <v>1449</v>
      </c>
      <c r="T55" s="416" t="s">
        <v>878</v>
      </c>
      <c r="U55" s="415" t="s">
        <v>337</v>
      </c>
      <c r="X55" s="415"/>
      <c r="AA55" s="415"/>
      <c r="AB55" s="213">
        <v>9033</v>
      </c>
      <c r="AC55" s="416" t="s">
        <v>1450</v>
      </c>
      <c r="AD55" s="415"/>
      <c r="AE55" s="417" t="s">
        <v>1451</v>
      </c>
      <c r="AF55" s="416" t="s">
        <v>1452</v>
      </c>
      <c r="AG55" s="415"/>
      <c r="AJ55" s="415" t="s">
        <v>337</v>
      </c>
      <c r="AM55" s="415" t="s">
        <v>337</v>
      </c>
      <c r="AP55" s="415" t="s">
        <v>337</v>
      </c>
      <c r="AS55" s="415" t="s">
        <v>337</v>
      </c>
      <c r="AV55" s="415" t="s">
        <v>337</v>
      </c>
      <c r="AY55" s="415" t="s">
        <v>337</v>
      </c>
      <c r="AZ55" s="213">
        <v>122002</v>
      </c>
      <c r="BA55" s="416" t="s">
        <v>1453</v>
      </c>
      <c r="BB55" s="415" t="s">
        <v>337</v>
      </c>
      <c r="BE55" s="415" t="s">
        <v>337</v>
      </c>
      <c r="BH55" s="415" t="s">
        <v>337</v>
      </c>
      <c r="BI55" s="213" t="s">
        <v>578</v>
      </c>
      <c r="BJ55" s="416" t="s">
        <v>411</v>
      </c>
      <c r="BK55" s="213" t="s">
        <v>1454</v>
      </c>
      <c r="BL55" s="416" t="s">
        <v>1455</v>
      </c>
      <c r="BM55" s="415" t="s">
        <v>337</v>
      </c>
      <c r="BN55" s="213" t="s">
        <v>1456</v>
      </c>
      <c r="BO55" s="416" t="s">
        <v>1457</v>
      </c>
      <c r="BP55" s="415" t="s">
        <v>337</v>
      </c>
      <c r="BS55" s="415"/>
      <c r="BV55" s="415" t="s">
        <v>337</v>
      </c>
      <c r="BY55" s="415" t="s">
        <v>337</v>
      </c>
      <c r="CB55" s="415" t="s">
        <v>337</v>
      </c>
      <c r="CE55" s="415" t="s">
        <v>337</v>
      </c>
      <c r="CH55" s="415" t="s">
        <v>337</v>
      </c>
      <c r="CK55" s="415" t="s">
        <v>337</v>
      </c>
      <c r="CN55" s="415" t="s">
        <v>337</v>
      </c>
      <c r="CQ55" s="415" t="s">
        <v>337</v>
      </c>
      <c r="CT55" s="415" t="s">
        <v>337</v>
      </c>
    </row>
    <row r="56" spans="1:98">
      <c r="A56" s="1" t="s">
        <v>54</v>
      </c>
      <c r="B56" s="416" t="s">
        <v>1458</v>
      </c>
      <c r="C56" s="415" t="s">
        <v>337</v>
      </c>
      <c r="D56" s="416" t="s">
        <v>318</v>
      </c>
      <c r="E56" s="416" t="s">
        <v>1459</v>
      </c>
      <c r="F56" s="415" t="s">
        <v>337</v>
      </c>
      <c r="I56" s="415" t="s">
        <v>337</v>
      </c>
      <c r="L56" s="415" t="s">
        <v>337</v>
      </c>
      <c r="M56" s="213" t="s">
        <v>1460</v>
      </c>
      <c r="N56" s="416" t="s">
        <v>1461</v>
      </c>
      <c r="O56" s="415" t="s">
        <v>337</v>
      </c>
      <c r="R56" s="415" t="s">
        <v>337</v>
      </c>
      <c r="S56" s="213" t="s">
        <v>1462</v>
      </c>
      <c r="T56" s="416" t="s">
        <v>1463</v>
      </c>
      <c r="U56" s="415" t="s">
        <v>337</v>
      </c>
      <c r="X56" s="415"/>
      <c r="AA56" s="415"/>
      <c r="AB56" s="213">
        <v>9034</v>
      </c>
      <c r="AC56" s="416" t="s">
        <v>1464</v>
      </c>
      <c r="AD56" s="415"/>
      <c r="AE56" s="417" t="s">
        <v>1465</v>
      </c>
      <c r="AF56" s="416" t="s">
        <v>1466</v>
      </c>
      <c r="AG56" s="415"/>
      <c r="AJ56" s="415" t="s">
        <v>337</v>
      </c>
      <c r="AM56" s="415" t="s">
        <v>337</v>
      </c>
      <c r="AP56" s="415" t="s">
        <v>337</v>
      </c>
      <c r="AS56" s="415" t="s">
        <v>337</v>
      </c>
      <c r="AV56" s="415" t="s">
        <v>337</v>
      </c>
      <c r="AY56" s="415" t="s">
        <v>337</v>
      </c>
      <c r="AZ56" s="213">
        <v>122003</v>
      </c>
      <c r="BA56" s="416" t="s">
        <v>1418</v>
      </c>
      <c r="BB56" s="415" t="s">
        <v>337</v>
      </c>
      <c r="BE56" s="415" t="s">
        <v>337</v>
      </c>
      <c r="BH56" s="415" t="s">
        <v>337</v>
      </c>
      <c r="BI56" s="213" t="s">
        <v>578</v>
      </c>
      <c r="BJ56" s="416" t="s">
        <v>411</v>
      </c>
      <c r="BK56" s="213" t="s">
        <v>1467</v>
      </c>
      <c r="BL56" s="416" t="s">
        <v>1455</v>
      </c>
      <c r="BM56" s="415" t="s">
        <v>337</v>
      </c>
      <c r="BN56" s="213" t="s">
        <v>1468</v>
      </c>
      <c r="BO56" s="416" t="s">
        <v>1469</v>
      </c>
      <c r="BP56" s="415" t="s">
        <v>337</v>
      </c>
      <c r="BS56" s="415"/>
      <c r="BV56" s="415" t="s">
        <v>337</v>
      </c>
      <c r="BY56" s="415" t="s">
        <v>337</v>
      </c>
      <c r="CB56" s="415" t="s">
        <v>337</v>
      </c>
      <c r="CE56" s="415" t="s">
        <v>337</v>
      </c>
      <c r="CH56" s="415" t="s">
        <v>337</v>
      </c>
      <c r="CK56" s="415" t="s">
        <v>337</v>
      </c>
      <c r="CN56" s="415" t="s">
        <v>337</v>
      </c>
      <c r="CQ56" s="415" t="s">
        <v>337</v>
      </c>
      <c r="CT56" s="415" t="s">
        <v>337</v>
      </c>
    </row>
    <row r="57" spans="1:98">
      <c r="A57" s="1" t="s">
        <v>54</v>
      </c>
      <c r="B57" s="416" t="s">
        <v>1470</v>
      </c>
      <c r="C57" s="415" t="s">
        <v>337</v>
      </c>
      <c r="D57" s="416" t="s">
        <v>318</v>
      </c>
      <c r="E57" s="416" t="s">
        <v>1471</v>
      </c>
      <c r="F57" s="415" t="s">
        <v>337</v>
      </c>
      <c r="I57" s="415" t="s">
        <v>337</v>
      </c>
      <c r="L57" s="415" t="s">
        <v>337</v>
      </c>
      <c r="M57" s="213" t="s">
        <v>1472</v>
      </c>
      <c r="N57" s="416" t="s">
        <v>1473</v>
      </c>
      <c r="O57" s="415" t="s">
        <v>337</v>
      </c>
      <c r="R57" s="415" t="s">
        <v>337</v>
      </c>
      <c r="S57" s="213" t="s">
        <v>1474</v>
      </c>
      <c r="T57" s="416" t="s">
        <v>1475</v>
      </c>
      <c r="U57" s="415" t="s">
        <v>337</v>
      </c>
      <c r="X57" s="415"/>
      <c r="AA57" s="415"/>
      <c r="AB57" s="213">
        <v>9035</v>
      </c>
      <c r="AC57" s="416" t="s">
        <v>1476</v>
      </c>
      <c r="AD57" s="415"/>
      <c r="AE57" s="417" t="s">
        <v>1477</v>
      </c>
      <c r="AF57" s="416" t="s">
        <v>1478</v>
      </c>
      <c r="AG57" s="415"/>
      <c r="AJ57" s="415" t="s">
        <v>337</v>
      </c>
      <c r="AM57" s="415" t="s">
        <v>337</v>
      </c>
      <c r="AP57" s="415" t="s">
        <v>337</v>
      </c>
      <c r="AS57" s="415" t="s">
        <v>337</v>
      </c>
      <c r="AV57" s="415" t="s">
        <v>337</v>
      </c>
      <c r="AY57" s="415" t="s">
        <v>337</v>
      </c>
      <c r="AZ57" s="213">
        <v>122004</v>
      </c>
      <c r="BA57" s="416" t="s">
        <v>1479</v>
      </c>
      <c r="BB57" s="415" t="s">
        <v>337</v>
      </c>
      <c r="BE57" s="415" t="s">
        <v>337</v>
      </c>
      <c r="BH57" s="415" t="s">
        <v>337</v>
      </c>
      <c r="BI57" s="213" t="s">
        <v>578</v>
      </c>
      <c r="BJ57" s="416" t="s">
        <v>411</v>
      </c>
      <c r="BK57" s="213" t="s">
        <v>1480</v>
      </c>
      <c r="BL57" s="416" t="s">
        <v>1481</v>
      </c>
      <c r="BM57" s="415" t="s">
        <v>337</v>
      </c>
      <c r="BN57" s="213" t="s">
        <v>1482</v>
      </c>
      <c r="BO57" s="416" t="s">
        <v>1483</v>
      </c>
      <c r="BP57" s="415" t="s">
        <v>337</v>
      </c>
      <c r="BS57" s="415"/>
      <c r="BV57" s="415" t="s">
        <v>337</v>
      </c>
      <c r="BY57" s="415" t="s">
        <v>337</v>
      </c>
      <c r="CB57" s="415" t="s">
        <v>337</v>
      </c>
      <c r="CE57" s="415" t="s">
        <v>337</v>
      </c>
      <c r="CH57" s="415" t="s">
        <v>337</v>
      </c>
      <c r="CK57" s="415" t="s">
        <v>337</v>
      </c>
      <c r="CN57" s="415" t="s">
        <v>337</v>
      </c>
      <c r="CQ57" s="415" t="s">
        <v>337</v>
      </c>
      <c r="CT57" s="415" t="s">
        <v>337</v>
      </c>
    </row>
    <row r="58" spans="1:98">
      <c r="A58" s="1" t="s">
        <v>54</v>
      </c>
      <c r="B58" s="416" t="s">
        <v>1484</v>
      </c>
      <c r="C58" s="415" t="s">
        <v>337</v>
      </c>
      <c r="D58" s="416" t="s">
        <v>318</v>
      </c>
      <c r="E58" s="416" t="s">
        <v>1485</v>
      </c>
      <c r="F58" s="415" t="s">
        <v>337</v>
      </c>
      <c r="I58" s="415" t="s">
        <v>337</v>
      </c>
      <c r="L58" s="415" t="s">
        <v>337</v>
      </c>
      <c r="M58" s="213" t="s">
        <v>1486</v>
      </c>
      <c r="N58" s="416" t="s">
        <v>1487</v>
      </c>
      <c r="O58" s="415" t="s">
        <v>337</v>
      </c>
      <c r="R58" s="415" t="s">
        <v>337</v>
      </c>
      <c r="S58" s="213" t="s">
        <v>1488</v>
      </c>
      <c r="T58" s="416" t="s">
        <v>1489</v>
      </c>
      <c r="U58" s="415" t="s">
        <v>337</v>
      </c>
      <c r="X58" s="415"/>
      <c r="AA58" s="415"/>
      <c r="AB58" s="213">
        <v>9036</v>
      </c>
      <c r="AC58" s="416" t="s">
        <v>1490</v>
      </c>
      <c r="AD58" s="415"/>
      <c r="AE58" s="417" t="s">
        <v>1491</v>
      </c>
      <c r="AF58" s="416" t="s">
        <v>1492</v>
      </c>
      <c r="AG58" s="415"/>
      <c r="AJ58" s="415" t="s">
        <v>337</v>
      </c>
      <c r="AM58" s="415" t="s">
        <v>337</v>
      </c>
      <c r="AP58" s="415" t="s">
        <v>337</v>
      </c>
      <c r="AS58" s="415" t="s">
        <v>337</v>
      </c>
      <c r="AV58" s="415" t="s">
        <v>337</v>
      </c>
      <c r="AY58" s="415" t="s">
        <v>337</v>
      </c>
      <c r="AZ58" s="213">
        <v>122005</v>
      </c>
      <c r="BA58" s="416" t="s">
        <v>1493</v>
      </c>
      <c r="BB58" s="415" t="s">
        <v>337</v>
      </c>
      <c r="BE58" s="415" t="s">
        <v>337</v>
      </c>
      <c r="BH58" s="415" t="s">
        <v>337</v>
      </c>
      <c r="BI58" s="213" t="s">
        <v>578</v>
      </c>
      <c r="BJ58" s="416" t="s">
        <v>411</v>
      </c>
      <c r="BK58" s="213" t="s">
        <v>1494</v>
      </c>
      <c r="BL58" s="416" t="s">
        <v>1455</v>
      </c>
      <c r="BM58" s="415" t="s">
        <v>337</v>
      </c>
      <c r="BN58" s="213" t="s">
        <v>1495</v>
      </c>
      <c r="BO58" s="416" t="s">
        <v>1496</v>
      </c>
      <c r="BP58" s="415" t="s">
        <v>337</v>
      </c>
      <c r="BS58" s="415"/>
      <c r="BV58" s="415" t="s">
        <v>337</v>
      </c>
      <c r="BY58" s="415" t="s">
        <v>337</v>
      </c>
      <c r="CB58" s="415" t="s">
        <v>337</v>
      </c>
      <c r="CE58" s="415" t="s">
        <v>337</v>
      </c>
      <c r="CH58" s="415" t="s">
        <v>337</v>
      </c>
      <c r="CK58" s="415" t="s">
        <v>337</v>
      </c>
      <c r="CN58" s="415" t="s">
        <v>337</v>
      </c>
      <c r="CQ58" s="415" t="s">
        <v>337</v>
      </c>
      <c r="CT58" s="415" t="s">
        <v>337</v>
      </c>
    </row>
    <row r="59" spans="1:98">
      <c r="A59" s="1" t="s">
        <v>54</v>
      </c>
      <c r="B59" s="416" t="s">
        <v>1497</v>
      </c>
      <c r="C59" s="415" t="s">
        <v>337</v>
      </c>
      <c r="D59" s="416" t="s">
        <v>318</v>
      </c>
      <c r="E59" s="416" t="s">
        <v>1498</v>
      </c>
      <c r="F59" s="415" t="s">
        <v>337</v>
      </c>
      <c r="I59" s="415" t="s">
        <v>337</v>
      </c>
      <c r="L59" s="415" t="s">
        <v>337</v>
      </c>
      <c r="M59" s="213" t="s">
        <v>1499</v>
      </c>
      <c r="N59" s="416" t="s">
        <v>1500</v>
      </c>
      <c r="O59" s="415" t="s">
        <v>337</v>
      </c>
      <c r="R59" s="415" t="s">
        <v>337</v>
      </c>
      <c r="S59" s="213" t="s">
        <v>1501</v>
      </c>
      <c r="T59" s="416" t="s">
        <v>1502</v>
      </c>
      <c r="U59" s="415" t="s">
        <v>337</v>
      </c>
      <c r="X59" s="415"/>
      <c r="AA59" s="415"/>
      <c r="AB59" s="213">
        <v>9037</v>
      </c>
      <c r="AC59" s="416" t="s">
        <v>1503</v>
      </c>
      <c r="AD59" s="415"/>
      <c r="AE59" s="417" t="s">
        <v>1504</v>
      </c>
      <c r="AF59" s="416" t="s">
        <v>1505</v>
      </c>
      <c r="AG59" s="415"/>
      <c r="AJ59" s="415" t="s">
        <v>337</v>
      </c>
      <c r="AM59" s="415" t="s">
        <v>337</v>
      </c>
      <c r="AP59" s="415" t="s">
        <v>337</v>
      </c>
      <c r="AS59" s="415" t="s">
        <v>337</v>
      </c>
      <c r="AV59" s="415" t="s">
        <v>337</v>
      </c>
      <c r="AY59" s="415" t="s">
        <v>337</v>
      </c>
      <c r="AZ59" s="213">
        <v>122006</v>
      </c>
      <c r="BA59" s="416" t="s">
        <v>1506</v>
      </c>
      <c r="BB59" s="415" t="s">
        <v>337</v>
      </c>
      <c r="BE59" s="415" t="s">
        <v>337</v>
      </c>
      <c r="BH59" s="415" t="s">
        <v>337</v>
      </c>
      <c r="BI59" s="213" t="s">
        <v>609</v>
      </c>
      <c r="BJ59" s="416" t="s">
        <v>610</v>
      </c>
      <c r="BK59" s="213" t="s">
        <v>1507</v>
      </c>
      <c r="BL59" s="416" t="s">
        <v>1481</v>
      </c>
      <c r="BM59" s="415" t="s">
        <v>337</v>
      </c>
      <c r="BN59" s="213" t="s">
        <v>1508</v>
      </c>
      <c r="BO59" s="416" t="s">
        <v>1509</v>
      </c>
      <c r="BP59" s="415" t="s">
        <v>337</v>
      </c>
      <c r="BS59" s="415"/>
      <c r="BV59" s="415" t="s">
        <v>337</v>
      </c>
      <c r="BY59" s="415" t="s">
        <v>337</v>
      </c>
      <c r="CB59" s="415" t="s">
        <v>337</v>
      </c>
      <c r="CE59" s="415" t="s">
        <v>337</v>
      </c>
      <c r="CH59" s="415" t="s">
        <v>337</v>
      </c>
      <c r="CK59" s="415" t="s">
        <v>337</v>
      </c>
      <c r="CN59" s="415" t="s">
        <v>337</v>
      </c>
      <c r="CQ59" s="415" t="s">
        <v>337</v>
      </c>
      <c r="CT59" s="415" t="s">
        <v>337</v>
      </c>
    </row>
    <row r="60" spans="1:98">
      <c r="A60" s="1" t="s">
        <v>435</v>
      </c>
      <c r="B60" s="416" t="s">
        <v>1510</v>
      </c>
      <c r="C60" s="415" t="s">
        <v>337</v>
      </c>
      <c r="D60" s="416" t="s">
        <v>318</v>
      </c>
      <c r="E60" s="416" t="s">
        <v>1511</v>
      </c>
      <c r="F60" s="415" t="s">
        <v>337</v>
      </c>
      <c r="I60" s="415" t="s">
        <v>337</v>
      </c>
      <c r="L60" s="415" t="s">
        <v>337</v>
      </c>
      <c r="M60" s="213" t="s">
        <v>1512</v>
      </c>
      <c r="N60" s="416" t="s">
        <v>1513</v>
      </c>
      <c r="O60" s="415" t="s">
        <v>337</v>
      </c>
      <c r="R60" s="415" t="s">
        <v>337</v>
      </c>
      <c r="S60" s="213" t="s">
        <v>1514</v>
      </c>
      <c r="T60" s="416" t="s">
        <v>1515</v>
      </c>
      <c r="U60" s="415" t="s">
        <v>337</v>
      </c>
      <c r="X60" s="415"/>
      <c r="AA60" s="415"/>
      <c r="AB60" s="213">
        <v>9038</v>
      </c>
      <c r="AC60" s="416" t="s">
        <v>1516</v>
      </c>
      <c r="AD60" s="415"/>
      <c r="AE60" s="417" t="s">
        <v>1517</v>
      </c>
      <c r="AF60" s="416" t="s">
        <v>1518</v>
      </c>
      <c r="AG60" s="415"/>
      <c r="AJ60" s="415" t="s">
        <v>337</v>
      </c>
      <c r="AM60" s="415" t="s">
        <v>337</v>
      </c>
      <c r="AP60" s="415" t="s">
        <v>337</v>
      </c>
      <c r="AS60" s="415" t="s">
        <v>337</v>
      </c>
      <c r="AV60" s="415" t="s">
        <v>337</v>
      </c>
      <c r="AY60" s="415" t="s">
        <v>337</v>
      </c>
      <c r="AZ60" s="213">
        <v>122007</v>
      </c>
      <c r="BA60" s="416" t="s">
        <v>1519</v>
      </c>
      <c r="BB60" s="415" t="s">
        <v>337</v>
      </c>
      <c r="BE60" s="415" t="s">
        <v>337</v>
      </c>
      <c r="BH60" s="415" t="s">
        <v>337</v>
      </c>
      <c r="BI60" s="213" t="s">
        <v>609</v>
      </c>
      <c r="BJ60" s="416" t="s">
        <v>610</v>
      </c>
      <c r="BK60" s="213" t="s">
        <v>120</v>
      </c>
      <c r="BL60" s="416" t="s">
        <v>639</v>
      </c>
      <c r="BM60" s="415" t="s">
        <v>337</v>
      </c>
      <c r="BN60" s="213" t="s">
        <v>1520</v>
      </c>
      <c r="BO60" s="416" t="s">
        <v>1521</v>
      </c>
      <c r="BP60" s="415" t="s">
        <v>337</v>
      </c>
      <c r="BS60" s="415"/>
      <c r="BV60" s="415" t="s">
        <v>337</v>
      </c>
      <c r="BY60" s="415" t="s">
        <v>337</v>
      </c>
      <c r="CB60" s="415" t="s">
        <v>337</v>
      </c>
      <c r="CE60" s="415" t="s">
        <v>337</v>
      </c>
      <c r="CH60" s="415" t="s">
        <v>337</v>
      </c>
      <c r="CK60" s="415" t="s">
        <v>337</v>
      </c>
      <c r="CN60" s="415" t="s">
        <v>337</v>
      </c>
      <c r="CQ60" s="415" t="s">
        <v>337</v>
      </c>
      <c r="CT60" s="415" t="s">
        <v>337</v>
      </c>
    </row>
    <row r="61" spans="1:98">
      <c r="A61" s="1" t="s">
        <v>435</v>
      </c>
      <c r="B61" s="416" t="s">
        <v>1522</v>
      </c>
      <c r="C61" s="415" t="s">
        <v>337</v>
      </c>
      <c r="D61" s="416" t="s">
        <v>318</v>
      </c>
      <c r="E61" s="416" t="s">
        <v>1523</v>
      </c>
      <c r="F61" s="415" t="s">
        <v>337</v>
      </c>
      <c r="I61" s="415" t="s">
        <v>337</v>
      </c>
      <c r="L61" s="415" t="s">
        <v>337</v>
      </c>
      <c r="M61" s="213" t="s">
        <v>1524</v>
      </c>
      <c r="N61" s="416" t="s">
        <v>1525</v>
      </c>
      <c r="O61" s="415" t="s">
        <v>337</v>
      </c>
      <c r="R61" s="415" t="s">
        <v>337</v>
      </c>
      <c r="S61" s="213" t="s">
        <v>1526</v>
      </c>
      <c r="T61" s="416" t="s">
        <v>1527</v>
      </c>
      <c r="U61" s="415" t="s">
        <v>337</v>
      </c>
      <c r="X61" s="415"/>
      <c r="AA61" s="415"/>
      <c r="AB61" s="213">
        <v>9039</v>
      </c>
      <c r="AC61" s="416" t="s">
        <v>1528</v>
      </c>
      <c r="AD61" s="415"/>
      <c r="AE61" s="417" t="s">
        <v>1529</v>
      </c>
      <c r="AF61" s="416" t="s">
        <v>1530</v>
      </c>
      <c r="AG61" s="415"/>
      <c r="AJ61" s="415" t="s">
        <v>337</v>
      </c>
      <c r="AM61" s="415" t="s">
        <v>337</v>
      </c>
      <c r="AP61" s="415" t="s">
        <v>337</v>
      </c>
      <c r="AS61" s="415" t="s">
        <v>337</v>
      </c>
      <c r="AV61" s="415" t="s">
        <v>337</v>
      </c>
      <c r="AY61" s="415" t="s">
        <v>337</v>
      </c>
      <c r="AZ61" s="213">
        <v>122008</v>
      </c>
      <c r="BA61" s="416" t="s">
        <v>1531</v>
      </c>
      <c r="BB61" s="415" t="s">
        <v>337</v>
      </c>
      <c r="BE61" s="415" t="s">
        <v>337</v>
      </c>
      <c r="BH61" s="415" t="s">
        <v>337</v>
      </c>
      <c r="BI61" s="213" t="s">
        <v>609</v>
      </c>
      <c r="BJ61" s="416" t="s">
        <v>610</v>
      </c>
      <c r="BK61" s="213" t="s">
        <v>666</v>
      </c>
      <c r="BL61" s="416" t="s">
        <v>667</v>
      </c>
      <c r="BM61" s="415" t="s">
        <v>337</v>
      </c>
      <c r="BN61" s="213" t="s">
        <v>1532</v>
      </c>
      <c r="BO61" s="416" t="s">
        <v>1533</v>
      </c>
      <c r="BP61" s="415" t="s">
        <v>337</v>
      </c>
      <c r="BS61" s="415"/>
      <c r="BV61" s="415" t="s">
        <v>337</v>
      </c>
      <c r="BY61" s="415" t="s">
        <v>337</v>
      </c>
      <c r="CB61" s="415" t="s">
        <v>337</v>
      </c>
      <c r="CE61" s="415" t="s">
        <v>337</v>
      </c>
      <c r="CH61" s="415" t="s">
        <v>337</v>
      </c>
      <c r="CK61" s="415" t="s">
        <v>337</v>
      </c>
      <c r="CN61" s="415" t="s">
        <v>337</v>
      </c>
      <c r="CQ61" s="415" t="s">
        <v>337</v>
      </c>
      <c r="CT61" s="415" t="s">
        <v>337</v>
      </c>
    </row>
    <row r="62" spans="1:98">
      <c r="A62" s="1" t="s">
        <v>435</v>
      </c>
      <c r="B62" s="416" t="s">
        <v>1534</v>
      </c>
      <c r="C62" s="415" t="s">
        <v>337</v>
      </c>
      <c r="D62" s="416" t="s">
        <v>318</v>
      </c>
      <c r="E62" s="416" t="s">
        <v>1535</v>
      </c>
      <c r="F62" s="415" t="s">
        <v>337</v>
      </c>
      <c r="I62" s="415" t="s">
        <v>337</v>
      </c>
      <c r="L62" s="415" t="s">
        <v>337</v>
      </c>
      <c r="M62" s="213" t="s">
        <v>1536</v>
      </c>
      <c r="N62" s="416" t="s">
        <v>1537</v>
      </c>
      <c r="O62" s="415" t="s">
        <v>337</v>
      </c>
      <c r="R62" s="415" t="s">
        <v>337</v>
      </c>
      <c r="S62" s="213" t="s">
        <v>1538</v>
      </c>
      <c r="T62" s="416" t="s">
        <v>1539</v>
      </c>
      <c r="U62" s="415" t="s">
        <v>337</v>
      </c>
      <c r="X62" s="415"/>
      <c r="AA62" s="415"/>
      <c r="AB62" s="213">
        <v>9040</v>
      </c>
      <c r="AC62" s="416" t="s">
        <v>1540</v>
      </c>
      <c r="AD62" s="415"/>
      <c r="AE62" s="417" t="s">
        <v>1541</v>
      </c>
      <c r="AF62" s="416" t="s">
        <v>1542</v>
      </c>
      <c r="AG62" s="415"/>
      <c r="AJ62" s="415" t="s">
        <v>337</v>
      </c>
      <c r="AM62" s="415" t="s">
        <v>337</v>
      </c>
      <c r="AP62" s="415" t="s">
        <v>337</v>
      </c>
      <c r="AS62" s="415" t="s">
        <v>337</v>
      </c>
      <c r="AV62" s="415" t="s">
        <v>337</v>
      </c>
      <c r="AY62" s="415" t="s">
        <v>337</v>
      </c>
      <c r="AZ62" s="213">
        <v>123001</v>
      </c>
      <c r="BA62" s="416" t="s">
        <v>1543</v>
      </c>
      <c r="BB62" s="415" t="s">
        <v>337</v>
      </c>
      <c r="BE62" s="415" t="s">
        <v>337</v>
      </c>
      <c r="BH62" s="415" t="s">
        <v>337</v>
      </c>
      <c r="BI62" s="213" t="s">
        <v>609</v>
      </c>
      <c r="BJ62" s="416" t="s">
        <v>610</v>
      </c>
      <c r="BK62" s="213" t="s">
        <v>694</v>
      </c>
      <c r="BL62" s="416" t="s">
        <v>695</v>
      </c>
      <c r="BM62" s="415" t="s">
        <v>337</v>
      </c>
      <c r="BN62" s="213" t="s">
        <v>1544</v>
      </c>
      <c r="BO62" s="416" t="s">
        <v>1545</v>
      </c>
      <c r="BP62" s="415" t="s">
        <v>337</v>
      </c>
      <c r="BS62" s="415"/>
      <c r="BV62" s="415" t="s">
        <v>337</v>
      </c>
      <c r="BY62" s="415" t="s">
        <v>337</v>
      </c>
      <c r="CB62" s="415" t="s">
        <v>337</v>
      </c>
      <c r="CE62" s="415" t="s">
        <v>337</v>
      </c>
      <c r="CH62" s="415" t="s">
        <v>337</v>
      </c>
      <c r="CK62" s="415" t="s">
        <v>337</v>
      </c>
      <c r="CN62" s="415" t="s">
        <v>337</v>
      </c>
      <c r="CQ62" s="415" t="s">
        <v>337</v>
      </c>
      <c r="CT62" s="415" t="s">
        <v>337</v>
      </c>
    </row>
    <row r="63" spans="1:98">
      <c r="A63" s="1" t="s">
        <v>435</v>
      </c>
      <c r="B63" s="416" t="s">
        <v>1546</v>
      </c>
      <c r="C63" s="415" t="s">
        <v>337</v>
      </c>
      <c r="D63" s="416" t="s">
        <v>318</v>
      </c>
      <c r="E63" s="416" t="s">
        <v>1547</v>
      </c>
      <c r="F63" s="415" t="s">
        <v>337</v>
      </c>
      <c r="I63" s="415" t="s">
        <v>337</v>
      </c>
      <c r="L63" s="415" t="s">
        <v>337</v>
      </c>
      <c r="M63" s="213" t="s">
        <v>1548</v>
      </c>
      <c r="N63" s="416" t="s">
        <v>1549</v>
      </c>
      <c r="O63" s="415" t="s">
        <v>337</v>
      </c>
      <c r="R63" s="415" t="s">
        <v>337</v>
      </c>
      <c r="S63" s="213" t="s">
        <v>1550</v>
      </c>
      <c r="T63" s="416" t="s">
        <v>1551</v>
      </c>
      <c r="U63" s="415" t="s">
        <v>337</v>
      </c>
      <c r="X63" s="415"/>
      <c r="AA63" s="415"/>
      <c r="AB63" s="213">
        <v>9041</v>
      </c>
      <c r="AC63" s="416" t="s">
        <v>1552</v>
      </c>
      <c r="AD63" s="415"/>
      <c r="AE63" s="417" t="s">
        <v>1553</v>
      </c>
      <c r="AF63" s="416" t="s">
        <v>1554</v>
      </c>
      <c r="AG63" s="415"/>
      <c r="AJ63" s="415" t="s">
        <v>337</v>
      </c>
      <c r="AM63" s="415" t="s">
        <v>337</v>
      </c>
      <c r="AP63" s="415" t="s">
        <v>337</v>
      </c>
      <c r="AS63" s="415" t="s">
        <v>337</v>
      </c>
      <c r="AV63" s="415" t="s">
        <v>337</v>
      </c>
      <c r="AY63" s="415" t="s">
        <v>337</v>
      </c>
      <c r="AZ63" s="213">
        <v>123002</v>
      </c>
      <c r="BA63" s="416" t="s">
        <v>900</v>
      </c>
      <c r="BB63" s="415" t="s">
        <v>337</v>
      </c>
      <c r="BE63" s="415" t="s">
        <v>337</v>
      </c>
      <c r="BH63" s="415" t="s">
        <v>337</v>
      </c>
      <c r="BI63" s="213" t="s">
        <v>609</v>
      </c>
      <c r="BJ63" s="416" t="s">
        <v>610</v>
      </c>
      <c r="BK63" s="213" t="s">
        <v>1024</v>
      </c>
      <c r="BL63" s="416" t="s">
        <v>1025</v>
      </c>
      <c r="BM63" s="415" t="s">
        <v>337</v>
      </c>
      <c r="BN63" s="213" t="s">
        <v>1555</v>
      </c>
      <c r="BO63" s="416" t="s">
        <v>1556</v>
      </c>
      <c r="BP63" s="415" t="s">
        <v>337</v>
      </c>
      <c r="BS63" s="415"/>
      <c r="BV63" s="415" t="s">
        <v>337</v>
      </c>
      <c r="BY63" s="415" t="s">
        <v>337</v>
      </c>
      <c r="CB63" s="415" t="s">
        <v>337</v>
      </c>
      <c r="CE63" s="415" t="s">
        <v>337</v>
      </c>
      <c r="CH63" s="415" t="s">
        <v>337</v>
      </c>
      <c r="CK63" s="415" t="s">
        <v>337</v>
      </c>
      <c r="CN63" s="415" t="s">
        <v>337</v>
      </c>
      <c r="CQ63" s="415" t="s">
        <v>337</v>
      </c>
      <c r="CT63" s="415" t="s">
        <v>337</v>
      </c>
    </row>
    <row r="64" spans="1:98">
      <c r="A64" s="1" t="s">
        <v>435</v>
      </c>
      <c r="B64" s="416" t="s">
        <v>1557</v>
      </c>
      <c r="C64" s="415" t="s">
        <v>337</v>
      </c>
      <c r="D64" s="416" t="s">
        <v>318</v>
      </c>
      <c r="E64" s="416" t="s">
        <v>1558</v>
      </c>
      <c r="F64" s="415" t="s">
        <v>337</v>
      </c>
      <c r="I64" s="415" t="s">
        <v>337</v>
      </c>
      <c r="L64" s="415" t="s">
        <v>337</v>
      </c>
      <c r="M64" s="213" t="s">
        <v>1559</v>
      </c>
      <c r="N64" s="416" t="s">
        <v>1560</v>
      </c>
      <c r="O64" s="415" t="s">
        <v>337</v>
      </c>
      <c r="R64" s="415" t="s">
        <v>337</v>
      </c>
      <c r="S64" s="213" t="s">
        <v>1561</v>
      </c>
      <c r="T64" s="416" t="s">
        <v>1562</v>
      </c>
      <c r="U64" s="415" t="s">
        <v>337</v>
      </c>
      <c r="X64" s="415"/>
      <c r="AA64" s="415"/>
      <c r="AB64" s="213">
        <v>9042</v>
      </c>
      <c r="AC64" s="416" t="s">
        <v>1563</v>
      </c>
      <c r="AD64" s="415"/>
      <c r="AE64" s="417" t="s">
        <v>1564</v>
      </c>
      <c r="AF64" s="416" t="s">
        <v>1565</v>
      </c>
      <c r="AG64" s="415"/>
      <c r="AJ64" s="415" t="s">
        <v>337</v>
      </c>
      <c r="AM64" s="415" t="s">
        <v>337</v>
      </c>
      <c r="AP64" s="415" t="s">
        <v>337</v>
      </c>
      <c r="AS64" s="415" t="s">
        <v>337</v>
      </c>
      <c r="AV64" s="415" t="s">
        <v>337</v>
      </c>
      <c r="AY64" s="415" t="s">
        <v>337</v>
      </c>
      <c r="AZ64" s="213">
        <v>123003</v>
      </c>
      <c r="BA64" s="416" t="s">
        <v>1566</v>
      </c>
      <c r="BB64" s="415" t="s">
        <v>337</v>
      </c>
      <c r="BE64" s="415" t="s">
        <v>337</v>
      </c>
      <c r="BH64" s="415" t="s">
        <v>337</v>
      </c>
      <c r="BI64" s="213" t="s">
        <v>609</v>
      </c>
      <c r="BJ64" s="416" t="s">
        <v>610</v>
      </c>
      <c r="BK64" s="213" t="s">
        <v>721</v>
      </c>
      <c r="BL64" s="416" t="s">
        <v>722</v>
      </c>
      <c r="BM64" s="415" t="s">
        <v>337</v>
      </c>
      <c r="BN64" s="213" t="s">
        <v>1567</v>
      </c>
      <c r="BO64" s="416" t="s">
        <v>1556</v>
      </c>
      <c r="BP64" s="415" t="s">
        <v>337</v>
      </c>
      <c r="BS64" s="415"/>
      <c r="BV64" s="415" t="s">
        <v>337</v>
      </c>
      <c r="BY64" s="415" t="s">
        <v>337</v>
      </c>
      <c r="CB64" s="415" t="s">
        <v>337</v>
      </c>
      <c r="CE64" s="415" t="s">
        <v>337</v>
      </c>
      <c r="CH64" s="415" t="s">
        <v>337</v>
      </c>
      <c r="CK64" s="415" t="s">
        <v>337</v>
      </c>
      <c r="CN64" s="415" t="s">
        <v>337</v>
      </c>
      <c r="CQ64" s="415" t="s">
        <v>337</v>
      </c>
      <c r="CT64" s="415" t="s">
        <v>337</v>
      </c>
    </row>
    <row r="65" spans="1:98">
      <c r="A65" s="1" t="s">
        <v>435</v>
      </c>
      <c r="B65" s="416" t="s">
        <v>1568</v>
      </c>
      <c r="C65" s="415" t="s">
        <v>337</v>
      </c>
      <c r="D65" s="416" t="s">
        <v>318</v>
      </c>
      <c r="E65" s="416" t="s">
        <v>1569</v>
      </c>
      <c r="F65" s="415" t="s">
        <v>337</v>
      </c>
      <c r="I65" s="415" t="s">
        <v>337</v>
      </c>
      <c r="L65" s="415" t="s">
        <v>337</v>
      </c>
      <c r="M65" s="213" t="s">
        <v>1570</v>
      </c>
      <c r="N65" s="416" t="s">
        <v>1571</v>
      </c>
      <c r="O65" s="415" t="s">
        <v>337</v>
      </c>
      <c r="R65" s="415" t="s">
        <v>337</v>
      </c>
      <c r="S65" s="213" t="s">
        <v>1572</v>
      </c>
      <c r="T65" s="416" t="s">
        <v>1573</v>
      </c>
      <c r="U65" s="415" t="s">
        <v>337</v>
      </c>
      <c r="X65" s="415"/>
      <c r="AA65" s="415"/>
      <c r="AB65" s="213">
        <v>9043</v>
      </c>
      <c r="AC65" s="416" t="s">
        <v>1574</v>
      </c>
      <c r="AD65" s="415"/>
      <c r="AE65" s="417" t="s">
        <v>1575</v>
      </c>
      <c r="AF65" s="416" t="s">
        <v>1576</v>
      </c>
      <c r="AG65" s="415"/>
      <c r="AJ65" s="415" t="s">
        <v>337</v>
      </c>
      <c r="AM65" s="415" t="s">
        <v>337</v>
      </c>
      <c r="AP65" s="415" t="s">
        <v>337</v>
      </c>
      <c r="AS65" s="415" t="s">
        <v>337</v>
      </c>
      <c r="AV65" s="415" t="s">
        <v>337</v>
      </c>
      <c r="AY65" s="415" t="s">
        <v>337</v>
      </c>
      <c r="AZ65" s="213">
        <v>123004</v>
      </c>
      <c r="BA65" s="416" t="s">
        <v>1577</v>
      </c>
      <c r="BB65" s="415" t="s">
        <v>337</v>
      </c>
      <c r="BE65" s="415" t="s">
        <v>337</v>
      </c>
      <c r="BH65" s="415" t="s">
        <v>337</v>
      </c>
      <c r="BI65" s="213" t="s">
        <v>609</v>
      </c>
      <c r="BJ65" s="416" t="s">
        <v>610</v>
      </c>
      <c r="BK65" s="213" t="s">
        <v>1234</v>
      </c>
      <c r="BL65" s="416" t="s">
        <v>1235</v>
      </c>
      <c r="BM65" s="415" t="s">
        <v>337</v>
      </c>
      <c r="BN65" s="213" t="s">
        <v>1578</v>
      </c>
      <c r="BO65" s="416" t="s">
        <v>1579</v>
      </c>
      <c r="BP65" s="415" t="s">
        <v>337</v>
      </c>
      <c r="BS65" s="415"/>
      <c r="BV65" s="415" t="s">
        <v>337</v>
      </c>
      <c r="BY65" s="415" t="s">
        <v>337</v>
      </c>
      <c r="CB65" s="415" t="s">
        <v>337</v>
      </c>
      <c r="CE65" s="415" t="s">
        <v>337</v>
      </c>
      <c r="CH65" s="415" t="s">
        <v>337</v>
      </c>
      <c r="CK65" s="415" t="s">
        <v>337</v>
      </c>
      <c r="CN65" s="415" t="s">
        <v>337</v>
      </c>
      <c r="CQ65" s="415" t="s">
        <v>337</v>
      </c>
      <c r="CT65" s="415" t="s">
        <v>337</v>
      </c>
    </row>
    <row r="66" spans="1:98">
      <c r="A66" s="1" t="s">
        <v>435</v>
      </c>
      <c r="B66" s="416" t="s">
        <v>1580</v>
      </c>
      <c r="C66" s="415" t="s">
        <v>337</v>
      </c>
      <c r="D66" s="416" t="s">
        <v>318</v>
      </c>
      <c r="E66" s="416" t="s">
        <v>1581</v>
      </c>
      <c r="F66" s="415" t="s">
        <v>337</v>
      </c>
      <c r="I66" s="415" t="s">
        <v>337</v>
      </c>
      <c r="L66" s="415" t="s">
        <v>337</v>
      </c>
      <c r="M66" s="213" t="s">
        <v>1582</v>
      </c>
      <c r="N66" s="416" t="s">
        <v>1583</v>
      </c>
      <c r="O66" s="415" t="s">
        <v>337</v>
      </c>
      <c r="R66" s="415" t="s">
        <v>337</v>
      </c>
      <c r="S66" s="213" t="s">
        <v>1584</v>
      </c>
      <c r="T66" s="416" t="s">
        <v>1585</v>
      </c>
      <c r="U66" s="415" t="s">
        <v>337</v>
      </c>
      <c r="X66" s="415"/>
      <c r="AA66" s="415"/>
      <c r="AB66" s="213">
        <v>9044</v>
      </c>
      <c r="AC66" s="416" t="s">
        <v>1586</v>
      </c>
      <c r="AD66" s="415"/>
      <c r="AE66" s="417" t="s">
        <v>1587</v>
      </c>
      <c r="AF66" s="416" t="s">
        <v>1588</v>
      </c>
      <c r="AG66" s="415"/>
      <c r="AJ66" s="415" t="s">
        <v>337</v>
      </c>
      <c r="AM66" s="415" t="s">
        <v>337</v>
      </c>
      <c r="AP66" s="415" t="s">
        <v>337</v>
      </c>
      <c r="AS66" s="415" t="s">
        <v>337</v>
      </c>
      <c r="AV66" s="415" t="s">
        <v>337</v>
      </c>
      <c r="AY66" s="415" t="s">
        <v>337</v>
      </c>
      <c r="AZ66" s="213">
        <v>123005</v>
      </c>
      <c r="BA66" s="416" t="s">
        <v>1239</v>
      </c>
      <c r="BB66" s="415" t="s">
        <v>337</v>
      </c>
      <c r="BE66" s="415" t="s">
        <v>337</v>
      </c>
      <c r="BH66" s="415" t="s">
        <v>337</v>
      </c>
      <c r="BI66" s="213" t="s">
        <v>609</v>
      </c>
      <c r="BJ66" s="416" t="s">
        <v>610</v>
      </c>
      <c r="BK66" s="213" t="s">
        <v>1373</v>
      </c>
      <c r="BL66" s="416" t="s">
        <v>1374</v>
      </c>
      <c r="BM66" s="415" t="s">
        <v>337</v>
      </c>
      <c r="BN66" s="213" t="s">
        <v>1589</v>
      </c>
      <c r="BO66" s="416" t="s">
        <v>1590</v>
      </c>
      <c r="BP66" s="415" t="s">
        <v>337</v>
      </c>
      <c r="BS66" s="415"/>
      <c r="BV66" s="415" t="s">
        <v>337</v>
      </c>
      <c r="BY66" s="415" t="s">
        <v>337</v>
      </c>
      <c r="CB66" s="415" t="s">
        <v>337</v>
      </c>
      <c r="CE66" s="415" t="s">
        <v>337</v>
      </c>
      <c r="CH66" s="415" t="s">
        <v>337</v>
      </c>
      <c r="CK66" s="415" t="s">
        <v>337</v>
      </c>
      <c r="CN66" s="415" t="s">
        <v>337</v>
      </c>
      <c r="CQ66" s="415" t="s">
        <v>337</v>
      </c>
      <c r="CT66" s="415" t="s">
        <v>337</v>
      </c>
    </row>
    <row r="67" spans="1:98">
      <c r="A67" s="1" t="s">
        <v>435</v>
      </c>
      <c r="B67" s="416" t="s">
        <v>1195</v>
      </c>
      <c r="C67" s="415" t="s">
        <v>337</v>
      </c>
      <c r="D67" s="416" t="s">
        <v>318</v>
      </c>
      <c r="E67" s="416" t="s">
        <v>1591</v>
      </c>
      <c r="F67" s="415" t="s">
        <v>337</v>
      </c>
      <c r="I67" s="415" t="s">
        <v>337</v>
      </c>
      <c r="L67" s="415" t="s">
        <v>337</v>
      </c>
      <c r="M67" s="213" t="s">
        <v>1592</v>
      </c>
      <c r="N67" s="416" t="s">
        <v>1593</v>
      </c>
      <c r="O67" s="415" t="s">
        <v>337</v>
      </c>
      <c r="R67" s="415" t="s">
        <v>337</v>
      </c>
      <c r="S67" s="213" t="s">
        <v>1594</v>
      </c>
      <c r="T67" s="416" t="s">
        <v>1595</v>
      </c>
      <c r="U67" s="415" t="s">
        <v>337</v>
      </c>
      <c r="X67" s="415"/>
      <c r="AA67" s="415"/>
      <c r="AB67" s="213">
        <v>9045</v>
      </c>
      <c r="AC67" s="416" t="s">
        <v>1596</v>
      </c>
      <c r="AD67" s="415"/>
      <c r="AE67" s="417" t="s">
        <v>1597</v>
      </c>
      <c r="AF67" s="416" t="s">
        <v>1598</v>
      </c>
      <c r="AG67" s="415"/>
      <c r="AJ67" s="415" t="s">
        <v>337</v>
      </c>
      <c r="AM67" s="415" t="s">
        <v>337</v>
      </c>
      <c r="AP67" s="415" t="s">
        <v>337</v>
      </c>
      <c r="AS67" s="415" t="s">
        <v>337</v>
      </c>
      <c r="AV67" s="415" t="s">
        <v>337</v>
      </c>
      <c r="AY67" s="415" t="s">
        <v>337</v>
      </c>
      <c r="AZ67" s="213">
        <v>123006</v>
      </c>
      <c r="BA67" s="416" t="s">
        <v>1095</v>
      </c>
      <c r="BB67" s="415" t="s">
        <v>337</v>
      </c>
      <c r="BE67" s="415" t="s">
        <v>337</v>
      </c>
      <c r="BH67" s="415" t="s">
        <v>337</v>
      </c>
      <c r="BI67" s="213" t="s">
        <v>609</v>
      </c>
      <c r="BJ67" s="416" t="s">
        <v>610</v>
      </c>
      <c r="BK67" s="213" t="s">
        <v>1480</v>
      </c>
      <c r="BL67" s="416" t="s">
        <v>1481</v>
      </c>
      <c r="BM67" s="415" t="s">
        <v>337</v>
      </c>
      <c r="BN67" s="213" t="s">
        <v>1599</v>
      </c>
      <c r="BO67" s="416" t="s">
        <v>1600</v>
      </c>
      <c r="BP67" s="415" t="s">
        <v>337</v>
      </c>
      <c r="BS67" s="415"/>
      <c r="BV67" s="415" t="s">
        <v>337</v>
      </c>
      <c r="BY67" s="415" t="s">
        <v>337</v>
      </c>
      <c r="CB67" s="415" t="s">
        <v>337</v>
      </c>
      <c r="CE67" s="415" t="s">
        <v>337</v>
      </c>
      <c r="CH67" s="415" t="s">
        <v>337</v>
      </c>
      <c r="CK67" s="415" t="s">
        <v>337</v>
      </c>
      <c r="CN67" s="415" t="s">
        <v>337</v>
      </c>
      <c r="CQ67" s="415" t="s">
        <v>337</v>
      </c>
      <c r="CT67" s="415" t="s">
        <v>337</v>
      </c>
    </row>
    <row r="68" spans="1:98">
      <c r="A68" s="1" t="s">
        <v>435</v>
      </c>
      <c r="B68" s="416" t="s">
        <v>1601</v>
      </c>
      <c r="C68" s="415" t="s">
        <v>337</v>
      </c>
      <c r="D68" s="416" t="s">
        <v>318</v>
      </c>
      <c r="E68" s="416" t="s">
        <v>1602</v>
      </c>
      <c r="F68" s="415" t="s">
        <v>337</v>
      </c>
      <c r="I68" s="415" t="s">
        <v>337</v>
      </c>
      <c r="L68" s="415" t="s">
        <v>337</v>
      </c>
      <c r="M68" s="213" t="s">
        <v>1603</v>
      </c>
      <c r="N68" s="416" t="s">
        <v>1604</v>
      </c>
      <c r="O68" s="415" t="s">
        <v>337</v>
      </c>
      <c r="R68" s="415" t="s">
        <v>337</v>
      </c>
      <c r="S68" s="213" t="s">
        <v>1605</v>
      </c>
      <c r="T68" s="416" t="s">
        <v>1606</v>
      </c>
      <c r="U68" s="415" t="s">
        <v>337</v>
      </c>
      <c r="X68" s="415"/>
      <c r="AA68" s="415"/>
      <c r="AB68" s="213">
        <v>9046</v>
      </c>
      <c r="AC68" s="416" t="s">
        <v>1607</v>
      </c>
      <c r="AD68" s="415"/>
      <c r="AE68" s="417" t="s">
        <v>1608</v>
      </c>
      <c r="AF68" s="416" t="s">
        <v>1609</v>
      </c>
      <c r="AG68" s="415"/>
      <c r="AJ68" s="415" t="s">
        <v>337</v>
      </c>
      <c r="AM68" s="415" t="s">
        <v>337</v>
      </c>
      <c r="AP68" s="415" t="s">
        <v>337</v>
      </c>
      <c r="AS68" s="415" t="s">
        <v>337</v>
      </c>
      <c r="AV68" s="415" t="s">
        <v>337</v>
      </c>
      <c r="AY68" s="415" t="s">
        <v>337</v>
      </c>
      <c r="AZ68" s="213">
        <v>123007</v>
      </c>
      <c r="BA68" s="416" t="s">
        <v>1610</v>
      </c>
      <c r="BB68" s="415" t="s">
        <v>337</v>
      </c>
      <c r="BE68" s="415" t="s">
        <v>337</v>
      </c>
      <c r="BH68" s="415" t="s">
        <v>337</v>
      </c>
      <c r="BI68" s="213" t="s">
        <v>637</v>
      </c>
      <c r="BJ68" s="416" t="s">
        <v>638</v>
      </c>
      <c r="BK68" s="213" t="s">
        <v>1611</v>
      </c>
      <c r="BL68" s="416" t="s">
        <v>1612</v>
      </c>
      <c r="BM68" s="415" t="s">
        <v>337</v>
      </c>
      <c r="BN68" s="213" t="s">
        <v>1613</v>
      </c>
      <c r="BO68" s="416" t="s">
        <v>1614</v>
      </c>
      <c r="BP68" s="415" t="s">
        <v>337</v>
      </c>
      <c r="BS68" s="415"/>
      <c r="BV68" s="415" t="s">
        <v>337</v>
      </c>
      <c r="BY68" s="415" t="s">
        <v>337</v>
      </c>
      <c r="CB68" s="415" t="s">
        <v>337</v>
      </c>
      <c r="CE68" s="415" t="s">
        <v>337</v>
      </c>
      <c r="CH68" s="415" t="s">
        <v>337</v>
      </c>
      <c r="CK68" s="415" t="s">
        <v>337</v>
      </c>
      <c r="CN68" s="415" t="s">
        <v>337</v>
      </c>
      <c r="CQ68" s="415" t="s">
        <v>337</v>
      </c>
      <c r="CT68" s="415" t="s">
        <v>337</v>
      </c>
    </row>
    <row r="69" spans="1:98">
      <c r="A69" s="1" t="s">
        <v>435</v>
      </c>
      <c r="B69" s="416" t="s">
        <v>1615</v>
      </c>
      <c r="C69" s="415" t="s">
        <v>337</v>
      </c>
      <c r="D69" s="416" t="s">
        <v>318</v>
      </c>
      <c r="E69" s="416" t="s">
        <v>1616</v>
      </c>
      <c r="F69" s="415" t="s">
        <v>337</v>
      </c>
      <c r="I69" s="415" t="s">
        <v>337</v>
      </c>
      <c r="L69" s="415" t="s">
        <v>337</v>
      </c>
      <c r="M69" s="213" t="s">
        <v>1617</v>
      </c>
      <c r="N69" s="416" t="s">
        <v>1618</v>
      </c>
      <c r="O69" s="415" t="s">
        <v>337</v>
      </c>
      <c r="R69" s="415" t="s">
        <v>337</v>
      </c>
      <c r="S69" s="213" t="s">
        <v>1619</v>
      </c>
      <c r="T69" s="416" t="s">
        <v>1620</v>
      </c>
      <c r="U69" s="415" t="s">
        <v>337</v>
      </c>
      <c r="X69" s="415"/>
      <c r="AA69" s="415"/>
      <c r="AB69" s="213">
        <v>9047</v>
      </c>
      <c r="AC69" s="416" t="s">
        <v>1621</v>
      </c>
      <c r="AD69" s="415"/>
      <c r="AE69" s="417" t="s">
        <v>1622</v>
      </c>
      <c r="AF69" s="416" t="s">
        <v>1623</v>
      </c>
      <c r="AG69" s="415"/>
      <c r="AJ69" s="415" t="s">
        <v>337</v>
      </c>
      <c r="AM69" s="415" t="s">
        <v>337</v>
      </c>
      <c r="AP69" s="415" t="s">
        <v>337</v>
      </c>
      <c r="AS69" s="415" t="s">
        <v>337</v>
      </c>
      <c r="AV69" s="415" t="s">
        <v>337</v>
      </c>
      <c r="AY69" s="415" t="s">
        <v>337</v>
      </c>
      <c r="AZ69" s="213">
        <v>124001</v>
      </c>
      <c r="BA69" s="416" t="s">
        <v>1624</v>
      </c>
      <c r="BB69" s="415" t="s">
        <v>337</v>
      </c>
      <c r="BE69" s="415" t="s">
        <v>337</v>
      </c>
      <c r="BH69" s="415" t="s">
        <v>337</v>
      </c>
      <c r="BI69" s="213" t="s">
        <v>637</v>
      </c>
      <c r="BJ69" s="416" t="s">
        <v>638</v>
      </c>
      <c r="BK69" s="213" t="s">
        <v>1625</v>
      </c>
      <c r="BL69" s="416" t="s">
        <v>1626</v>
      </c>
      <c r="BM69" s="415" t="s">
        <v>337</v>
      </c>
      <c r="BN69" s="213" t="s">
        <v>1627</v>
      </c>
      <c r="BO69" s="416" t="s">
        <v>1628</v>
      </c>
      <c r="BP69" s="415" t="s">
        <v>337</v>
      </c>
      <c r="BS69" s="415"/>
      <c r="BV69" s="415" t="s">
        <v>337</v>
      </c>
      <c r="BY69" s="415" t="s">
        <v>337</v>
      </c>
      <c r="CB69" s="415" t="s">
        <v>337</v>
      </c>
      <c r="CE69" s="415" t="s">
        <v>337</v>
      </c>
      <c r="CH69" s="415" t="s">
        <v>337</v>
      </c>
      <c r="CK69" s="415" t="s">
        <v>337</v>
      </c>
      <c r="CN69" s="415" t="s">
        <v>337</v>
      </c>
      <c r="CQ69" s="415" t="s">
        <v>337</v>
      </c>
      <c r="CT69" s="415" t="s">
        <v>337</v>
      </c>
    </row>
    <row r="70" spans="1:98">
      <c r="A70" s="1" t="s">
        <v>435</v>
      </c>
      <c r="B70" s="416" t="s">
        <v>1629</v>
      </c>
      <c r="C70" s="415" t="s">
        <v>337</v>
      </c>
      <c r="D70" s="416" t="s">
        <v>318</v>
      </c>
      <c r="E70" s="416" t="s">
        <v>1630</v>
      </c>
      <c r="F70" s="415" t="s">
        <v>337</v>
      </c>
      <c r="I70" s="415" t="s">
        <v>337</v>
      </c>
      <c r="L70" s="415" t="s">
        <v>337</v>
      </c>
      <c r="M70" s="213" t="s">
        <v>1631</v>
      </c>
      <c r="N70" s="416" t="s">
        <v>1632</v>
      </c>
      <c r="O70" s="415" t="s">
        <v>337</v>
      </c>
      <c r="R70" s="415" t="s">
        <v>337</v>
      </c>
      <c r="S70" s="213" t="s">
        <v>1633</v>
      </c>
      <c r="T70" s="416" t="s">
        <v>1634</v>
      </c>
      <c r="U70" s="415" t="s">
        <v>337</v>
      </c>
      <c r="X70" s="415"/>
      <c r="AA70" s="415"/>
      <c r="AB70" s="213">
        <v>9048</v>
      </c>
      <c r="AC70" s="416" t="s">
        <v>1635</v>
      </c>
      <c r="AD70" s="415"/>
      <c r="AE70" s="417" t="s">
        <v>1636</v>
      </c>
      <c r="AF70" s="416" t="s">
        <v>1637</v>
      </c>
      <c r="AG70" s="415"/>
      <c r="AJ70" s="415" t="s">
        <v>337</v>
      </c>
      <c r="AM70" s="415" t="s">
        <v>337</v>
      </c>
      <c r="AP70" s="415" t="s">
        <v>337</v>
      </c>
      <c r="AS70" s="415" t="s">
        <v>337</v>
      </c>
      <c r="AV70" s="415" t="s">
        <v>337</v>
      </c>
      <c r="AY70" s="415" t="s">
        <v>337</v>
      </c>
      <c r="AZ70" s="213">
        <v>124002</v>
      </c>
      <c r="BA70" s="416" t="s">
        <v>1638</v>
      </c>
      <c r="BB70" s="415" t="s">
        <v>337</v>
      </c>
      <c r="BE70" s="415" t="s">
        <v>337</v>
      </c>
      <c r="BH70" s="415" t="s">
        <v>337</v>
      </c>
      <c r="BI70" s="213" t="s">
        <v>637</v>
      </c>
      <c r="BJ70" s="416" t="s">
        <v>638</v>
      </c>
      <c r="BK70" s="213" t="s">
        <v>1639</v>
      </c>
      <c r="BL70" s="416" t="s">
        <v>1640</v>
      </c>
      <c r="BM70" s="415" t="s">
        <v>337</v>
      </c>
      <c r="BN70" s="213" t="s">
        <v>1641</v>
      </c>
      <c r="BO70" s="416" t="s">
        <v>1642</v>
      </c>
      <c r="BP70" s="415" t="s">
        <v>337</v>
      </c>
      <c r="BS70" s="415"/>
      <c r="BV70" s="415" t="s">
        <v>337</v>
      </c>
      <c r="BY70" s="415" t="s">
        <v>337</v>
      </c>
      <c r="CB70" s="415" t="s">
        <v>337</v>
      </c>
      <c r="CE70" s="415" t="s">
        <v>337</v>
      </c>
      <c r="CH70" s="415" t="s">
        <v>337</v>
      </c>
      <c r="CK70" s="415" t="s">
        <v>337</v>
      </c>
      <c r="CN70" s="415" t="s">
        <v>337</v>
      </c>
      <c r="CQ70" s="415" t="s">
        <v>337</v>
      </c>
      <c r="CT70" s="415" t="s">
        <v>337</v>
      </c>
    </row>
    <row r="71" spans="1:98">
      <c r="A71" s="1" t="s">
        <v>435</v>
      </c>
      <c r="B71" s="416" t="s">
        <v>1643</v>
      </c>
      <c r="C71" s="415" t="s">
        <v>337</v>
      </c>
      <c r="D71" s="416" t="s">
        <v>318</v>
      </c>
      <c r="E71" s="416" t="s">
        <v>1644</v>
      </c>
      <c r="F71" s="415" t="s">
        <v>337</v>
      </c>
      <c r="I71" s="415" t="s">
        <v>337</v>
      </c>
      <c r="L71" s="415" t="s">
        <v>337</v>
      </c>
      <c r="M71" s="213" t="s">
        <v>1645</v>
      </c>
      <c r="N71" s="416" t="s">
        <v>1646</v>
      </c>
      <c r="O71" s="415" t="s">
        <v>337</v>
      </c>
      <c r="R71" s="415" t="s">
        <v>337</v>
      </c>
      <c r="S71" s="213" t="s">
        <v>1647</v>
      </c>
      <c r="T71" s="416" t="s">
        <v>1648</v>
      </c>
      <c r="U71" s="415" t="s">
        <v>337</v>
      </c>
      <c r="X71" s="415"/>
      <c r="AA71" s="415"/>
      <c r="AB71" s="213">
        <v>9049</v>
      </c>
      <c r="AC71" s="416" t="s">
        <v>1649</v>
      </c>
      <c r="AD71" s="415"/>
      <c r="AE71" s="417" t="s">
        <v>1650</v>
      </c>
      <c r="AF71" s="416" t="s">
        <v>1651</v>
      </c>
      <c r="AG71" s="415"/>
      <c r="AJ71" s="415" t="s">
        <v>337</v>
      </c>
      <c r="AM71" s="415" t="s">
        <v>337</v>
      </c>
      <c r="AP71" s="415" t="s">
        <v>337</v>
      </c>
      <c r="AS71" s="415" t="s">
        <v>337</v>
      </c>
      <c r="AV71" s="415" t="s">
        <v>337</v>
      </c>
      <c r="AY71" s="415" t="s">
        <v>337</v>
      </c>
      <c r="AZ71" s="213">
        <v>124003</v>
      </c>
      <c r="BA71" s="416" t="s">
        <v>1652</v>
      </c>
      <c r="BB71" s="415" t="s">
        <v>337</v>
      </c>
      <c r="BE71" s="415" t="s">
        <v>337</v>
      </c>
      <c r="BH71" s="415" t="s">
        <v>337</v>
      </c>
      <c r="BI71" s="213" t="s">
        <v>637</v>
      </c>
      <c r="BJ71" s="416" t="s">
        <v>638</v>
      </c>
      <c r="BK71" s="213" t="s">
        <v>1653</v>
      </c>
      <c r="BL71" s="416" t="s">
        <v>1654</v>
      </c>
      <c r="BM71" s="415" t="s">
        <v>337</v>
      </c>
      <c r="BN71" s="213" t="s">
        <v>1655</v>
      </c>
      <c r="BO71" s="416" t="s">
        <v>1656</v>
      </c>
      <c r="BP71" s="415" t="s">
        <v>337</v>
      </c>
      <c r="BS71" s="415"/>
      <c r="BV71" s="415" t="s">
        <v>337</v>
      </c>
      <c r="BY71" s="415" t="s">
        <v>337</v>
      </c>
      <c r="CB71" s="415" t="s">
        <v>337</v>
      </c>
      <c r="CE71" s="415" t="s">
        <v>337</v>
      </c>
      <c r="CH71" s="415" t="s">
        <v>337</v>
      </c>
      <c r="CK71" s="415" t="s">
        <v>337</v>
      </c>
      <c r="CN71" s="415" t="s">
        <v>337</v>
      </c>
      <c r="CQ71" s="415" t="s">
        <v>337</v>
      </c>
      <c r="CT71" s="415" t="s">
        <v>337</v>
      </c>
    </row>
    <row r="72" spans="1:98">
      <c r="A72" s="1" t="s">
        <v>435</v>
      </c>
      <c r="B72" s="416" t="s">
        <v>1657</v>
      </c>
      <c r="C72" s="415" t="s">
        <v>337</v>
      </c>
      <c r="D72" s="416" t="s">
        <v>318</v>
      </c>
      <c r="E72" s="416" t="s">
        <v>1658</v>
      </c>
      <c r="F72" s="415" t="s">
        <v>337</v>
      </c>
      <c r="I72" s="415" t="s">
        <v>337</v>
      </c>
      <c r="L72" s="415" t="s">
        <v>337</v>
      </c>
      <c r="M72" s="213" t="s">
        <v>1659</v>
      </c>
      <c r="N72" s="416" t="s">
        <v>1660</v>
      </c>
      <c r="O72" s="415" t="s">
        <v>337</v>
      </c>
      <c r="R72" s="415" t="s">
        <v>337</v>
      </c>
      <c r="S72" s="213" t="s">
        <v>1661</v>
      </c>
      <c r="T72" s="416" t="s">
        <v>1662</v>
      </c>
      <c r="U72" s="415" t="s">
        <v>337</v>
      </c>
      <c r="X72" s="415"/>
      <c r="AA72" s="415"/>
      <c r="AB72" s="213">
        <v>9050</v>
      </c>
      <c r="AC72" s="416" t="s">
        <v>1663</v>
      </c>
      <c r="AD72" s="415"/>
      <c r="AE72" s="417" t="s">
        <v>1664</v>
      </c>
      <c r="AF72" s="416" t="s">
        <v>1665</v>
      </c>
      <c r="AG72" s="415"/>
      <c r="AJ72" s="415" t="s">
        <v>337</v>
      </c>
      <c r="AM72" s="415" t="s">
        <v>337</v>
      </c>
      <c r="AP72" s="415" t="s">
        <v>337</v>
      </c>
      <c r="AS72" s="415" t="s">
        <v>337</v>
      </c>
      <c r="AV72" s="415" t="s">
        <v>337</v>
      </c>
      <c r="AY72" s="415" t="s">
        <v>337</v>
      </c>
      <c r="AZ72" s="213">
        <v>124004</v>
      </c>
      <c r="BA72" s="416" t="s">
        <v>1666</v>
      </c>
      <c r="BB72" s="415" t="s">
        <v>337</v>
      </c>
      <c r="BE72" s="415" t="s">
        <v>337</v>
      </c>
      <c r="BH72" s="415" t="s">
        <v>337</v>
      </c>
      <c r="BI72" s="213" t="s">
        <v>637</v>
      </c>
      <c r="BJ72" s="416" t="s">
        <v>638</v>
      </c>
      <c r="BK72" s="213" t="s">
        <v>1667</v>
      </c>
      <c r="BL72" s="416" t="s">
        <v>1668</v>
      </c>
      <c r="BM72" s="415" t="s">
        <v>337</v>
      </c>
      <c r="BN72" s="213" t="s">
        <v>1669</v>
      </c>
      <c r="BO72" s="416" t="s">
        <v>1670</v>
      </c>
      <c r="BP72" s="415" t="s">
        <v>337</v>
      </c>
      <c r="BS72" s="415"/>
      <c r="BV72" s="415" t="s">
        <v>337</v>
      </c>
      <c r="BY72" s="415" t="s">
        <v>337</v>
      </c>
      <c r="CB72" s="415" t="s">
        <v>337</v>
      </c>
      <c r="CE72" s="415" t="s">
        <v>337</v>
      </c>
      <c r="CH72" s="415" t="s">
        <v>337</v>
      </c>
      <c r="CK72" s="415" t="s">
        <v>337</v>
      </c>
      <c r="CN72" s="415" t="s">
        <v>337</v>
      </c>
      <c r="CQ72" s="415" t="s">
        <v>337</v>
      </c>
      <c r="CT72" s="415" t="s">
        <v>337</v>
      </c>
    </row>
    <row r="73" spans="1:98">
      <c r="A73" s="1" t="s">
        <v>477</v>
      </c>
      <c r="B73" s="416" t="s">
        <v>1671</v>
      </c>
      <c r="C73" s="415" t="s">
        <v>337</v>
      </c>
      <c r="D73" s="416" t="s">
        <v>318</v>
      </c>
      <c r="E73" s="416" t="s">
        <v>1672</v>
      </c>
      <c r="F73" s="415" t="s">
        <v>337</v>
      </c>
      <c r="I73" s="415" t="s">
        <v>337</v>
      </c>
      <c r="L73" s="415" t="s">
        <v>337</v>
      </c>
      <c r="M73" s="213" t="s">
        <v>1673</v>
      </c>
      <c r="N73" s="416" t="s">
        <v>1674</v>
      </c>
      <c r="O73" s="415" t="s">
        <v>337</v>
      </c>
      <c r="R73" s="415" t="s">
        <v>337</v>
      </c>
      <c r="S73" s="213" t="s">
        <v>1675</v>
      </c>
      <c r="T73" s="416" t="s">
        <v>1676</v>
      </c>
      <c r="U73" s="415" t="s">
        <v>337</v>
      </c>
      <c r="X73" s="415"/>
      <c r="AA73" s="415"/>
      <c r="AB73" s="213">
        <v>9051</v>
      </c>
      <c r="AC73" s="416" t="s">
        <v>1677</v>
      </c>
      <c r="AD73" s="415"/>
      <c r="AE73" s="417" t="s">
        <v>1678</v>
      </c>
      <c r="AF73" s="416" t="s">
        <v>1679</v>
      </c>
      <c r="AG73" s="415"/>
      <c r="AJ73" s="415" t="s">
        <v>337</v>
      </c>
      <c r="AM73" s="415" t="s">
        <v>337</v>
      </c>
      <c r="AP73" s="415" t="s">
        <v>337</v>
      </c>
      <c r="AS73" s="415" t="s">
        <v>337</v>
      </c>
      <c r="AV73" s="415" t="s">
        <v>337</v>
      </c>
      <c r="AY73" s="415" t="s">
        <v>337</v>
      </c>
      <c r="AZ73" s="213">
        <v>124005</v>
      </c>
      <c r="BA73" s="416" t="s">
        <v>1680</v>
      </c>
      <c r="BB73" s="415" t="s">
        <v>337</v>
      </c>
      <c r="BE73" s="415" t="s">
        <v>337</v>
      </c>
      <c r="BH73" s="415" t="s">
        <v>337</v>
      </c>
      <c r="BI73" s="213" t="s">
        <v>637</v>
      </c>
      <c r="BJ73" s="416" t="s">
        <v>638</v>
      </c>
      <c r="BK73" s="213" t="s">
        <v>749</v>
      </c>
      <c r="BL73" s="416" t="s">
        <v>750</v>
      </c>
      <c r="BM73" s="415" t="s">
        <v>337</v>
      </c>
      <c r="BN73" s="213" t="s">
        <v>1681</v>
      </c>
      <c r="BO73" s="416" t="s">
        <v>1682</v>
      </c>
      <c r="BP73" s="415" t="s">
        <v>337</v>
      </c>
      <c r="BS73" s="415"/>
      <c r="BV73" s="415" t="s">
        <v>337</v>
      </c>
      <c r="BY73" s="415" t="s">
        <v>337</v>
      </c>
      <c r="CB73" s="415" t="s">
        <v>337</v>
      </c>
      <c r="CE73" s="415" t="s">
        <v>337</v>
      </c>
      <c r="CH73" s="415" t="s">
        <v>337</v>
      </c>
      <c r="CK73" s="415" t="s">
        <v>337</v>
      </c>
      <c r="CN73" s="415" t="s">
        <v>337</v>
      </c>
      <c r="CQ73" s="415" t="s">
        <v>337</v>
      </c>
      <c r="CT73" s="415" t="s">
        <v>337</v>
      </c>
    </row>
    <row r="74" spans="1:98">
      <c r="A74" s="1" t="s">
        <v>477</v>
      </c>
      <c r="B74" s="416" t="s">
        <v>1683</v>
      </c>
      <c r="C74" s="415" t="s">
        <v>337</v>
      </c>
      <c r="D74" s="416" t="s">
        <v>318</v>
      </c>
      <c r="E74" s="416" t="s">
        <v>1684</v>
      </c>
      <c r="F74" s="415" t="s">
        <v>337</v>
      </c>
      <c r="I74" s="415" t="s">
        <v>337</v>
      </c>
      <c r="L74" s="415" t="s">
        <v>337</v>
      </c>
      <c r="M74" s="213" t="s">
        <v>1685</v>
      </c>
      <c r="N74" s="416" t="s">
        <v>1686</v>
      </c>
      <c r="O74" s="415" t="s">
        <v>337</v>
      </c>
      <c r="R74" s="415" t="s">
        <v>337</v>
      </c>
      <c r="S74" s="213" t="s">
        <v>1687</v>
      </c>
      <c r="T74" s="416" t="s">
        <v>1688</v>
      </c>
      <c r="U74" s="415" t="s">
        <v>337</v>
      </c>
      <c r="X74" s="415"/>
      <c r="AA74" s="415"/>
      <c r="AB74" s="213">
        <v>9052</v>
      </c>
      <c r="AC74" s="416" t="s">
        <v>1689</v>
      </c>
      <c r="AD74" s="415"/>
      <c r="AE74" s="417" t="s">
        <v>1690</v>
      </c>
      <c r="AF74" s="416" t="s">
        <v>1691</v>
      </c>
      <c r="AG74" s="415"/>
      <c r="AJ74" s="415" t="s">
        <v>337</v>
      </c>
      <c r="AM74" s="415" t="s">
        <v>337</v>
      </c>
      <c r="AP74" s="415" t="s">
        <v>337</v>
      </c>
      <c r="AS74" s="415" t="s">
        <v>337</v>
      </c>
      <c r="AV74" s="415" t="s">
        <v>337</v>
      </c>
      <c r="AY74" s="415" t="s">
        <v>337</v>
      </c>
      <c r="AZ74" s="213">
        <v>124006</v>
      </c>
      <c r="BA74" s="416" t="s">
        <v>1558</v>
      </c>
      <c r="BB74" s="415" t="s">
        <v>337</v>
      </c>
      <c r="BE74" s="415" t="s">
        <v>337</v>
      </c>
      <c r="BH74" s="415" t="s">
        <v>337</v>
      </c>
      <c r="BI74" s="213" t="s">
        <v>637</v>
      </c>
      <c r="BJ74" s="416" t="s">
        <v>638</v>
      </c>
      <c r="BK74" s="213" t="s">
        <v>1692</v>
      </c>
      <c r="BL74" s="416" t="s">
        <v>1693</v>
      </c>
      <c r="BM74" s="415" t="s">
        <v>337</v>
      </c>
      <c r="BN74" s="213" t="s">
        <v>1694</v>
      </c>
      <c r="BO74" s="416" t="s">
        <v>1695</v>
      </c>
      <c r="BP74" s="415" t="s">
        <v>337</v>
      </c>
      <c r="BS74" s="415"/>
      <c r="BV74" s="415" t="s">
        <v>337</v>
      </c>
      <c r="BY74" s="415" t="s">
        <v>337</v>
      </c>
      <c r="CB74" s="415" t="s">
        <v>337</v>
      </c>
      <c r="CE74" s="415" t="s">
        <v>337</v>
      </c>
      <c r="CH74" s="415" t="s">
        <v>337</v>
      </c>
      <c r="CK74" s="415" t="s">
        <v>337</v>
      </c>
      <c r="CN74" s="415" t="s">
        <v>337</v>
      </c>
      <c r="CQ74" s="415" t="s">
        <v>337</v>
      </c>
      <c r="CT74" s="415" t="s">
        <v>337</v>
      </c>
    </row>
    <row r="75" spans="1:98">
      <c r="A75" s="1" t="s">
        <v>477</v>
      </c>
      <c r="B75" s="416" t="s">
        <v>1696</v>
      </c>
      <c r="C75" s="415" t="s">
        <v>337</v>
      </c>
      <c r="D75" s="416" t="s">
        <v>318</v>
      </c>
      <c r="E75" s="416" t="s">
        <v>1697</v>
      </c>
      <c r="F75" s="415" t="s">
        <v>337</v>
      </c>
      <c r="I75" s="415" t="s">
        <v>337</v>
      </c>
      <c r="L75" s="415" t="s">
        <v>337</v>
      </c>
      <c r="M75" s="213" t="s">
        <v>1698</v>
      </c>
      <c r="N75" s="416" t="s">
        <v>1699</v>
      </c>
      <c r="O75" s="415" t="s">
        <v>337</v>
      </c>
      <c r="R75" s="415" t="s">
        <v>337</v>
      </c>
      <c r="S75" s="213" t="s">
        <v>1700</v>
      </c>
      <c r="T75" s="416" t="s">
        <v>1701</v>
      </c>
      <c r="U75" s="415" t="s">
        <v>337</v>
      </c>
      <c r="X75" s="415"/>
      <c r="AA75" s="415"/>
      <c r="AB75" s="213">
        <v>9053</v>
      </c>
      <c r="AC75" s="416" t="s">
        <v>1702</v>
      </c>
      <c r="AD75" s="415"/>
      <c r="AE75" s="417" t="s">
        <v>1703</v>
      </c>
      <c r="AF75" s="416" t="s">
        <v>1704</v>
      </c>
      <c r="AG75" s="415"/>
      <c r="AJ75" s="415" t="s">
        <v>337</v>
      </c>
      <c r="AM75" s="415" t="s">
        <v>337</v>
      </c>
      <c r="AP75" s="415" t="s">
        <v>337</v>
      </c>
      <c r="AS75" s="415" t="s">
        <v>337</v>
      </c>
      <c r="AV75" s="415" t="s">
        <v>337</v>
      </c>
      <c r="AY75" s="415" t="s">
        <v>337</v>
      </c>
      <c r="AZ75" s="213">
        <v>124007</v>
      </c>
      <c r="BA75" s="416" t="s">
        <v>1705</v>
      </c>
      <c r="BB75" s="415" t="s">
        <v>337</v>
      </c>
      <c r="BE75" s="415" t="s">
        <v>337</v>
      </c>
      <c r="BH75" s="415" t="s">
        <v>337</v>
      </c>
      <c r="BI75" s="213" t="s">
        <v>637</v>
      </c>
      <c r="BJ75" s="416" t="s">
        <v>638</v>
      </c>
      <c r="BK75" s="213" t="s">
        <v>1706</v>
      </c>
      <c r="BL75" s="416" t="s">
        <v>1707</v>
      </c>
      <c r="BM75" s="415" t="s">
        <v>337</v>
      </c>
      <c r="BN75" s="213" t="s">
        <v>1708</v>
      </c>
      <c r="BO75" s="416" t="s">
        <v>1709</v>
      </c>
      <c r="BP75" s="415" t="s">
        <v>337</v>
      </c>
      <c r="BS75" s="415"/>
      <c r="BV75" s="415" t="s">
        <v>337</v>
      </c>
      <c r="BY75" s="415" t="s">
        <v>337</v>
      </c>
      <c r="CB75" s="415" t="s">
        <v>337</v>
      </c>
      <c r="CE75" s="415" t="s">
        <v>337</v>
      </c>
      <c r="CH75" s="415" t="s">
        <v>337</v>
      </c>
      <c r="CK75" s="415" t="s">
        <v>337</v>
      </c>
      <c r="CN75" s="415" t="s">
        <v>337</v>
      </c>
      <c r="CQ75" s="415" t="s">
        <v>337</v>
      </c>
      <c r="CT75" s="415" t="s">
        <v>337</v>
      </c>
    </row>
    <row r="76" spans="1:98">
      <c r="A76" s="1" t="s">
        <v>477</v>
      </c>
      <c r="B76" s="416" t="s">
        <v>1710</v>
      </c>
      <c r="C76" s="415" t="s">
        <v>337</v>
      </c>
      <c r="D76" s="416" t="s">
        <v>318</v>
      </c>
      <c r="E76" s="416" t="s">
        <v>1711</v>
      </c>
      <c r="F76" s="415" t="s">
        <v>337</v>
      </c>
      <c r="I76" s="415" t="s">
        <v>337</v>
      </c>
      <c r="L76" s="415" t="s">
        <v>337</v>
      </c>
      <c r="M76" s="213" t="s">
        <v>1712</v>
      </c>
      <c r="N76" s="416" t="s">
        <v>1713</v>
      </c>
      <c r="O76" s="415" t="s">
        <v>337</v>
      </c>
      <c r="R76" s="415" t="s">
        <v>337</v>
      </c>
      <c r="S76" s="213" t="s">
        <v>1714</v>
      </c>
      <c r="T76" s="416" t="s">
        <v>1715</v>
      </c>
      <c r="U76" s="415" t="s">
        <v>337</v>
      </c>
      <c r="X76" s="415"/>
      <c r="AA76" s="415"/>
      <c r="AB76" s="213">
        <v>9054</v>
      </c>
      <c r="AC76" s="416" t="s">
        <v>1716</v>
      </c>
      <c r="AD76" s="415"/>
      <c r="AE76" s="417" t="s">
        <v>1717</v>
      </c>
      <c r="AF76" s="416" t="s">
        <v>1718</v>
      </c>
      <c r="AG76" s="415"/>
      <c r="AJ76" s="415" t="s">
        <v>337</v>
      </c>
      <c r="AM76" s="415" t="s">
        <v>337</v>
      </c>
      <c r="AP76" s="415" t="s">
        <v>337</v>
      </c>
      <c r="AS76" s="415" t="s">
        <v>337</v>
      </c>
      <c r="AV76" s="415" t="s">
        <v>337</v>
      </c>
      <c r="AY76" s="415" t="s">
        <v>337</v>
      </c>
      <c r="AZ76" s="213">
        <v>131001</v>
      </c>
      <c r="BA76" s="416" t="s">
        <v>1719</v>
      </c>
      <c r="BB76" s="415" t="s">
        <v>337</v>
      </c>
      <c r="BE76" s="415" t="s">
        <v>337</v>
      </c>
      <c r="BH76" s="415" t="s">
        <v>337</v>
      </c>
      <c r="BI76" s="213" t="s">
        <v>637</v>
      </c>
      <c r="BJ76" s="416" t="s">
        <v>638</v>
      </c>
      <c r="BK76" s="213" t="s">
        <v>1720</v>
      </c>
      <c r="BL76" s="416" t="s">
        <v>1721</v>
      </c>
      <c r="BM76" s="415" t="s">
        <v>337</v>
      </c>
      <c r="BN76" s="213" t="s">
        <v>1722</v>
      </c>
      <c r="BO76" s="416" t="s">
        <v>1723</v>
      </c>
      <c r="BP76" s="415" t="s">
        <v>337</v>
      </c>
      <c r="BS76" s="415"/>
      <c r="BV76" s="415" t="s">
        <v>337</v>
      </c>
      <c r="BY76" s="415" t="s">
        <v>337</v>
      </c>
      <c r="CB76" s="415" t="s">
        <v>337</v>
      </c>
      <c r="CE76" s="415" t="s">
        <v>337</v>
      </c>
      <c r="CH76" s="415" t="s">
        <v>337</v>
      </c>
      <c r="CK76" s="415" t="s">
        <v>337</v>
      </c>
      <c r="CN76" s="415" t="s">
        <v>337</v>
      </c>
      <c r="CQ76" s="415" t="s">
        <v>337</v>
      </c>
      <c r="CT76" s="415" t="s">
        <v>337</v>
      </c>
    </row>
    <row r="77" spans="1:98">
      <c r="A77" s="1" t="s">
        <v>477</v>
      </c>
      <c r="B77" s="416" t="s">
        <v>1724</v>
      </c>
      <c r="C77" s="415" t="s">
        <v>337</v>
      </c>
      <c r="D77" s="416" t="s">
        <v>318</v>
      </c>
      <c r="E77" s="416" t="s">
        <v>1725</v>
      </c>
      <c r="F77" s="415" t="s">
        <v>337</v>
      </c>
      <c r="I77" s="415" t="s">
        <v>337</v>
      </c>
      <c r="L77" s="415" t="s">
        <v>337</v>
      </c>
      <c r="M77" s="213" t="s">
        <v>1726</v>
      </c>
      <c r="N77" s="416" t="s">
        <v>1727</v>
      </c>
      <c r="O77" s="415" t="s">
        <v>337</v>
      </c>
      <c r="R77" s="415" t="s">
        <v>337</v>
      </c>
      <c r="S77" s="213" t="s">
        <v>1728</v>
      </c>
      <c r="T77" s="416" t="s">
        <v>1729</v>
      </c>
      <c r="U77" s="415" t="s">
        <v>337</v>
      </c>
      <c r="X77" s="415"/>
      <c r="AA77" s="415"/>
      <c r="AB77" s="213">
        <v>9055</v>
      </c>
      <c r="AC77" s="416" t="s">
        <v>1730</v>
      </c>
      <c r="AD77" s="415"/>
      <c r="AE77" s="417" t="s">
        <v>1731</v>
      </c>
      <c r="AF77" s="416" t="s">
        <v>1732</v>
      </c>
      <c r="AG77" s="415"/>
      <c r="AJ77" s="415" t="s">
        <v>337</v>
      </c>
      <c r="AM77" s="415" t="s">
        <v>337</v>
      </c>
      <c r="AP77" s="415" t="s">
        <v>337</v>
      </c>
      <c r="AS77" s="415" t="s">
        <v>337</v>
      </c>
      <c r="AV77" s="415" t="s">
        <v>337</v>
      </c>
      <c r="AY77" s="415" t="s">
        <v>337</v>
      </c>
      <c r="AZ77" s="213">
        <v>131002</v>
      </c>
      <c r="BA77" s="416" t="s">
        <v>1733</v>
      </c>
      <c r="BB77" s="415" t="s">
        <v>337</v>
      </c>
      <c r="BE77" s="415" t="s">
        <v>337</v>
      </c>
      <c r="BH77" s="415" t="s">
        <v>337</v>
      </c>
      <c r="BI77" s="213" t="s">
        <v>637</v>
      </c>
      <c r="BJ77" s="416" t="s">
        <v>638</v>
      </c>
      <c r="BK77" s="213" t="s">
        <v>1734</v>
      </c>
      <c r="BL77" s="416" t="s">
        <v>1735</v>
      </c>
      <c r="BM77" s="415" t="s">
        <v>337</v>
      </c>
      <c r="BN77" s="213" t="s">
        <v>1736</v>
      </c>
      <c r="BO77" s="416" t="s">
        <v>1737</v>
      </c>
      <c r="BP77" s="415" t="s">
        <v>337</v>
      </c>
      <c r="BS77" s="415"/>
      <c r="BV77" s="415" t="s">
        <v>337</v>
      </c>
      <c r="BY77" s="415" t="s">
        <v>337</v>
      </c>
      <c r="CB77" s="415" t="s">
        <v>337</v>
      </c>
      <c r="CE77" s="415" t="s">
        <v>337</v>
      </c>
      <c r="CH77" s="415" t="s">
        <v>337</v>
      </c>
      <c r="CK77" s="415" t="s">
        <v>337</v>
      </c>
      <c r="CN77" s="415" t="s">
        <v>337</v>
      </c>
      <c r="CQ77" s="415" t="s">
        <v>337</v>
      </c>
      <c r="CT77" s="415" t="s">
        <v>337</v>
      </c>
    </row>
    <row r="78" spans="1:98">
      <c r="A78" s="1" t="s">
        <v>477</v>
      </c>
      <c r="B78" s="416" t="s">
        <v>1738</v>
      </c>
      <c r="C78" s="415" t="s">
        <v>337</v>
      </c>
      <c r="D78" s="416" t="s">
        <v>318</v>
      </c>
      <c r="E78" s="416" t="s">
        <v>1739</v>
      </c>
      <c r="F78" s="415" t="s">
        <v>337</v>
      </c>
      <c r="I78" s="415" t="s">
        <v>337</v>
      </c>
      <c r="L78" s="415" t="s">
        <v>337</v>
      </c>
      <c r="M78" s="213" t="s">
        <v>1740</v>
      </c>
      <c r="N78" s="416" t="s">
        <v>1741</v>
      </c>
      <c r="O78" s="415" t="s">
        <v>337</v>
      </c>
      <c r="R78" s="415" t="s">
        <v>337</v>
      </c>
      <c r="S78" s="213" t="s">
        <v>1742</v>
      </c>
      <c r="T78" s="416" t="s">
        <v>1743</v>
      </c>
      <c r="U78" s="415" t="s">
        <v>337</v>
      </c>
      <c r="X78" s="415"/>
      <c r="AA78" s="415"/>
      <c r="AB78" s="213">
        <v>9056</v>
      </c>
      <c r="AC78" s="416" t="s">
        <v>1744</v>
      </c>
      <c r="AD78" s="415"/>
      <c r="AE78" s="417" t="s">
        <v>1745</v>
      </c>
      <c r="AF78" s="416" t="s">
        <v>1746</v>
      </c>
      <c r="AG78" s="415"/>
      <c r="AJ78" s="415" t="s">
        <v>337</v>
      </c>
      <c r="AM78" s="415" t="s">
        <v>337</v>
      </c>
      <c r="AP78" s="415" t="s">
        <v>337</v>
      </c>
      <c r="AS78" s="415" t="s">
        <v>337</v>
      </c>
      <c r="AV78" s="415" t="s">
        <v>337</v>
      </c>
      <c r="AY78" s="415" t="s">
        <v>337</v>
      </c>
      <c r="AZ78" s="213">
        <v>131003</v>
      </c>
      <c r="BA78" s="416" t="s">
        <v>1697</v>
      </c>
      <c r="BB78" s="415" t="s">
        <v>337</v>
      </c>
      <c r="BE78" s="415" t="s">
        <v>337</v>
      </c>
      <c r="BH78" s="415" t="s">
        <v>337</v>
      </c>
      <c r="BI78" s="213" t="s">
        <v>637</v>
      </c>
      <c r="BJ78" s="416" t="s">
        <v>638</v>
      </c>
      <c r="BK78" s="213" t="s">
        <v>1747</v>
      </c>
      <c r="BL78" s="416" t="s">
        <v>415</v>
      </c>
      <c r="BM78" s="415" t="s">
        <v>337</v>
      </c>
      <c r="BN78" s="213" t="s">
        <v>1748</v>
      </c>
      <c r="BO78" s="416" t="s">
        <v>1749</v>
      </c>
      <c r="BP78" s="415" t="s">
        <v>337</v>
      </c>
      <c r="BS78" s="415"/>
      <c r="BV78" s="415" t="s">
        <v>337</v>
      </c>
      <c r="BY78" s="415" t="s">
        <v>337</v>
      </c>
      <c r="CB78" s="415" t="s">
        <v>337</v>
      </c>
      <c r="CE78" s="415" t="s">
        <v>337</v>
      </c>
      <c r="CH78" s="415" t="s">
        <v>337</v>
      </c>
      <c r="CK78" s="415" t="s">
        <v>337</v>
      </c>
      <c r="CN78" s="415" t="s">
        <v>337</v>
      </c>
      <c r="CQ78" s="415" t="s">
        <v>337</v>
      </c>
      <c r="CT78" s="415" t="s">
        <v>337</v>
      </c>
    </row>
    <row r="79" spans="1:98">
      <c r="A79" s="1" t="s">
        <v>477</v>
      </c>
      <c r="B79" s="416" t="s">
        <v>1750</v>
      </c>
      <c r="C79" s="415" t="s">
        <v>337</v>
      </c>
      <c r="D79" s="1" t="s">
        <v>1751</v>
      </c>
      <c r="E79" s="1" t="s">
        <v>1752</v>
      </c>
      <c r="F79" s="415" t="s">
        <v>337</v>
      </c>
      <c r="I79" s="415" t="s">
        <v>337</v>
      </c>
      <c r="L79" s="415" t="s">
        <v>337</v>
      </c>
      <c r="M79" s="213" t="s">
        <v>1753</v>
      </c>
      <c r="N79" s="416" t="s">
        <v>1754</v>
      </c>
      <c r="O79" s="415" t="s">
        <v>337</v>
      </c>
      <c r="R79" s="415" t="s">
        <v>337</v>
      </c>
      <c r="S79" s="213" t="s">
        <v>1755</v>
      </c>
      <c r="T79" s="416" t="s">
        <v>1756</v>
      </c>
      <c r="U79" s="415" t="s">
        <v>337</v>
      </c>
      <c r="X79" s="415"/>
      <c r="AA79" s="415"/>
      <c r="AB79" s="213">
        <v>9057</v>
      </c>
      <c r="AC79" s="416" t="s">
        <v>1757</v>
      </c>
      <c r="AD79" s="415"/>
      <c r="AE79" s="417" t="s">
        <v>1758</v>
      </c>
      <c r="AF79" s="416" t="s">
        <v>1759</v>
      </c>
      <c r="AG79" s="415"/>
      <c r="AJ79" s="415" t="s">
        <v>337</v>
      </c>
      <c r="AM79" s="415" t="s">
        <v>337</v>
      </c>
      <c r="AP79" s="415" t="s">
        <v>337</v>
      </c>
      <c r="AS79" s="415" t="s">
        <v>337</v>
      </c>
      <c r="AV79" s="415" t="s">
        <v>337</v>
      </c>
      <c r="AY79" s="415" t="s">
        <v>337</v>
      </c>
      <c r="AZ79" s="213">
        <v>131004</v>
      </c>
      <c r="BA79" s="416" t="s">
        <v>1760</v>
      </c>
      <c r="BB79" s="415" t="s">
        <v>337</v>
      </c>
      <c r="BE79" s="415" t="s">
        <v>337</v>
      </c>
      <c r="BH79" s="415" t="s">
        <v>337</v>
      </c>
      <c r="BI79" s="213" t="s">
        <v>664</v>
      </c>
      <c r="BJ79" s="416" t="s">
        <v>665</v>
      </c>
      <c r="BK79" s="213" t="s">
        <v>1761</v>
      </c>
      <c r="BL79" s="416" t="s">
        <v>1762</v>
      </c>
      <c r="BM79" s="415" t="s">
        <v>337</v>
      </c>
      <c r="BN79" s="213" t="s">
        <v>1763</v>
      </c>
      <c r="BO79" s="416" t="s">
        <v>1764</v>
      </c>
      <c r="BP79" s="415" t="s">
        <v>337</v>
      </c>
      <c r="BS79" s="415"/>
      <c r="BV79" s="415" t="s">
        <v>337</v>
      </c>
      <c r="BY79" s="415" t="s">
        <v>337</v>
      </c>
      <c r="CB79" s="415" t="s">
        <v>337</v>
      </c>
      <c r="CE79" s="415" t="s">
        <v>337</v>
      </c>
      <c r="CH79" s="415" t="s">
        <v>337</v>
      </c>
      <c r="CK79" s="415" t="s">
        <v>337</v>
      </c>
      <c r="CN79" s="415" t="s">
        <v>337</v>
      </c>
      <c r="CQ79" s="415" t="s">
        <v>337</v>
      </c>
      <c r="CT79" s="415" t="s">
        <v>337</v>
      </c>
    </row>
    <row r="80" spans="1:98">
      <c r="A80" s="1" t="s">
        <v>477</v>
      </c>
      <c r="B80" s="416" t="s">
        <v>1765</v>
      </c>
      <c r="C80" s="415" t="s">
        <v>337</v>
      </c>
      <c r="D80" s="1" t="s">
        <v>1751</v>
      </c>
      <c r="E80" s="1" t="s">
        <v>1766</v>
      </c>
      <c r="F80" s="415" t="s">
        <v>337</v>
      </c>
      <c r="I80" s="415" t="s">
        <v>337</v>
      </c>
      <c r="L80" s="415" t="s">
        <v>337</v>
      </c>
      <c r="M80" s="213" t="s">
        <v>1767</v>
      </c>
      <c r="N80" s="416" t="s">
        <v>1768</v>
      </c>
      <c r="O80" s="415" t="s">
        <v>337</v>
      </c>
      <c r="R80" s="415" t="s">
        <v>337</v>
      </c>
      <c r="S80" s="213" t="s">
        <v>1769</v>
      </c>
      <c r="T80" s="416" t="s">
        <v>1770</v>
      </c>
      <c r="U80" s="415" t="s">
        <v>337</v>
      </c>
      <c r="X80" s="415"/>
      <c r="AA80" s="415"/>
      <c r="AB80" s="213">
        <v>9058</v>
      </c>
      <c r="AC80" s="416" t="s">
        <v>1771</v>
      </c>
      <c r="AD80" s="415"/>
      <c r="AE80" s="417" t="s">
        <v>1772</v>
      </c>
      <c r="AF80" s="416" t="s">
        <v>1773</v>
      </c>
      <c r="AG80" s="415"/>
      <c r="AJ80" s="415" t="s">
        <v>337</v>
      </c>
      <c r="AM80" s="415" t="s">
        <v>337</v>
      </c>
      <c r="AP80" s="415" t="s">
        <v>337</v>
      </c>
      <c r="AS80" s="415" t="s">
        <v>337</v>
      </c>
      <c r="AV80" s="415" t="s">
        <v>337</v>
      </c>
      <c r="AY80" s="415" t="s">
        <v>337</v>
      </c>
      <c r="AZ80" s="213">
        <v>131005</v>
      </c>
      <c r="BA80" s="416" t="s">
        <v>1774</v>
      </c>
      <c r="BB80" s="415" t="s">
        <v>337</v>
      </c>
      <c r="BE80" s="415" t="s">
        <v>337</v>
      </c>
      <c r="BH80" s="415" t="s">
        <v>337</v>
      </c>
      <c r="BI80" s="213" t="s">
        <v>664</v>
      </c>
      <c r="BJ80" s="416" t="s">
        <v>665</v>
      </c>
      <c r="BK80" s="213" t="s">
        <v>1775</v>
      </c>
      <c r="BL80" s="416" t="s">
        <v>1776</v>
      </c>
      <c r="BM80" s="415" t="s">
        <v>337</v>
      </c>
      <c r="BN80" s="213" t="s">
        <v>1777</v>
      </c>
      <c r="BO80" s="416" t="s">
        <v>1778</v>
      </c>
      <c r="BP80" s="415" t="s">
        <v>337</v>
      </c>
      <c r="BS80" s="415"/>
      <c r="BV80" s="415" t="s">
        <v>337</v>
      </c>
      <c r="BY80" s="415" t="s">
        <v>337</v>
      </c>
      <c r="CB80" s="415" t="s">
        <v>337</v>
      </c>
      <c r="CE80" s="415" t="s">
        <v>337</v>
      </c>
      <c r="CH80" s="415" t="s">
        <v>337</v>
      </c>
      <c r="CK80" s="415" t="s">
        <v>337</v>
      </c>
      <c r="CN80" s="415" t="s">
        <v>337</v>
      </c>
      <c r="CQ80" s="415" t="s">
        <v>337</v>
      </c>
      <c r="CT80" s="415" t="s">
        <v>337</v>
      </c>
    </row>
    <row r="81" spans="1:98">
      <c r="A81" s="1" t="s">
        <v>477</v>
      </c>
      <c r="B81" s="416" t="s">
        <v>1779</v>
      </c>
      <c r="C81" s="415" t="s">
        <v>337</v>
      </c>
      <c r="D81" s="1" t="s">
        <v>1751</v>
      </c>
      <c r="E81" s="1" t="s">
        <v>1780</v>
      </c>
      <c r="F81" s="415" t="s">
        <v>337</v>
      </c>
      <c r="I81" s="415" t="s">
        <v>337</v>
      </c>
      <c r="L81" s="415" t="s">
        <v>337</v>
      </c>
      <c r="M81" s="213" t="s">
        <v>1781</v>
      </c>
      <c r="N81" s="416" t="s">
        <v>1782</v>
      </c>
      <c r="O81" s="415" t="s">
        <v>337</v>
      </c>
      <c r="R81" s="415" t="s">
        <v>337</v>
      </c>
      <c r="S81" s="213" t="s">
        <v>1783</v>
      </c>
      <c r="T81" s="416" t="s">
        <v>1784</v>
      </c>
      <c r="U81" s="415" t="s">
        <v>337</v>
      </c>
      <c r="X81" s="415"/>
      <c r="AA81" s="415"/>
      <c r="AB81" s="213">
        <v>9059</v>
      </c>
      <c r="AC81" s="416" t="s">
        <v>1785</v>
      </c>
      <c r="AD81" s="415"/>
      <c r="AE81" s="417" t="s">
        <v>1786</v>
      </c>
      <c r="AF81" s="416" t="s">
        <v>1787</v>
      </c>
      <c r="AG81" s="415"/>
      <c r="AJ81" s="415" t="s">
        <v>337</v>
      </c>
      <c r="AM81" s="415" t="s">
        <v>337</v>
      </c>
      <c r="AP81" s="415" t="s">
        <v>337</v>
      </c>
      <c r="AS81" s="415" t="s">
        <v>337</v>
      </c>
      <c r="AV81" s="415" t="s">
        <v>337</v>
      </c>
      <c r="AY81" s="415" t="s">
        <v>337</v>
      </c>
      <c r="AZ81" s="213">
        <v>131006</v>
      </c>
      <c r="BA81" s="416" t="s">
        <v>1485</v>
      </c>
      <c r="BB81" s="415" t="s">
        <v>337</v>
      </c>
      <c r="BE81" s="415" t="s">
        <v>337</v>
      </c>
      <c r="BH81" s="415" t="s">
        <v>337</v>
      </c>
      <c r="BI81" s="213" t="s">
        <v>664</v>
      </c>
      <c r="BJ81" s="416" t="s">
        <v>665</v>
      </c>
      <c r="BK81" s="213" t="s">
        <v>1788</v>
      </c>
      <c r="BL81" s="416" t="s">
        <v>1789</v>
      </c>
      <c r="BM81" s="415" t="s">
        <v>337</v>
      </c>
      <c r="BN81" s="213" t="s">
        <v>1790</v>
      </c>
      <c r="BO81" s="416" t="s">
        <v>1791</v>
      </c>
      <c r="BP81" s="415" t="s">
        <v>337</v>
      </c>
      <c r="BS81" s="415"/>
      <c r="BV81" s="415" t="s">
        <v>337</v>
      </c>
      <c r="BY81" s="415" t="s">
        <v>337</v>
      </c>
      <c r="CB81" s="415" t="s">
        <v>337</v>
      </c>
      <c r="CE81" s="415" t="s">
        <v>337</v>
      </c>
      <c r="CH81" s="415" t="s">
        <v>337</v>
      </c>
      <c r="CK81" s="415" t="s">
        <v>337</v>
      </c>
      <c r="CN81" s="415" t="s">
        <v>337</v>
      </c>
      <c r="CQ81" s="415" t="s">
        <v>337</v>
      </c>
      <c r="CT81" s="415" t="s">
        <v>337</v>
      </c>
    </row>
    <row r="82" spans="1:98">
      <c r="A82" s="1" t="s">
        <v>477</v>
      </c>
      <c r="B82" s="416" t="s">
        <v>1792</v>
      </c>
      <c r="C82" s="415" t="s">
        <v>337</v>
      </c>
      <c r="D82" s="1" t="s">
        <v>1751</v>
      </c>
      <c r="E82" s="1" t="s">
        <v>1793</v>
      </c>
      <c r="F82" s="415" t="s">
        <v>337</v>
      </c>
      <c r="I82" s="415" t="s">
        <v>337</v>
      </c>
      <c r="L82" s="415" t="s">
        <v>337</v>
      </c>
      <c r="M82" s="213" t="s">
        <v>1794</v>
      </c>
      <c r="N82" s="416" t="s">
        <v>1795</v>
      </c>
      <c r="O82" s="415" t="s">
        <v>337</v>
      </c>
      <c r="R82" s="415" t="s">
        <v>337</v>
      </c>
      <c r="S82" s="213" t="s">
        <v>1796</v>
      </c>
      <c r="T82" s="416" t="s">
        <v>1797</v>
      </c>
      <c r="U82" s="415" t="s">
        <v>337</v>
      </c>
      <c r="X82" s="415"/>
      <c r="AA82" s="415"/>
      <c r="AB82" s="213">
        <v>9060</v>
      </c>
      <c r="AC82" s="416" t="s">
        <v>1798</v>
      </c>
      <c r="AD82" s="415"/>
      <c r="AE82" s="417" t="s">
        <v>1799</v>
      </c>
      <c r="AF82" s="416" t="s">
        <v>1800</v>
      </c>
      <c r="AG82" s="415"/>
      <c r="AJ82" s="415" t="s">
        <v>337</v>
      </c>
      <c r="AM82" s="415" t="s">
        <v>337</v>
      </c>
      <c r="AP82" s="415" t="s">
        <v>337</v>
      </c>
      <c r="AS82" s="415" t="s">
        <v>337</v>
      </c>
      <c r="AV82" s="415" t="s">
        <v>337</v>
      </c>
      <c r="AY82" s="415" t="s">
        <v>337</v>
      </c>
      <c r="AZ82" s="213">
        <v>131007</v>
      </c>
      <c r="BA82" s="416" t="s">
        <v>1459</v>
      </c>
      <c r="BB82" s="415" t="s">
        <v>337</v>
      </c>
      <c r="BE82" s="415" t="s">
        <v>337</v>
      </c>
      <c r="BH82" s="415" t="s">
        <v>337</v>
      </c>
      <c r="BI82" s="213" t="s">
        <v>664</v>
      </c>
      <c r="BJ82" s="416" t="s">
        <v>665</v>
      </c>
      <c r="BK82" s="213" t="s">
        <v>1801</v>
      </c>
      <c r="BL82" s="416" t="s">
        <v>1802</v>
      </c>
      <c r="BM82" s="415" t="s">
        <v>337</v>
      </c>
      <c r="BN82" s="213" t="s">
        <v>1803</v>
      </c>
      <c r="BO82" s="416" t="s">
        <v>1804</v>
      </c>
      <c r="BP82" s="415" t="s">
        <v>337</v>
      </c>
      <c r="BS82" s="415"/>
      <c r="BV82" s="415" t="s">
        <v>337</v>
      </c>
      <c r="BY82" s="415" t="s">
        <v>337</v>
      </c>
      <c r="CB82" s="415" t="s">
        <v>337</v>
      </c>
      <c r="CE82" s="415" t="s">
        <v>337</v>
      </c>
      <c r="CH82" s="415" t="s">
        <v>337</v>
      </c>
      <c r="CK82" s="415" t="s">
        <v>337</v>
      </c>
      <c r="CN82" s="415" t="s">
        <v>337</v>
      </c>
      <c r="CQ82" s="415" t="s">
        <v>337</v>
      </c>
      <c r="CT82" s="415" t="s">
        <v>337</v>
      </c>
    </row>
    <row r="83" spans="1:98">
      <c r="A83" s="1" t="s">
        <v>477</v>
      </c>
      <c r="B83" s="416" t="s">
        <v>1805</v>
      </c>
      <c r="C83" s="415" t="s">
        <v>337</v>
      </c>
      <c r="D83" s="1" t="s">
        <v>1751</v>
      </c>
      <c r="E83" s="1" t="s">
        <v>1806</v>
      </c>
      <c r="F83" s="415" t="s">
        <v>337</v>
      </c>
      <c r="I83" s="415" t="s">
        <v>337</v>
      </c>
      <c r="L83" s="415" t="s">
        <v>337</v>
      </c>
      <c r="M83" s="213" t="s">
        <v>1807</v>
      </c>
      <c r="N83" s="416" t="s">
        <v>1808</v>
      </c>
      <c r="O83" s="415" t="s">
        <v>337</v>
      </c>
      <c r="R83" s="415" t="s">
        <v>337</v>
      </c>
      <c r="S83" s="213" t="s">
        <v>1809</v>
      </c>
      <c r="T83" s="416" t="s">
        <v>1810</v>
      </c>
      <c r="U83" s="415" t="s">
        <v>337</v>
      </c>
      <c r="X83" s="415"/>
      <c r="AA83" s="415"/>
      <c r="AB83" s="213">
        <v>9061</v>
      </c>
      <c r="AC83" s="416" t="s">
        <v>1811</v>
      </c>
      <c r="AD83" s="415"/>
      <c r="AE83" s="417" t="s">
        <v>1812</v>
      </c>
      <c r="AF83" s="416" t="s">
        <v>1813</v>
      </c>
      <c r="AG83" s="415"/>
      <c r="AJ83" s="415" t="s">
        <v>337</v>
      </c>
      <c r="AM83" s="415" t="s">
        <v>337</v>
      </c>
      <c r="AP83" s="415" t="s">
        <v>337</v>
      </c>
      <c r="AS83" s="415" t="s">
        <v>337</v>
      </c>
      <c r="AV83" s="415" t="s">
        <v>337</v>
      </c>
      <c r="AY83" s="415" t="s">
        <v>337</v>
      </c>
      <c r="AZ83" s="213">
        <v>132001</v>
      </c>
      <c r="BA83" s="416" t="s">
        <v>1814</v>
      </c>
      <c r="BB83" s="415" t="s">
        <v>337</v>
      </c>
      <c r="BE83" s="415" t="s">
        <v>337</v>
      </c>
      <c r="BH83" s="415" t="s">
        <v>337</v>
      </c>
      <c r="BI83" s="213" t="s">
        <v>664</v>
      </c>
      <c r="BJ83" s="416" t="s">
        <v>665</v>
      </c>
      <c r="BK83" s="213" t="s">
        <v>1815</v>
      </c>
      <c r="BL83" s="416" t="s">
        <v>1816</v>
      </c>
      <c r="BM83" s="415" t="s">
        <v>337</v>
      </c>
      <c r="BN83" s="213" t="s">
        <v>1817</v>
      </c>
      <c r="BO83" s="416" t="s">
        <v>1818</v>
      </c>
      <c r="BP83" s="415" t="s">
        <v>337</v>
      </c>
      <c r="BS83" s="415"/>
      <c r="BV83" s="415" t="s">
        <v>337</v>
      </c>
      <c r="BY83" s="415" t="s">
        <v>337</v>
      </c>
      <c r="CB83" s="415" t="s">
        <v>337</v>
      </c>
      <c r="CE83" s="415" t="s">
        <v>337</v>
      </c>
      <c r="CH83" s="415" t="s">
        <v>337</v>
      </c>
      <c r="CK83" s="415" t="s">
        <v>337</v>
      </c>
      <c r="CN83" s="415" t="s">
        <v>337</v>
      </c>
      <c r="CQ83" s="415" t="s">
        <v>337</v>
      </c>
      <c r="CT83" s="415" t="s">
        <v>337</v>
      </c>
    </row>
    <row r="84" spans="1:98">
      <c r="A84" s="1" t="s">
        <v>477</v>
      </c>
      <c r="B84" s="416" t="s">
        <v>1819</v>
      </c>
      <c r="C84" s="415" t="s">
        <v>337</v>
      </c>
      <c r="D84" s="1" t="s">
        <v>1751</v>
      </c>
      <c r="E84" s="1" t="s">
        <v>1820</v>
      </c>
      <c r="F84" s="415" t="s">
        <v>337</v>
      </c>
      <c r="I84" s="415" t="s">
        <v>337</v>
      </c>
      <c r="L84" s="415" t="s">
        <v>337</v>
      </c>
      <c r="M84" s="213" t="s">
        <v>1821</v>
      </c>
      <c r="N84" s="416" t="s">
        <v>1822</v>
      </c>
      <c r="O84" s="415" t="s">
        <v>337</v>
      </c>
      <c r="R84" s="415" t="s">
        <v>337</v>
      </c>
      <c r="S84" s="213" t="s">
        <v>1823</v>
      </c>
      <c r="T84" s="416" t="s">
        <v>1824</v>
      </c>
      <c r="U84" s="415" t="s">
        <v>337</v>
      </c>
      <c r="X84" s="415"/>
      <c r="AA84" s="415"/>
      <c r="AB84" s="213">
        <v>9062</v>
      </c>
      <c r="AC84" s="416" t="s">
        <v>1825</v>
      </c>
      <c r="AD84" s="415"/>
      <c r="AE84" s="417" t="s">
        <v>1826</v>
      </c>
      <c r="AF84" s="416" t="s">
        <v>1827</v>
      </c>
      <c r="AG84" s="415"/>
      <c r="AJ84" s="415" t="s">
        <v>337</v>
      </c>
      <c r="AM84" s="415" t="s">
        <v>337</v>
      </c>
      <c r="AP84" s="415" t="s">
        <v>337</v>
      </c>
      <c r="AS84" s="415" t="s">
        <v>337</v>
      </c>
      <c r="AV84" s="415" t="s">
        <v>337</v>
      </c>
      <c r="AY84" s="415" t="s">
        <v>337</v>
      </c>
      <c r="AZ84" s="213">
        <v>132002</v>
      </c>
      <c r="BA84" s="416" t="s">
        <v>1828</v>
      </c>
      <c r="BB84" s="415" t="s">
        <v>337</v>
      </c>
      <c r="BE84" s="415" t="s">
        <v>337</v>
      </c>
      <c r="BH84" s="415" t="s">
        <v>337</v>
      </c>
      <c r="BI84" s="213" t="s">
        <v>664</v>
      </c>
      <c r="BJ84" s="416" t="s">
        <v>665</v>
      </c>
      <c r="BK84" s="213" t="s">
        <v>120</v>
      </c>
      <c r="BL84" s="416" t="s">
        <v>639</v>
      </c>
      <c r="BM84" s="415" t="s">
        <v>337</v>
      </c>
      <c r="BN84" s="213" t="s">
        <v>1829</v>
      </c>
      <c r="BO84" s="416" t="s">
        <v>1830</v>
      </c>
      <c r="BP84" s="415" t="s">
        <v>337</v>
      </c>
      <c r="BS84" s="415"/>
      <c r="BV84" s="415" t="s">
        <v>337</v>
      </c>
      <c r="BY84" s="415" t="s">
        <v>337</v>
      </c>
      <c r="CB84" s="415" t="s">
        <v>337</v>
      </c>
      <c r="CE84" s="415" t="s">
        <v>337</v>
      </c>
      <c r="CH84" s="415" t="s">
        <v>337</v>
      </c>
      <c r="CK84" s="415" t="s">
        <v>337</v>
      </c>
      <c r="CN84" s="415" t="s">
        <v>337</v>
      </c>
      <c r="CQ84" s="415" t="s">
        <v>337</v>
      </c>
      <c r="CT84" s="415" t="s">
        <v>337</v>
      </c>
    </row>
    <row r="85" spans="1:98">
      <c r="A85" s="1" t="s">
        <v>477</v>
      </c>
      <c r="B85" s="416" t="s">
        <v>1831</v>
      </c>
      <c r="C85" s="415" t="s">
        <v>337</v>
      </c>
      <c r="D85" s="1" t="s">
        <v>1751</v>
      </c>
      <c r="E85" s="1" t="s">
        <v>1832</v>
      </c>
      <c r="F85" s="415" t="s">
        <v>337</v>
      </c>
      <c r="I85" s="415" t="s">
        <v>337</v>
      </c>
      <c r="L85" s="415" t="s">
        <v>337</v>
      </c>
      <c r="M85" s="213" t="s">
        <v>1833</v>
      </c>
      <c r="N85" s="416" t="s">
        <v>1834</v>
      </c>
      <c r="O85" s="415" t="s">
        <v>337</v>
      </c>
      <c r="R85" s="415" t="s">
        <v>337</v>
      </c>
      <c r="S85" s="213" t="s">
        <v>1835</v>
      </c>
      <c r="T85" s="416" t="s">
        <v>1836</v>
      </c>
      <c r="U85" s="415" t="s">
        <v>337</v>
      </c>
      <c r="X85" s="415"/>
      <c r="AA85" s="415"/>
      <c r="AB85" s="213">
        <v>9063</v>
      </c>
      <c r="AC85" s="416" t="s">
        <v>1837</v>
      </c>
      <c r="AD85" s="415"/>
      <c r="AE85" s="417" t="s">
        <v>1838</v>
      </c>
      <c r="AF85" s="416" t="s">
        <v>1839</v>
      </c>
      <c r="AG85" s="415"/>
      <c r="AJ85" s="415" t="s">
        <v>337</v>
      </c>
      <c r="AM85" s="415" t="s">
        <v>337</v>
      </c>
      <c r="AP85" s="415" t="s">
        <v>337</v>
      </c>
      <c r="AS85" s="415" t="s">
        <v>337</v>
      </c>
      <c r="AV85" s="415" t="s">
        <v>337</v>
      </c>
      <c r="AY85" s="415" t="s">
        <v>337</v>
      </c>
      <c r="AZ85" s="213">
        <v>132003</v>
      </c>
      <c r="BA85" s="416" t="s">
        <v>1840</v>
      </c>
      <c r="BB85" s="415" t="s">
        <v>337</v>
      </c>
      <c r="BE85" s="415" t="s">
        <v>337</v>
      </c>
      <c r="BH85" s="415" t="s">
        <v>337</v>
      </c>
      <c r="BI85" s="213" t="s">
        <v>664</v>
      </c>
      <c r="BJ85" s="416" t="s">
        <v>665</v>
      </c>
      <c r="BK85" s="213" t="s">
        <v>666</v>
      </c>
      <c r="BL85" s="416" t="s">
        <v>667</v>
      </c>
      <c r="BM85" s="415" t="s">
        <v>337</v>
      </c>
      <c r="BN85" s="213" t="s">
        <v>1841</v>
      </c>
      <c r="BO85" s="416" t="s">
        <v>1842</v>
      </c>
      <c r="BP85" s="415" t="s">
        <v>337</v>
      </c>
      <c r="BS85" s="415"/>
      <c r="BV85" s="415" t="s">
        <v>337</v>
      </c>
      <c r="BY85" s="415" t="s">
        <v>337</v>
      </c>
      <c r="CB85" s="415" t="s">
        <v>337</v>
      </c>
      <c r="CE85" s="415" t="s">
        <v>337</v>
      </c>
      <c r="CH85" s="415" t="s">
        <v>337</v>
      </c>
      <c r="CK85" s="415" t="s">
        <v>337</v>
      </c>
      <c r="CN85" s="415" t="s">
        <v>337</v>
      </c>
      <c r="CQ85" s="415" t="s">
        <v>337</v>
      </c>
      <c r="CT85" s="415" t="s">
        <v>337</v>
      </c>
    </row>
    <row r="86" spans="1:98">
      <c r="A86" s="1" t="s">
        <v>477</v>
      </c>
      <c r="B86" s="416" t="s">
        <v>1843</v>
      </c>
      <c r="C86" s="415" t="s">
        <v>337</v>
      </c>
      <c r="D86" s="1" t="s">
        <v>1751</v>
      </c>
      <c r="E86" s="1" t="s">
        <v>1844</v>
      </c>
      <c r="F86" s="415" t="s">
        <v>337</v>
      </c>
      <c r="I86" s="415" t="s">
        <v>337</v>
      </c>
      <c r="L86" s="415" t="s">
        <v>337</v>
      </c>
      <c r="M86" s="213" t="s">
        <v>1845</v>
      </c>
      <c r="N86" s="416" t="s">
        <v>1846</v>
      </c>
      <c r="O86" s="415" t="s">
        <v>337</v>
      </c>
      <c r="R86" s="415" t="s">
        <v>337</v>
      </c>
      <c r="S86" s="213" t="s">
        <v>1847</v>
      </c>
      <c r="T86" s="416" t="s">
        <v>1848</v>
      </c>
      <c r="U86" s="415" t="s">
        <v>337</v>
      </c>
      <c r="X86" s="415"/>
      <c r="AA86" s="415"/>
      <c r="AB86" s="213">
        <v>9064</v>
      </c>
      <c r="AC86" s="416" t="s">
        <v>1849</v>
      </c>
      <c r="AD86" s="415"/>
      <c r="AE86" s="417" t="s">
        <v>1850</v>
      </c>
      <c r="AF86" s="416" t="s">
        <v>1851</v>
      </c>
      <c r="AG86" s="415"/>
      <c r="AJ86" s="415" t="s">
        <v>337</v>
      </c>
      <c r="AM86" s="415" t="s">
        <v>337</v>
      </c>
      <c r="AP86" s="415" t="s">
        <v>337</v>
      </c>
      <c r="AS86" s="415" t="s">
        <v>337</v>
      </c>
      <c r="AV86" s="415" t="s">
        <v>337</v>
      </c>
      <c r="AY86" s="415" t="s">
        <v>337</v>
      </c>
      <c r="AZ86" s="213">
        <v>132004</v>
      </c>
      <c r="BA86" s="416" t="s">
        <v>1061</v>
      </c>
      <c r="BB86" s="415" t="s">
        <v>337</v>
      </c>
      <c r="BE86" s="415" t="s">
        <v>337</v>
      </c>
      <c r="BH86" s="415" t="s">
        <v>337</v>
      </c>
      <c r="BI86" s="213" t="s">
        <v>664</v>
      </c>
      <c r="BJ86" s="416" t="s">
        <v>665</v>
      </c>
      <c r="BK86" s="213" t="s">
        <v>749</v>
      </c>
      <c r="BL86" s="416" t="s">
        <v>750</v>
      </c>
      <c r="BM86" s="415" t="s">
        <v>337</v>
      </c>
      <c r="BN86" s="213" t="s">
        <v>1852</v>
      </c>
      <c r="BO86" s="416" t="s">
        <v>1853</v>
      </c>
      <c r="BP86" s="415" t="s">
        <v>337</v>
      </c>
      <c r="BS86" s="415"/>
      <c r="BV86" s="415" t="s">
        <v>337</v>
      </c>
      <c r="BY86" s="415" t="s">
        <v>337</v>
      </c>
      <c r="CB86" s="415" t="s">
        <v>337</v>
      </c>
      <c r="CE86" s="415" t="s">
        <v>337</v>
      </c>
      <c r="CH86" s="415" t="s">
        <v>337</v>
      </c>
      <c r="CK86" s="415" t="s">
        <v>337</v>
      </c>
      <c r="CN86" s="415" t="s">
        <v>337</v>
      </c>
      <c r="CQ86" s="415" t="s">
        <v>337</v>
      </c>
      <c r="CT86" s="415" t="s">
        <v>337</v>
      </c>
    </row>
    <row r="87" spans="1:98">
      <c r="A87" s="1" t="s">
        <v>477</v>
      </c>
      <c r="B87" s="416" t="s">
        <v>1854</v>
      </c>
      <c r="C87" s="415" t="s">
        <v>337</v>
      </c>
      <c r="D87" s="1" t="s">
        <v>1751</v>
      </c>
      <c r="E87" s="1" t="s">
        <v>1855</v>
      </c>
      <c r="F87" s="415" t="s">
        <v>337</v>
      </c>
      <c r="I87" s="415" t="s">
        <v>337</v>
      </c>
      <c r="L87" s="415" t="s">
        <v>337</v>
      </c>
      <c r="M87" s="213" t="s">
        <v>1856</v>
      </c>
      <c r="N87" s="416" t="s">
        <v>1857</v>
      </c>
      <c r="O87" s="415" t="s">
        <v>337</v>
      </c>
      <c r="R87" s="415" t="s">
        <v>337</v>
      </c>
      <c r="S87" s="213" t="s">
        <v>1858</v>
      </c>
      <c r="T87" s="416" t="s">
        <v>1859</v>
      </c>
      <c r="U87" s="415" t="s">
        <v>337</v>
      </c>
      <c r="X87" s="415"/>
      <c r="AA87" s="415"/>
      <c r="AB87" s="213">
        <v>9065</v>
      </c>
      <c r="AC87" s="416" t="s">
        <v>1860</v>
      </c>
      <c r="AD87" s="415"/>
      <c r="AE87" s="417" t="s">
        <v>1861</v>
      </c>
      <c r="AF87" s="416" t="s">
        <v>1862</v>
      </c>
      <c r="AG87" s="415"/>
      <c r="AJ87" s="415" t="s">
        <v>337</v>
      </c>
      <c r="AM87" s="415" t="s">
        <v>337</v>
      </c>
      <c r="AP87" s="415" t="s">
        <v>337</v>
      </c>
      <c r="AS87" s="415" t="s">
        <v>337</v>
      </c>
      <c r="AV87" s="415" t="s">
        <v>337</v>
      </c>
      <c r="AY87" s="415" t="s">
        <v>337</v>
      </c>
      <c r="AZ87" s="213">
        <v>132005</v>
      </c>
      <c r="BA87" s="416" t="s">
        <v>1630</v>
      </c>
      <c r="BB87" s="415" t="s">
        <v>337</v>
      </c>
      <c r="BE87" s="415" t="s">
        <v>337</v>
      </c>
      <c r="BH87" s="415" t="s">
        <v>337</v>
      </c>
      <c r="BI87" s="213" t="s">
        <v>664</v>
      </c>
      <c r="BJ87" s="416" t="s">
        <v>665</v>
      </c>
      <c r="BK87" s="213" t="s">
        <v>1706</v>
      </c>
      <c r="BL87" s="416" t="s">
        <v>1707</v>
      </c>
      <c r="BM87" s="415" t="s">
        <v>337</v>
      </c>
      <c r="BN87" s="213" t="s">
        <v>1863</v>
      </c>
      <c r="BO87" s="416" t="s">
        <v>1864</v>
      </c>
      <c r="BP87" s="415" t="s">
        <v>337</v>
      </c>
      <c r="BS87" s="415"/>
      <c r="BV87" s="415" t="s">
        <v>337</v>
      </c>
      <c r="BY87" s="415" t="s">
        <v>337</v>
      </c>
      <c r="CB87" s="415" t="s">
        <v>337</v>
      </c>
      <c r="CE87" s="415" t="s">
        <v>337</v>
      </c>
      <c r="CH87" s="415" t="s">
        <v>337</v>
      </c>
      <c r="CK87" s="415" t="s">
        <v>337</v>
      </c>
      <c r="CN87" s="415" t="s">
        <v>337</v>
      </c>
      <c r="CQ87" s="415" t="s">
        <v>337</v>
      </c>
      <c r="CT87" s="415" t="s">
        <v>337</v>
      </c>
    </row>
    <row r="88" spans="1:98">
      <c r="A88" s="1" t="s">
        <v>477</v>
      </c>
      <c r="B88" s="416" t="s">
        <v>1865</v>
      </c>
      <c r="C88" s="415" t="s">
        <v>337</v>
      </c>
      <c r="D88" s="1" t="s">
        <v>1751</v>
      </c>
      <c r="E88" s="1" t="s">
        <v>1866</v>
      </c>
      <c r="F88" s="415" t="s">
        <v>337</v>
      </c>
      <c r="I88" s="415" t="s">
        <v>337</v>
      </c>
      <c r="L88" s="415" t="s">
        <v>337</v>
      </c>
      <c r="M88" s="213" t="s">
        <v>1867</v>
      </c>
      <c r="N88" s="416" t="s">
        <v>1868</v>
      </c>
      <c r="O88" s="415" t="s">
        <v>337</v>
      </c>
      <c r="R88" s="415" t="s">
        <v>337</v>
      </c>
      <c r="S88" s="213" t="s">
        <v>1869</v>
      </c>
      <c r="T88" s="416" t="s">
        <v>1870</v>
      </c>
      <c r="U88" s="415" t="s">
        <v>337</v>
      </c>
      <c r="X88" s="415"/>
      <c r="AA88" s="415"/>
      <c r="AB88" s="213">
        <v>9066</v>
      </c>
      <c r="AC88" s="416" t="s">
        <v>1871</v>
      </c>
      <c r="AD88" s="415"/>
      <c r="AE88" s="417" t="s">
        <v>1872</v>
      </c>
      <c r="AF88" s="416" t="s">
        <v>1873</v>
      </c>
      <c r="AG88" s="415"/>
      <c r="AJ88" s="415" t="s">
        <v>337</v>
      </c>
      <c r="AM88" s="415" t="s">
        <v>337</v>
      </c>
      <c r="AP88" s="415" t="s">
        <v>337</v>
      </c>
      <c r="AS88" s="415" t="s">
        <v>337</v>
      </c>
      <c r="AV88" s="415" t="s">
        <v>337</v>
      </c>
      <c r="AY88" s="415" t="s">
        <v>337</v>
      </c>
      <c r="AZ88" s="213">
        <v>132006</v>
      </c>
      <c r="BA88" s="416" t="s">
        <v>1471</v>
      </c>
      <c r="BB88" s="415" t="s">
        <v>337</v>
      </c>
      <c r="BE88" s="415" t="s">
        <v>337</v>
      </c>
      <c r="BH88" s="415" t="s">
        <v>337</v>
      </c>
      <c r="BI88" s="213" t="s">
        <v>664</v>
      </c>
      <c r="BJ88" s="416" t="s">
        <v>665</v>
      </c>
      <c r="BK88" s="213" t="s">
        <v>1720</v>
      </c>
      <c r="BL88" s="416" t="s">
        <v>1721</v>
      </c>
      <c r="BM88" s="415" t="s">
        <v>337</v>
      </c>
      <c r="BN88" s="213" t="s">
        <v>1874</v>
      </c>
      <c r="BO88" s="416" t="s">
        <v>1875</v>
      </c>
      <c r="BP88" s="415" t="s">
        <v>337</v>
      </c>
      <c r="BS88" s="415"/>
      <c r="BV88" s="415" t="s">
        <v>337</v>
      </c>
      <c r="BY88" s="415" t="s">
        <v>337</v>
      </c>
      <c r="CB88" s="415" t="s">
        <v>337</v>
      </c>
      <c r="CE88" s="415" t="s">
        <v>337</v>
      </c>
      <c r="CH88" s="415" t="s">
        <v>337</v>
      </c>
      <c r="CK88" s="415" t="s">
        <v>337</v>
      </c>
      <c r="CN88" s="415" t="s">
        <v>337</v>
      </c>
      <c r="CQ88" s="415" t="s">
        <v>337</v>
      </c>
      <c r="CT88" s="415" t="s">
        <v>337</v>
      </c>
    </row>
    <row r="89" spans="1:98">
      <c r="A89" s="1" t="s">
        <v>477</v>
      </c>
      <c r="B89" s="416" t="s">
        <v>1876</v>
      </c>
      <c r="C89" s="415" t="s">
        <v>337</v>
      </c>
      <c r="D89" s="1" t="s">
        <v>1751</v>
      </c>
      <c r="E89" s="1" t="s">
        <v>1877</v>
      </c>
      <c r="F89" s="415" t="s">
        <v>337</v>
      </c>
      <c r="I89" s="415" t="s">
        <v>337</v>
      </c>
      <c r="L89" s="415" t="s">
        <v>337</v>
      </c>
      <c r="M89" s="213" t="s">
        <v>1878</v>
      </c>
      <c r="N89" s="416" t="s">
        <v>1879</v>
      </c>
      <c r="O89" s="415" t="s">
        <v>337</v>
      </c>
      <c r="R89" s="415" t="s">
        <v>337</v>
      </c>
      <c r="S89" s="213" t="s">
        <v>1880</v>
      </c>
      <c r="T89" s="416" t="s">
        <v>1881</v>
      </c>
      <c r="U89" s="415" t="s">
        <v>337</v>
      </c>
      <c r="X89" s="415"/>
      <c r="AA89" s="415"/>
      <c r="AB89" s="213">
        <v>9067</v>
      </c>
      <c r="AC89" s="416" t="s">
        <v>1882</v>
      </c>
      <c r="AD89" s="415"/>
      <c r="AE89" s="417" t="s">
        <v>1883</v>
      </c>
      <c r="AF89" s="416" t="s">
        <v>1884</v>
      </c>
      <c r="AG89" s="415"/>
      <c r="AJ89" s="415" t="s">
        <v>337</v>
      </c>
      <c r="AM89" s="415" t="s">
        <v>337</v>
      </c>
      <c r="AP89" s="415" t="s">
        <v>337</v>
      </c>
      <c r="AS89" s="415" t="s">
        <v>337</v>
      </c>
      <c r="AV89" s="415" t="s">
        <v>337</v>
      </c>
      <c r="AY89" s="415" t="s">
        <v>337</v>
      </c>
      <c r="AZ89" s="213">
        <v>133001</v>
      </c>
      <c r="BA89" s="416" t="s">
        <v>1885</v>
      </c>
      <c r="BB89" s="415" t="s">
        <v>337</v>
      </c>
      <c r="BE89" s="415" t="s">
        <v>337</v>
      </c>
      <c r="BH89" s="415" t="s">
        <v>337</v>
      </c>
      <c r="BI89" s="213" t="s">
        <v>664</v>
      </c>
      <c r="BJ89" s="416" t="s">
        <v>665</v>
      </c>
      <c r="BK89" s="213" t="s">
        <v>1734</v>
      </c>
      <c r="BL89" s="416" t="s">
        <v>1735</v>
      </c>
      <c r="BM89" s="415" t="s">
        <v>337</v>
      </c>
      <c r="BN89" s="213" t="s">
        <v>1886</v>
      </c>
      <c r="BO89" s="416" t="s">
        <v>1887</v>
      </c>
      <c r="BP89" s="415" t="s">
        <v>337</v>
      </c>
      <c r="BS89" s="415"/>
      <c r="BV89" s="415" t="s">
        <v>337</v>
      </c>
      <c r="BY89" s="415" t="s">
        <v>337</v>
      </c>
      <c r="CB89" s="415" t="s">
        <v>337</v>
      </c>
      <c r="CE89" s="415" t="s">
        <v>337</v>
      </c>
      <c r="CH89" s="415" t="s">
        <v>337</v>
      </c>
      <c r="CK89" s="415" t="s">
        <v>337</v>
      </c>
      <c r="CN89" s="415" t="s">
        <v>337</v>
      </c>
      <c r="CQ89" s="415" t="s">
        <v>337</v>
      </c>
      <c r="CT89" s="415" t="s">
        <v>337</v>
      </c>
    </row>
    <row r="90" spans="1:98">
      <c r="A90" s="1" t="s">
        <v>477</v>
      </c>
      <c r="B90" s="416" t="s">
        <v>1888</v>
      </c>
      <c r="C90" s="415" t="s">
        <v>337</v>
      </c>
      <c r="D90" s="1" t="s">
        <v>1751</v>
      </c>
      <c r="E90" s="1" t="s">
        <v>1889</v>
      </c>
      <c r="F90" s="415" t="s">
        <v>337</v>
      </c>
      <c r="I90" s="415" t="s">
        <v>337</v>
      </c>
      <c r="L90" s="415" t="s">
        <v>337</v>
      </c>
      <c r="M90" s="213" t="s">
        <v>1890</v>
      </c>
      <c r="N90" s="416" t="s">
        <v>1891</v>
      </c>
      <c r="O90" s="415" t="s">
        <v>337</v>
      </c>
      <c r="R90" s="415" t="s">
        <v>337</v>
      </c>
      <c r="S90" s="213" t="s">
        <v>1892</v>
      </c>
      <c r="T90" s="416" t="s">
        <v>1893</v>
      </c>
      <c r="U90" s="415" t="s">
        <v>337</v>
      </c>
      <c r="X90" s="415"/>
      <c r="AA90" s="415"/>
      <c r="AB90" s="213">
        <v>9068</v>
      </c>
      <c r="AC90" s="416" t="s">
        <v>1894</v>
      </c>
      <c r="AD90" s="415"/>
      <c r="AE90" s="417" t="s">
        <v>1895</v>
      </c>
      <c r="AF90" s="416" t="s">
        <v>1896</v>
      </c>
      <c r="AG90" s="415"/>
      <c r="AJ90" s="415" t="s">
        <v>337</v>
      </c>
      <c r="AM90" s="415" t="s">
        <v>337</v>
      </c>
      <c r="AP90" s="415" t="s">
        <v>337</v>
      </c>
      <c r="AS90" s="415" t="s">
        <v>337</v>
      </c>
      <c r="AV90" s="415" t="s">
        <v>337</v>
      </c>
      <c r="AY90" s="415" t="s">
        <v>337</v>
      </c>
      <c r="AZ90" s="213">
        <v>133002</v>
      </c>
      <c r="BA90" s="416" t="s">
        <v>1897</v>
      </c>
      <c r="BB90" s="415" t="s">
        <v>337</v>
      </c>
      <c r="BE90" s="415" t="s">
        <v>337</v>
      </c>
      <c r="BH90" s="415" t="s">
        <v>337</v>
      </c>
      <c r="BI90" s="213" t="s">
        <v>664</v>
      </c>
      <c r="BJ90" s="416" t="s">
        <v>665</v>
      </c>
      <c r="BK90" s="213" t="s">
        <v>1747</v>
      </c>
      <c r="BL90" s="416" t="s">
        <v>415</v>
      </c>
      <c r="BM90" s="415" t="s">
        <v>337</v>
      </c>
      <c r="BN90" s="213" t="s">
        <v>1898</v>
      </c>
      <c r="BO90" s="416" t="s">
        <v>1899</v>
      </c>
      <c r="BP90" s="415" t="s">
        <v>337</v>
      </c>
      <c r="BS90" s="415"/>
      <c r="BV90" s="415" t="s">
        <v>337</v>
      </c>
      <c r="BY90" s="415" t="s">
        <v>337</v>
      </c>
      <c r="CB90" s="415" t="s">
        <v>337</v>
      </c>
      <c r="CE90" s="415" t="s">
        <v>337</v>
      </c>
      <c r="CH90" s="415" t="s">
        <v>337</v>
      </c>
      <c r="CK90" s="415" t="s">
        <v>337</v>
      </c>
      <c r="CN90" s="415" t="s">
        <v>337</v>
      </c>
      <c r="CQ90" s="415" t="s">
        <v>337</v>
      </c>
      <c r="CT90" s="415" t="s">
        <v>337</v>
      </c>
    </row>
    <row r="91" spans="1:98">
      <c r="A91" s="1" t="s">
        <v>519</v>
      </c>
      <c r="B91" s="416" t="s">
        <v>1900</v>
      </c>
      <c r="C91" s="415" t="s">
        <v>337</v>
      </c>
      <c r="D91" s="1" t="s">
        <v>1751</v>
      </c>
      <c r="E91" s="1" t="s">
        <v>1901</v>
      </c>
      <c r="F91" s="415" t="s">
        <v>337</v>
      </c>
      <c r="I91" s="415" t="s">
        <v>337</v>
      </c>
      <c r="L91" s="415" t="s">
        <v>337</v>
      </c>
      <c r="M91" s="213" t="s">
        <v>1902</v>
      </c>
      <c r="N91" s="416" t="s">
        <v>1903</v>
      </c>
      <c r="O91" s="415" t="s">
        <v>337</v>
      </c>
      <c r="R91" s="415" t="s">
        <v>337</v>
      </c>
      <c r="S91" s="213" t="s">
        <v>1904</v>
      </c>
      <c r="T91" s="416" t="s">
        <v>1905</v>
      </c>
      <c r="U91" s="415" t="s">
        <v>337</v>
      </c>
      <c r="X91" s="415"/>
      <c r="AA91" s="415"/>
      <c r="AB91" s="213">
        <v>9069</v>
      </c>
      <c r="AC91" s="416" t="s">
        <v>1906</v>
      </c>
      <c r="AD91" s="415"/>
      <c r="AE91" s="417" t="s">
        <v>1907</v>
      </c>
      <c r="AF91" s="416" t="s">
        <v>1908</v>
      </c>
      <c r="AG91" s="415"/>
      <c r="AJ91" s="415" t="s">
        <v>337</v>
      </c>
      <c r="AM91" s="415" t="s">
        <v>337</v>
      </c>
      <c r="AP91" s="415" t="s">
        <v>337</v>
      </c>
      <c r="AS91" s="415" t="s">
        <v>337</v>
      </c>
      <c r="AV91" s="415" t="s">
        <v>337</v>
      </c>
      <c r="AY91" s="415" t="s">
        <v>337</v>
      </c>
      <c r="AZ91" s="213">
        <v>133003</v>
      </c>
      <c r="BA91" s="416" t="s">
        <v>1364</v>
      </c>
      <c r="BB91" s="415" t="s">
        <v>337</v>
      </c>
      <c r="BE91" s="415" t="s">
        <v>337</v>
      </c>
      <c r="BH91" s="415" t="s">
        <v>337</v>
      </c>
      <c r="BI91" s="213" t="s">
        <v>692</v>
      </c>
      <c r="BJ91" s="416" t="s">
        <v>693</v>
      </c>
      <c r="BK91" s="213" t="s">
        <v>1909</v>
      </c>
      <c r="BL91" s="416" t="s">
        <v>1910</v>
      </c>
      <c r="BM91" s="415" t="s">
        <v>337</v>
      </c>
      <c r="BN91" s="213" t="s">
        <v>1911</v>
      </c>
      <c r="BO91" s="416" t="s">
        <v>1912</v>
      </c>
      <c r="BP91" s="415" t="s">
        <v>337</v>
      </c>
      <c r="BS91" s="415"/>
      <c r="BV91" s="415" t="s">
        <v>337</v>
      </c>
      <c r="BY91" s="415" t="s">
        <v>337</v>
      </c>
      <c r="CB91" s="415" t="s">
        <v>337</v>
      </c>
      <c r="CE91" s="415" t="s">
        <v>337</v>
      </c>
      <c r="CH91" s="415" t="s">
        <v>337</v>
      </c>
      <c r="CK91" s="415" t="s">
        <v>337</v>
      </c>
      <c r="CN91" s="415" t="s">
        <v>337</v>
      </c>
      <c r="CQ91" s="415" t="s">
        <v>337</v>
      </c>
      <c r="CT91" s="415" t="s">
        <v>337</v>
      </c>
    </row>
    <row r="92" spans="1:98">
      <c r="A92" s="1" t="s">
        <v>519</v>
      </c>
      <c r="B92" s="416" t="s">
        <v>1913</v>
      </c>
      <c r="C92" s="415" t="s">
        <v>337</v>
      </c>
      <c r="D92" s="1" t="s">
        <v>1751</v>
      </c>
      <c r="E92" s="1" t="s">
        <v>1914</v>
      </c>
      <c r="F92" s="415" t="s">
        <v>337</v>
      </c>
      <c r="I92" s="415" t="s">
        <v>337</v>
      </c>
      <c r="L92" s="415" t="s">
        <v>337</v>
      </c>
      <c r="M92" s="213" t="s">
        <v>1915</v>
      </c>
      <c r="N92" s="416" t="s">
        <v>1916</v>
      </c>
      <c r="O92" s="415" t="s">
        <v>337</v>
      </c>
      <c r="R92" s="415" t="s">
        <v>337</v>
      </c>
      <c r="S92" s="213" t="s">
        <v>1917</v>
      </c>
      <c r="T92" s="416" t="s">
        <v>1918</v>
      </c>
      <c r="U92" s="415" t="s">
        <v>337</v>
      </c>
      <c r="X92" s="415"/>
      <c r="AA92" s="415"/>
      <c r="AB92" s="213">
        <v>9070</v>
      </c>
      <c r="AC92" s="416" t="s">
        <v>1919</v>
      </c>
      <c r="AD92" s="415"/>
      <c r="AE92" s="417" t="s">
        <v>1920</v>
      </c>
      <c r="AF92" s="416" t="s">
        <v>1921</v>
      </c>
      <c r="AG92" s="415"/>
      <c r="AJ92" s="415" t="s">
        <v>337</v>
      </c>
      <c r="AM92" s="415" t="s">
        <v>337</v>
      </c>
      <c r="AP92" s="415" t="s">
        <v>337</v>
      </c>
      <c r="AS92" s="415" t="s">
        <v>337</v>
      </c>
      <c r="AV92" s="415" t="s">
        <v>337</v>
      </c>
      <c r="AY92" s="415" t="s">
        <v>337</v>
      </c>
      <c r="AZ92" s="213">
        <v>133004</v>
      </c>
      <c r="BA92" s="416" t="s">
        <v>1922</v>
      </c>
      <c r="BB92" s="415" t="s">
        <v>337</v>
      </c>
      <c r="BE92" s="415" t="s">
        <v>337</v>
      </c>
      <c r="BH92" s="415" t="s">
        <v>337</v>
      </c>
      <c r="BI92" s="213" t="s">
        <v>692</v>
      </c>
      <c r="BJ92" s="416" t="s">
        <v>693</v>
      </c>
      <c r="BK92" s="213" t="s">
        <v>1923</v>
      </c>
      <c r="BL92" s="416" t="s">
        <v>1924</v>
      </c>
      <c r="BM92" s="415" t="s">
        <v>337</v>
      </c>
      <c r="BN92" s="213" t="s">
        <v>1925</v>
      </c>
      <c r="BO92" s="416" t="s">
        <v>1926</v>
      </c>
      <c r="BP92" s="415" t="s">
        <v>337</v>
      </c>
      <c r="BS92" s="415"/>
      <c r="BV92" s="415" t="s">
        <v>337</v>
      </c>
      <c r="BY92" s="415" t="s">
        <v>337</v>
      </c>
      <c r="CB92" s="415" t="s">
        <v>337</v>
      </c>
      <c r="CE92" s="415" t="s">
        <v>337</v>
      </c>
      <c r="CH92" s="415" t="s">
        <v>337</v>
      </c>
      <c r="CK92" s="415" t="s">
        <v>337</v>
      </c>
      <c r="CN92" s="415" t="s">
        <v>337</v>
      </c>
      <c r="CQ92" s="415" t="s">
        <v>337</v>
      </c>
      <c r="CT92" s="415" t="s">
        <v>337</v>
      </c>
    </row>
    <row r="93" spans="1:98">
      <c r="A93" s="1" t="s">
        <v>519</v>
      </c>
      <c r="B93" s="416" t="s">
        <v>1927</v>
      </c>
      <c r="C93" s="415" t="s">
        <v>337</v>
      </c>
      <c r="D93" s="1" t="s">
        <v>1751</v>
      </c>
      <c r="E93" s="1" t="s">
        <v>1928</v>
      </c>
      <c r="F93" s="415" t="s">
        <v>337</v>
      </c>
      <c r="I93" s="415" t="s">
        <v>337</v>
      </c>
      <c r="L93" s="415" t="s">
        <v>337</v>
      </c>
      <c r="M93" s="213" t="s">
        <v>1929</v>
      </c>
      <c r="N93" s="416" t="s">
        <v>1930</v>
      </c>
      <c r="O93" s="415" t="s">
        <v>337</v>
      </c>
      <c r="R93" s="415" t="s">
        <v>337</v>
      </c>
      <c r="S93" s="213" t="s">
        <v>1931</v>
      </c>
      <c r="T93" s="416" t="s">
        <v>1932</v>
      </c>
      <c r="U93" s="415" t="s">
        <v>337</v>
      </c>
      <c r="X93" s="415"/>
      <c r="AA93" s="415"/>
      <c r="AB93" s="213">
        <v>9071</v>
      </c>
      <c r="AC93" s="416" t="s">
        <v>1933</v>
      </c>
      <c r="AD93" s="415"/>
      <c r="AE93" s="417" t="s">
        <v>1934</v>
      </c>
      <c r="AF93" s="416" t="s">
        <v>1935</v>
      </c>
      <c r="AG93" s="415"/>
      <c r="AJ93" s="415" t="s">
        <v>337</v>
      </c>
      <c r="AM93" s="415" t="s">
        <v>337</v>
      </c>
      <c r="AP93" s="415" t="s">
        <v>337</v>
      </c>
      <c r="AS93" s="415" t="s">
        <v>337</v>
      </c>
      <c r="AV93" s="415" t="s">
        <v>337</v>
      </c>
      <c r="AY93" s="415" t="s">
        <v>337</v>
      </c>
      <c r="AZ93" s="213">
        <v>133005</v>
      </c>
      <c r="BA93" s="416" t="s">
        <v>1936</v>
      </c>
      <c r="BB93" s="415" t="s">
        <v>337</v>
      </c>
      <c r="BE93" s="415" t="s">
        <v>337</v>
      </c>
      <c r="BH93" s="415" t="s">
        <v>337</v>
      </c>
      <c r="BI93" s="213" t="s">
        <v>692</v>
      </c>
      <c r="BJ93" s="416" t="s">
        <v>693</v>
      </c>
      <c r="BK93" s="213" t="s">
        <v>1937</v>
      </c>
      <c r="BL93" s="416" t="s">
        <v>1938</v>
      </c>
      <c r="BM93" s="415" t="s">
        <v>337</v>
      </c>
      <c r="BN93" s="213" t="s">
        <v>1939</v>
      </c>
      <c r="BO93" s="416" t="s">
        <v>1940</v>
      </c>
      <c r="BP93" s="415" t="s">
        <v>337</v>
      </c>
      <c r="BS93" s="415"/>
      <c r="BV93" s="415" t="s">
        <v>337</v>
      </c>
      <c r="BY93" s="415" t="s">
        <v>337</v>
      </c>
      <c r="CB93" s="415" t="s">
        <v>337</v>
      </c>
      <c r="CE93" s="415" t="s">
        <v>337</v>
      </c>
      <c r="CH93" s="415" t="s">
        <v>337</v>
      </c>
      <c r="CK93" s="415" t="s">
        <v>337</v>
      </c>
      <c r="CN93" s="415" t="s">
        <v>337</v>
      </c>
      <c r="CQ93" s="415" t="s">
        <v>337</v>
      </c>
      <c r="CT93" s="415" t="s">
        <v>337</v>
      </c>
    </row>
    <row r="94" spans="1:98">
      <c r="A94" s="1" t="s">
        <v>519</v>
      </c>
      <c r="B94" s="416" t="s">
        <v>1941</v>
      </c>
      <c r="C94" s="415" t="s">
        <v>337</v>
      </c>
      <c r="D94" s="1" t="s">
        <v>1751</v>
      </c>
      <c r="E94" s="1" t="s">
        <v>1942</v>
      </c>
      <c r="F94" s="415" t="s">
        <v>337</v>
      </c>
      <c r="I94" s="415" t="s">
        <v>337</v>
      </c>
      <c r="L94" s="415" t="s">
        <v>337</v>
      </c>
      <c r="M94" s="213" t="s">
        <v>1943</v>
      </c>
      <c r="N94" s="416" t="s">
        <v>1944</v>
      </c>
      <c r="O94" s="415" t="s">
        <v>337</v>
      </c>
      <c r="R94" s="415" t="s">
        <v>337</v>
      </c>
      <c r="S94" s="213" t="s">
        <v>1945</v>
      </c>
      <c r="T94" s="416" t="s">
        <v>1946</v>
      </c>
      <c r="U94" s="415" t="s">
        <v>337</v>
      </c>
      <c r="X94" s="415"/>
      <c r="AA94" s="415"/>
      <c r="AB94" s="213">
        <v>9072</v>
      </c>
      <c r="AC94" s="416" t="s">
        <v>1947</v>
      </c>
      <c r="AD94" s="415"/>
      <c r="AE94" s="417" t="s">
        <v>1948</v>
      </c>
      <c r="AF94" s="416" t="s">
        <v>1949</v>
      </c>
      <c r="AG94" s="415"/>
      <c r="AJ94" s="415" t="s">
        <v>337</v>
      </c>
      <c r="AM94" s="415" t="s">
        <v>337</v>
      </c>
      <c r="AP94" s="415" t="s">
        <v>337</v>
      </c>
      <c r="AS94" s="415" t="s">
        <v>337</v>
      </c>
      <c r="AV94" s="415" t="s">
        <v>337</v>
      </c>
      <c r="AY94" s="415" t="s">
        <v>337</v>
      </c>
      <c r="AZ94" s="213">
        <v>133006</v>
      </c>
      <c r="BA94" s="416" t="s">
        <v>1950</v>
      </c>
      <c r="BB94" s="415" t="s">
        <v>337</v>
      </c>
      <c r="BE94" s="415" t="s">
        <v>337</v>
      </c>
      <c r="BH94" s="415" t="s">
        <v>337</v>
      </c>
      <c r="BI94" s="213" t="s">
        <v>692</v>
      </c>
      <c r="BJ94" s="416" t="s">
        <v>693</v>
      </c>
      <c r="BK94" s="213" t="s">
        <v>1951</v>
      </c>
      <c r="BL94" s="416" t="s">
        <v>1952</v>
      </c>
      <c r="BM94" s="415" t="s">
        <v>337</v>
      </c>
      <c r="BN94" s="213" t="s">
        <v>1953</v>
      </c>
      <c r="BO94" s="416" t="s">
        <v>1954</v>
      </c>
      <c r="BP94" s="415" t="s">
        <v>337</v>
      </c>
      <c r="BS94" s="415"/>
      <c r="BV94" s="415" t="s">
        <v>337</v>
      </c>
      <c r="BY94" s="415" t="s">
        <v>337</v>
      </c>
      <c r="CB94" s="415" t="s">
        <v>337</v>
      </c>
      <c r="CE94" s="415" t="s">
        <v>337</v>
      </c>
      <c r="CH94" s="415" t="s">
        <v>337</v>
      </c>
      <c r="CK94" s="415" t="s">
        <v>337</v>
      </c>
      <c r="CN94" s="415" t="s">
        <v>337</v>
      </c>
      <c r="CQ94" s="415" t="s">
        <v>337</v>
      </c>
      <c r="CT94" s="415" t="s">
        <v>337</v>
      </c>
    </row>
    <row r="95" spans="1:98">
      <c r="A95" s="1" t="s">
        <v>519</v>
      </c>
      <c r="B95" s="416" t="s">
        <v>1955</v>
      </c>
      <c r="C95" s="415" t="s">
        <v>337</v>
      </c>
      <c r="D95" s="1" t="s">
        <v>1751</v>
      </c>
      <c r="E95" s="1" t="s">
        <v>1956</v>
      </c>
      <c r="F95" s="415" t="s">
        <v>337</v>
      </c>
      <c r="I95" s="415" t="s">
        <v>337</v>
      </c>
      <c r="L95" s="415" t="s">
        <v>337</v>
      </c>
      <c r="M95" s="213" t="s">
        <v>1957</v>
      </c>
      <c r="N95" s="416" t="s">
        <v>1958</v>
      </c>
      <c r="O95" s="415" t="s">
        <v>337</v>
      </c>
      <c r="R95" s="415" t="s">
        <v>337</v>
      </c>
      <c r="S95" s="213" t="s">
        <v>1959</v>
      </c>
      <c r="T95" s="416" t="s">
        <v>1960</v>
      </c>
      <c r="U95" s="415" t="s">
        <v>337</v>
      </c>
      <c r="X95" s="415"/>
      <c r="AA95" s="415"/>
      <c r="AB95" s="213">
        <v>9073</v>
      </c>
      <c r="AC95" s="416" t="s">
        <v>1961</v>
      </c>
      <c r="AD95" s="415"/>
      <c r="AE95" s="417" t="s">
        <v>1962</v>
      </c>
      <c r="AF95" s="416" t="s">
        <v>1963</v>
      </c>
      <c r="AG95" s="415"/>
      <c r="AJ95" s="415" t="s">
        <v>337</v>
      </c>
      <c r="AM95" s="415" t="s">
        <v>337</v>
      </c>
      <c r="AP95" s="415" t="s">
        <v>337</v>
      </c>
      <c r="AS95" s="415" t="s">
        <v>337</v>
      </c>
      <c r="AV95" s="415" t="s">
        <v>337</v>
      </c>
      <c r="AY95" s="415" t="s">
        <v>337</v>
      </c>
      <c r="AZ95" s="213">
        <v>141001</v>
      </c>
      <c r="BA95" s="416" t="s">
        <v>1964</v>
      </c>
      <c r="BB95" s="415" t="s">
        <v>337</v>
      </c>
      <c r="BE95" s="415" t="s">
        <v>337</v>
      </c>
      <c r="BH95" s="415" t="s">
        <v>337</v>
      </c>
      <c r="BI95" s="213" t="s">
        <v>692</v>
      </c>
      <c r="BJ95" s="416" t="s">
        <v>693</v>
      </c>
      <c r="BK95" s="213" t="s">
        <v>1965</v>
      </c>
      <c r="BL95" s="416" t="s">
        <v>1966</v>
      </c>
      <c r="BM95" s="415" t="s">
        <v>337</v>
      </c>
      <c r="BN95" s="213" t="s">
        <v>1967</v>
      </c>
      <c r="BO95" s="416" t="s">
        <v>1968</v>
      </c>
      <c r="BP95" s="415" t="s">
        <v>337</v>
      </c>
      <c r="BS95" s="415"/>
      <c r="BV95" s="415" t="s">
        <v>337</v>
      </c>
      <c r="BY95" s="415" t="s">
        <v>337</v>
      </c>
      <c r="CB95" s="415" t="s">
        <v>337</v>
      </c>
      <c r="CE95" s="415" t="s">
        <v>337</v>
      </c>
      <c r="CH95" s="415" t="s">
        <v>337</v>
      </c>
      <c r="CK95" s="415" t="s">
        <v>337</v>
      </c>
      <c r="CN95" s="415" t="s">
        <v>337</v>
      </c>
      <c r="CQ95" s="415" t="s">
        <v>337</v>
      </c>
      <c r="CT95" s="415" t="s">
        <v>337</v>
      </c>
    </row>
    <row r="96" spans="1:98">
      <c r="A96" s="1" t="s">
        <v>519</v>
      </c>
      <c r="B96" s="416" t="s">
        <v>1969</v>
      </c>
      <c r="C96" s="415" t="s">
        <v>337</v>
      </c>
      <c r="D96" s="1" t="s">
        <v>1751</v>
      </c>
      <c r="E96" s="1" t="s">
        <v>1970</v>
      </c>
      <c r="F96" s="415" t="s">
        <v>337</v>
      </c>
      <c r="I96" s="415" t="s">
        <v>337</v>
      </c>
      <c r="L96" s="415" t="s">
        <v>337</v>
      </c>
      <c r="M96" s="213" t="s">
        <v>1971</v>
      </c>
      <c r="N96" s="416" t="s">
        <v>1972</v>
      </c>
      <c r="O96" s="415" t="s">
        <v>337</v>
      </c>
      <c r="R96" s="415" t="s">
        <v>337</v>
      </c>
      <c r="S96" s="213" t="s">
        <v>1973</v>
      </c>
      <c r="T96" s="416" t="s">
        <v>1974</v>
      </c>
      <c r="U96" s="415" t="s">
        <v>337</v>
      </c>
      <c r="X96" s="415"/>
      <c r="AA96" s="415"/>
      <c r="AB96" s="213">
        <v>9074</v>
      </c>
      <c r="AC96" s="416" t="s">
        <v>1975</v>
      </c>
      <c r="AD96" s="415"/>
      <c r="AE96" s="417" t="s">
        <v>1976</v>
      </c>
      <c r="AF96" s="416" t="s">
        <v>1977</v>
      </c>
      <c r="AG96" s="415"/>
      <c r="AJ96" s="415" t="s">
        <v>337</v>
      </c>
      <c r="AM96" s="415" t="s">
        <v>337</v>
      </c>
      <c r="AP96" s="415" t="s">
        <v>337</v>
      </c>
      <c r="AS96" s="415" t="s">
        <v>337</v>
      </c>
      <c r="AV96" s="415" t="s">
        <v>337</v>
      </c>
      <c r="AY96" s="415" t="s">
        <v>337</v>
      </c>
      <c r="AZ96" s="213">
        <v>141002</v>
      </c>
      <c r="BA96" s="416" t="s">
        <v>1978</v>
      </c>
      <c r="BB96" s="415" t="s">
        <v>337</v>
      </c>
      <c r="BE96" s="415" t="s">
        <v>337</v>
      </c>
      <c r="BH96" s="415" t="s">
        <v>337</v>
      </c>
      <c r="BI96" s="213" t="s">
        <v>692</v>
      </c>
      <c r="BJ96" s="416" t="s">
        <v>693</v>
      </c>
      <c r="BK96" s="213" t="s">
        <v>666</v>
      </c>
      <c r="BL96" s="416" t="s">
        <v>667</v>
      </c>
      <c r="BM96" s="415" t="s">
        <v>337</v>
      </c>
      <c r="BN96" s="213" t="s">
        <v>1979</v>
      </c>
      <c r="BO96" s="416" t="s">
        <v>1980</v>
      </c>
      <c r="BP96" s="415" t="s">
        <v>337</v>
      </c>
      <c r="BS96" s="415"/>
      <c r="BV96" s="415" t="s">
        <v>337</v>
      </c>
      <c r="BY96" s="415" t="s">
        <v>337</v>
      </c>
      <c r="CB96" s="415" t="s">
        <v>337</v>
      </c>
      <c r="CE96" s="415" t="s">
        <v>337</v>
      </c>
      <c r="CH96" s="415" t="s">
        <v>337</v>
      </c>
      <c r="CK96" s="415" t="s">
        <v>337</v>
      </c>
      <c r="CN96" s="415" t="s">
        <v>337</v>
      </c>
      <c r="CQ96" s="415" t="s">
        <v>337</v>
      </c>
      <c r="CT96" s="415" t="s">
        <v>337</v>
      </c>
    </row>
    <row r="97" spans="1:98">
      <c r="A97" s="1" t="s">
        <v>519</v>
      </c>
      <c r="B97" s="416" t="s">
        <v>1981</v>
      </c>
      <c r="C97" s="415" t="s">
        <v>337</v>
      </c>
      <c r="D97" s="1" t="s">
        <v>1751</v>
      </c>
      <c r="E97" s="1" t="s">
        <v>1982</v>
      </c>
      <c r="F97" s="415" t="s">
        <v>337</v>
      </c>
      <c r="I97" s="415" t="s">
        <v>337</v>
      </c>
      <c r="L97" s="415" t="s">
        <v>337</v>
      </c>
      <c r="M97" s="213" t="s">
        <v>1983</v>
      </c>
      <c r="N97" s="416" t="s">
        <v>1984</v>
      </c>
      <c r="O97" s="415" t="s">
        <v>337</v>
      </c>
      <c r="R97" s="415" t="s">
        <v>337</v>
      </c>
      <c r="S97" s="213" t="s">
        <v>1985</v>
      </c>
      <c r="T97" s="416" t="s">
        <v>1986</v>
      </c>
      <c r="U97" s="415" t="s">
        <v>337</v>
      </c>
      <c r="X97" s="415"/>
      <c r="AA97" s="415"/>
      <c r="AB97" s="213">
        <v>9075</v>
      </c>
      <c r="AC97" s="416" t="s">
        <v>1987</v>
      </c>
      <c r="AD97" s="415"/>
      <c r="AE97" s="417" t="s">
        <v>1988</v>
      </c>
      <c r="AF97" s="416" t="s">
        <v>1989</v>
      </c>
      <c r="AG97" s="415"/>
      <c r="AJ97" s="415" t="s">
        <v>337</v>
      </c>
      <c r="AM97" s="415" t="s">
        <v>337</v>
      </c>
      <c r="AP97" s="415" t="s">
        <v>337</v>
      </c>
      <c r="AS97" s="415" t="s">
        <v>337</v>
      </c>
      <c r="AV97" s="415" t="s">
        <v>337</v>
      </c>
      <c r="AY97" s="415" t="s">
        <v>337</v>
      </c>
      <c r="AZ97" s="213">
        <v>141003</v>
      </c>
      <c r="BA97" s="416" t="s">
        <v>1990</v>
      </c>
      <c r="BB97" s="415" t="s">
        <v>337</v>
      </c>
      <c r="BE97" s="415" t="s">
        <v>337</v>
      </c>
      <c r="BH97" s="415" t="s">
        <v>337</v>
      </c>
      <c r="BI97" s="213" t="s">
        <v>692</v>
      </c>
      <c r="BJ97" s="416" t="s">
        <v>693</v>
      </c>
      <c r="BK97" s="213" t="s">
        <v>1234</v>
      </c>
      <c r="BL97" s="416" t="s">
        <v>1235</v>
      </c>
      <c r="BM97" s="415" t="s">
        <v>337</v>
      </c>
      <c r="BN97" s="213" t="s">
        <v>1991</v>
      </c>
      <c r="BO97" s="416" t="s">
        <v>1992</v>
      </c>
      <c r="BP97" s="415" t="s">
        <v>337</v>
      </c>
      <c r="BS97" s="415"/>
      <c r="BV97" s="415" t="s">
        <v>337</v>
      </c>
      <c r="BY97" s="415" t="s">
        <v>337</v>
      </c>
      <c r="CB97" s="415" t="s">
        <v>337</v>
      </c>
      <c r="CE97" s="415" t="s">
        <v>337</v>
      </c>
      <c r="CH97" s="415" t="s">
        <v>337</v>
      </c>
      <c r="CK97" s="415" t="s">
        <v>337</v>
      </c>
      <c r="CN97" s="415" t="s">
        <v>337</v>
      </c>
      <c r="CQ97" s="415" t="s">
        <v>337</v>
      </c>
      <c r="CT97" s="415" t="s">
        <v>337</v>
      </c>
    </row>
    <row r="98" spans="1:98">
      <c r="A98" s="1" t="s">
        <v>519</v>
      </c>
      <c r="B98" s="416" t="s">
        <v>1993</v>
      </c>
      <c r="C98" s="415" t="s">
        <v>337</v>
      </c>
      <c r="D98" s="1" t="s">
        <v>1751</v>
      </c>
      <c r="E98" s="1" t="s">
        <v>1994</v>
      </c>
      <c r="F98" s="415" t="s">
        <v>337</v>
      </c>
      <c r="I98" s="415" t="s">
        <v>337</v>
      </c>
      <c r="L98" s="415" t="s">
        <v>337</v>
      </c>
      <c r="M98" s="213" t="s">
        <v>1995</v>
      </c>
      <c r="N98" s="416" t="s">
        <v>1996</v>
      </c>
      <c r="O98" s="415" t="s">
        <v>337</v>
      </c>
      <c r="R98" s="415" t="s">
        <v>337</v>
      </c>
      <c r="S98" s="213" t="s">
        <v>1997</v>
      </c>
      <c r="T98" s="416" t="s">
        <v>1998</v>
      </c>
      <c r="U98" s="415" t="s">
        <v>337</v>
      </c>
      <c r="X98" s="415"/>
      <c r="AA98" s="415"/>
      <c r="AB98" s="213">
        <v>9076</v>
      </c>
      <c r="AC98" s="416" t="s">
        <v>1999</v>
      </c>
      <c r="AD98" s="415"/>
      <c r="AE98" s="417" t="s">
        <v>2000</v>
      </c>
      <c r="AF98" s="416" t="s">
        <v>2001</v>
      </c>
      <c r="AG98" s="415"/>
      <c r="AJ98" s="415" t="s">
        <v>337</v>
      </c>
      <c r="AM98" s="415" t="s">
        <v>337</v>
      </c>
      <c r="AP98" s="415" t="s">
        <v>337</v>
      </c>
      <c r="AS98" s="415" t="s">
        <v>337</v>
      </c>
      <c r="AV98" s="415" t="s">
        <v>337</v>
      </c>
      <c r="AY98" s="415" t="s">
        <v>337</v>
      </c>
      <c r="AZ98" s="213">
        <v>141004</v>
      </c>
      <c r="BA98" s="416" t="s">
        <v>2002</v>
      </c>
      <c r="BB98" s="415" t="s">
        <v>337</v>
      </c>
      <c r="BE98" s="415" t="s">
        <v>337</v>
      </c>
      <c r="BH98" s="415" t="s">
        <v>337</v>
      </c>
      <c r="BI98" s="213" t="s">
        <v>692</v>
      </c>
      <c r="BJ98" s="416" t="s">
        <v>693</v>
      </c>
      <c r="BK98" s="213" t="s">
        <v>749</v>
      </c>
      <c r="BL98" s="416" t="s">
        <v>750</v>
      </c>
      <c r="BM98" s="415" t="s">
        <v>337</v>
      </c>
      <c r="BN98" s="213" t="s">
        <v>2003</v>
      </c>
      <c r="BO98" s="416" t="s">
        <v>2004</v>
      </c>
      <c r="BP98" s="415" t="s">
        <v>337</v>
      </c>
      <c r="BS98" s="415"/>
      <c r="BV98" s="415" t="s">
        <v>337</v>
      </c>
      <c r="BY98" s="415" t="s">
        <v>337</v>
      </c>
      <c r="CB98" s="415" t="s">
        <v>337</v>
      </c>
      <c r="CE98" s="415" t="s">
        <v>337</v>
      </c>
      <c r="CH98" s="415" t="s">
        <v>337</v>
      </c>
      <c r="CK98" s="415" t="s">
        <v>337</v>
      </c>
      <c r="CN98" s="415" t="s">
        <v>337</v>
      </c>
      <c r="CQ98" s="415" t="s">
        <v>337</v>
      </c>
      <c r="CT98" s="415" t="s">
        <v>337</v>
      </c>
    </row>
    <row r="99" spans="1:98">
      <c r="A99" s="1" t="s">
        <v>519</v>
      </c>
      <c r="B99" s="416" t="s">
        <v>2005</v>
      </c>
      <c r="C99" s="415" t="s">
        <v>337</v>
      </c>
      <c r="D99" s="1" t="s">
        <v>1751</v>
      </c>
      <c r="E99" s="1" t="s">
        <v>2006</v>
      </c>
      <c r="F99" s="415" t="s">
        <v>337</v>
      </c>
      <c r="I99" s="415" t="s">
        <v>337</v>
      </c>
      <c r="L99" s="415" t="s">
        <v>337</v>
      </c>
      <c r="M99" s="213" t="s">
        <v>2007</v>
      </c>
      <c r="N99" s="416" t="s">
        <v>2008</v>
      </c>
      <c r="O99" s="415" t="s">
        <v>337</v>
      </c>
      <c r="R99" s="415" t="s">
        <v>337</v>
      </c>
      <c r="S99" s="213" t="s">
        <v>2009</v>
      </c>
      <c r="T99" s="416" t="s">
        <v>2010</v>
      </c>
      <c r="U99" s="415" t="s">
        <v>337</v>
      </c>
      <c r="X99" s="415"/>
      <c r="AA99" s="415"/>
      <c r="AB99" s="213">
        <v>9077</v>
      </c>
      <c r="AC99" s="416" t="s">
        <v>2011</v>
      </c>
      <c r="AD99" s="415"/>
      <c r="AE99" s="417" t="s">
        <v>2012</v>
      </c>
      <c r="AF99" s="416" t="s">
        <v>2013</v>
      </c>
      <c r="AG99" s="415"/>
      <c r="AJ99" s="415" t="s">
        <v>337</v>
      </c>
      <c r="AM99" s="415" t="s">
        <v>337</v>
      </c>
      <c r="AP99" s="415" t="s">
        <v>337</v>
      </c>
      <c r="AS99" s="415" t="s">
        <v>337</v>
      </c>
      <c r="AV99" s="415" t="s">
        <v>337</v>
      </c>
      <c r="AY99" s="415" t="s">
        <v>337</v>
      </c>
      <c r="AZ99" s="213">
        <v>141005</v>
      </c>
      <c r="BA99" s="416" t="s">
        <v>2014</v>
      </c>
      <c r="BB99" s="415" t="s">
        <v>337</v>
      </c>
      <c r="BE99" s="415" t="s">
        <v>337</v>
      </c>
      <c r="BH99" s="415" t="s">
        <v>337</v>
      </c>
      <c r="BI99" s="213" t="s">
        <v>692</v>
      </c>
      <c r="BJ99" s="416" t="s">
        <v>693</v>
      </c>
      <c r="BK99" s="213" t="s">
        <v>1706</v>
      </c>
      <c r="BL99" s="416" t="s">
        <v>1707</v>
      </c>
      <c r="BM99" s="415" t="s">
        <v>337</v>
      </c>
      <c r="BN99" s="213" t="s">
        <v>2015</v>
      </c>
      <c r="BO99" s="416" t="s">
        <v>2016</v>
      </c>
      <c r="BP99" s="415" t="s">
        <v>337</v>
      </c>
      <c r="BS99" s="415"/>
      <c r="BV99" s="415" t="s">
        <v>337</v>
      </c>
      <c r="BY99" s="415" t="s">
        <v>337</v>
      </c>
      <c r="CB99" s="415" t="s">
        <v>337</v>
      </c>
      <c r="CE99" s="415" t="s">
        <v>337</v>
      </c>
      <c r="CH99" s="415" t="s">
        <v>337</v>
      </c>
      <c r="CK99" s="415" t="s">
        <v>337</v>
      </c>
      <c r="CN99" s="415" t="s">
        <v>337</v>
      </c>
      <c r="CQ99" s="415" t="s">
        <v>337</v>
      </c>
      <c r="CT99" s="415" t="s">
        <v>337</v>
      </c>
    </row>
    <row r="100" spans="1:98">
      <c r="A100" s="1" t="s">
        <v>519</v>
      </c>
      <c r="B100" s="416" t="s">
        <v>2017</v>
      </c>
      <c r="C100" s="415" t="s">
        <v>337</v>
      </c>
      <c r="D100" s="1" t="s">
        <v>1751</v>
      </c>
      <c r="E100" s="1" t="s">
        <v>2018</v>
      </c>
      <c r="F100" s="415" t="s">
        <v>337</v>
      </c>
      <c r="I100" s="415" t="s">
        <v>337</v>
      </c>
      <c r="L100" s="415" t="s">
        <v>337</v>
      </c>
      <c r="M100" s="213" t="s">
        <v>2019</v>
      </c>
      <c r="N100" s="416" t="s">
        <v>2020</v>
      </c>
      <c r="O100" s="415" t="s">
        <v>337</v>
      </c>
      <c r="R100" s="415" t="s">
        <v>337</v>
      </c>
      <c r="S100" s="213" t="s">
        <v>2021</v>
      </c>
      <c r="T100" s="416" t="s">
        <v>2022</v>
      </c>
      <c r="U100" s="415" t="s">
        <v>337</v>
      </c>
      <c r="X100" s="415"/>
      <c r="AA100" s="415"/>
      <c r="AB100" s="213">
        <v>9078</v>
      </c>
      <c r="AC100" s="416" t="s">
        <v>2023</v>
      </c>
      <c r="AD100" s="415"/>
      <c r="AE100" s="417" t="s">
        <v>2024</v>
      </c>
      <c r="AF100" s="416" t="s">
        <v>2025</v>
      </c>
      <c r="AG100" s="415"/>
      <c r="AJ100" s="415" t="s">
        <v>337</v>
      </c>
      <c r="AM100" s="415" t="s">
        <v>337</v>
      </c>
      <c r="AP100" s="415" t="s">
        <v>337</v>
      </c>
      <c r="AS100" s="415" t="s">
        <v>337</v>
      </c>
      <c r="AV100" s="415" t="s">
        <v>337</v>
      </c>
      <c r="AY100" s="415" t="s">
        <v>337</v>
      </c>
      <c r="AZ100" s="213">
        <v>141006</v>
      </c>
      <c r="BA100" s="416" t="s">
        <v>1432</v>
      </c>
      <c r="BB100" s="415" t="s">
        <v>337</v>
      </c>
      <c r="BE100" s="415" t="s">
        <v>337</v>
      </c>
      <c r="BH100" s="415" t="s">
        <v>337</v>
      </c>
      <c r="BI100" s="213" t="s">
        <v>692</v>
      </c>
      <c r="BJ100" s="416" t="s">
        <v>693</v>
      </c>
      <c r="BK100" s="213" t="s">
        <v>1720</v>
      </c>
      <c r="BL100" s="416" t="s">
        <v>1721</v>
      </c>
      <c r="BM100" s="415" t="s">
        <v>337</v>
      </c>
      <c r="BN100" s="213" t="s">
        <v>2026</v>
      </c>
      <c r="BO100" s="416" t="s">
        <v>2027</v>
      </c>
      <c r="BP100" s="415" t="s">
        <v>337</v>
      </c>
      <c r="BS100" s="415"/>
      <c r="BV100" s="415" t="s">
        <v>337</v>
      </c>
      <c r="BY100" s="415" t="s">
        <v>337</v>
      </c>
      <c r="CB100" s="415" t="s">
        <v>337</v>
      </c>
      <c r="CE100" s="415" t="s">
        <v>337</v>
      </c>
      <c r="CH100" s="415" t="s">
        <v>337</v>
      </c>
      <c r="CK100" s="415" t="s">
        <v>337</v>
      </c>
      <c r="CN100" s="415" t="s">
        <v>337</v>
      </c>
      <c r="CQ100" s="415" t="s">
        <v>337</v>
      </c>
      <c r="CT100" s="415" t="s">
        <v>337</v>
      </c>
    </row>
    <row r="101" spans="1:98">
      <c r="A101" s="1" t="s">
        <v>519</v>
      </c>
      <c r="B101" s="416" t="s">
        <v>2028</v>
      </c>
      <c r="C101" s="415" t="s">
        <v>337</v>
      </c>
      <c r="D101" s="1" t="s">
        <v>1751</v>
      </c>
      <c r="E101" s="1" t="s">
        <v>2029</v>
      </c>
      <c r="F101" s="415" t="s">
        <v>337</v>
      </c>
      <c r="I101" s="415" t="s">
        <v>337</v>
      </c>
      <c r="L101" s="415" t="s">
        <v>337</v>
      </c>
      <c r="M101" s="213" t="s">
        <v>2030</v>
      </c>
      <c r="N101" s="416" t="s">
        <v>2031</v>
      </c>
      <c r="O101" s="415" t="s">
        <v>337</v>
      </c>
      <c r="R101" s="415" t="s">
        <v>337</v>
      </c>
      <c r="S101" s="213" t="s">
        <v>2032</v>
      </c>
      <c r="T101" s="416" t="s">
        <v>2033</v>
      </c>
      <c r="U101" s="415" t="s">
        <v>337</v>
      </c>
      <c r="X101" s="415"/>
      <c r="AA101" s="415"/>
      <c r="AB101" s="213">
        <v>9079</v>
      </c>
      <c r="AC101" s="416" t="s">
        <v>2034</v>
      </c>
      <c r="AD101" s="415"/>
      <c r="AE101" s="417" t="s">
        <v>2035</v>
      </c>
      <c r="AF101" s="416" t="s">
        <v>2036</v>
      </c>
      <c r="AG101" s="415"/>
      <c r="AJ101" s="415" t="s">
        <v>337</v>
      </c>
      <c r="AM101" s="415" t="s">
        <v>337</v>
      </c>
      <c r="AP101" s="415" t="s">
        <v>337</v>
      </c>
      <c r="AS101" s="415" t="s">
        <v>337</v>
      </c>
      <c r="AV101" s="415" t="s">
        <v>337</v>
      </c>
      <c r="AY101" s="415" t="s">
        <v>337</v>
      </c>
      <c r="AZ101" s="213">
        <v>142001</v>
      </c>
      <c r="BA101" s="416" t="s">
        <v>519</v>
      </c>
      <c r="BB101" s="415" t="s">
        <v>337</v>
      </c>
      <c r="BE101" s="415" t="s">
        <v>337</v>
      </c>
      <c r="BH101" s="415" t="s">
        <v>337</v>
      </c>
      <c r="BI101" s="213" t="s">
        <v>692</v>
      </c>
      <c r="BJ101" s="416" t="s">
        <v>693</v>
      </c>
      <c r="BK101" s="213" t="s">
        <v>1734</v>
      </c>
      <c r="BL101" s="416" t="s">
        <v>1735</v>
      </c>
      <c r="BM101" s="415" t="s">
        <v>337</v>
      </c>
      <c r="BN101" s="213" t="s">
        <v>2037</v>
      </c>
      <c r="BO101" s="416" t="s">
        <v>2038</v>
      </c>
      <c r="BP101" s="415" t="s">
        <v>337</v>
      </c>
      <c r="BS101" s="415"/>
      <c r="BV101" s="415" t="s">
        <v>337</v>
      </c>
      <c r="BY101" s="415" t="s">
        <v>337</v>
      </c>
      <c r="CB101" s="415" t="s">
        <v>337</v>
      </c>
      <c r="CE101" s="415" t="s">
        <v>337</v>
      </c>
      <c r="CH101" s="415" t="s">
        <v>337</v>
      </c>
      <c r="CK101" s="415" t="s">
        <v>337</v>
      </c>
      <c r="CN101" s="415" t="s">
        <v>337</v>
      </c>
      <c r="CQ101" s="415" t="s">
        <v>337</v>
      </c>
      <c r="CT101" s="415" t="s">
        <v>337</v>
      </c>
    </row>
    <row r="102" spans="1:98">
      <c r="A102" s="1" t="s">
        <v>557</v>
      </c>
      <c r="B102" s="416" t="s">
        <v>2039</v>
      </c>
      <c r="C102" s="415" t="s">
        <v>337</v>
      </c>
      <c r="D102" s="1" t="s">
        <v>1751</v>
      </c>
      <c r="E102" s="1" t="s">
        <v>2040</v>
      </c>
      <c r="F102" s="415" t="s">
        <v>337</v>
      </c>
      <c r="I102" s="415" t="s">
        <v>337</v>
      </c>
      <c r="L102" s="415" t="s">
        <v>337</v>
      </c>
      <c r="M102" s="213" t="s">
        <v>2041</v>
      </c>
      <c r="N102" s="416" t="s">
        <v>2042</v>
      </c>
      <c r="O102" s="415" t="s">
        <v>337</v>
      </c>
      <c r="R102" s="415" t="s">
        <v>337</v>
      </c>
      <c r="S102" s="213" t="s">
        <v>2043</v>
      </c>
      <c r="T102" s="416" t="s">
        <v>2044</v>
      </c>
      <c r="U102" s="415" t="s">
        <v>337</v>
      </c>
      <c r="X102" s="415"/>
      <c r="AA102" s="415"/>
      <c r="AB102" s="213">
        <v>9080</v>
      </c>
      <c r="AC102" s="416" t="s">
        <v>2045</v>
      </c>
      <c r="AD102" s="415"/>
      <c r="AE102" s="417" t="s">
        <v>2046</v>
      </c>
      <c r="AF102" s="416" t="s">
        <v>2047</v>
      </c>
      <c r="AG102" s="415"/>
      <c r="AJ102" s="415" t="s">
        <v>337</v>
      </c>
      <c r="AM102" s="415" t="s">
        <v>337</v>
      </c>
      <c r="AP102" s="415" t="s">
        <v>337</v>
      </c>
      <c r="AS102" s="415" t="s">
        <v>337</v>
      </c>
      <c r="AV102" s="415" t="s">
        <v>337</v>
      </c>
      <c r="AY102" s="415" t="s">
        <v>337</v>
      </c>
      <c r="AZ102" s="213">
        <v>142002</v>
      </c>
      <c r="BA102" s="416" t="s">
        <v>2048</v>
      </c>
      <c r="BB102" s="415" t="s">
        <v>337</v>
      </c>
      <c r="BE102" s="415" t="s">
        <v>337</v>
      </c>
      <c r="BH102" s="415" t="s">
        <v>337</v>
      </c>
      <c r="BI102" s="213" t="s">
        <v>692</v>
      </c>
      <c r="BJ102" s="416" t="s">
        <v>693</v>
      </c>
      <c r="BK102" s="213" t="s">
        <v>1747</v>
      </c>
      <c r="BL102" s="416" t="s">
        <v>415</v>
      </c>
      <c r="BM102" s="415" t="s">
        <v>337</v>
      </c>
      <c r="BN102" s="213" t="s">
        <v>2049</v>
      </c>
      <c r="BO102" s="416" t="s">
        <v>2050</v>
      </c>
      <c r="BP102" s="415" t="s">
        <v>337</v>
      </c>
      <c r="BS102" s="415"/>
      <c r="BV102" s="415" t="s">
        <v>337</v>
      </c>
      <c r="BY102" s="415" t="s">
        <v>337</v>
      </c>
      <c r="CB102" s="415" t="s">
        <v>337</v>
      </c>
      <c r="CE102" s="415" t="s">
        <v>337</v>
      </c>
      <c r="CH102" s="415" t="s">
        <v>337</v>
      </c>
      <c r="CK102" s="415" t="s">
        <v>337</v>
      </c>
      <c r="CN102" s="415" t="s">
        <v>337</v>
      </c>
      <c r="CQ102" s="415" t="s">
        <v>337</v>
      </c>
      <c r="CT102" s="415" t="s">
        <v>337</v>
      </c>
    </row>
    <row r="103" spans="1:98">
      <c r="A103" s="1" t="s">
        <v>557</v>
      </c>
      <c r="B103" s="416" t="s">
        <v>2051</v>
      </c>
      <c r="C103" s="415" t="s">
        <v>337</v>
      </c>
      <c r="D103" s="1" t="s">
        <v>1751</v>
      </c>
      <c r="E103" s="1" t="s">
        <v>2052</v>
      </c>
      <c r="F103" s="415" t="s">
        <v>337</v>
      </c>
      <c r="I103" s="415" t="s">
        <v>337</v>
      </c>
      <c r="L103" s="415" t="s">
        <v>337</v>
      </c>
      <c r="M103" s="213" t="s">
        <v>2053</v>
      </c>
      <c r="N103" s="416" t="s">
        <v>2054</v>
      </c>
      <c r="O103" s="415" t="s">
        <v>337</v>
      </c>
      <c r="R103" s="415" t="s">
        <v>337</v>
      </c>
      <c r="S103" s="213" t="s">
        <v>2055</v>
      </c>
      <c r="T103" s="416" t="s">
        <v>2056</v>
      </c>
      <c r="U103" s="415" t="s">
        <v>337</v>
      </c>
      <c r="X103" s="415"/>
      <c r="AA103" s="415"/>
      <c r="AB103" s="213">
        <v>9081</v>
      </c>
      <c r="AC103" s="416" t="s">
        <v>2057</v>
      </c>
      <c r="AD103" s="415"/>
      <c r="AE103" s="417" t="s">
        <v>2058</v>
      </c>
      <c r="AF103" s="416" t="s">
        <v>2059</v>
      </c>
      <c r="AG103" s="415"/>
      <c r="AJ103" s="415" t="s">
        <v>337</v>
      </c>
      <c r="AM103" s="415" t="s">
        <v>337</v>
      </c>
      <c r="AP103" s="415" t="s">
        <v>337</v>
      </c>
      <c r="AS103" s="415" t="s">
        <v>337</v>
      </c>
      <c r="AV103" s="415" t="s">
        <v>337</v>
      </c>
      <c r="AY103" s="415" t="s">
        <v>337</v>
      </c>
      <c r="AZ103" s="213">
        <v>142003</v>
      </c>
      <c r="BA103" s="416" t="s">
        <v>976</v>
      </c>
      <c r="BB103" s="415" t="s">
        <v>337</v>
      </c>
      <c r="BE103" s="415" t="s">
        <v>337</v>
      </c>
      <c r="BH103" s="415" t="s">
        <v>337</v>
      </c>
      <c r="BI103" s="213" t="s">
        <v>719</v>
      </c>
      <c r="BJ103" s="416" t="s">
        <v>720</v>
      </c>
      <c r="BK103" s="213" t="s">
        <v>2060</v>
      </c>
      <c r="BL103" s="416" t="s">
        <v>2061</v>
      </c>
      <c r="BM103" s="415" t="s">
        <v>337</v>
      </c>
      <c r="BN103" s="213" t="s">
        <v>2062</v>
      </c>
      <c r="BO103" s="416" t="s">
        <v>2063</v>
      </c>
      <c r="BP103" s="415" t="s">
        <v>337</v>
      </c>
      <c r="BS103" s="415"/>
      <c r="BV103" s="415" t="s">
        <v>337</v>
      </c>
      <c r="BY103" s="415" t="s">
        <v>337</v>
      </c>
      <c r="CB103" s="415" t="s">
        <v>337</v>
      </c>
      <c r="CE103" s="415" t="s">
        <v>337</v>
      </c>
      <c r="CH103" s="415" t="s">
        <v>337</v>
      </c>
      <c r="CK103" s="415" t="s">
        <v>337</v>
      </c>
      <c r="CN103" s="415" t="s">
        <v>337</v>
      </c>
      <c r="CQ103" s="415" t="s">
        <v>337</v>
      </c>
      <c r="CT103" s="415" t="s">
        <v>337</v>
      </c>
    </row>
    <row r="104" spans="1:98">
      <c r="A104" s="1" t="s">
        <v>557</v>
      </c>
      <c r="B104" s="416" t="s">
        <v>2064</v>
      </c>
      <c r="C104" s="415" t="s">
        <v>337</v>
      </c>
      <c r="D104" s="1" t="s">
        <v>1751</v>
      </c>
      <c r="E104" s="1" t="s">
        <v>2065</v>
      </c>
      <c r="F104" s="415" t="s">
        <v>337</v>
      </c>
      <c r="I104" s="415" t="s">
        <v>337</v>
      </c>
      <c r="L104" s="415" t="s">
        <v>337</v>
      </c>
      <c r="M104" s="213" t="s">
        <v>2066</v>
      </c>
      <c r="N104" s="416" t="s">
        <v>2067</v>
      </c>
      <c r="O104" s="415" t="s">
        <v>337</v>
      </c>
      <c r="R104" s="415" t="s">
        <v>337</v>
      </c>
      <c r="S104" s="213" t="s">
        <v>2068</v>
      </c>
      <c r="T104" s="416" t="s">
        <v>2069</v>
      </c>
      <c r="U104" s="415" t="s">
        <v>337</v>
      </c>
      <c r="X104" s="415"/>
      <c r="AA104" s="415"/>
      <c r="AB104" s="213">
        <v>9082</v>
      </c>
      <c r="AC104" s="416" t="s">
        <v>2070</v>
      </c>
      <c r="AD104" s="415"/>
      <c r="AE104" s="417" t="s">
        <v>2071</v>
      </c>
      <c r="AF104" s="416" t="s">
        <v>2072</v>
      </c>
      <c r="AG104" s="415"/>
      <c r="AJ104" s="415" t="s">
        <v>337</v>
      </c>
      <c r="AM104" s="415" t="s">
        <v>337</v>
      </c>
      <c r="AP104" s="415" t="s">
        <v>337</v>
      </c>
      <c r="AS104" s="415" t="s">
        <v>337</v>
      </c>
      <c r="AV104" s="415" t="s">
        <v>337</v>
      </c>
      <c r="AY104" s="415" t="s">
        <v>337</v>
      </c>
      <c r="AZ104" s="213">
        <v>142004</v>
      </c>
      <c r="BA104" s="416" t="s">
        <v>2073</v>
      </c>
      <c r="BB104" s="415" t="s">
        <v>337</v>
      </c>
      <c r="BE104" s="415" t="s">
        <v>337</v>
      </c>
      <c r="BH104" s="415" t="s">
        <v>337</v>
      </c>
      <c r="BI104" s="213" t="s">
        <v>719</v>
      </c>
      <c r="BJ104" s="416" t="s">
        <v>720</v>
      </c>
      <c r="BK104" s="213" t="s">
        <v>2074</v>
      </c>
      <c r="BL104" s="416" t="s">
        <v>2075</v>
      </c>
      <c r="BM104" s="415" t="s">
        <v>337</v>
      </c>
      <c r="BN104" s="213" t="s">
        <v>2076</v>
      </c>
      <c r="BO104" s="416" t="s">
        <v>2077</v>
      </c>
      <c r="BP104" s="415" t="s">
        <v>337</v>
      </c>
      <c r="BS104" s="415"/>
      <c r="BV104" s="415" t="s">
        <v>337</v>
      </c>
      <c r="BY104" s="415" t="s">
        <v>337</v>
      </c>
      <c r="CB104" s="415" t="s">
        <v>337</v>
      </c>
      <c r="CE104" s="415" t="s">
        <v>337</v>
      </c>
      <c r="CH104" s="415" t="s">
        <v>337</v>
      </c>
      <c r="CK104" s="415" t="s">
        <v>337</v>
      </c>
      <c r="CN104" s="415" t="s">
        <v>337</v>
      </c>
      <c r="CQ104" s="415" t="s">
        <v>337</v>
      </c>
      <c r="CT104" s="415" t="s">
        <v>337</v>
      </c>
    </row>
    <row r="105" spans="1:98">
      <c r="A105" s="1" t="s">
        <v>557</v>
      </c>
      <c r="B105" s="416" t="s">
        <v>2078</v>
      </c>
      <c r="C105" s="415" t="s">
        <v>337</v>
      </c>
      <c r="D105" s="1" t="s">
        <v>1751</v>
      </c>
      <c r="E105" s="1" t="s">
        <v>2079</v>
      </c>
      <c r="F105" s="415" t="s">
        <v>337</v>
      </c>
      <c r="I105" s="415" t="s">
        <v>337</v>
      </c>
      <c r="L105" s="415" t="s">
        <v>337</v>
      </c>
      <c r="M105" s="213" t="s">
        <v>2080</v>
      </c>
      <c r="N105" s="416" t="s">
        <v>2081</v>
      </c>
      <c r="O105" s="415" t="s">
        <v>337</v>
      </c>
      <c r="R105" s="415" t="s">
        <v>337</v>
      </c>
      <c r="S105" s="213" t="s">
        <v>2082</v>
      </c>
      <c r="T105" s="416" t="s">
        <v>2083</v>
      </c>
      <c r="U105" s="415" t="s">
        <v>337</v>
      </c>
      <c r="X105" s="415"/>
      <c r="AA105" s="415"/>
      <c r="AB105" s="213">
        <v>9083</v>
      </c>
      <c r="AC105" s="416" t="s">
        <v>2084</v>
      </c>
      <c r="AD105" s="415"/>
      <c r="AE105" s="417" t="s">
        <v>2085</v>
      </c>
      <c r="AF105" s="416" t="s">
        <v>2086</v>
      </c>
      <c r="AG105" s="415"/>
      <c r="AJ105" s="415" t="s">
        <v>337</v>
      </c>
      <c r="AM105" s="415" t="s">
        <v>337</v>
      </c>
      <c r="AP105" s="415" t="s">
        <v>337</v>
      </c>
      <c r="AS105" s="415" t="s">
        <v>337</v>
      </c>
      <c r="AV105" s="415" t="s">
        <v>337</v>
      </c>
      <c r="AY105" s="415" t="s">
        <v>337</v>
      </c>
      <c r="AZ105" s="213">
        <v>142005</v>
      </c>
      <c r="BA105" s="416" t="s">
        <v>2087</v>
      </c>
      <c r="BB105" s="415" t="s">
        <v>337</v>
      </c>
      <c r="BE105" s="415" t="s">
        <v>337</v>
      </c>
      <c r="BH105" s="415" t="s">
        <v>337</v>
      </c>
      <c r="BI105" s="213" t="s">
        <v>719</v>
      </c>
      <c r="BJ105" s="416" t="s">
        <v>720</v>
      </c>
      <c r="BK105" s="213" t="s">
        <v>749</v>
      </c>
      <c r="BL105" s="416" t="s">
        <v>750</v>
      </c>
      <c r="BM105" s="415" t="s">
        <v>337</v>
      </c>
      <c r="BN105" s="213" t="s">
        <v>2088</v>
      </c>
      <c r="BO105" s="416" t="s">
        <v>2089</v>
      </c>
      <c r="BP105" s="415" t="s">
        <v>337</v>
      </c>
      <c r="BS105" s="415"/>
      <c r="BV105" s="415" t="s">
        <v>337</v>
      </c>
      <c r="BY105" s="415" t="s">
        <v>337</v>
      </c>
      <c r="CB105" s="415" t="s">
        <v>337</v>
      </c>
      <c r="CE105" s="415" t="s">
        <v>337</v>
      </c>
      <c r="CH105" s="415" t="s">
        <v>337</v>
      </c>
      <c r="CK105" s="415" t="s">
        <v>337</v>
      </c>
      <c r="CN105" s="415" t="s">
        <v>337</v>
      </c>
      <c r="CQ105" s="415" t="s">
        <v>337</v>
      </c>
      <c r="CT105" s="415" t="s">
        <v>337</v>
      </c>
    </row>
    <row r="106" spans="1:98">
      <c r="A106" s="1" t="s">
        <v>557</v>
      </c>
      <c r="B106" s="416" t="s">
        <v>2090</v>
      </c>
      <c r="C106" s="415" t="s">
        <v>337</v>
      </c>
      <c r="D106" s="1" t="s">
        <v>1751</v>
      </c>
      <c r="E106" s="1" t="s">
        <v>2091</v>
      </c>
      <c r="F106" s="415" t="s">
        <v>337</v>
      </c>
      <c r="I106" s="415" t="s">
        <v>337</v>
      </c>
      <c r="L106" s="415" t="s">
        <v>337</v>
      </c>
      <c r="M106" s="213" t="s">
        <v>2092</v>
      </c>
      <c r="N106" s="416" t="s">
        <v>2093</v>
      </c>
      <c r="O106" s="415" t="s">
        <v>337</v>
      </c>
      <c r="R106" s="415" t="s">
        <v>337</v>
      </c>
      <c r="S106" s="213" t="s">
        <v>2094</v>
      </c>
      <c r="T106" s="416" t="s">
        <v>2095</v>
      </c>
      <c r="U106" s="415" t="s">
        <v>337</v>
      </c>
      <c r="X106" s="415"/>
      <c r="AA106" s="415"/>
      <c r="AB106" s="213">
        <v>9084</v>
      </c>
      <c r="AC106" s="416" t="s">
        <v>2096</v>
      </c>
      <c r="AD106" s="415"/>
      <c r="AE106" s="417" t="s">
        <v>2097</v>
      </c>
      <c r="AF106" s="416" t="s">
        <v>2098</v>
      </c>
      <c r="AG106" s="415"/>
      <c r="AJ106" s="415" t="s">
        <v>337</v>
      </c>
      <c r="AM106" s="415" t="s">
        <v>337</v>
      </c>
      <c r="AP106" s="415" t="s">
        <v>337</v>
      </c>
      <c r="AS106" s="415" t="s">
        <v>337</v>
      </c>
      <c r="AV106" s="415" t="s">
        <v>337</v>
      </c>
      <c r="AY106" s="415" t="s">
        <v>337</v>
      </c>
      <c r="AZ106" s="213">
        <v>142006</v>
      </c>
      <c r="BA106" s="416" t="s">
        <v>2099</v>
      </c>
      <c r="BB106" s="415" t="s">
        <v>337</v>
      </c>
      <c r="BE106" s="415" t="s">
        <v>337</v>
      </c>
      <c r="BH106" s="415" t="s">
        <v>337</v>
      </c>
      <c r="BI106" s="213" t="s">
        <v>719</v>
      </c>
      <c r="BJ106" s="416" t="s">
        <v>720</v>
      </c>
      <c r="BK106" s="213" t="s">
        <v>1720</v>
      </c>
      <c r="BL106" s="416" t="s">
        <v>1721</v>
      </c>
      <c r="BM106" s="415" t="s">
        <v>337</v>
      </c>
      <c r="BN106" s="213" t="s">
        <v>2100</v>
      </c>
      <c r="BO106" s="416" t="s">
        <v>2101</v>
      </c>
      <c r="BP106" s="415" t="s">
        <v>337</v>
      </c>
      <c r="BS106" s="415"/>
      <c r="BV106" s="415" t="s">
        <v>337</v>
      </c>
      <c r="BY106" s="415" t="s">
        <v>337</v>
      </c>
      <c r="CB106" s="415" t="s">
        <v>337</v>
      </c>
      <c r="CE106" s="415" t="s">
        <v>337</v>
      </c>
      <c r="CH106" s="415" t="s">
        <v>337</v>
      </c>
      <c r="CK106" s="415" t="s">
        <v>337</v>
      </c>
      <c r="CN106" s="415" t="s">
        <v>337</v>
      </c>
      <c r="CQ106" s="415" t="s">
        <v>337</v>
      </c>
      <c r="CT106" s="415" t="s">
        <v>337</v>
      </c>
    </row>
    <row r="107" spans="1:98">
      <c r="A107" s="1" t="s">
        <v>557</v>
      </c>
      <c r="B107" s="416" t="s">
        <v>2102</v>
      </c>
      <c r="C107" s="415" t="s">
        <v>337</v>
      </c>
      <c r="D107" s="1" t="s">
        <v>1751</v>
      </c>
      <c r="E107" s="1" t="s">
        <v>2103</v>
      </c>
      <c r="F107" s="415" t="s">
        <v>337</v>
      </c>
      <c r="I107" s="415" t="s">
        <v>337</v>
      </c>
      <c r="L107" s="415" t="s">
        <v>337</v>
      </c>
      <c r="M107" s="213" t="s">
        <v>2104</v>
      </c>
      <c r="N107" s="416" t="s">
        <v>2105</v>
      </c>
      <c r="O107" s="415" t="s">
        <v>337</v>
      </c>
      <c r="R107" s="415" t="s">
        <v>337</v>
      </c>
      <c r="S107" s="213" t="s">
        <v>2106</v>
      </c>
      <c r="T107" s="416" t="s">
        <v>2107</v>
      </c>
      <c r="U107" s="415" t="s">
        <v>337</v>
      </c>
      <c r="X107" s="415"/>
      <c r="AA107" s="415"/>
      <c r="AB107" s="213">
        <v>9085</v>
      </c>
      <c r="AC107" s="416" t="s">
        <v>2108</v>
      </c>
      <c r="AD107" s="415"/>
      <c r="AE107" s="417" t="s">
        <v>2109</v>
      </c>
      <c r="AF107" s="416" t="s">
        <v>2110</v>
      </c>
      <c r="AG107" s="415"/>
      <c r="AJ107" s="415" t="s">
        <v>337</v>
      </c>
      <c r="AM107" s="415" t="s">
        <v>337</v>
      </c>
      <c r="AP107" s="415" t="s">
        <v>337</v>
      </c>
      <c r="AS107" s="415" t="s">
        <v>337</v>
      </c>
      <c r="AV107" s="415" t="s">
        <v>337</v>
      </c>
      <c r="AY107" s="415" t="s">
        <v>337</v>
      </c>
      <c r="AZ107" s="213">
        <v>143001</v>
      </c>
      <c r="BA107" s="416" t="s">
        <v>2111</v>
      </c>
      <c r="BB107" s="415" t="s">
        <v>337</v>
      </c>
      <c r="BE107" s="415" t="s">
        <v>337</v>
      </c>
      <c r="BH107" s="415" t="s">
        <v>337</v>
      </c>
      <c r="BI107" s="213" t="s">
        <v>719</v>
      </c>
      <c r="BJ107" s="416" t="s">
        <v>720</v>
      </c>
      <c r="BK107" s="213" t="s">
        <v>1734</v>
      </c>
      <c r="BL107" s="416" t="s">
        <v>1735</v>
      </c>
      <c r="BM107" s="415" t="s">
        <v>337</v>
      </c>
      <c r="BN107" s="213" t="s">
        <v>2112</v>
      </c>
      <c r="BO107" s="416" t="s">
        <v>2113</v>
      </c>
      <c r="BP107" s="415" t="s">
        <v>337</v>
      </c>
      <c r="BS107" s="415"/>
      <c r="BV107" s="415" t="s">
        <v>337</v>
      </c>
      <c r="BY107" s="415" t="s">
        <v>337</v>
      </c>
      <c r="CB107" s="415" t="s">
        <v>337</v>
      </c>
      <c r="CE107" s="415" t="s">
        <v>337</v>
      </c>
      <c r="CH107" s="415" t="s">
        <v>337</v>
      </c>
      <c r="CK107" s="415" t="s">
        <v>337</v>
      </c>
      <c r="CN107" s="415" t="s">
        <v>337</v>
      </c>
      <c r="CQ107" s="415" t="s">
        <v>337</v>
      </c>
      <c r="CT107" s="415" t="s">
        <v>337</v>
      </c>
    </row>
    <row r="108" spans="1:98">
      <c r="A108" s="1" t="s">
        <v>557</v>
      </c>
      <c r="B108" s="416" t="s">
        <v>2114</v>
      </c>
      <c r="C108" s="415" t="s">
        <v>337</v>
      </c>
      <c r="D108" s="1" t="s">
        <v>1751</v>
      </c>
      <c r="E108" s="1" t="s">
        <v>2115</v>
      </c>
      <c r="F108" s="415" t="s">
        <v>337</v>
      </c>
      <c r="I108" s="415" t="s">
        <v>337</v>
      </c>
      <c r="L108" s="415" t="s">
        <v>337</v>
      </c>
      <c r="M108" s="213" t="s">
        <v>2116</v>
      </c>
      <c r="N108" s="416" t="s">
        <v>2117</v>
      </c>
      <c r="O108" s="415" t="s">
        <v>337</v>
      </c>
      <c r="R108" s="415" t="s">
        <v>337</v>
      </c>
      <c r="S108" s="213" t="s">
        <v>2118</v>
      </c>
      <c r="T108" s="416" t="s">
        <v>2119</v>
      </c>
      <c r="U108" s="415" t="s">
        <v>337</v>
      </c>
      <c r="X108" s="415"/>
      <c r="AA108" s="415"/>
      <c r="AB108" s="213">
        <v>9086</v>
      </c>
      <c r="AC108" s="416" t="s">
        <v>2120</v>
      </c>
      <c r="AD108" s="415"/>
      <c r="AE108" s="417" t="s">
        <v>2121</v>
      </c>
      <c r="AF108" s="416" t="s">
        <v>2122</v>
      </c>
      <c r="AG108" s="415"/>
      <c r="AJ108" s="415" t="s">
        <v>337</v>
      </c>
      <c r="AM108" s="415" t="s">
        <v>337</v>
      </c>
      <c r="AP108" s="415" t="s">
        <v>337</v>
      </c>
      <c r="AS108" s="415" t="s">
        <v>337</v>
      </c>
      <c r="AV108" s="415" t="s">
        <v>337</v>
      </c>
      <c r="AY108" s="415" t="s">
        <v>337</v>
      </c>
      <c r="AZ108" s="213">
        <v>143002</v>
      </c>
      <c r="BA108" s="416" t="s">
        <v>2123</v>
      </c>
      <c r="BB108" s="415" t="s">
        <v>337</v>
      </c>
      <c r="BE108" s="415" t="s">
        <v>337</v>
      </c>
      <c r="BH108" s="415" t="s">
        <v>337</v>
      </c>
      <c r="BI108" s="213" t="s">
        <v>719</v>
      </c>
      <c r="BJ108" s="416" t="s">
        <v>720</v>
      </c>
      <c r="BK108" s="213" t="s">
        <v>1747</v>
      </c>
      <c r="BL108" s="416" t="s">
        <v>415</v>
      </c>
      <c r="BM108" s="415" t="s">
        <v>337</v>
      </c>
      <c r="BN108" s="213" t="s">
        <v>2124</v>
      </c>
      <c r="BO108" s="416" t="s">
        <v>2125</v>
      </c>
      <c r="BP108" s="415" t="s">
        <v>337</v>
      </c>
      <c r="BS108" s="415"/>
      <c r="BV108" s="415" t="s">
        <v>337</v>
      </c>
      <c r="BY108" s="415" t="s">
        <v>337</v>
      </c>
      <c r="CB108" s="415" t="s">
        <v>337</v>
      </c>
      <c r="CE108" s="415" t="s">
        <v>337</v>
      </c>
      <c r="CH108" s="415" t="s">
        <v>337</v>
      </c>
      <c r="CK108" s="415" t="s">
        <v>337</v>
      </c>
      <c r="CN108" s="415" t="s">
        <v>337</v>
      </c>
      <c r="CQ108" s="415" t="s">
        <v>337</v>
      </c>
      <c r="CT108" s="415" t="s">
        <v>337</v>
      </c>
    </row>
    <row r="109" spans="1:98">
      <c r="A109" s="1" t="s">
        <v>557</v>
      </c>
      <c r="B109" s="416" t="s">
        <v>2126</v>
      </c>
      <c r="C109" s="415" t="s">
        <v>337</v>
      </c>
      <c r="D109" s="1" t="s">
        <v>1751</v>
      </c>
      <c r="E109" s="1" t="s">
        <v>2127</v>
      </c>
      <c r="F109" s="415" t="s">
        <v>337</v>
      </c>
      <c r="I109" s="415" t="s">
        <v>337</v>
      </c>
      <c r="L109" s="415" t="s">
        <v>337</v>
      </c>
      <c r="M109" s="213" t="s">
        <v>2128</v>
      </c>
      <c r="N109" s="416" t="s">
        <v>2129</v>
      </c>
      <c r="O109" s="415" t="s">
        <v>337</v>
      </c>
      <c r="R109" s="415" t="s">
        <v>337</v>
      </c>
      <c r="S109" s="213" t="s">
        <v>2130</v>
      </c>
      <c r="T109" s="416" t="s">
        <v>2131</v>
      </c>
      <c r="U109" s="415" t="s">
        <v>337</v>
      </c>
      <c r="X109" s="415"/>
      <c r="AA109" s="415"/>
      <c r="AB109" s="213">
        <v>9087</v>
      </c>
      <c r="AC109" s="416" t="s">
        <v>2132</v>
      </c>
      <c r="AD109" s="415"/>
      <c r="AE109" s="417" t="s">
        <v>2133</v>
      </c>
      <c r="AF109" s="416" t="s">
        <v>2134</v>
      </c>
      <c r="AG109" s="415"/>
      <c r="AJ109" s="415" t="s">
        <v>337</v>
      </c>
      <c r="AM109" s="415" t="s">
        <v>337</v>
      </c>
      <c r="AP109" s="415" t="s">
        <v>337</v>
      </c>
      <c r="AS109" s="415" t="s">
        <v>337</v>
      </c>
      <c r="AV109" s="415" t="s">
        <v>337</v>
      </c>
      <c r="AY109" s="415" t="s">
        <v>337</v>
      </c>
      <c r="AZ109" s="213">
        <v>143003</v>
      </c>
      <c r="BA109" s="416" t="s">
        <v>1161</v>
      </c>
      <c r="BB109" s="415" t="s">
        <v>337</v>
      </c>
      <c r="BE109" s="415" t="s">
        <v>337</v>
      </c>
      <c r="BH109" s="415" t="s">
        <v>337</v>
      </c>
      <c r="BI109" s="213" t="s">
        <v>747</v>
      </c>
      <c r="BJ109" s="416" t="s">
        <v>748</v>
      </c>
      <c r="BK109" s="213" t="s">
        <v>2135</v>
      </c>
      <c r="BL109" s="416" t="s">
        <v>2136</v>
      </c>
      <c r="BM109" s="415" t="s">
        <v>337</v>
      </c>
      <c r="BN109" s="213" t="s">
        <v>2137</v>
      </c>
      <c r="BO109" s="416" t="s">
        <v>2138</v>
      </c>
      <c r="BP109" s="415" t="s">
        <v>337</v>
      </c>
      <c r="BS109" s="415"/>
      <c r="BV109" s="415" t="s">
        <v>337</v>
      </c>
      <c r="BY109" s="415" t="s">
        <v>337</v>
      </c>
      <c r="CB109" s="415" t="s">
        <v>337</v>
      </c>
      <c r="CE109" s="415" t="s">
        <v>337</v>
      </c>
      <c r="CH109" s="415" t="s">
        <v>337</v>
      </c>
      <c r="CK109" s="415" t="s">
        <v>337</v>
      </c>
      <c r="CN109" s="415" t="s">
        <v>337</v>
      </c>
      <c r="CQ109" s="415" t="s">
        <v>337</v>
      </c>
      <c r="CT109" s="415" t="s">
        <v>337</v>
      </c>
    </row>
    <row r="110" spans="1:98">
      <c r="A110" s="1" t="s">
        <v>557</v>
      </c>
      <c r="B110" s="416" t="s">
        <v>2139</v>
      </c>
      <c r="C110" s="415" t="s">
        <v>337</v>
      </c>
      <c r="D110" s="1" t="s">
        <v>1751</v>
      </c>
      <c r="E110" s="1" t="s">
        <v>2140</v>
      </c>
      <c r="F110" s="415" t="s">
        <v>337</v>
      </c>
      <c r="I110" s="415" t="s">
        <v>337</v>
      </c>
      <c r="L110" s="415" t="s">
        <v>337</v>
      </c>
      <c r="M110" s="213" t="s">
        <v>2141</v>
      </c>
      <c r="N110" s="416" t="s">
        <v>2142</v>
      </c>
      <c r="O110" s="415" t="s">
        <v>337</v>
      </c>
      <c r="R110" s="415" t="s">
        <v>337</v>
      </c>
      <c r="S110" s="213" t="s">
        <v>2143</v>
      </c>
      <c r="T110" s="416" t="s">
        <v>2144</v>
      </c>
      <c r="U110" s="415" t="s">
        <v>337</v>
      </c>
      <c r="X110" s="415"/>
      <c r="AA110" s="415"/>
      <c r="AB110" s="213">
        <v>9088</v>
      </c>
      <c r="AC110" s="416" t="s">
        <v>2145</v>
      </c>
      <c r="AD110" s="415"/>
      <c r="AE110" s="417" t="s">
        <v>2146</v>
      </c>
      <c r="AF110" s="416" t="s">
        <v>2147</v>
      </c>
      <c r="AG110" s="415"/>
      <c r="AJ110" s="415" t="s">
        <v>337</v>
      </c>
      <c r="AM110" s="415" t="s">
        <v>337</v>
      </c>
      <c r="AP110" s="415" t="s">
        <v>337</v>
      </c>
      <c r="AS110" s="415" t="s">
        <v>337</v>
      </c>
      <c r="AV110" s="415" t="s">
        <v>337</v>
      </c>
      <c r="AY110" s="415" t="s">
        <v>337</v>
      </c>
      <c r="AZ110" s="213">
        <v>143004</v>
      </c>
      <c r="BA110" s="416" t="s">
        <v>854</v>
      </c>
      <c r="BB110" s="415" t="s">
        <v>337</v>
      </c>
      <c r="BE110" s="415" t="s">
        <v>337</v>
      </c>
      <c r="BH110" s="415" t="s">
        <v>337</v>
      </c>
      <c r="BI110" s="213" t="s">
        <v>747</v>
      </c>
      <c r="BJ110" s="416" t="s">
        <v>748</v>
      </c>
      <c r="BK110" s="213" t="s">
        <v>2148</v>
      </c>
      <c r="BL110" s="416" t="s">
        <v>2149</v>
      </c>
      <c r="BM110" s="415" t="s">
        <v>337</v>
      </c>
      <c r="BN110" s="213" t="s">
        <v>2150</v>
      </c>
      <c r="BO110" s="416" t="s">
        <v>2151</v>
      </c>
      <c r="BP110" s="415" t="s">
        <v>337</v>
      </c>
      <c r="BS110" s="415"/>
      <c r="BV110" s="415" t="s">
        <v>337</v>
      </c>
      <c r="BY110" s="415" t="s">
        <v>337</v>
      </c>
      <c r="CB110" s="415" t="s">
        <v>337</v>
      </c>
      <c r="CE110" s="415" t="s">
        <v>337</v>
      </c>
      <c r="CH110" s="415" t="s">
        <v>337</v>
      </c>
      <c r="CK110" s="415" t="s">
        <v>337</v>
      </c>
      <c r="CN110" s="415" t="s">
        <v>337</v>
      </c>
      <c r="CQ110" s="415" t="s">
        <v>337</v>
      </c>
      <c r="CT110" s="415" t="s">
        <v>337</v>
      </c>
    </row>
    <row r="111" spans="1:98">
      <c r="A111" s="1" t="s">
        <v>557</v>
      </c>
      <c r="B111" s="416" t="s">
        <v>2152</v>
      </c>
      <c r="C111" s="415" t="s">
        <v>337</v>
      </c>
      <c r="D111" s="1" t="s">
        <v>1751</v>
      </c>
      <c r="E111" s="1" t="s">
        <v>2153</v>
      </c>
      <c r="F111" s="415" t="s">
        <v>337</v>
      </c>
      <c r="I111" s="415" t="s">
        <v>337</v>
      </c>
      <c r="L111" s="415" t="s">
        <v>337</v>
      </c>
      <c r="M111" s="213" t="s">
        <v>2154</v>
      </c>
      <c r="N111" s="416" t="s">
        <v>2155</v>
      </c>
      <c r="O111" s="415" t="s">
        <v>337</v>
      </c>
      <c r="R111" s="415" t="s">
        <v>337</v>
      </c>
      <c r="S111" s="213" t="s">
        <v>2156</v>
      </c>
      <c r="T111" s="416" t="s">
        <v>2157</v>
      </c>
      <c r="U111" s="415" t="s">
        <v>337</v>
      </c>
      <c r="X111" s="415"/>
      <c r="AA111" s="415"/>
      <c r="AB111" s="213">
        <v>9089</v>
      </c>
      <c r="AC111" s="416" t="s">
        <v>2158</v>
      </c>
      <c r="AD111" s="415"/>
      <c r="AE111" s="417" t="s">
        <v>2159</v>
      </c>
      <c r="AF111" s="416" t="s">
        <v>2160</v>
      </c>
      <c r="AG111" s="415"/>
      <c r="AJ111" s="415" t="s">
        <v>337</v>
      </c>
      <c r="AM111" s="415" t="s">
        <v>337</v>
      </c>
      <c r="AP111" s="415" t="s">
        <v>337</v>
      </c>
      <c r="AS111" s="415" t="s">
        <v>337</v>
      </c>
      <c r="AV111" s="415" t="s">
        <v>337</v>
      </c>
      <c r="AY111" s="415" t="s">
        <v>337</v>
      </c>
      <c r="AZ111" s="213">
        <v>143005</v>
      </c>
      <c r="BA111" s="416" t="s">
        <v>2161</v>
      </c>
      <c r="BB111" s="415" t="s">
        <v>337</v>
      </c>
      <c r="BE111" s="415" t="s">
        <v>337</v>
      </c>
      <c r="BH111" s="415" t="s">
        <v>337</v>
      </c>
      <c r="BI111" s="213" t="s">
        <v>747</v>
      </c>
      <c r="BJ111" s="416" t="s">
        <v>748</v>
      </c>
      <c r="BK111" s="213" t="s">
        <v>694</v>
      </c>
      <c r="BL111" s="416" t="s">
        <v>695</v>
      </c>
      <c r="BM111" s="415" t="s">
        <v>337</v>
      </c>
      <c r="BN111" s="213" t="s">
        <v>2162</v>
      </c>
      <c r="BO111" s="416" t="s">
        <v>2163</v>
      </c>
      <c r="BP111" s="415" t="s">
        <v>337</v>
      </c>
      <c r="BS111" s="415"/>
      <c r="BV111" s="415" t="s">
        <v>337</v>
      </c>
      <c r="BY111" s="415" t="s">
        <v>337</v>
      </c>
      <c r="CB111" s="415" t="s">
        <v>337</v>
      </c>
      <c r="CE111" s="415" t="s">
        <v>337</v>
      </c>
      <c r="CH111" s="415" t="s">
        <v>337</v>
      </c>
      <c r="CK111" s="415" t="s">
        <v>337</v>
      </c>
      <c r="CN111" s="415" t="s">
        <v>337</v>
      </c>
      <c r="CQ111" s="415" t="s">
        <v>337</v>
      </c>
      <c r="CT111" s="415" t="s">
        <v>337</v>
      </c>
    </row>
    <row r="112" spans="1:98">
      <c r="A112" s="1" t="s">
        <v>557</v>
      </c>
      <c r="B112" s="416" t="s">
        <v>2164</v>
      </c>
      <c r="C112" s="415" t="s">
        <v>337</v>
      </c>
      <c r="D112" s="1" t="s">
        <v>1751</v>
      </c>
      <c r="E112" s="1" t="s">
        <v>2165</v>
      </c>
      <c r="F112" s="415" t="s">
        <v>337</v>
      </c>
      <c r="I112" s="415" t="s">
        <v>337</v>
      </c>
      <c r="L112" s="415" t="s">
        <v>337</v>
      </c>
      <c r="M112" s="213" t="s">
        <v>2166</v>
      </c>
      <c r="N112" s="416" t="s">
        <v>2167</v>
      </c>
      <c r="O112" s="415" t="s">
        <v>337</v>
      </c>
      <c r="R112" s="415" t="s">
        <v>337</v>
      </c>
      <c r="S112" s="213" t="s">
        <v>2168</v>
      </c>
      <c r="T112" s="416" t="s">
        <v>2169</v>
      </c>
      <c r="U112" s="415" t="s">
        <v>337</v>
      </c>
      <c r="X112" s="415"/>
      <c r="AA112" s="415"/>
      <c r="AB112" s="213">
        <v>9090</v>
      </c>
      <c r="AC112" s="416" t="s">
        <v>2170</v>
      </c>
      <c r="AD112" s="415"/>
      <c r="AE112" s="417" t="s">
        <v>2171</v>
      </c>
      <c r="AF112" s="416" t="s">
        <v>2172</v>
      </c>
      <c r="AG112" s="415"/>
      <c r="AJ112" s="415" t="s">
        <v>337</v>
      </c>
      <c r="AM112" s="415" t="s">
        <v>337</v>
      </c>
      <c r="AP112" s="415" t="s">
        <v>337</v>
      </c>
      <c r="AS112" s="415" t="s">
        <v>337</v>
      </c>
      <c r="AV112" s="415" t="s">
        <v>337</v>
      </c>
      <c r="AY112" s="415" t="s">
        <v>337</v>
      </c>
      <c r="AZ112" s="213">
        <v>143006</v>
      </c>
      <c r="BA112" s="416" t="s">
        <v>2173</v>
      </c>
      <c r="BB112" s="415" t="s">
        <v>337</v>
      </c>
      <c r="BE112" s="415" t="s">
        <v>337</v>
      </c>
      <c r="BH112" s="415" t="s">
        <v>337</v>
      </c>
      <c r="BI112" s="213" t="s">
        <v>747</v>
      </c>
      <c r="BJ112" s="416" t="s">
        <v>748</v>
      </c>
      <c r="BK112" s="213" t="s">
        <v>749</v>
      </c>
      <c r="BL112" s="416" t="s">
        <v>750</v>
      </c>
      <c r="BM112" s="415" t="s">
        <v>337</v>
      </c>
      <c r="BN112" s="213" t="s">
        <v>2174</v>
      </c>
      <c r="BO112" s="416" t="s">
        <v>2175</v>
      </c>
      <c r="BP112" s="415" t="s">
        <v>337</v>
      </c>
      <c r="BS112" s="415"/>
      <c r="BV112" s="415" t="s">
        <v>337</v>
      </c>
      <c r="BY112" s="415" t="s">
        <v>337</v>
      </c>
      <c r="CB112" s="415" t="s">
        <v>337</v>
      </c>
      <c r="CE112" s="415" t="s">
        <v>337</v>
      </c>
      <c r="CH112" s="415" t="s">
        <v>337</v>
      </c>
      <c r="CK112" s="415" t="s">
        <v>337</v>
      </c>
      <c r="CN112" s="415" t="s">
        <v>337</v>
      </c>
      <c r="CQ112" s="415" t="s">
        <v>337</v>
      </c>
      <c r="CT112" s="415" t="s">
        <v>337</v>
      </c>
    </row>
    <row r="113" spans="1:98">
      <c r="A113" s="1" t="s">
        <v>557</v>
      </c>
      <c r="B113" s="416" t="s">
        <v>2176</v>
      </c>
      <c r="C113" s="415" t="s">
        <v>337</v>
      </c>
      <c r="D113" s="1" t="s">
        <v>1751</v>
      </c>
      <c r="E113" s="1" t="s">
        <v>2177</v>
      </c>
      <c r="F113" s="415" t="s">
        <v>337</v>
      </c>
      <c r="I113" s="415" t="s">
        <v>337</v>
      </c>
      <c r="L113" s="415" t="s">
        <v>337</v>
      </c>
      <c r="M113" s="213" t="s">
        <v>2178</v>
      </c>
      <c r="N113" s="416" t="s">
        <v>2179</v>
      </c>
      <c r="O113" s="415" t="s">
        <v>337</v>
      </c>
      <c r="R113" s="415" t="s">
        <v>337</v>
      </c>
      <c r="S113" s="213" t="s">
        <v>2180</v>
      </c>
      <c r="T113" s="416" t="s">
        <v>2181</v>
      </c>
      <c r="U113" s="415" t="s">
        <v>337</v>
      </c>
      <c r="X113" s="415"/>
      <c r="AA113" s="415"/>
      <c r="AB113" s="213">
        <v>9091</v>
      </c>
      <c r="AC113" s="416" t="s">
        <v>2182</v>
      </c>
      <c r="AD113" s="415"/>
      <c r="AE113" s="417" t="s">
        <v>2183</v>
      </c>
      <c r="AF113" s="416" t="s">
        <v>2184</v>
      </c>
      <c r="AG113" s="415"/>
      <c r="AJ113" s="415" t="s">
        <v>337</v>
      </c>
      <c r="AM113" s="415" t="s">
        <v>337</v>
      </c>
      <c r="AP113" s="415" t="s">
        <v>337</v>
      </c>
      <c r="AS113" s="415" t="s">
        <v>337</v>
      </c>
      <c r="AV113" s="415" t="s">
        <v>337</v>
      </c>
      <c r="AY113" s="415" t="s">
        <v>337</v>
      </c>
      <c r="AZ113" s="213">
        <v>151001</v>
      </c>
      <c r="BA113" s="416" t="s">
        <v>2185</v>
      </c>
      <c r="BB113" s="415" t="s">
        <v>337</v>
      </c>
      <c r="BE113" s="415" t="s">
        <v>337</v>
      </c>
      <c r="BH113" s="415" t="s">
        <v>337</v>
      </c>
      <c r="BI113" s="213" t="s">
        <v>747</v>
      </c>
      <c r="BJ113" s="416" t="s">
        <v>748</v>
      </c>
      <c r="BK113" s="213" t="s">
        <v>1692</v>
      </c>
      <c r="BL113" s="416" t="s">
        <v>1693</v>
      </c>
      <c r="BM113" s="415" t="s">
        <v>337</v>
      </c>
      <c r="BN113" s="213" t="s">
        <v>2186</v>
      </c>
      <c r="BO113" s="416" t="s">
        <v>2187</v>
      </c>
      <c r="BP113" s="415" t="s">
        <v>337</v>
      </c>
      <c r="BS113" s="415"/>
      <c r="BV113" s="415" t="s">
        <v>337</v>
      </c>
      <c r="BY113" s="415" t="s">
        <v>337</v>
      </c>
      <c r="CB113" s="415" t="s">
        <v>337</v>
      </c>
      <c r="CE113" s="415" t="s">
        <v>337</v>
      </c>
      <c r="CH113" s="415" t="s">
        <v>337</v>
      </c>
      <c r="CK113" s="415" t="s">
        <v>337</v>
      </c>
      <c r="CN113" s="415" t="s">
        <v>337</v>
      </c>
      <c r="CQ113" s="415" t="s">
        <v>337</v>
      </c>
      <c r="CT113" s="415" t="s">
        <v>337</v>
      </c>
    </row>
    <row r="114" spans="1:98">
      <c r="A114" s="1" t="s">
        <v>557</v>
      </c>
      <c r="B114" s="416" t="s">
        <v>2188</v>
      </c>
      <c r="C114" s="415" t="s">
        <v>337</v>
      </c>
      <c r="D114" s="1" t="s">
        <v>1751</v>
      </c>
      <c r="E114" s="1" t="s">
        <v>2189</v>
      </c>
      <c r="F114" s="415" t="s">
        <v>337</v>
      </c>
      <c r="I114" s="415" t="s">
        <v>337</v>
      </c>
      <c r="L114" s="415" t="s">
        <v>337</v>
      </c>
      <c r="M114" s="213" t="s">
        <v>2190</v>
      </c>
      <c r="N114" s="416" t="s">
        <v>2191</v>
      </c>
      <c r="O114" s="415" t="s">
        <v>337</v>
      </c>
      <c r="R114" s="415" t="s">
        <v>337</v>
      </c>
      <c r="S114" s="213" t="s">
        <v>2192</v>
      </c>
      <c r="T114" s="416" t="s">
        <v>2193</v>
      </c>
      <c r="U114" s="415" t="s">
        <v>337</v>
      </c>
      <c r="X114" s="415"/>
      <c r="AA114" s="415"/>
      <c r="AB114" s="213">
        <v>9092</v>
      </c>
      <c r="AC114" s="416" t="s">
        <v>2194</v>
      </c>
      <c r="AD114" s="415"/>
      <c r="AE114" s="417" t="s">
        <v>2195</v>
      </c>
      <c r="AF114" s="416" t="s">
        <v>2196</v>
      </c>
      <c r="AG114" s="415"/>
      <c r="AJ114" s="415" t="s">
        <v>337</v>
      </c>
      <c r="AM114" s="415" t="s">
        <v>337</v>
      </c>
      <c r="AP114" s="415" t="s">
        <v>337</v>
      </c>
      <c r="AS114" s="415" t="s">
        <v>337</v>
      </c>
      <c r="AV114" s="415" t="s">
        <v>337</v>
      </c>
      <c r="AY114" s="415" t="s">
        <v>337</v>
      </c>
      <c r="AZ114" s="213">
        <v>151002</v>
      </c>
      <c r="BA114" s="416" t="s">
        <v>2197</v>
      </c>
      <c r="BB114" s="415" t="s">
        <v>337</v>
      </c>
      <c r="BE114" s="415" t="s">
        <v>337</v>
      </c>
      <c r="BH114" s="415" t="s">
        <v>337</v>
      </c>
      <c r="BI114" s="213" t="s">
        <v>747</v>
      </c>
      <c r="BJ114" s="416" t="s">
        <v>748</v>
      </c>
      <c r="BK114" s="213" t="s">
        <v>1706</v>
      </c>
      <c r="BL114" s="416" t="s">
        <v>1707</v>
      </c>
      <c r="BM114" s="415" t="s">
        <v>337</v>
      </c>
      <c r="BN114" s="213" t="s">
        <v>2198</v>
      </c>
      <c r="BO114" s="416" t="s">
        <v>2199</v>
      </c>
      <c r="BP114" s="415" t="s">
        <v>337</v>
      </c>
      <c r="BS114" s="415"/>
      <c r="BV114" s="415" t="s">
        <v>337</v>
      </c>
      <c r="BY114" s="415" t="s">
        <v>337</v>
      </c>
      <c r="CB114" s="415" t="s">
        <v>337</v>
      </c>
      <c r="CE114" s="415" t="s">
        <v>337</v>
      </c>
      <c r="CH114" s="415" t="s">
        <v>337</v>
      </c>
      <c r="CK114" s="415" t="s">
        <v>337</v>
      </c>
      <c r="CN114" s="415" t="s">
        <v>337</v>
      </c>
      <c r="CQ114" s="415" t="s">
        <v>337</v>
      </c>
      <c r="CT114" s="415" t="s">
        <v>337</v>
      </c>
    </row>
    <row r="115" spans="1:98">
      <c r="A115" s="1" t="s">
        <v>557</v>
      </c>
      <c r="B115" s="416" t="s">
        <v>2200</v>
      </c>
      <c r="C115" s="415" t="s">
        <v>337</v>
      </c>
      <c r="D115" s="1" t="s">
        <v>1751</v>
      </c>
      <c r="E115" s="1" t="s">
        <v>2201</v>
      </c>
      <c r="F115" s="415" t="s">
        <v>337</v>
      </c>
      <c r="I115" s="415" t="s">
        <v>337</v>
      </c>
      <c r="L115" s="415" t="s">
        <v>337</v>
      </c>
      <c r="M115" s="213" t="s">
        <v>2202</v>
      </c>
      <c r="N115" s="416" t="s">
        <v>2203</v>
      </c>
      <c r="O115" s="415" t="s">
        <v>337</v>
      </c>
      <c r="R115" s="415" t="s">
        <v>337</v>
      </c>
      <c r="S115" s="213" t="s">
        <v>2204</v>
      </c>
      <c r="T115" s="416" t="s">
        <v>2205</v>
      </c>
      <c r="U115" s="415" t="s">
        <v>337</v>
      </c>
      <c r="X115" s="415"/>
      <c r="AA115" s="415"/>
      <c r="AB115" s="213">
        <v>9093</v>
      </c>
      <c r="AC115" s="416" t="s">
        <v>2206</v>
      </c>
      <c r="AD115" s="415"/>
      <c r="AE115" s="417" t="s">
        <v>2207</v>
      </c>
      <c r="AF115" s="416" t="s">
        <v>2208</v>
      </c>
      <c r="AG115" s="415"/>
      <c r="AJ115" s="415" t="s">
        <v>337</v>
      </c>
      <c r="AM115" s="415" t="s">
        <v>337</v>
      </c>
      <c r="AP115" s="415" t="s">
        <v>337</v>
      </c>
      <c r="AS115" s="415" t="s">
        <v>337</v>
      </c>
      <c r="AV115" s="415" t="s">
        <v>337</v>
      </c>
      <c r="AY115" s="415" t="s">
        <v>337</v>
      </c>
      <c r="AZ115" s="213">
        <v>151003</v>
      </c>
      <c r="BA115" s="416" t="s">
        <v>2209</v>
      </c>
      <c r="BB115" s="415" t="s">
        <v>337</v>
      </c>
      <c r="BE115" s="415" t="s">
        <v>337</v>
      </c>
      <c r="BH115" s="415" t="s">
        <v>337</v>
      </c>
      <c r="BI115" s="213" t="s">
        <v>747</v>
      </c>
      <c r="BJ115" s="416" t="s">
        <v>748</v>
      </c>
      <c r="BK115" s="213" t="s">
        <v>1720</v>
      </c>
      <c r="BL115" s="416" t="s">
        <v>1721</v>
      </c>
      <c r="BM115" s="415" t="s">
        <v>337</v>
      </c>
      <c r="BN115" s="213" t="s">
        <v>2210</v>
      </c>
      <c r="BO115" s="416" t="s">
        <v>2211</v>
      </c>
      <c r="BP115" s="415" t="s">
        <v>337</v>
      </c>
      <c r="BS115" s="415"/>
      <c r="BV115" s="415" t="s">
        <v>337</v>
      </c>
      <c r="BY115" s="415" t="s">
        <v>337</v>
      </c>
      <c r="CB115" s="415" t="s">
        <v>337</v>
      </c>
      <c r="CE115" s="415" t="s">
        <v>337</v>
      </c>
      <c r="CH115" s="415" t="s">
        <v>337</v>
      </c>
      <c r="CK115" s="415" t="s">
        <v>337</v>
      </c>
      <c r="CN115" s="415" t="s">
        <v>337</v>
      </c>
      <c r="CQ115" s="415" t="s">
        <v>337</v>
      </c>
      <c r="CT115" s="415" t="s">
        <v>337</v>
      </c>
    </row>
    <row r="116" spans="1:98">
      <c r="A116" s="1" t="s">
        <v>557</v>
      </c>
      <c r="B116" s="416" t="s">
        <v>2212</v>
      </c>
      <c r="C116" s="415" t="s">
        <v>337</v>
      </c>
      <c r="D116" s="1" t="s">
        <v>1751</v>
      </c>
      <c r="E116" s="1" t="s">
        <v>2213</v>
      </c>
      <c r="F116" s="415" t="s">
        <v>337</v>
      </c>
      <c r="I116" s="415" t="s">
        <v>337</v>
      </c>
      <c r="L116" s="415" t="s">
        <v>337</v>
      </c>
      <c r="M116" s="213" t="s">
        <v>2214</v>
      </c>
      <c r="N116" s="416" t="s">
        <v>2215</v>
      </c>
      <c r="O116" s="415" t="s">
        <v>337</v>
      </c>
      <c r="R116" s="415" t="s">
        <v>337</v>
      </c>
      <c r="S116" s="213" t="s">
        <v>2216</v>
      </c>
      <c r="T116" s="416" t="s">
        <v>2217</v>
      </c>
      <c r="U116" s="415" t="s">
        <v>337</v>
      </c>
      <c r="X116" s="415"/>
      <c r="AA116" s="415"/>
      <c r="AB116" s="213">
        <v>9094</v>
      </c>
      <c r="AC116" s="416" t="s">
        <v>2218</v>
      </c>
      <c r="AD116" s="415"/>
      <c r="AE116" s="417" t="s">
        <v>2219</v>
      </c>
      <c r="AF116" s="416" t="s">
        <v>2220</v>
      </c>
      <c r="AG116" s="415"/>
      <c r="AJ116" s="415" t="s">
        <v>337</v>
      </c>
      <c r="AM116" s="415" t="s">
        <v>337</v>
      </c>
      <c r="AP116" s="415" t="s">
        <v>337</v>
      </c>
      <c r="AS116" s="415" t="s">
        <v>337</v>
      </c>
      <c r="AV116" s="415" t="s">
        <v>337</v>
      </c>
      <c r="AY116" s="415" t="s">
        <v>337</v>
      </c>
      <c r="AZ116" s="213">
        <v>151004</v>
      </c>
      <c r="BA116" s="416" t="s">
        <v>2221</v>
      </c>
      <c r="BB116" s="415" t="s">
        <v>337</v>
      </c>
      <c r="BE116" s="415" t="s">
        <v>337</v>
      </c>
      <c r="BH116" s="415" t="s">
        <v>337</v>
      </c>
      <c r="BI116" s="213" t="s">
        <v>747</v>
      </c>
      <c r="BJ116" s="416" t="s">
        <v>748</v>
      </c>
      <c r="BK116" s="213" t="s">
        <v>1734</v>
      </c>
      <c r="BL116" s="416" t="s">
        <v>1735</v>
      </c>
      <c r="BM116" s="415" t="s">
        <v>337</v>
      </c>
      <c r="BN116" s="213" t="s">
        <v>2222</v>
      </c>
      <c r="BO116" s="416" t="s">
        <v>2223</v>
      </c>
      <c r="BP116" s="415" t="s">
        <v>337</v>
      </c>
      <c r="BS116" s="415"/>
      <c r="BV116" s="415" t="s">
        <v>337</v>
      </c>
      <c r="BY116" s="415" t="s">
        <v>337</v>
      </c>
      <c r="CB116" s="415" t="s">
        <v>337</v>
      </c>
      <c r="CE116" s="415" t="s">
        <v>337</v>
      </c>
      <c r="CH116" s="415" t="s">
        <v>337</v>
      </c>
      <c r="CK116" s="415" t="s">
        <v>337</v>
      </c>
      <c r="CN116" s="415" t="s">
        <v>337</v>
      </c>
      <c r="CQ116" s="415" t="s">
        <v>337</v>
      </c>
      <c r="CT116" s="415" t="s">
        <v>337</v>
      </c>
    </row>
    <row r="117" spans="1:98">
      <c r="A117" s="1" t="s">
        <v>557</v>
      </c>
      <c r="B117" s="416" t="s">
        <v>2224</v>
      </c>
      <c r="C117" s="415" t="s">
        <v>337</v>
      </c>
      <c r="D117" s="1" t="s">
        <v>1751</v>
      </c>
      <c r="E117" s="1" t="s">
        <v>2225</v>
      </c>
      <c r="F117" s="415" t="s">
        <v>337</v>
      </c>
      <c r="I117" s="415" t="s">
        <v>337</v>
      </c>
      <c r="L117" s="415" t="s">
        <v>337</v>
      </c>
      <c r="M117" s="213" t="s">
        <v>2226</v>
      </c>
      <c r="N117" s="416" t="s">
        <v>2227</v>
      </c>
      <c r="O117" s="415" t="s">
        <v>337</v>
      </c>
      <c r="R117" s="415" t="s">
        <v>337</v>
      </c>
      <c r="S117" s="213" t="s">
        <v>2228</v>
      </c>
      <c r="T117" s="416" t="s">
        <v>2229</v>
      </c>
      <c r="U117" s="415" t="s">
        <v>337</v>
      </c>
      <c r="X117" s="415"/>
      <c r="AA117" s="415"/>
      <c r="AB117" s="213">
        <v>9095</v>
      </c>
      <c r="AC117" s="416" t="s">
        <v>2230</v>
      </c>
      <c r="AD117" s="415"/>
      <c r="AE117" s="417" t="s">
        <v>2231</v>
      </c>
      <c r="AF117" s="416" t="s">
        <v>2232</v>
      </c>
      <c r="AG117" s="415"/>
      <c r="AJ117" s="415" t="s">
        <v>337</v>
      </c>
      <c r="AM117" s="415" t="s">
        <v>337</v>
      </c>
      <c r="AP117" s="415" t="s">
        <v>337</v>
      </c>
      <c r="AS117" s="415" t="s">
        <v>337</v>
      </c>
      <c r="AV117" s="415" t="s">
        <v>337</v>
      </c>
      <c r="AY117" s="415" t="s">
        <v>337</v>
      </c>
      <c r="AZ117" s="213">
        <v>151005</v>
      </c>
      <c r="BA117" s="416" t="s">
        <v>731</v>
      </c>
      <c r="BB117" s="415" t="s">
        <v>337</v>
      </c>
      <c r="BE117" s="415" t="s">
        <v>337</v>
      </c>
      <c r="BH117" s="415" t="s">
        <v>337</v>
      </c>
      <c r="BI117" s="213" t="s">
        <v>747</v>
      </c>
      <c r="BJ117" s="416" t="s">
        <v>748</v>
      </c>
      <c r="BK117" s="213" t="s">
        <v>1747</v>
      </c>
      <c r="BL117" s="416" t="s">
        <v>415</v>
      </c>
      <c r="BM117" s="415" t="s">
        <v>337</v>
      </c>
      <c r="BN117" s="213" t="s">
        <v>2233</v>
      </c>
      <c r="BO117" s="416" t="s">
        <v>2234</v>
      </c>
      <c r="BP117" s="415" t="s">
        <v>337</v>
      </c>
      <c r="BS117" s="415"/>
      <c r="BV117" s="415" t="s">
        <v>337</v>
      </c>
      <c r="BY117" s="415" t="s">
        <v>337</v>
      </c>
      <c r="CB117" s="415" t="s">
        <v>337</v>
      </c>
      <c r="CE117" s="415" t="s">
        <v>337</v>
      </c>
      <c r="CH117" s="415" t="s">
        <v>337</v>
      </c>
      <c r="CK117" s="415" t="s">
        <v>337</v>
      </c>
      <c r="CN117" s="415" t="s">
        <v>337</v>
      </c>
      <c r="CQ117" s="415" t="s">
        <v>337</v>
      </c>
      <c r="CT117" s="415" t="s">
        <v>337</v>
      </c>
    </row>
    <row r="118" spans="1:98">
      <c r="A118" s="1" t="s">
        <v>557</v>
      </c>
      <c r="B118" s="416" t="s">
        <v>2235</v>
      </c>
      <c r="C118" s="415" t="s">
        <v>337</v>
      </c>
      <c r="D118" s="1" t="s">
        <v>1751</v>
      </c>
      <c r="E118" s="1" t="s">
        <v>2236</v>
      </c>
      <c r="F118" s="415" t="s">
        <v>337</v>
      </c>
      <c r="I118" s="415" t="s">
        <v>337</v>
      </c>
      <c r="L118" s="415" t="s">
        <v>337</v>
      </c>
      <c r="M118" s="213" t="s">
        <v>2237</v>
      </c>
      <c r="N118" s="416" t="s">
        <v>2238</v>
      </c>
      <c r="O118" s="415" t="s">
        <v>337</v>
      </c>
      <c r="R118" s="415" t="s">
        <v>337</v>
      </c>
      <c r="S118" s="213" t="s">
        <v>2239</v>
      </c>
      <c r="T118" s="416" t="s">
        <v>2240</v>
      </c>
      <c r="U118" s="415" t="s">
        <v>337</v>
      </c>
      <c r="X118" s="415"/>
      <c r="AA118" s="415"/>
      <c r="AB118" s="213">
        <v>9096</v>
      </c>
      <c r="AC118" s="416" t="s">
        <v>2241</v>
      </c>
      <c r="AD118" s="415"/>
      <c r="AE118" s="417" t="s">
        <v>2242</v>
      </c>
      <c r="AF118" s="416" t="s">
        <v>2243</v>
      </c>
      <c r="AG118" s="415"/>
      <c r="AJ118" s="415" t="s">
        <v>337</v>
      </c>
      <c r="AM118" s="415" t="s">
        <v>337</v>
      </c>
      <c r="AP118" s="415" t="s">
        <v>337</v>
      </c>
      <c r="AS118" s="415" t="s">
        <v>337</v>
      </c>
      <c r="AV118" s="415" t="s">
        <v>337</v>
      </c>
      <c r="AY118" s="415" t="s">
        <v>337</v>
      </c>
      <c r="AZ118" s="213">
        <v>151006</v>
      </c>
      <c r="BA118" s="416" t="s">
        <v>2244</v>
      </c>
      <c r="BB118" s="415" t="s">
        <v>337</v>
      </c>
      <c r="BE118" s="415" t="s">
        <v>337</v>
      </c>
      <c r="BH118" s="415" t="s">
        <v>337</v>
      </c>
      <c r="BI118" s="213" t="s">
        <v>770</v>
      </c>
      <c r="BJ118" s="416" t="s">
        <v>771</v>
      </c>
      <c r="BK118" s="213" t="s">
        <v>2245</v>
      </c>
      <c r="BL118" s="416" t="s">
        <v>2246</v>
      </c>
      <c r="BM118" s="415" t="s">
        <v>337</v>
      </c>
      <c r="BN118" s="213" t="s">
        <v>2247</v>
      </c>
      <c r="BO118" s="416" t="s">
        <v>2248</v>
      </c>
      <c r="BP118" s="415" t="s">
        <v>337</v>
      </c>
      <c r="BS118" s="415"/>
      <c r="BV118" s="415" t="s">
        <v>337</v>
      </c>
      <c r="BY118" s="415" t="s">
        <v>337</v>
      </c>
      <c r="CB118" s="415" t="s">
        <v>337</v>
      </c>
      <c r="CE118" s="415" t="s">
        <v>337</v>
      </c>
      <c r="CH118" s="415" t="s">
        <v>337</v>
      </c>
      <c r="CK118" s="415" t="s">
        <v>337</v>
      </c>
      <c r="CN118" s="415" t="s">
        <v>337</v>
      </c>
      <c r="CQ118" s="415" t="s">
        <v>337</v>
      </c>
      <c r="CT118" s="415" t="s">
        <v>337</v>
      </c>
    </row>
    <row r="119" spans="1:98">
      <c r="A119" s="1" t="s">
        <v>557</v>
      </c>
      <c r="B119" s="416" t="s">
        <v>2249</v>
      </c>
      <c r="C119" s="415" t="s">
        <v>337</v>
      </c>
      <c r="D119" s="1" t="s">
        <v>1751</v>
      </c>
      <c r="E119" s="1" t="s">
        <v>2250</v>
      </c>
      <c r="F119" s="415" t="s">
        <v>337</v>
      </c>
      <c r="I119" s="415" t="s">
        <v>337</v>
      </c>
      <c r="L119" s="415" t="s">
        <v>337</v>
      </c>
      <c r="M119" s="213" t="s">
        <v>2251</v>
      </c>
      <c r="N119" s="416" t="s">
        <v>2252</v>
      </c>
      <c r="O119" s="415" t="s">
        <v>337</v>
      </c>
      <c r="R119" s="415" t="s">
        <v>337</v>
      </c>
      <c r="S119" s="213" t="s">
        <v>2253</v>
      </c>
      <c r="T119" s="416" t="s">
        <v>2254</v>
      </c>
      <c r="U119" s="415" t="s">
        <v>337</v>
      </c>
      <c r="X119" s="415"/>
      <c r="AA119" s="415"/>
      <c r="AB119" s="213">
        <v>9097</v>
      </c>
      <c r="AC119" s="416" t="s">
        <v>2255</v>
      </c>
      <c r="AD119" s="415"/>
      <c r="AE119" s="417" t="s">
        <v>2256</v>
      </c>
      <c r="AF119" s="416" t="s">
        <v>2257</v>
      </c>
      <c r="AG119" s="415"/>
      <c r="AJ119" s="415" t="s">
        <v>337</v>
      </c>
      <c r="AM119" s="415" t="s">
        <v>337</v>
      </c>
      <c r="AP119" s="415" t="s">
        <v>337</v>
      </c>
      <c r="AS119" s="415" t="s">
        <v>337</v>
      </c>
      <c r="AV119" s="415" t="s">
        <v>337</v>
      </c>
      <c r="AY119" s="415" t="s">
        <v>337</v>
      </c>
      <c r="AZ119" s="213">
        <v>151007</v>
      </c>
      <c r="BA119" s="416" t="s">
        <v>2258</v>
      </c>
      <c r="BB119" s="415" t="s">
        <v>337</v>
      </c>
      <c r="BE119" s="415" t="s">
        <v>337</v>
      </c>
      <c r="BH119" s="415" t="s">
        <v>337</v>
      </c>
      <c r="BI119" s="213" t="s">
        <v>770</v>
      </c>
      <c r="BJ119" s="416" t="s">
        <v>771</v>
      </c>
      <c r="BK119" s="213" t="s">
        <v>2259</v>
      </c>
      <c r="BL119" s="416" t="s">
        <v>2260</v>
      </c>
      <c r="BM119" s="415" t="s">
        <v>337</v>
      </c>
      <c r="BN119" s="213" t="s">
        <v>2261</v>
      </c>
      <c r="BO119" s="416" t="s">
        <v>2262</v>
      </c>
      <c r="BP119" s="415" t="s">
        <v>337</v>
      </c>
      <c r="BS119" s="415"/>
      <c r="BV119" s="415" t="s">
        <v>337</v>
      </c>
      <c r="BY119" s="415" t="s">
        <v>337</v>
      </c>
      <c r="CB119" s="415" t="s">
        <v>337</v>
      </c>
      <c r="CE119" s="415" t="s">
        <v>337</v>
      </c>
      <c r="CH119" s="415" t="s">
        <v>337</v>
      </c>
      <c r="CK119" s="415" t="s">
        <v>337</v>
      </c>
      <c r="CN119" s="415" t="s">
        <v>337</v>
      </c>
      <c r="CQ119" s="415" t="s">
        <v>337</v>
      </c>
      <c r="CT119" s="415" t="s">
        <v>337</v>
      </c>
    </row>
    <row r="120" spans="1:98">
      <c r="A120" s="1" t="s">
        <v>557</v>
      </c>
      <c r="B120" s="416" t="s">
        <v>2263</v>
      </c>
      <c r="C120" s="415" t="s">
        <v>337</v>
      </c>
      <c r="D120" s="1" t="s">
        <v>1751</v>
      </c>
      <c r="E120" s="1" t="s">
        <v>2264</v>
      </c>
      <c r="F120" s="415" t="s">
        <v>337</v>
      </c>
      <c r="I120" s="415" t="s">
        <v>337</v>
      </c>
      <c r="L120" s="415" t="s">
        <v>337</v>
      </c>
      <c r="M120" s="213" t="s">
        <v>2265</v>
      </c>
      <c r="N120" s="416" t="s">
        <v>2266</v>
      </c>
      <c r="O120" s="415" t="s">
        <v>337</v>
      </c>
      <c r="R120" s="415" t="s">
        <v>337</v>
      </c>
      <c r="S120" s="213" t="s">
        <v>2267</v>
      </c>
      <c r="T120" s="416" t="s">
        <v>2268</v>
      </c>
      <c r="U120" s="415" t="s">
        <v>337</v>
      </c>
      <c r="X120" s="415"/>
      <c r="AA120" s="415"/>
      <c r="AB120" s="213">
        <v>9098</v>
      </c>
      <c r="AC120" s="416" t="s">
        <v>2269</v>
      </c>
      <c r="AD120" s="415"/>
      <c r="AE120" s="417" t="s">
        <v>2270</v>
      </c>
      <c r="AF120" s="416" t="s">
        <v>2271</v>
      </c>
      <c r="AG120" s="415"/>
      <c r="AJ120" s="415" t="s">
        <v>337</v>
      </c>
      <c r="AM120" s="415" t="s">
        <v>337</v>
      </c>
      <c r="AP120" s="415" t="s">
        <v>337</v>
      </c>
      <c r="AS120" s="415" t="s">
        <v>337</v>
      </c>
      <c r="AV120" s="415" t="s">
        <v>337</v>
      </c>
      <c r="AY120" s="415" t="s">
        <v>337</v>
      </c>
      <c r="AZ120" s="213">
        <v>152001</v>
      </c>
      <c r="BA120" s="416" t="s">
        <v>347</v>
      </c>
      <c r="BB120" s="415" t="s">
        <v>337</v>
      </c>
      <c r="BE120" s="415" t="s">
        <v>337</v>
      </c>
      <c r="BH120" s="415" t="s">
        <v>337</v>
      </c>
      <c r="BI120" s="213" t="s">
        <v>770</v>
      </c>
      <c r="BJ120" s="416" t="s">
        <v>771</v>
      </c>
      <c r="BK120" s="213" t="s">
        <v>749</v>
      </c>
      <c r="BL120" s="416" t="s">
        <v>750</v>
      </c>
      <c r="BM120" s="415" t="s">
        <v>337</v>
      </c>
      <c r="BN120" s="213" t="s">
        <v>2272</v>
      </c>
      <c r="BO120" s="416" t="s">
        <v>2273</v>
      </c>
      <c r="BP120" s="415" t="s">
        <v>337</v>
      </c>
      <c r="BS120" s="415"/>
      <c r="BV120" s="415" t="s">
        <v>337</v>
      </c>
      <c r="BY120" s="415" t="s">
        <v>337</v>
      </c>
      <c r="CB120" s="415" t="s">
        <v>337</v>
      </c>
      <c r="CE120" s="415" t="s">
        <v>337</v>
      </c>
      <c r="CH120" s="415" t="s">
        <v>337</v>
      </c>
      <c r="CK120" s="415" t="s">
        <v>337</v>
      </c>
      <c r="CN120" s="415" t="s">
        <v>337</v>
      </c>
      <c r="CQ120" s="415" t="s">
        <v>337</v>
      </c>
      <c r="CT120" s="415" t="s">
        <v>337</v>
      </c>
    </row>
    <row r="121" spans="1:98">
      <c r="A121" s="1" t="s">
        <v>557</v>
      </c>
      <c r="B121" s="416" t="s">
        <v>2274</v>
      </c>
      <c r="C121" s="415" t="s">
        <v>337</v>
      </c>
      <c r="D121" s="1" t="s">
        <v>1751</v>
      </c>
      <c r="E121" s="1" t="s">
        <v>2275</v>
      </c>
      <c r="F121" s="415" t="s">
        <v>337</v>
      </c>
      <c r="I121" s="415" t="s">
        <v>337</v>
      </c>
      <c r="L121" s="415" t="s">
        <v>337</v>
      </c>
      <c r="M121" s="213" t="s">
        <v>2276</v>
      </c>
      <c r="N121" s="416" t="s">
        <v>2277</v>
      </c>
      <c r="O121" s="415" t="s">
        <v>337</v>
      </c>
      <c r="R121" s="415" t="s">
        <v>337</v>
      </c>
      <c r="S121" s="213" t="s">
        <v>2278</v>
      </c>
      <c r="T121" s="416" t="s">
        <v>2279</v>
      </c>
      <c r="U121" s="415" t="s">
        <v>337</v>
      </c>
      <c r="X121" s="415"/>
      <c r="AA121" s="415"/>
      <c r="AB121" s="213">
        <v>9099</v>
      </c>
      <c r="AC121" s="416" t="s">
        <v>2280</v>
      </c>
      <c r="AD121" s="415"/>
      <c r="AE121" s="417" t="s">
        <v>2281</v>
      </c>
      <c r="AF121" s="416" t="s">
        <v>2282</v>
      </c>
      <c r="AG121" s="415"/>
      <c r="AJ121" s="415" t="s">
        <v>337</v>
      </c>
      <c r="AM121" s="415" t="s">
        <v>337</v>
      </c>
      <c r="AP121" s="415" t="s">
        <v>337</v>
      </c>
      <c r="AS121" s="415" t="s">
        <v>337</v>
      </c>
      <c r="AV121" s="415" t="s">
        <v>337</v>
      </c>
      <c r="AY121" s="415" t="s">
        <v>337</v>
      </c>
      <c r="AZ121" s="213">
        <v>152002</v>
      </c>
      <c r="BA121" s="416" t="s">
        <v>2283</v>
      </c>
      <c r="BB121" s="415" t="s">
        <v>337</v>
      </c>
      <c r="BE121" s="415" t="s">
        <v>337</v>
      </c>
      <c r="BH121" s="415" t="s">
        <v>337</v>
      </c>
      <c r="BI121" s="213" t="s">
        <v>770</v>
      </c>
      <c r="BJ121" s="416" t="s">
        <v>771</v>
      </c>
      <c r="BK121" s="213" t="s">
        <v>1706</v>
      </c>
      <c r="BL121" s="416" t="s">
        <v>1707</v>
      </c>
      <c r="BM121" s="415" t="s">
        <v>337</v>
      </c>
      <c r="BN121" s="213" t="s">
        <v>2284</v>
      </c>
      <c r="BO121" s="416" t="s">
        <v>2285</v>
      </c>
      <c r="BP121" s="415" t="s">
        <v>337</v>
      </c>
      <c r="BS121" s="415"/>
      <c r="BV121" s="415" t="s">
        <v>337</v>
      </c>
      <c r="BY121" s="415" t="s">
        <v>337</v>
      </c>
      <c r="CB121" s="415" t="s">
        <v>337</v>
      </c>
      <c r="CE121" s="415" t="s">
        <v>337</v>
      </c>
      <c r="CH121" s="415" t="s">
        <v>337</v>
      </c>
      <c r="CK121" s="415" t="s">
        <v>337</v>
      </c>
      <c r="CN121" s="415" t="s">
        <v>337</v>
      </c>
      <c r="CQ121" s="415" t="s">
        <v>337</v>
      </c>
      <c r="CT121" s="415" t="s">
        <v>337</v>
      </c>
    </row>
    <row r="122" spans="1:98">
      <c r="A122" s="1" t="s">
        <v>557</v>
      </c>
      <c r="B122" s="416" t="s">
        <v>2286</v>
      </c>
      <c r="C122" s="415" t="s">
        <v>337</v>
      </c>
      <c r="D122" s="1" t="s">
        <v>1751</v>
      </c>
      <c r="E122" s="1" t="s">
        <v>2287</v>
      </c>
      <c r="F122" s="415" t="s">
        <v>337</v>
      </c>
      <c r="I122" s="415" t="s">
        <v>337</v>
      </c>
      <c r="L122" s="415" t="s">
        <v>337</v>
      </c>
      <c r="M122" s="213" t="s">
        <v>2288</v>
      </c>
      <c r="N122" s="416" t="s">
        <v>2289</v>
      </c>
      <c r="O122" s="415" t="s">
        <v>337</v>
      </c>
      <c r="R122" s="415" t="s">
        <v>337</v>
      </c>
      <c r="S122" s="213" t="s">
        <v>2290</v>
      </c>
      <c r="T122" s="416" t="s">
        <v>2291</v>
      </c>
      <c r="U122" s="415" t="s">
        <v>337</v>
      </c>
      <c r="X122" s="415"/>
      <c r="AA122" s="415"/>
      <c r="AB122" s="213">
        <v>9100</v>
      </c>
      <c r="AC122" s="416" t="s">
        <v>2292</v>
      </c>
      <c r="AD122" s="415"/>
      <c r="AE122" s="417" t="s">
        <v>2293</v>
      </c>
      <c r="AF122" s="416" t="s">
        <v>2294</v>
      </c>
      <c r="AG122" s="415"/>
      <c r="AJ122" s="415" t="s">
        <v>337</v>
      </c>
      <c r="AM122" s="415" t="s">
        <v>337</v>
      </c>
      <c r="AP122" s="415" t="s">
        <v>337</v>
      </c>
      <c r="AS122" s="415" t="s">
        <v>337</v>
      </c>
      <c r="AV122" s="415" t="s">
        <v>337</v>
      </c>
      <c r="AY122" s="415" t="s">
        <v>337</v>
      </c>
      <c r="AZ122" s="213">
        <v>152003</v>
      </c>
      <c r="BA122" s="416" t="s">
        <v>2295</v>
      </c>
      <c r="BB122" s="415" t="s">
        <v>337</v>
      </c>
      <c r="BE122" s="415" t="s">
        <v>337</v>
      </c>
      <c r="BH122" s="415" t="s">
        <v>337</v>
      </c>
      <c r="BI122" s="213" t="s">
        <v>770</v>
      </c>
      <c r="BJ122" s="416" t="s">
        <v>771</v>
      </c>
      <c r="BK122" s="213" t="s">
        <v>1720</v>
      </c>
      <c r="BL122" s="416" t="s">
        <v>1721</v>
      </c>
      <c r="BM122" s="415" t="s">
        <v>337</v>
      </c>
      <c r="BN122" s="213" t="s">
        <v>2296</v>
      </c>
      <c r="BO122" s="416" t="s">
        <v>2297</v>
      </c>
      <c r="BP122" s="415" t="s">
        <v>337</v>
      </c>
      <c r="BS122" s="415"/>
      <c r="BV122" s="415" t="s">
        <v>337</v>
      </c>
      <c r="BY122" s="415" t="s">
        <v>337</v>
      </c>
      <c r="CB122" s="415" t="s">
        <v>337</v>
      </c>
      <c r="CE122" s="415" t="s">
        <v>337</v>
      </c>
      <c r="CH122" s="415" t="s">
        <v>337</v>
      </c>
      <c r="CK122" s="415" t="s">
        <v>337</v>
      </c>
      <c r="CN122" s="415" t="s">
        <v>337</v>
      </c>
      <c r="CQ122" s="415" t="s">
        <v>337</v>
      </c>
      <c r="CT122" s="415" t="s">
        <v>337</v>
      </c>
    </row>
    <row r="123" spans="1:98">
      <c r="A123" s="1" t="s">
        <v>557</v>
      </c>
      <c r="B123" s="416" t="s">
        <v>2298</v>
      </c>
      <c r="C123" s="415" t="s">
        <v>337</v>
      </c>
      <c r="D123" s="1" t="s">
        <v>1751</v>
      </c>
      <c r="E123" s="1" t="s">
        <v>2299</v>
      </c>
      <c r="F123" s="415" t="s">
        <v>337</v>
      </c>
      <c r="I123" s="415" t="s">
        <v>337</v>
      </c>
      <c r="L123" s="415" t="s">
        <v>337</v>
      </c>
      <c r="M123" s="213" t="s">
        <v>2300</v>
      </c>
      <c r="N123" s="416" t="s">
        <v>2301</v>
      </c>
      <c r="O123" s="415" t="s">
        <v>337</v>
      </c>
      <c r="R123" s="415" t="s">
        <v>337</v>
      </c>
      <c r="S123" s="213" t="s">
        <v>2302</v>
      </c>
      <c r="T123" s="416" t="s">
        <v>2303</v>
      </c>
      <c r="U123" s="415" t="s">
        <v>337</v>
      </c>
      <c r="X123" s="415"/>
      <c r="AA123" s="415"/>
      <c r="AB123" s="213">
        <v>9101</v>
      </c>
      <c r="AC123" s="416" t="s">
        <v>2304</v>
      </c>
      <c r="AD123" s="415"/>
      <c r="AE123" s="417" t="s">
        <v>2305</v>
      </c>
      <c r="AF123" s="416" t="s">
        <v>2306</v>
      </c>
      <c r="AG123" s="415"/>
      <c r="AJ123" s="415" t="s">
        <v>337</v>
      </c>
      <c r="AM123" s="415" t="s">
        <v>337</v>
      </c>
      <c r="AP123" s="415" t="s">
        <v>337</v>
      </c>
      <c r="AS123" s="415" t="s">
        <v>337</v>
      </c>
      <c r="AV123" s="415" t="s">
        <v>337</v>
      </c>
      <c r="AY123" s="415" t="s">
        <v>337</v>
      </c>
      <c r="AZ123" s="213">
        <v>152004</v>
      </c>
      <c r="BA123" s="416" t="s">
        <v>1175</v>
      </c>
      <c r="BB123" s="415" t="s">
        <v>337</v>
      </c>
      <c r="BE123" s="415" t="s">
        <v>337</v>
      </c>
      <c r="BH123" s="415" t="s">
        <v>337</v>
      </c>
      <c r="BI123" s="213" t="s">
        <v>770</v>
      </c>
      <c r="BJ123" s="416" t="s">
        <v>771</v>
      </c>
      <c r="BK123" s="213" t="s">
        <v>1734</v>
      </c>
      <c r="BL123" s="416" t="s">
        <v>1735</v>
      </c>
      <c r="BM123" s="415" t="s">
        <v>337</v>
      </c>
      <c r="BN123" s="213" t="s">
        <v>2307</v>
      </c>
      <c r="BO123" s="416" t="s">
        <v>2297</v>
      </c>
      <c r="BP123" s="415" t="s">
        <v>337</v>
      </c>
      <c r="BS123" s="415"/>
      <c r="BV123" s="415" t="s">
        <v>337</v>
      </c>
      <c r="BY123" s="415" t="s">
        <v>337</v>
      </c>
      <c r="CB123" s="415" t="s">
        <v>337</v>
      </c>
      <c r="CE123" s="415" t="s">
        <v>337</v>
      </c>
      <c r="CH123" s="415" t="s">
        <v>337</v>
      </c>
      <c r="CK123" s="415" t="s">
        <v>337</v>
      </c>
      <c r="CN123" s="415" t="s">
        <v>337</v>
      </c>
      <c r="CQ123" s="415" t="s">
        <v>337</v>
      </c>
      <c r="CT123" s="415" t="s">
        <v>337</v>
      </c>
    </row>
    <row r="124" spans="1:98">
      <c r="A124" s="1" t="s">
        <v>557</v>
      </c>
      <c r="B124" s="416" t="s">
        <v>2308</v>
      </c>
      <c r="C124" s="415" t="s">
        <v>337</v>
      </c>
      <c r="D124" s="1" t="s">
        <v>1751</v>
      </c>
      <c r="E124" s="1" t="s">
        <v>2309</v>
      </c>
      <c r="F124" s="415" t="s">
        <v>337</v>
      </c>
      <c r="I124" s="415" t="s">
        <v>337</v>
      </c>
      <c r="L124" s="415" t="s">
        <v>337</v>
      </c>
      <c r="M124" s="213" t="s">
        <v>2310</v>
      </c>
      <c r="N124" s="416" t="s">
        <v>2311</v>
      </c>
      <c r="O124" s="415" t="s">
        <v>337</v>
      </c>
      <c r="R124" s="415" t="s">
        <v>337</v>
      </c>
      <c r="S124" s="213" t="s">
        <v>2312</v>
      </c>
      <c r="T124" s="416" t="s">
        <v>2313</v>
      </c>
      <c r="U124" s="415" t="s">
        <v>337</v>
      </c>
      <c r="X124" s="415"/>
      <c r="AA124" s="415"/>
      <c r="AB124" s="213">
        <v>9102</v>
      </c>
      <c r="AC124" s="416" t="s">
        <v>2314</v>
      </c>
      <c r="AD124" s="415"/>
      <c r="AE124" s="417" t="s">
        <v>2315</v>
      </c>
      <c r="AF124" s="416" t="s">
        <v>2316</v>
      </c>
      <c r="AG124" s="415"/>
      <c r="AJ124" s="415" t="s">
        <v>337</v>
      </c>
      <c r="AM124" s="415" t="s">
        <v>337</v>
      </c>
      <c r="AP124" s="415" t="s">
        <v>337</v>
      </c>
      <c r="AS124" s="415" t="s">
        <v>337</v>
      </c>
      <c r="AV124" s="415" t="s">
        <v>337</v>
      </c>
      <c r="AY124" s="415" t="s">
        <v>337</v>
      </c>
      <c r="AZ124" s="213">
        <v>152005</v>
      </c>
      <c r="BA124" s="416" t="s">
        <v>2317</v>
      </c>
      <c r="BB124" s="415" t="s">
        <v>337</v>
      </c>
      <c r="BE124" s="415" t="s">
        <v>337</v>
      </c>
      <c r="BH124" s="415" t="s">
        <v>337</v>
      </c>
      <c r="BI124" s="213" t="s">
        <v>770</v>
      </c>
      <c r="BJ124" s="416" t="s">
        <v>771</v>
      </c>
      <c r="BK124" s="213" t="s">
        <v>1747</v>
      </c>
      <c r="BL124" s="416" t="s">
        <v>415</v>
      </c>
      <c r="BM124" s="415" t="s">
        <v>337</v>
      </c>
      <c r="BN124" s="213" t="s">
        <v>2318</v>
      </c>
      <c r="BO124" s="416" t="s">
        <v>2319</v>
      </c>
      <c r="BP124" s="415" t="s">
        <v>337</v>
      </c>
      <c r="BS124" s="415"/>
      <c r="BV124" s="415" t="s">
        <v>337</v>
      </c>
      <c r="BY124" s="415" t="s">
        <v>337</v>
      </c>
      <c r="CB124" s="415" t="s">
        <v>337</v>
      </c>
      <c r="CE124" s="415" t="s">
        <v>337</v>
      </c>
      <c r="CH124" s="415" t="s">
        <v>337</v>
      </c>
      <c r="CK124" s="415" t="s">
        <v>337</v>
      </c>
      <c r="CN124" s="415" t="s">
        <v>337</v>
      </c>
      <c r="CQ124" s="415" t="s">
        <v>337</v>
      </c>
      <c r="CT124" s="415" t="s">
        <v>337</v>
      </c>
    </row>
    <row r="125" spans="1:98">
      <c r="A125" s="1" t="s">
        <v>557</v>
      </c>
      <c r="B125" s="416" t="s">
        <v>2320</v>
      </c>
      <c r="C125" s="415" t="s">
        <v>337</v>
      </c>
      <c r="D125" s="1" t="s">
        <v>1751</v>
      </c>
      <c r="E125" s="1" t="s">
        <v>2321</v>
      </c>
      <c r="F125" s="415" t="s">
        <v>337</v>
      </c>
      <c r="I125" s="415" t="s">
        <v>337</v>
      </c>
      <c r="L125" s="415" t="s">
        <v>337</v>
      </c>
      <c r="M125" s="213" t="s">
        <v>2322</v>
      </c>
      <c r="N125" s="416" t="s">
        <v>2323</v>
      </c>
      <c r="O125" s="415" t="s">
        <v>337</v>
      </c>
      <c r="R125" s="415" t="s">
        <v>337</v>
      </c>
      <c r="S125" s="213" t="s">
        <v>2324</v>
      </c>
      <c r="T125" s="416" t="s">
        <v>2325</v>
      </c>
      <c r="U125" s="415" t="s">
        <v>337</v>
      </c>
      <c r="X125" s="415"/>
      <c r="AA125" s="415"/>
      <c r="AB125" s="213">
        <v>9103</v>
      </c>
      <c r="AC125" s="416" t="s">
        <v>2326</v>
      </c>
      <c r="AD125" s="415"/>
      <c r="AE125" s="417" t="s">
        <v>2327</v>
      </c>
      <c r="AF125" s="416" t="s">
        <v>2328</v>
      </c>
      <c r="AG125" s="415"/>
      <c r="AJ125" s="415" t="s">
        <v>337</v>
      </c>
      <c r="AM125" s="415" t="s">
        <v>337</v>
      </c>
      <c r="AP125" s="415" t="s">
        <v>337</v>
      </c>
      <c r="AS125" s="415" t="s">
        <v>337</v>
      </c>
      <c r="AV125" s="415" t="s">
        <v>337</v>
      </c>
      <c r="AY125" s="415" t="s">
        <v>337</v>
      </c>
      <c r="AZ125" s="213">
        <v>153001</v>
      </c>
      <c r="BA125" s="416" t="s">
        <v>807</v>
      </c>
      <c r="BB125" s="415" t="s">
        <v>337</v>
      </c>
      <c r="BE125" s="415" t="s">
        <v>337</v>
      </c>
      <c r="BH125" s="415" t="s">
        <v>337</v>
      </c>
      <c r="BI125" s="213" t="s">
        <v>796</v>
      </c>
      <c r="BJ125" s="416" t="s">
        <v>797</v>
      </c>
      <c r="BK125" s="213" t="s">
        <v>2329</v>
      </c>
      <c r="BL125" s="416" t="s">
        <v>2330</v>
      </c>
      <c r="BM125" s="415" t="s">
        <v>337</v>
      </c>
      <c r="BN125" s="213" t="s">
        <v>2331</v>
      </c>
      <c r="BO125" s="416" t="s">
        <v>2332</v>
      </c>
      <c r="BP125" s="415" t="s">
        <v>337</v>
      </c>
      <c r="BS125" s="415"/>
      <c r="BV125" s="415" t="s">
        <v>337</v>
      </c>
      <c r="BY125" s="415" t="s">
        <v>337</v>
      </c>
      <c r="CB125" s="415" t="s">
        <v>337</v>
      </c>
      <c r="CE125" s="415" t="s">
        <v>337</v>
      </c>
      <c r="CH125" s="415" t="s">
        <v>337</v>
      </c>
      <c r="CK125" s="415" t="s">
        <v>337</v>
      </c>
      <c r="CN125" s="415" t="s">
        <v>337</v>
      </c>
      <c r="CQ125" s="415" t="s">
        <v>337</v>
      </c>
      <c r="CT125" s="415" t="s">
        <v>337</v>
      </c>
    </row>
    <row r="126" spans="1:98">
      <c r="A126" s="1" t="s">
        <v>557</v>
      </c>
      <c r="B126" s="416" t="s">
        <v>2333</v>
      </c>
      <c r="C126" s="415" t="s">
        <v>337</v>
      </c>
      <c r="D126" s="1" t="s">
        <v>1751</v>
      </c>
      <c r="E126" s="1" t="s">
        <v>2334</v>
      </c>
      <c r="F126" s="415" t="s">
        <v>337</v>
      </c>
      <c r="I126" s="415" t="s">
        <v>337</v>
      </c>
      <c r="L126" s="415" t="s">
        <v>337</v>
      </c>
      <c r="M126" s="213" t="s">
        <v>2335</v>
      </c>
      <c r="N126" s="416" t="s">
        <v>2336</v>
      </c>
      <c r="O126" s="415" t="s">
        <v>337</v>
      </c>
      <c r="R126" s="415" t="s">
        <v>337</v>
      </c>
      <c r="S126" s="213" t="s">
        <v>2337</v>
      </c>
      <c r="T126" s="416" t="s">
        <v>2338</v>
      </c>
      <c r="U126" s="415" t="s">
        <v>337</v>
      </c>
      <c r="X126" s="415"/>
      <c r="AA126" s="415"/>
      <c r="AB126" s="213">
        <v>9104</v>
      </c>
      <c r="AC126" s="416" t="s">
        <v>2339</v>
      </c>
      <c r="AD126" s="415"/>
      <c r="AE126" s="417" t="s">
        <v>2340</v>
      </c>
      <c r="AF126" s="416" t="s">
        <v>2341</v>
      </c>
      <c r="AG126" s="415"/>
      <c r="AJ126" s="415" t="s">
        <v>337</v>
      </c>
      <c r="AM126" s="415" t="s">
        <v>337</v>
      </c>
      <c r="AP126" s="415" t="s">
        <v>337</v>
      </c>
      <c r="AS126" s="415" t="s">
        <v>337</v>
      </c>
      <c r="AV126" s="415" t="s">
        <v>337</v>
      </c>
      <c r="AY126" s="415" t="s">
        <v>337</v>
      </c>
      <c r="AZ126" s="213">
        <v>153002</v>
      </c>
      <c r="BA126" s="416" t="s">
        <v>2342</v>
      </c>
      <c r="BB126" s="415" t="s">
        <v>337</v>
      </c>
      <c r="BE126" s="415" t="s">
        <v>337</v>
      </c>
      <c r="BH126" s="415" t="s">
        <v>337</v>
      </c>
      <c r="BI126" s="213" t="s">
        <v>796</v>
      </c>
      <c r="BJ126" s="416" t="s">
        <v>797</v>
      </c>
      <c r="BK126" s="213" t="s">
        <v>2343</v>
      </c>
      <c r="BL126" s="416" t="s">
        <v>2344</v>
      </c>
      <c r="BM126" s="415" t="s">
        <v>337</v>
      </c>
      <c r="BN126" s="213" t="s">
        <v>2345</v>
      </c>
      <c r="BO126" s="416" t="s">
        <v>2346</v>
      </c>
      <c r="BP126" s="415" t="s">
        <v>337</v>
      </c>
      <c r="BS126" s="415"/>
      <c r="BV126" s="415" t="s">
        <v>337</v>
      </c>
      <c r="BY126" s="415" t="s">
        <v>337</v>
      </c>
      <c r="CB126" s="415" t="s">
        <v>337</v>
      </c>
      <c r="CE126" s="415" t="s">
        <v>337</v>
      </c>
      <c r="CH126" s="415" t="s">
        <v>337</v>
      </c>
      <c r="CK126" s="415" t="s">
        <v>337</v>
      </c>
      <c r="CN126" s="415" t="s">
        <v>337</v>
      </c>
      <c r="CQ126" s="415" t="s">
        <v>337</v>
      </c>
      <c r="CT126" s="415" t="s">
        <v>337</v>
      </c>
    </row>
    <row r="127" spans="1:98">
      <c r="A127" s="1" t="s">
        <v>557</v>
      </c>
      <c r="B127" s="416" t="s">
        <v>2347</v>
      </c>
      <c r="C127" s="415" t="s">
        <v>337</v>
      </c>
      <c r="D127" s="1" t="s">
        <v>1751</v>
      </c>
      <c r="E127" s="1" t="s">
        <v>2348</v>
      </c>
      <c r="F127" s="415" t="s">
        <v>337</v>
      </c>
      <c r="I127" s="415" t="s">
        <v>337</v>
      </c>
      <c r="L127" s="415" t="s">
        <v>337</v>
      </c>
      <c r="M127" s="213" t="s">
        <v>2349</v>
      </c>
      <c r="N127" s="416" t="s">
        <v>2350</v>
      </c>
      <c r="O127" s="415" t="s">
        <v>337</v>
      </c>
      <c r="R127" s="415" t="s">
        <v>337</v>
      </c>
      <c r="S127" s="213" t="s">
        <v>2351</v>
      </c>
      <c r="T127" s="416" t="s">
        <v>2352</v>
      </c>
      <c r="U127" s="415" t="s">
        <v>337</v>
      </c>
      <c r="X127" s="415"/>
      <c r="AA127" s="415"/>
      <c r="AB127" s="213">
        <v>9105</v>
      </c>
      <c r="AC127" s="416" t="s">
        <v>2353</v>
      </c>
      <c r="AD127" s="415"/>
      <c r="AE127" s="417" t="s">
        <v>2354</v>
      </c>
      <c r="AF127" s="416" t="s">
        <v>2355</v>
      </c>
      <c r="AG127" s="415"/>
      <c r="AJ127" s="415" t="s">
        <v>337</v>
      </c>
      <c r="AM127" s="415" t="s">
        <v>337</v>
      </c>
      <c r="AP127" s="415" t="s">
        <v>337</v>
      </c>
      <c r="AS127" s="415" t="s">
        <v>337</v>
      </c>
      <c r="AV127" s="415" t="s">
        <v>337</v>
      </c>
      <c r="AY127" s="415" t="s">
        <v>337</v>
      </c>
      <c r="AZ127" s="213">
        <v>153003</v>
      </c>
      <c r="BA127" s="416" t="s">
        <v>1351</v>
      </c>
      <c r="BB127" s="415" t="s">
        <v>337</v>
      </c>
      <c r="BE127" s="415" t="s">
        <v>337</v>
      </c>
      <c r="BH127" s="415" t="s">
        <v>337</v>
      </c>
      <c r="BI127" s="213" t="s">
        <v>796</v>
      </c>
      <c r="BJ127" s="416" t="s">
        <v>797</v>
      </c>
      <c r="BK127" s="213" t="s">
        <v>749</v>
      </c>
      <c r="BL127" s="416" t="s">
        <v>750</v>
      </c>
      <c r="BM127" s="415" t="s">
        <v>337</v>
      </c>
      <c r="BN127" s="213" t="s">
        <v>2356</v>
      </c>
      <c r="BO127" s="416" t="s">
        <v>2357</v>
      </c>
      <c r="BP127" s="415" t="s">
        <v>337</v>
      </c>
      <c r="BS127" s="415"/>
      <c r="BV127" s="415" t="s">
        <v>337</v>
      </c>
      <c r="BY127" s="415" t="s">
        <v>337</v>
      </c>
      <c r="CB127" s="415" t="s">
        <v>337</v>
      </c>
      <c r="CE127" s="415" t="s">
        <v>337</v>
      </c>
      <c r="CH127" s="415" t="s">
        <v>337</v>
      </c>
      <c r="CK127" s="415" t="s">
        <v>337</v>
      </c>
      <c r="CN127" s="415" t="s">
        <v>337</v>
      </c>
      <c r="CQ127" s="415" t="s">
        <v>337</v>
      </c>
      <c r="CT127" s="415" t="s">
        <v>337</v>
      </c>
    </row>
    <row r="128" spans="1:98">
      <c r="A128" s="1" t="s">
        <v>591</v>
      </c>
      <c r="B128" s="416" t="s">
        <v>2358</v>
      </c>
      <c r="C128" s="415" t="s">
        <v>337</v>
      </c>
      <c r="D128" s="1" t="s">
        <v>1751</v>
      </c>
      <c r="E128" s="1" t="s">
        <v>2359</v>
      </c>
      <c r="F128" s="415" t="s">
        <v>337</v>
      </c>
      <c r="I128" s="415" t="s">
        <v>337</v>
      </c>
      <c r="L128" s="415" t="s">
        <v>337</v>
      </c>
      <c r="M128" s="213" t="s">
        <v>2360</v>
      </c>
      <c r="N128" s="416" t="s">
        <v>2361</v>
      </c>
      <c r="O128" s="415" t="s">
        <v>337</v>
      </c>
      <c r="R128" s="415" t="s">
        <v>337</v>
      </c>
      <c r="S128" s="213" t="s">
        <v>2362</v>
      </c>
      <c r="T128" s="416" t="s">
        <v>2363</v>
      </c>
      <c r="U128" s="415" t="s">
        <v>337</v>
      </c>
      <c r="X128" s="415"/>
      <c r="AA128" s="415"/>
      <c r="AB128" s="213">
        <v>9106</v>
      </c>
      <c r="AC128" s="416" t="s">
        <v>2364</v>
      </c>
      <c r="AD128" s="415"/>
      <c r="AE128" s="417" t="s">
        <v>2365</v>
      </c>
      <c r="AF128" s="416" t="s">
        <v>2366</v>
      </c>
      <c r="AG128" s="415"/>
      <c r="AJ128" s="415" t="s">
        <v>337</v>
      </c>
      <c r="AM128" s="415" t="s">
        <v>337</v>
      </c>
      <c r="AP128" s="415" t="s">
        <v>337</v>
      </c>
      <c r="AS128" s="415" t="s">
        <v>337</v>
      </c>
      <c r="AV128" s="415" t="s">
        <v>337</v>
      </c>
      <c r="AY128" s="415" t="s">
        <v>337</v>
      </c>
      <c r="AZ128" s="213">
        <v>153004</v>
      </c>
      <c r="BA128" s="416" t="s">
        <v>2367</v>
      </c>
      <c r="BB128" s="415" t="s">
        <v>337</v>
      </c>
      <c r="BE128" s="415" t="s">
        <v>337</v>
      </c>
      <c r="BH128" s="415" t="s">
        <v>337</v>
      </c>
      <c r="BI128" s="213" t="s">
        <v>796</v>
      </c>
      <c r="BJ128" s="416" t="s">
        <v>797</v>
      </c>
      <c r="BK128" s="213" t="s">
        <v>1720</v>
      </c>
      <c r="BL128" s="416" t="s">
        <v>1721</v>
      </c>
      <c r="BM128" s="415" t="s">
        <v>337</v>
      </c>
      <c r="BN128" s="213" t="s">
        <v>2368</v>
      </c>
      <c r="BO128" s="416" t="s">
        <v>2369</v>
      </c>
      <c r="BP128" s="415" t="s">
        <v>337</v>
      </c>
      <c r="BS128" s="415"/>
      <c r="BV128" s="415" t="s">
        <v>337</v>
      </c>
      <c r="BY128" s="415" t="s">
        <v>337</v>
      </c>
      <c r="CB128" s="415" t="s">
        <v>337</v>
      </c>
      <c r="CE128" s="415" t="s">
        <v>337</v>
      </c>
      <c r="CH128" s="415" t="s">
        <v>337</v>
      </c>
      <c r="CK128" s="415" t="s">
        <v>337</v>
      </c>
      <c r="CN128" s="415" t="s">
        <v>337</v>
      </c>
      <c r="CQ128" s="415" t="s">
        <v>337</v>
      </c>
      <c r="CT128" s="415" t="s">
        <v>337</v>
      </c>
    </row>
    <row r="129" spans="1:98">
      <c r="A129" s="1" t="s">
        <v>591</v>
      </c>
      <c r="B129" s="416" t="s">
        <v>2370</v>
      </c>
      <c r="C129" s="415" t="s">
        <v>337</v>
      </c>
      <c r="D129" s="1" t="s">
        <v>1751</v>
      </c>
      <c r="E129" s="1" t="s">
        <v>2371</v>
      </c>
      <c r="F129" s="415" t="s">
        <v>337</v>
      </c>
      <c r="I129" s="415" t="s">
        <v>337</v>
      </c>
      <c r="L129" s="415" t="s">
        <v>337</v>
      </c>
      <c r="M129" s="213" t="s">
        <v>2372</v>
      </c>
      <c r="N129" s="416" t="s">
        <v>2373</v>
      </c>
      <c r="O129" s="415" t="s">
        <v>337</v>
      </c>
      <c r="R129" s="415" t="s">
        <v>337</v>
      </c>
      <c r="S129" s="213" t="s">
        <v>2374</v>
      </c>
      <c r="T129" s="416" t="s">
        <v>2375</v>
      </c>
      <c r="U129" s="415" t="s">
        <v>337</v>
      </c>
      <c r="X129" s="415"/>
      <c r="AA129" s="415"/>
      <c r="AB129" s="213">
        <v>9107</v>
      </c>
      <c r="AC129" s="416" t="s">
        <v>2376</v>
      </c>
      <c r="AD129" s="415"/>
      <c r="AE129" s="417" t="s">
        <v>2377</v>
      </c>
      <c r="AF129" s="416" t="s">
        <v>2378</v>
      </c>
      <c r="AG129" s="415"/>
      <c r="AJ129" s="415" t="s">
        <v>337</v>
      </c>
      <c r="AM129" s="415" t="s">
        <v>337</v>
      </c>
      <c r="AP129" s="415" t="s">
        <v>337</v>
      </c>
      <c r="AS129" s="415" t="s">
        <v>337</v>
      </c>
      <c r="AV129" s="415" t="s">
        <v>337</v>
      </c>
      <c r="AY129" s="415" t="s">
        <v>337</v>
      </c>
      <c r="AZ129" s="213">
        <v>153005</v>
      </c>
      <c r="BA129" s="416" t="s">
        <v>2379</v>
      </c>
      <c r="BB129" s="415" t="s">
        <v>337</v>
      </c>
      <c r="BE129" s="415" t="s">
        <v>337</v>
      </c>
      <c r="BH129" s="415" t="s">
        <v>337</v>
      </c>
      <c r="BI129" s="213" t="s">
        <v>796</v>
      </c>
      <c r="BJ129" s="416" t="s">
        <v>797</v>
      </c>
      <c r="BK129" s="213" t="s">
        <v>1734</v>
      </c>
      <c r="BL129" s="416" t="s">
        <v>1735</v>
      </c>
      <c r="BM129" s="415" t="s">
        <v>337</v>
      </c>
      <c r="BN129" s="213" t="s">
        <v>2380</v>
      </c>
      <c r="BO129" s="416" t="s">
        <v>2381</v>
      </c>
      <c r="BP129" s="415" t="s">
        <v>337</v>
      </c>
      <c r="BS129" s="415"/>
      <c r="BV129" s="415" t="s">
        <v>337</v>
      </c>
      <c r="BY129" s="415" t="s">
        <v>337</v>
      </c>
      <c r="CB129" s="415" t="s">
        <v>337</v>
      </c>
      <c r="CE129" s="415" t="s">
        <v>337</v>
      </c>
      <c r="CH129" s="415" t="s">
        <v>337</v>
      </c>
      <c r="CK129" s="415" t="s">
        <v>337</v>
      </c>
      <c r="CN129" s="415" t="s">
        <v>337</v>
      </c>
      <c r="CQ129" s="415" t="s">
        <v>337</v>
      </c>
      <c r="CT129" s="415" t="s">
        <v>337</v>
      </c>
    </row>
    <row r="130" spans="1:98">
      <c r="A130" s="1" t="s">
        <v>591</v>
      </c>
      <c r="B130" s="416" t="s">
        <v>2382</v>
      </c>
      <c r="C130" s="415" t="s">
        <v>337</v>
      </c>
      <c r="D130" s="1" t="s">
        <v>1751</v>
      </c>
      <c r="E130" s="1" t="s">
        <v>2383</v>
      </c>
      <c r="F130" s="415" t="s">
        <v>337</v>
      </c>
      <c r="I130" s="415" t="s">
        <v>337</v>
      </c>
      <c r="L130" s="415" t="s">
        <v>337</v>
      </c>
      <c r="M130" s="213" t="s">
        <v>2384</v>
      </c>
      <c r="N130" s="416" t="s">
        <v>2385</v>
      </c>
      <c r="O130" s="415" t="s">
        <v>337</v>
      </c>
      <c r="R130" s="415" t="s">
        <v>337</v>
      </c>
      <c r="S130" s="213" t="s">
        <v>2386</v>
      </c>
      <c r="T130" s="416" t="s">
        <v>2387</v>
      </c>
      <c r="U130" s="415" t="s">
        <v>337</v>
      </c>
      <c r="X130" s="415"/>
      <c r="AA130" s="415"/>
      <c r="AB130" s="213">
        <v>9108</v>
      </c>
      <c r="AC130" s="416" t="s">
        <v>2388</v>
      </c>
      <c r="AD130" s="415"/>
      <c r="AE130" s="417" t="s">
        <v>2389</v>
      </c>
      <c r="AF130" s="416" t="s">
        <v>2390</v>
      </c>
      <c r="AG130" s="415"/>
      <c r="AJ130" s="415" t="s">
        <v>337</v>
      </c>
      <c r="AM130" s="415" t="s">
        <v>337</v>
      </c>
      <c r="AP130" s="415" t="s">
        <v>337</v>
      </c>
      <c r="AS130" s="415" t="s">
        <v>337</v>
      </c>
      <c r="AV130" s="415" t="s">
        <v>337</v>
      </c>
      <c r="AY130" s="415" t="s">
        <v>337</v>
      </c>
      <c r="AZ130" s="213">
        <v>153006</v>
      </c>
      <c r="BA130" s="416" t="s">
        <v>2391</v>
      </c>
      <c r="BB130" s="415" t="s">
        <v>337</v>
      </c>
      <c r="BE130" s="415" t="s">
        <v>337</v>
      </c>
      <c r="BH130" s="415" t="s">
        <v>337</v>
      </c>
      <c r="BI130" s="213" t="s">
        <v>796</v>
      </c>
      <c r="BJ130" s="416" t="s">
        <v>797</v>
      </c>
      <c r="BK130" s="213" t="s">
        <v>1747</v>
      </c>
      <c r="BL130" s="416" t="s">
        <v>415</v>
      </c>
      <c r="BM130" s="415" t="s">
        <v>337</v>
      </c>
      <c r="BN130" s="213" t="s">
        <v>2392</v>
      </c>
      <c r="BO130" s="416" t="s">
        <v>2393</v>
      </c>
      <c r="BP130" s="415" t="s">
        <v>337</v>
      </c>
      <c r="BS130" s="415"/>
      <c r="BV130" s="415" t="s">
        <v>337</v>
      </c>
      <c r="BY130" s="415" t="s">
        <v>337</v>
      </c>
      <c r="CB130" s="415" t="s">
        <v>337</v>
      </c>
      <c r="CE130" s="415" t="s">
        <v>337</v>
      </c>
      <c r="CH130" s="415" t="s">
        <v>337</v>
      </c>
      <c r="CK130" s="415" t="s">
        <v>337</v>
      </c>
      <c r="CN130" s="415" t="s">
        <v>337</v>
      </c>
      <c r="CQ130" s="415" t="s">
        <v>337</v>
      </c>
      <c r="CT130" s="415" t="s">
        <v>337</v>
      </c>
    </row>
    <row r="131" spans="1:98">
      <c r="A131" s="1" t="s">
        <v>591</v>
      </c>
      <c r="B131" s="416" t="s">
        <v>2394</v>
      </c>
      <c r="C131" s="415" t="s">
        <v>337</v>
      </c>
      <c r="D131" s="1" t="s">
        <v>1751</v>
      </c>
      <c r="E131" s="1" t="s">
        <v>2395</v>
      </c>
      <c r="F131" s="415" t="s">
        <v>337</v>
      </c>
      <c r="I131" s="415" t="s">
        <v>337</v>
      </c>
      <c r="L131" s="415" t="s">
        <v>337</v>
      </c>
      <c r="M131" s="213" t="s">
        <v>2396</v>
      </c>
      <c r="N131" s="416" t="s">
        <v>2397</v>
      </c>
      <c r="O131" s="415" t="s">
        <v>337</v>
      </c>
      <c r="R131" s="415" t="s">
        <v>337</v>
      </c>
      <c r="S131" s="213" t="s">
        <v>2398</v>
      </c>
      <c r="T131" s="416" t="s">
        <v>2399</v>
      </c>
      <c r="U131" s="415" t="s">
        <v>337</v>
      </c>
      <c r="X131" s="415"/>
      <c r="AA131" s="415"/>
      <c r="AB131" s="213">
        <v>9109</v>
      </c>
      <c r="AC131" s="416" t="s">
        <v>2400</v>
      </c>
      <c r="AD131" s="415"/>
      <c r="AE131" s="417" t="s">
        <v>2401</v>
      </c>
      <c r="AF131" s="416" t="s">
        <v>2402</v>
      </c>
      <c r="AG131" s="415"/>
      <c r="AJ131" s="415" t="s">
        <v>337</v>
      </c>
      <c r="AM131" s="415" t="s">
        <v>337</v>
      </c>
      <c r="AP131" s="415" t="s">
        <v>337</v>
      </c>
      <c r="AS131" s="415" t="s">
        <v>337</v>
      </c>
      <c r="AV131" s="415" t="s">
        <v>337</v>
      </c>
      <c r="AY131" s="415" t="s">
        <v>337</v>
      </c>
      <c r="AZ131" s="213">
        <v>153007</v>
      </c>
      <c r="BA131" s="416" t="s">
        <v>2403</v>
      </c>
      <c r="BB131" s="415" t="s">
        <v>337</v>
      </c>
      <c r="BE131" s="415" t="s">
        <v>337</v>
      </c>
      <c r="BH131" s="415" t="s">
        <v>337</v>
      </c>
      <c r="BI131" s="213" t="s">
        <v>821</v>
      </c>
      <c r="BJ131" s="416" t="s">
        <v>822</v>
      </c>
      <c r="BK131" s="213" t="s">
        <v>2404</v>
      </c>
      <c r="BL131" s="416" t="s">
        <v>2405</v>
      </c>
      <c r="BM131" s="415" t="s">
        <v>337</v>
      </c>
      <c r="BN131" s="213" t="s">
        <v>2406</v>
      </c>
      <c r="BO131" s="416" t="s">
        <v>2407</v>
      </c>
      <c r="BP131" s="415" t="s">
        <v>337</v>
      </c>
      <c r="BS131" s="415"/>
      <c r="BV131" s="415" t="s">
        <v>337</v>
      </c>
      <c r="BY131" s="415" t="s">
        <v>337</v>
      </c>
      <c r="CB131" s="415" t="s">
        <v>337</v>
      </c>
      <c r="CE131" s="415" t="s">
        <v>337</v>
      </c>
      <c r="CH131" s="415" t="s">
        <v>337</v>
      </c>
      <c r="CK131" s="415" t="s">
        <v>337</v>
      </c>
      <c r="CN131" s="415" t="s">
        <v>337</v>
      </c>
      <c r="CQ131" s="415" t="s">
        <v>337</v>
      </c>
      <c r="CT131" s="415" t="s">
        <v>337</v>
      </c>
    </row>
    <row r="132" spans="1:98">
      <c r="A132" s="1" t="s">
        <v>591</v>
      </c>
      <c r="B132" s="416" t="s">
        <v>2408</v>
      </c>
      <c r="C132" s="415" t="s">
        <v>337</v>
      </c>
      <c r="D132" s="1" t="s">
        <v>1751</v>
      </c>
      <c r="E132" s="1" t="s">
        <v>2409</v>
      </c>
      <c r="F132" s="415" t="s">
        <v>337</v>
      </c>
      <c r="I132" s="415" t="s">
        <v>337</v>
      </c>
      <c r="L132" s="415" t="s">
        <v>337</v>
      </c>
      <c r="M132" s="213" t="s">
        <v>2410</v>
      </c>
      <c r="N132" s="416" t="s">
        <v>2411</v>
      </c>
      <c r="O132" s="415" t="s">
        <v>337</v>
      </c>
      <c r="R132" s="415" t="s">
        <v>337</v>
      </c>
      <c r="S132" s="213" t="s">
        <v>2412</v>
      </c>
      <c r="T132" s="416" t="s">
        <v>2413</v>
      </c>
      <c r="U132" s="415" t="s">
        <v>337</v>
      </c>
      <c r="X132" s="415"/>
      <c r="AA132" s="415"/>
      <c r="AB132" s="213">
        <v>9110</v>
      </c>
      <c r="AC132" s="416" t="s">
        <v>2414</v>
      </c>
      <c r="AD132" s="415"/>
      <c r="AE132" s="417" t="s">
        <v>2415</v>
      </c>
      <c r="AF132" s="416" t="s">
        <v>2416</v>
      </c>
      <c r="AG132" s="415"/>
      <c r="AJ132" s="415" t="s">
        <v>337</v>
      </c>
      <c r="AM132" s="415" t="s">
        <v>337</v>
      </c>
      <c r="AP132" s="415" t="s">
        <v>337</v>
      </c>
      <c r="AS132" s="415" t="s">
        <v>337</v>
      </c>
      <c r="AV132" s="415" t="s">
        <v>337</v>
      </c>
      <c r="AY132" s="415" t="s">
        <v>337</v>
      </c>
      <c r="AZ132" s="213">
        <v>211001</v>
      </c>
      <c r="BA132" s="416" t="s">
        <v>1455</v>
      </c>
      <c r="BB132" s="415" t="s">
        <v>337</v>
      </c>
      <c r="BE132" s="415" t="s">
        <v>337</v>
      </c>
      <c r="BH132" s="415" t="s">
        <v>337</v>
      </c>
      <c r="BI132" s="213" t="s">
        <v>821</v>
      </c>
      <c r="BJ132" s="416" t="s">
        <v>822</v>
      </c>
      <c r="BK132" s="213" t="s">
        <v>2417</v>
      </c>
      <c r="BL132" s="416" t="s">
        <v>822</v>
      </c>
      <c r="BM132" s="415" t="s">
        <v>337</v>
      </c>
      <c r="BN132" s="213" t="s">
        <v>2418</v>
      </c>
      <c r="BO132" s="416" t="s">
        <v>2419</v>
      </c>
      <c r="BP132" s="415" t="s">
        <v>337</v>
      </c>
      <c r="BS132" s="415"/>
      <c r="BV132" s="415" t="s">
        <v>337</v>
      </c>
      <c r="BY132" s="415" t="s">
        <v>337</v>
      </c>
      <c r="CB132" s="415" t="s">
        <v>337</v>
      </c>
      <c r="CE132" s="415" t="s">
        <v>337</v>
      </c>
      <c r="CH132" s="415" t="s">
        <v>337</v>
      </c>
      <c r="CK132" s="415" t="s">
        <v>337</v>
      </c>
      <c r="CN132" s="415" t="s">
        <v>337</v>
      </c>
      <c r="CQ132" s="415" t="s">
        <v>337</v>
      </c>
      <c r="CT132" s="415" t="s">
        <v>337</v>
      </c>
    </row>
    <row r="133" spans="1:98">
      <c r="A133" s="1" t="s">
        <v>591</v>
      </c>
      <c r="B133" s="416" t="s">
        <v>2420</v>
      </c>
      <c r="C133" s="415" t="s">
        <v>337</v>
      </c>
      <c r="D133" s="1" t="s">
        <v>1751</v>
      </c>
      <c r="E133" s="1" t="s">
        <v>2421</v>
      </c>
      <c r="F133" s="415" t="s">
        <v>337</v>
      </c>
      <c r="I133" s="415" t="s">
        <v>337</v>
      </c>
      <c r="L133" s="415" t="s">
        <v>337</v>
      </c>
      <c r="M133" s="213" t="s">
        <v>2422</v>
      </c>
      <c r="N133" s="416" t="s">
        <v>2423</v>
      </c>
      <c r="O133" s="415" t="s">
        <v>337</v>
      </c>
      <c r="R133" s="415" t="s">
        <v>337</v>
      </c>
      <c r="S133" s="213" t="s">
        <v>2424</v>
      </c>
      <c r="T133" s="416" t="s">
        <v>2425</v>
      </c>
      <c r="U133" s="415" t="s">
        <v>337</v>
      </c>
      <c r="X133" s="415"/>
      <c r="AA133" s="415"/>
      <c r="AB133" s="213">
        <v>9111</v>
      </c>
      <c r="AC133" s="416" t="s">
        <v>2426</v>
      </c>
      <c r="AD133" s="415"/>
      <c r="AE133" s="417" t="s">
        <v>2427</v>
      </c>
      <c r="AF133" s="416" t="s">
        <v>2428</v>
      </c>
      <c r="AG133" s="415"/>
      <c r="AJ133" s="415" t="s">
        <v>337</v>
      </c>
      <c r="AM133" s="415" t="s">
        <v>337</v>
      </c>
      <c r="AP133" s="415" t="s">
        <v>337</v>
      </c>
      <c r="AS133" s="415" t="s">
        <v>337</v>
      </c>
      <c r="AV133" s="415" t="s">
        <v>337</v>
      </c>
      <c r="AY133" s="415" t="s">
        <v>337</v>
      </c>
      <c r="AZ133" s="213">
        <v>221001</v>
      </c>
      <c r="BA133" s="416" t="s">
        <v>2429</v>
      </c>
      <c r="BB133" s="415" t="s">
        <v>337</v>
      </c>
      <c r="BE133" s="415" t="s">
        <v>337</v>
      </c>
      <c r="BH133" s="415" t="s">
        <v>337</v>
      </c>
      <c r="BI133" s="213" t="s">
        <v>844</v>
      </c>
      <c r="BJ133" s="416" t="s">
        <v>496</v>
      </c>
      <c r="BK133" s="213" t="s">
        <v>2430</v>
      </c>
      <c r="BL133" s="416" t="s">
        <v>2431</v>
      </c>
      <c r="BM133" s="415" t="s">
        <v>337</v>
      </c>
      <c r="BN133" s="213" t="s">
        <v>2432</v>
      </c>
      <c r="BO133" s="416" t="s">
        <v>2433</v>
      </c>
      <c r="BP133" s="415" t="s">
        <v>337</v>
      </c>
      <c r="BS133" s="415"/>
      <c r="BV133" s="415" t="s">
        <v>337</v>
      </c>
      <c r="BY133" s="415" t="s">
        <v>337</v>
      </c>
      <c r="CB133" s="415" t="s">
        <v>337</v>
      </c>
      <c r="CE133" s="415" t="s">
        <v>337</v>
      </c>
      <c r="CH133" s="415" t="s">
        <v>337</v>
      </c>
      <c r="CK133" s="415" t="s">
        <v>337</v>
      </c>
      <c r="CN133" s="415" t="s">
        <v>337</v>
      </c>
      <c r="CQ133" s="415" t="s">
        <v>337</v>
      </c>
      <c r="CT133" s="415" t="s">
        <v>337</v>
      </c>
    </row>
    <row r="134" spans="1:98">
      <c r="A134" s="1" t="s">
        <v>591</v>
      </c>
      <c r="B134" s="416" t="s">
        <v>2434</v>
      </c>
      <c r="C134" s="415" t="s">
        <v>337</v>
      </c>
      <c r="D134" s="1" t="s">
        <v>1751</v>
      </c>
      <c r="E134" s="1" t="s">
        <v>2435</v>
      </c>
      <c r="F134" s="415" t="s">
        <v>337</v>
      </c>
      <c r="I134" s="415" t="s">
        <v>337</v>
      </c>
      <c r="L134" s="415" t="s">
        <v>337</v>
      </c>
      <c r="M134" s="213" t="s">
        <v>2436</v>
      </c>
      <c r="N134" s="416" t="s">
        <v>2437</v>
      </c>
      <c r="O134" s="415" t="s">
        <v>337</v>
      </c>
      <c r="R134" s="415" t="s">
        <v>337</v>
      </c>
      <c r="S134" s="213" t="s">
        <v>2438</v>
      </c>
      <c r="T134" s="416" t="s">
        <v>2439</v>
      </c>
      <c r="U134" s="415" t="s">
        <v>337</v>
      </c>
      <c r="X134" s="415"/>
      <c r="AA134" s="415"/>
      <c r="AB134" s="213">
        <v>9112</v>
      </c>
      <c r="AC134" s="416" t="s">
        <v>2440</v>
      </c>
      <c r="AD134" s="415"/>
      <c r="AE134" s="417" t="s">
        <v>2441</v>
      </c>
      <c r="AF134" s="416" t="s">
        <v>2442</v>
      </c>
      <c r="AG134" s="415"/>
      <c r="AJ134" s="415" t="s">
        <v>337</v>
      </c>
      <c r="AM134" s="415" t="s">
        <v>337</v>
      </c>
      <c r="AP134" s="415" t="s">
        <v>337</v>
      </c>
      <c r="AS134" s="415" t="s">
        <v>337</v>
      </c>
      <c r="AV134" s="415" t="s">
        <v>337</v>
      </c>
      <c r="AY134" s="415" t="s">
        <v>337</v>
      </c>
      <c r="AZ134" s="213">
        <v>311001</v>
      </c>
      <c r="BA134" s="416" t="s">
        <v>2443</v>
      </c>
      <c r="BB134" s="415" t="s">
        <v>337</v>
      </c>
      <c r="BE134" s="415" t="s">
        <v>337</v>
      </c>
      <c r="BH134" s="415" t="s">
        <v>337</v>
      </c>
      <c r="BI134" s="213" t="s">
        <v>844</v>
      </c>
      <c r="BJ134" s="416" t="s">
        <v>496</v>
      </c>
      <c r="BK134" s="213" t="s">
        <v>2444</v>
      </c>
      <c r="BL134" s="416" t="s">
        <v>2445</v>
      </c>
      <c r="BM134" s="415" t="s">
        <v>337</v>
      </c>
      <c r="BN134" s="213" t="s">
        <v>2446</v>
      </c>
      <c r="BO134" s="416" t="s">
        <v>2447</v>
      </c>
      <c r="BP134" s="415" t="s">
        <v>337</v>
      </c>
      <c r="BS134" s="415"/>
      <c r="BV134" s="415" t="s">
        <v>337</v>
      </c>
      <c r="BY134" s="415" t="s">
        <v>337</v>
      </c>
      <c r="CB134" s="415" t="s">
        <v>337</v>
      </c>
      <c r="CE134" s="415" t="s">
        <v>337</v>
      </c>
      <c r="CH134" s="415" t="s">
        <v>337</v>
      </c>
      <c r="CK134" s="415" t="s">
        <v>337</v>
      </c>
      <c r="CN134" s="415" t="s">
        <v>337</v>
      </c>
      <c r="CQ134" s="415" t="s">
        <v>337</v>
      </c>
      <c r="CT134" s="415" t="s">
        <v>337</v>
      </c>
    </row>
    <row r="135" spans="1:98">
      <c r="A135" s="1" t="s">
        <v>591</v>
      </c>
      <c r="B135" s="416" t="s">
        <v>2448</v>
      </c>
      <c r="C135" s="415" t="s">
        <v>337</v>
      </c>
      <c r="D135" s="1" t="s">
        <v>1751</v>
      </c>
      <c r="E135" s="1" t="s">
        <v>2449</v>
      </c>
      <c r="F135" s="415" t="s">
        <v>337</v>
      </c>
      <c r="I135" s="415" t="s">
        <v>337</v>
      </c>
      <c r="L135" s="415" t="s">
        <v>337</v>
      </c>
      <c r="M135" s="213" t="s">
        <v>2450</v>
      </c>
      <c r="N135" s="416" t="s">
        <v>2451</v>
      </c>
      <c r="O135" s="415" t="s">
        <v>337</v>
      </c>
      <c r="R135" s="415" t="s">
        <v>337</v>
      </c>
      <c r="S135" s="213" t="s">
        <v>2452</v>
      </c>
      <c r="T135" s="416" t="s">
        <v>2453</v>
      </c>
      <c r="U135" s="415" t="s">
        <v>337</v>
      </c>
      <c r="X135" s="415"/>
      <c r="AA135" s="415"/>
      <c r="AB135" s="213">
        <v>9113</v>
      </c>
      <c r="AC135" s="416" t="s">
        <v>1117</v>
      </c>
      <c r="AD135" s="415"/>
      <c r="AE135" s="417" t="s">
        <v>2454</v>
      </c>
      <c r="AF135" s="416" t="s">
        <v>2455</v>
      </c>
      <c r="AG135" s="415"/>
      <c r="AJ135" s="415" t="s">
        <v>337</v>
      </c>
      <c r="AM135" s="415" t="s">
        <v>337</v>
      </c>
      <c r="AP135" s="415" t="s">
        <v>337</v>
      </c>
      <c r="AS135" s="415" t="s">
        <v>337</v>
      </c>
      <c r="AV135" s="415" t="s">
        <v>337</v>
      </c>
      <c r="AY135" s="415" t="s">
        <v>337</v>
      </c>
      <c r="AZ135" s="213">
        <v>311002</v>
      </c>
      <c r="BA135" s="416" t="s">
        <v>2456</v>
      </c>
      <c r="BB135" s="415" t="s">
        <v>337</v>
      </c>
      <c r="BE135" s="415" t="s">
        <v>337</v>
      </c>
      <c r="BH135" s="415" t="s">
        <v>337</v>
      </c>
      <c r="BI135" s="213" t="s">
        <v>844</v>
      </c>
      <c r="BJ135" s="416" t="s">
        <v>496</v>
      </c>
      <c r="BK135" s="213" t="s">
        <v>2457</v>
      </c>
      <c r="BL135" s="416" t="s">
        <v>2458</v>
      </c>
      <c r="BM135" s="415" t="s">
        <v>337</v>
      </c>
      <c r="BN135" s="213" t="s">
        <v>2459</v>
      </c>
      <c r="BO135" s="416" t="s">
        <v>2460</v>
      </c>
      <c r="BP135" s="415" t="s">
        <v>337</v>
      </c>
      <c r="BS135" s="415"/>
      <c r="BV135" s="415" t="s">
        <v>337</v>
      </c>
      <c r="BY135" s="415" t="s">
        <v>337</v>
      </c>
      <c r="CB135" s="415" t="s">
        <v>337</v>
      </c>
      <c r="CE135" s="415" t="s">
        <v>337</v>
      </c>
      <c r="CH135" s="415" t="s">
        <v>337</v>
      </c>
      <c r="CK135" s="415" t="s">
        <v>337</v>
      </c>
      <c r="CN135" s="415" t="s">
        <v>337</v>
      </c>
      <c r="CQ135" s="415" t="s">
        <v>337</v>
      </c>
      <c r="CT135" s="415" t="s">
        <v>337</v>
      </c>
    </row>
    <row r="136" spans="1:98">
      <c r="A136" s="1" t="s">
        <v>591</v>
      </c>
      <c r="B136" s="416" t="s">
        <v>2461</v>
      </c>
      <c r="C136" s="415" t="s">
        <v>337</v>
      </c>
      <c r="D136" s="1" t="s">
        <v>1751</v>
      </c>
      <c r="E136" s="1" t="s">
        <v>2462</v>
      </c>
      <c r="F136" s="415" t="s">
        <v>337</v>
      </c>
      <c r="I136" s="415" t="s">
        <v>337</v>
      </c>
      <c r="L136" s="415" t="s">
        <v>337</v>
      </c>
      <c r="M136" s="213" t="s">
        <v>2463</v>
      </c>
      <c r="N136" s="416" t="s">
        <v>2464</v>
      </c>
      <c r="O136" s="415" t="s">
        <v>337</v>
      </c>
      <c r="R136" s="415" t="s">
        <v>337</v>
      </c>
      <c r="S136" s="213" t="s">
        <v>2465</v>
      </c>
      <c r="T136" s="416" t="s">
        <v>2466</v>
      </c>
      <c r="U136" s="415" t="s">
        <v>337</v>
      </c>
      <c r="X136" s="415"/>
      <c r="AA136" s="415"/>
      <c r="AB136" s="213">
        <v>9114</v>
      </c>
      <c r="AC136" s="416" t="s">
        <v>2467</v>
      </c>
      <c r="AD136" s="415"/>
      <c r="AE136" s="417" t="s">
        <v>2468</v>
      </c>
      <c r="AF136" s="416" t="s">
        <v>2469</v>
      </c>
      <c r="AG136" s="415"/>
      <c r="AJ136" s="415" t="s">
        <v>337</v>
      </c>
      <c r="AM136" s="415" t="s">
        <v>337</v>
      </c>
      <c r="AP136" s="415" t="s">
        <v>337</v>
      </c>
      <c r="AS136" s="415" t="s">
        <v>337</v>
      </c>
      <c r="AV136" s="415" t="s">
        <v>337</v>
      </c>
      <c r="AY136" s="415" t="s">
        <v>337</v>
      </c>
      <c r="AZ136" s="213">
        <v>311003</v>
      </c>
      <c r="BA136" s="416" t="s">
        <v>2470</v>
      </c>
      <c r="BB136" s="415" t="s">
        <v>337</v>
      </c>
      <c r="BE136" s="415" t="s">
        <v>337</v>
      </c>
      <c r="BH136" s="415" t="s">
        <v>337</v>
      </c>
      <c r="BI136" s="213" t="s">
        <v>844</v>
      </c>
      <c r="BJ136" s="416" t="s">
        <v>496</v>
      </c>
      <c r="BK136" s="213" t="s">
        <v>2471</v>
      </c>
      <c r="BL136" s="416" t="s">
        <v>2472</v>
      </c>
      <c r="BM136" s="415" t="s">
        <v>337</v>
      </c>
      <c r="BN136" s="213" t="s">
        <v>2473</v>
      </c>
      <c r="BO136" s="416" t="s">
        <v>2474</v>
      </c>
      <c r="BP136" s="415" t="s">
        <v>337</v>
      </c>
      <c r="BS136" s="415"/>
      <c r="BV136" s="415" t="s">
        <v>337</v>
      </c>
      <c r="BY136" s="415" t="s">
        <v>337</v>
      </c>
      <c r="CB136" s="415" t="s">
        <v>337</v>
      </c>
      <c r="CE136" s="415" t="s">
        <v>337</v>
      </c>
      <c r="CH136" s="415" t="s">
        <v>337</v>
      </c>
      <c r="CK136" s="415" t="s">
        <v>337</v>
      </c>
      <c r="CN136" s="415" t="s">
        <v>337</v>
      </c>
      <c r="CQ136" s="415" t="s">
        <v>337</v>
      </c>
      <c r="CT136" s="415" t="s">
        <v>337</v>
      </c>
    </row>
    <row r="137" spans="1:98">
      <c r="A137" s="1" t="s">
        <v>591</v>
      </c>
      <c r="B137" s="416" t="s">
        <v>2475</v>
      </c>
      <c r="C137" s="415" t="s">
        <v>337</v>
      </c>
      <c r="D137" s="1" t="s">
        <v>1751</v>
      </c>
      <c r="E137" s="1" t="s">
        <v>2476</v>
      </c>
      <c r="F137" s="415" t="s">
        <v>337</v>
      </c>
      <c r="I137" s="415" t="s">
        <v>337</v>
      </c>
      <c r="L137" s="415" t="s">
        <v>337</v>
      </c>
      <c r="M137" s="213" t="s">
        <v>2477</v>
      </c>
      <c r="N137" s="416" t="s">
        <v>2478</v>
      </c>
      <c r="O137" s="415" t="s">
        <v>337</v>
      </c>
      <c r="R137" s="415" t="s">
        <v>337</v>
      </c>
      <c r="S137" s="213" t="s">
        <v>2479</v>
      </c>
      <c r="T137" s="416" t="s">
        <v>2480</v>
      </c>
      <c r="U137" s="415" t="s">
        <v>337</v>
      </c>
      <c r="X137" s="415"/>
      <c r="AA137" s="415"/>
      <c r="AB137" s="213">
        <v>9115</v>
      </c>
      <c r="AC137" s="416" t="s">
        <v>2481</v>
      </c>
      <c r="AD137" s="415"/>
      <c r="AE137" s="417" t="s">
        <v>2482</v>
      </c>
      <c r="AF137" s="416" t="s">
        <v>2483</v>
      </c>
      <c r="AG137" s="415"/>
      <c r="AJ137" s="415" t="s">
        <v>337</v>
      </c>
      <c r="AM137" s="415" t="s">
        <v>337</v>
      </c>
      <c r="AP137" s="415" t="s">
        <v>337</v>
      </c>
      <c r="AS137" s="415" t="s">
        <v>337</v>
      </c>
      <c r="AV137" s="415" t="s">
        <v>337</v>
      </c>
      <c r="AY137" s="415" t="s">
        <v>337</v>
      </c>
      <c r="AZ137" s="213">
        <v>311004</v>
      </c>
      <c r="BA137" s="416" t="s">
        <v>2484</v>
      </c>
      <c r="BB137" s="415" t="s">
        <v>337</v>
      </c>
      <c r="BE137" s="415" t="s">
        <v>337</v>
      </c>
      <c r="BH137" s="415" t="s">
        <v>337</v>
      </c>
      <c r="BI137" s="213" t="s">
        <v>844</v>
      </c>
      <c r="BJ137" s="416" t="s">
        <v>496</v>
      </c>
      <c r="BK137" s="213" t="s">
        <v>2485</v>
      </c>
      <c r="BL137" s="416" t="s">
        <v>2486</v>
      </c>
      <c r="BM137" s="415" t="s">
        <v>337</v>
      </c>
      <c r="BN137" s="213" t="s">
        <v>2487</v>
      </c>
      <c r="BO137" s="416" t="s">
        <v>2488</v>
      </c>
      <c r="BP137" s="415" t="s">
        <v>337</v>
      </c>
      <c r="BS137" s="415"/>
      <c r="BV137" s="415" t="s">
        <v>337</v>
      </c>
      <c r="BY137" s="415" t="s">
        <v>337</v>
      </c>
      <c r="CB137" s="415" t="s">
        <v>337</v>
      </c>
      <c r="CE137" s="415" t="s">
        <v>337</v>
      </c>
      <c r="CH137" s="415" t="s">
        <v>337</v>
      </c>
      <c r="CK137" s="415" t="s">
        <v>337</v>
      </c>
      <c r="CN137" s="415" t="s">
        <v>337</v>
      </c>
      <c r="CQ137" s="415" t="s">
        <v>337</v>
      </c>
      <c r="CT137" s="415" t="s">
        <v>337</v>
      </c>
    </row>
    <row r="138" spans="1:98">
      <c r="A138" s="1" t="s">
        <v>620</v>
      </c>
      <c r="B138" s="416" t="s">
        <v>2489</v>
      </c>
      <c r="C138" s="415" t="s">
        <v>337</v>
      </c>
      <c r="D138" s="1" t="s">
        <v>1751</v>
      </c>
      <c r="E138" s="1" t="s">
        <v>2490</v>
      </c>
      <c r="F138" s="415" t="s">
        <v>337</v>
      </c>
      <c r="I138" s="415" t="s">
        <v>337</v>
      </c>
      <c r="L138" s="415" t="s">
        <v>337</v>
      </c>
      <c r="M138" s="213" t="s">
        <v>2491</v>
      </c>
      <c r="N138" s="416" t="s">
        <v>2492</v>
      </c>
      <c r="O138" s="415" t="s">
        <v>337</v>
      </c>
      <c r="R138" s="415" t="s">
        <v>337</v>
      </c>
      <c r="S138" s="213" t="s">
        <v>2493</v>
      </c>
      <c r="T138" s="416" t="s">
        <v>2494</v>
      </c>
      <c r="U138" s="415" t="s">
        <v>337</v>
      </c>
      <c r="X138" s="415"/>
      <c r="AA138" s="415"/>
      <c r="AB138" s="213">
        <v>9116</v>
      </c>
      <c r="AC138" s="416" t="s">
        <v>2495</v>
      </c>
      <c r="AD138" s="415"/>
      <c r="AE138" s="417" t="s">
        <v>2496</v>
      </c>
      <c r="AF138" s="416" t="s">
        <v>2497</v>
      </c>
      <c r="AG138" s="415"/>
      <c r="AJ138" s="415" t="s">
        <v>337</v>
      </c>
      <c r="AM138" s="415" t="s">
        <v>337</v>
      </c>
      <c r="AP138" s="415" t="s">
        <v>337</v>
      </c>
      <c r="AS138" s="415" t="s">
        <v>337</v>
      </c>
      <c r="AV138" s="415" t="s">
        <v>337</v>
      </c>
      <c r="AY138" s="415" t="s">
        <v>337</v>
      </c>
      <c r="AZ138" s="213">
        <v>311005</v>
      </c>
      <c r="BA138" s="416" t="s">
        <v>2498</v>
      </c>
      <c r="BB138" s="415" t="s">
        <v>337</v>
      </c>
      <c r="BE138" s="415" t="s">
        <v>337</v>
      </c>
      <c r="BH138" s="415" t="s">
        <v>337</v>
      </c>
      <c r="BI138" s="213" t="s">
        <v>844</v>
      </c>
      <c r="BJ138" s="416" t="s">
        <v>496</v>
      </c>
      <c r="BK138" s="213" t="s">
        <v>2499</v>
      </c>
      <c r="BL138" s="416" t="s">
        <v>2431</v>
      </c>
      <c r="BM138" s="415" t="s">
        <v>337</v>
      </c>
      <c r="BN138" s="213" t="s">
        <v>2500</v>
      </c>
      <c r="BO138" s="416" t="s">
        <v>2501</v>
      </c>
      <c r="BP138" s="415" t="s">
        <v>337</v>
      </c>
      <c r="BS138" s="415"/>
      <c r="BV138" s="415" t="s">
        <v>337</v>
      </c>
      <c r="BY138" s="415" t="s">
        <v>337</v>
      </c>
      <c r="CB138" s="415" t="s">
        <v>337</v>
      </c>
      <c r="CE138" s="415" t="s">
        <v>337</v>
      </c>
      <c r="CH138" s="415" t="s">
        <v>337</v>
      </c>
      <c r="CK138" s="415" t="s">
        <v>337</v>
      </c>
      <c r="CN138" s="415" t="s">
        <v>337</v>
      </c>
      <c r="CQ138" s="415" t="s">
        <v>337</v>
      </c>
      <c r="CT138" s="415" t="s">
        <v>337</v>
      </c>
    </row>
    <row r="139" spans="1:98">
      <c r="A139" s="1" t="s">
        <v>620</v>
      </c>
      <c r="B139" s="416" t="s">
        <v>2502</v>
      </c>
      <c r="C139" s="415" t="s">
        <v>337</v>
      </c>
      <c r="D139" s="1" t="s">
        <v>1751</v>
      </c>
      <c r="E139" s="1" t="s">
        <v>2503</v>
      </c>
      <c r="F139" s="415" t="s">
        <v>337</v>
      </c>
      <c r="I139" s="415" t="s">
        <v>337</v>
      </c>
      <c r="L139" s="415" t="s">
        <v>337</v>
      </c>
      <c r="M139" s="213" t="s">
        <v>2504</v>
      </c>
      <c r="N139" s="416" t="s">
        <v>2505</v>
      </c>
      <c r="O139" s="415" t="s">
        <v>337</v>
      </c>
      <c r="R139" s="415" t="s">
        <v>337</v>
      </c>
      <c r="S139" s="213" t="s">
        <v>2506</v>
      </c>
      <c r="T139" s="416" t="s">
        <v>2507</v>
      </c>
      <c r="U139" s="415" t="s">
        <v>337</v>
      </c>
      <c r="X139" s="415"/>
      <c r="AA139" s="415"/>
      <c r="AB139" s="213">
        <v>9117</v>
      </c>
      <c r="AC139" s="416" t="s">
        <v>2508</v>
      </c>
      <c r="AD139" s="415"/>
      <c r="AE139" s="417" t="s">
        <v>2509</v>
      </c>
      <c r="AF139" s="416" t="s">
        <v>2510</v>
      </c>
      <c r="AG139" s="415"/>
      <c r="AJ139" s="415" t="s">
        <v>337</v>
      </c>
      <c r="AM139" s="415" t="s">
        <v>337</v>
      </c>
      <c r="AP139" s="415" t="s">
        <v>337</v>
      </c>
      <c r="AS139" s="415" t="s">
        <v>337</v>
      </c>
      <c r="AV139" s="415" t="s">
        <v>337</v>
      </c>
      <c r="AY139" s="415" t="s">
        <v>337</v>
      </c>
      <c r="AZ139" s="213">
        <v>312001</v>
      </c>
      <c r="BA139" s="416" t="s">
        <v>2511</v>
      </c>
      <c r="BB139" s="415" t="s">
        <v>337</v>
      </c>
      <c r="BE139" s="415" t="s">
        <v>337</v>
      </c>
      <c r="BH139" s="415" t="s">
        <v>337</v>
      </c>
      <c r="BI139" s="213" t="s">
        <v>844</v>
      </c>
      <c r="BJ139" s="416" t="s">
        <v>496</v>
      </c>
      <c r="BK139" s="213" t="s">
        <v>2512</v>
      </c>
      <c r="BL139" s="416" t="s">
        <v>496</v>
      </c>
      <c r="BM139" s="415" t="s">
        <v>337</v>
      </c>
      <c r="BN139" s="213" t="s">
        <v>2513</v>
      </c>
      <c r="BO139" s="416" t="s">
        <v>2501</v>
      </c>
      <c r="BP139" s="415" t="s">
        <v>337</v>
      </c>
      <c r="BS139" s="415"/>
      <c r="BV139" s="415" t="s">
        <v>337</v>
      </c>
      <c r="BY139" s="415" t="s">
        <v>337</v>
      </c>
      <c r="CB139" s="415" t="s">
        <v>337</v>
      </c>
      <c r="CE139" s="415" t="s">
        <v>337</v>
      </c>
      <c r="CH139" s="415" t="s">
        <v>337</v>
      </c>
      <c r="CK139" s="415" t="s">
        <v>337</v>
      </c>
      <c r="CN139" s="415" t="s">
        <v>337</v>
      </c>
      <c r="CQ139" s="415" t="s">
        <v>337</v>
      </c>
      <c r="CT139" s="415" t="s">
        <v>337</v>
      </c>
    </row>
    <row r="140" spans="1:98">
      <c r="A140" s="1" t="s">
        <v>620</v>
      </c>
      <c r="B140" s="416" t="s">
        <v>2514</v>
      </c>
      <c r="C140" s="415" t="s">
        <v>337</v>
      </c>
      <c r="D140" s="1" t="s">
        <v>1751</v>
      </c>
      <c r="E140" s="1" t="s">
        <v>2515</v>
      </c>
      <c r="F140" s="415" t="s">
        <v>337</v>
      </c>
      <c r="I140" s="415" t="s">
        <v>337</v>
      </c>
      <c r="L140" s="415" t="s">
        <v>337</v>
      </c>
      <c r="M140" s="213" t="s">
        <v>2516</v>
      </c>
      <c r="N140" s="416" t="s">
        <v>2517</v>
      </c>
      <c r="O140" s="415" t="s">
        <v>337</v>
      </c>
      <c r="R140" s="415" t="s">
        <v>337</v>
      </c>
      <c r="S140" s="213" t="s">
        <v>2518</v>
      </c>
      <c r="T140" s="416" t="s">
        <v>2519</v>
      </c>
      <c r="U140" s="415" t="s">
        <v>337</v>
      </c>
      <c r="X140" s="415"/>
      <c r="AA140" s="415"/>
      <c r="AB140" s="213">
        <v>9118</v>
      </c>
      <c r="AC140" s="416" t="s">
        <v>2520</v>
      </c>
      <c r="AD140" s="415"/>
      <c r="AE140" s="417" t="s">
        <v>2521</v>
      </c>
      <c r="AF140" s="416" t="s">
        <v>2522</v>
      </c>
      <c r="AG140" s="415"/>
      <c r="AJ140" s="415" t="s">
        <v>337</v>
      </c>
      <c r="AM140" s="415" t="s">
        <v>337</v>
      </c>
      <c r="AP140" s="415" t="s">
        <v>337</v>
      </c>
      <c r="AS140" s="415" t="s">
        <v>337</v>
      </c>
      <c r="AV140" s="415" t="s">
        <v>337</v>
      </c>
      <c r="AY140" s="415" t="s">
        <v>337</v>
      </c>
      <c r="AZ140" s="213">
        <v>312002</v>
      </c>
      <c r="BA140" s="416" t="s">
        <v>2523</v>
      </c>
      <c r="BB140" s="415" t="s">
        <v>337</v>
      </c>
      <c r="BE140" s="415" t="s">
        <v>337</v>
      </c>
      <c r="BH140" s="415" t="s">
        <v>337</v>
      </c>
      <c r="BI140" s="213" t="s">
        <v>868</v>
      </c>
      <c r="BJ140" s="416" t="s">
        <v>539</v>
      </c>
      <c r="BK140" s="213" t="s">
        <v>2524</v>
      </c>
      <c r="BL140" s="416" t="s">
        <v>539</v>
      </c>
      <c r="BM140" s="415" t="s">
        <v>337</v>
      </c>
      <c r="BN140" s="213" t="s">
        <v>2525</v>
      </c>
      <c r="BO140" s="416" t="s">
        <v>2526</v>
      </c>
      <c r="BP140" s="415" t="s">
        <v>337</v>
      </c>
      <c r="BS140" s="415"/>
      <c r="BV140" s="415" t="s">
        <v>337</v>
      </c>
      <c r="BY140" s="415" t="s">
        <v>337</v>
      </c>
      <c r="CB140" s="415" t="s">
        <v>337</v>
      </c>
      <c r="CE140" s="415" t="s">
        <v>337</v>
      </c>
      <c r="CH140" s="415" t="s">
        <v>337</v>
      </c>
      <c r="CK140" s="415" t="s">
        <v>337</v>
      </c>
      <c r="CN140" s="415" t="s">
        <v>337</v>
      </c>
      <c r="CQ140" s="415" t="s">
        <v>337</v>
      </c>
      <c r="CT140" s="415" t="s">
        <v>337</v>
      </c>
    </row>
    <row r="141" spans="1:98">
      <c r="A141" s="1" t="s">
        <v>620</v>
      </c>
      <c r="B141" s="416" t="s">
        <v>2527</v>
      </c>
      <c r="C141" s="415" t="s">
        <v>337</v>
      </c>
      <c r="D141" s="1" t="s">
        <v>1751</v>
      </c>
      <c r="E141" s="1" t="s">
        <v>2528</v>
      </c>
      <c r="F141" s="415" t="s">
        <v>337</v>
      </c>
      <c r="I141" s="415" t="s">
        <v>337</v>
      </c>
      <c r="L141" s="415" t="s">
        <v>337</v>
      </c>
      <c r="M141" s="213" t="s">
        <v>2529</v>
      </c>
      <c r="N141" s="416" t="s">
        <v>2530</v>
      </c>
      <c r="O141" s="415" t="s">
        <v>337</v>
      </c>
      <c r="R141" s="415" t="s">
        <v>337</v>
      </c>
      <c r="S141" s="213" t="s">
        <v>2531</v>
      </c>
      <c r="T141" s="416" t="s">
        <v>2532</v>
      </c>
      <c r="U141" s="415" t="s">
        <v>337</v>
      </c>
      <c r="X141" s="415"/>
      <c r="AA141" s="415"/>
      <c r="AB141" s="213">
        <v>9119</v>
      </c>
      <c r="AC141" s="416" t="s">
        <v>2533</v>
      </c>
      <c r="AD141" s="415"/>
      <c r="AE141" s="417" t="s">
        <v>2534</v>
      </c>
      <c r="AF141" s="416" t="s">
        <v>2535</v>
      </c>
      <c r="AG141" s="415"/>
      <c r="AJ141" s="415" t="s">
        <v>337</v>
      </c>
      <c r="AM141" s="415" t="s">
        <v>337</v>
      </c>
      <c r="AP141" s="415" t="s">
        <v>337</v>
      </c>
      <c r="AS141" s="415" t="s">
        <v>337</v>
      </c>
      <c r="AV141" s="415" t="s">
        <v>337</v>
      </c>
      <c r="AY141" s="415" t="s">
        <v>337</v>
      </c>
      <c r="AZ141" s="213">
        <v>312003</v>
      </c>
      <c r="BA141" s="416" t="s">
        <v>2536</v>
      </c>
      <c r="BB141" s="415" t="s">
        <v>337</v>
      </c>
      <c r="BE141" s="415" t="s">
        <v>337</v>
      </c>
      <c r="BH141" s="415" t="s">
        <v>337</v>
      </c>
      <c r="BI141" s="213" t="s">
        <v>868</v>
      </c>
      <c r="BJ141" s="416" t="s">
        <v>539</v>
      </c>
      <c r="BK141" s="213" t="s">
        <v>2537</v>
      </c>
      <c r="BL141" s="416" t="s">
        <v>2538</v>
      </c>
      <c r="BM141" s="415" t="s">
        <v>337</v>
      </c>
      <c r="BN141" s="213" t="s">
        <v>2539</v>
      </c>
      <c r="BO141" s="416" t="s">
        <v>2540</v>
      </c>
      <c r="BP141" s="415" t="s">
        <v>337</v>
      </c>
      <c r="BS141" s="415"/>
      <c r="BV141" s="415" t="s">
        <v>337</v>
      </c>
      <c r="BY141" s="415" t="s">
        <v>337</v>
      </c>
      <c r="CB141" s="415" t="s">
        <v>337</v>
      </c>
      <c r="CE141" s="415" t="s">
        <v>337</v>
      </c>
      <c r="CH141" s="415" t="s">
        <v>337</v>
      </c>
      <c r="CK141" s="415" t="s">
        <v>337</v>
      </c>
      <c r="CN141" s="415" t="s">
        <v>337</v>
      </c>
      <c r="CQ141" s="415" t="s">
        <v>337</v>
      </c>
      <c r="CT141" s="415" t="s">
        <v>337</v>
      </c>
    </row>
    <row r="142" spans="1:98">
      <c r="A142" s="1" t="s">
        <v>620</v>
      </c>
      <c r="B142" s="416" t="s">
        <v>2541</v>
      </c>
      <c r="C142" s="415" t="s">
        <v>337</v>
      </c>
      <c r="F142" s="415" t="s">
        <v>337</v>
      </c>
      <c r="I142" s="415" t="s">
        <v>337</v>
      </c>
      <c r="L142" s="415" t="s">
        <v>337</v>
      </c>
      <c r="M142" s="213" t="s">
        <v>2542</v>
      </c>
      <c r="N142" s="416" t="s">
        <v>2543</v>
      </c>
      <c r="O142" s="415" t="s">
        <v>337</v>
      </c>
      <c r="R142" s="415" t="s">
        <v>337</v>
      </c>
      <c r="S142" s="213" t="s">
        <v>2544</v>
      </c>
      <c r="T142" s="416" t="s">
        <v>2545</v>
      </c>
      <c r="U142" s="415" t="s">
        <v>337</v>
      </c>
      <c r="X142" s="415"/>
      <c r="AA142" s="415"/>
      <c r="AB142" s="213">
        <v>9120</v>
      </c>
      <c r="AC142" s="416" t="s">
        <v>2546</v>
      </c>
      <c r="AD142" s="415"/>
      <c r="AE142" s="417" t="s">
        <v>2547</v>
      </c>
      <c r="AF142" s="416" t="s">
        <v>2548</v>
      </c>
      <c r="AG142" s="415"/>
      <c r="AJ142" s="415" t="s">
        <v>337</v>
      </c>
      <c r="AM142" s="415" t="s">
        <v>337</v>
      </c>
      <c r="AP142" s="415" t="s">
        <v>337</v>
      </c>
      <c r="AS142" s="415" t="s">
        <v>337</v>
      </c>
      <c r="AV142" s="415" t="s">
        <v>337</v>
      </c>
      <c r="AY142" s="415" t="s">
        <v>337</v>
      </c>
      <c r="AZ142" s="213">
        <v>312004</v>
      </c>
      <c r="BA142" s="416" t="s">
        <v>2549</v>
      </c>
      <c r="BB142" s="415" t="s">
        <v>337</v>
      </c>
      <c r="BE142" s="415" t="s">
        <v>337</v>
      </c>
      <c r="BH142" s="415" t="s">
        <v>337</v>
      </c>
      <c r="BI142" s="213" t="s">
        <v>868</v>
      </c>
      <c r="BJ142" s="416" t="s">
        <v>539</v>
      </c>
      <c r="BK142" s="213" t="s">
        <v>2550</v>
      </c>
      <c r="BL142" s="416" t="s">
        <v>2551</v>
      </c>
      <c r="BM142" s="415" t="s">
        <v>337</v>
      </c>
      <c r="BN142" s="213" t="s">
        <v>2552</v>
      </c>
      <c r="BO142" s="416" t="s">
        <v>2553</v>
      </c>
      <c r="BP142" s="415" t="s">
        <v>337</v>
      </c>
      <c r="BS142" s="415"/>
      <c r="BV142" s="415" t="s">
        <v>337</v>
      </c>
      <c r="BY142" s="415" t="s">
        <v>337</v>
      </c>
      <c r="CB142" s="415" t="s">
        <v>337</v>
      </c>
      <c r="CE142" s="415" t="s">
        <v>337</v>
      </c>
      <c r="CH142" s="415" t="s">
        <v>337</v>
      </c>
      <c r="CK142" s="415" t="s">
        <v>337</v>
      </c>
      <c r="CN142" s="415" t="s">
        <v>337</v>
      </c>
      <c r="CQ142" s="415" t="s">
        <v>337</v>
      </c>
      <c r="CT142" s="415" t="s">
        <v>337</v>
      </c>
    </row>
    <row r="143" spans="1:98">
      <c r="A143" s="1" t="s">
        <v>620</v>
      </c>
      <c r="B143" s="416" t="s">
        <v>2554</v>
      </c>
      <c r="C143" s="415" t="s">
        <v>337</v>
      </c>
      <c r="F143" s="415" t="s">
        <v>337</v>
      </c>
      <c r="I143" s="415" t="s">
        <v>337</v>
      </c>
      <c r="L143" s="415" t="s">
        <v>337</v>
      </c>
      <c r="M143" s="213" t="s">
        <v>2555</v>
      </c>
      <c r="N143" s="416" t="s">
        <v>2556</v>
      </c>
      <c r="O143" s="415" t="s">
        <v>337</v>
      </c>
      <c r="R143" s="415" t="s">
        <v>337</v>
      </c>
      <c r="S143" s="213" t="s">
        <v>2557</v>
      </c>
      <c r="T143" s="416" t="s">
        <v>2558</v>
      </c>
      <c r="U143" s="415" t="s">
        <v>337</v>
      </c>
      <c r="X143" s="415"/>
      <c r="AA143" s="415"/>
      <c r="AB143" s="213">
        <v>9121</v>
      </c>
      <c r="AC143" s="416" t="s">
        <v>2559</v>
      </c>
      <c r="AD143" s="415"/>
      <c r="AE143" s="417" t="s">
        <v>2560</v>
      </c>
      <c r="AF143" s="416" t="s">
        <v>2561</v>
      </c>
      <c r="AG143" s="415"/>
      <c r="AJ143" s="415" t="s">
        <v>337</v>
      </c>
      <c r="AM143" s="415" t="s">
        <v>337</v>
      </c>
      <c r="AP143" s="415" t="s">
        <v>337</v>
      </c>
      <c r="AS143" s="415" t="s">
        <v>337</v>
      </c>
      <c r="AV143" s="415" t="s">
        <v>337</v>
      </c>
      <c r="AY143" s="415" t="s">
        <v>337</v>
      </c>
      <c r="AZ143" s="213">
        <v>312005</v>
      </c>
      <c r="BA143" s="416" t="s">
        <v>2562</v>
      </c>
      <c r="BB143" s="415" t="s">
        <v>337</v>
      </c>
      <c r="BE143" s="415" t="s">
        <v>337</v>
      </c>
      <c r="BH143" s="415" t="s">
        <v>337</v>
      </c>
      <c r="BI143" s="213" t="s">
        <v>868</v>
      </c>
      <c r="BJ143" s="416" t="s">
        <v>539</v>
      </c>
      <c r="BK143" s="213" t="s">
        <v>749</v>
      </c>
      <c r="BL143" s="416" t="s">
        <v>750</v>
      </c>
      <c r="BM143" s="415" t="s">
        <v>337</v>
      </c>
      <c r="BN143" s="213" t="s">
        <v>2563</v>
      </c>
      <c r="BO143" s="416" t="s">
        <v>2564</v>
      </c>
      <c r="BP143" s="415" t="s">
        <v>337</v>
      </c>
      <c r="BS143" s="415"/>
      <c r="BV143" s="415" t="s">
        <v>337</v>
      </c>
      <c r="BY143" s="415" t="s">
        <v>337</v>
      </c>
      <c r="CB143" s="415" t="s">
        <v>337</v>
      </c>
      <c r="CE143" s="415" t="s">
        <v>337</v>
      </c>
      <c r="CH143" s="415" t="s">
        <v>337</v>
      </c>
      <c r="CK143" s="415" t="s">
        <v>337</v>
      </c>
      <c r="CN143" s="415" t="s">
        <v>337</v>
      </c>
      <c r="CQ143" s="415" t="s">
        <v>337</v>
      </c>
      <c r="CT143" s="415" t="s">
        <v>337</v>
      </c>
    </row>
    <row r="144" spans="1:98">
      <c r="A144" s="1" t="s">
        <v>620</v>
      </c>
      <c r="B144" s="416" t="s">
        <v>2565</v>
      </c>
      <c r="C144" s="415" t="s">
        <v>337</v>
      </c>
      <c r="F144" s="415" t="s">
        <v>337</v>
      </c>
      <c r="I144" s="415" t="s">
        <v>337</v>
      </c>
      <c r="L144" s="415" t="s">
        <v>337</v>
      </c>
      <c r="M144" s="213" t="s">
        <v>2566</v>
      </c>
      <c r="N144" s="416" t="s">
        <v>2567</v>
      </c>
      <c r="O144" s="415" t="s">
        <v>337</v>
      </c>
      <c r="R144" s="415" t="s">
        <v>337</v>
      </c>
      <c r="S144" s="213" t="s">
        <v>2568</v>
      </c>
      <c r="T144" s="416" t="s">
        <v>2569</v>
      </c>
      <c r="U144" s="415" t="s">
        <v>337</v>
      </c>
      <c r="X144" s="415"/>
      <c r="AA144" s="415"/>
      <c r="AB144" s="213">
        <v>9122</v>
      </c>
      <c r="AC144" s="416" t="s">
        <v>2570</v>
      </c>
      <c r="AD144" s="415"/>
      <c r="AE144" s="417" t="s">
        <v>2571</v>
      </c>
      <c r="AF144" s="416" t="s">
        <v>2572</v>
      </c>
      <c r="AG144" s="415"/>
      <c r="AJ144" s="415" t="s">
        <v>337</v>
      </c>
      <c r="AM144" s="415" t="s">
        <v>337</v>
      </c>
      <c r="AP144" s="415" t="s">
        <v>337</v>
      </c>
      <c r="AS144" s="415" t="s">
        <v>337</v>
      </c>
      <c r="AV144" s="415" t="s">
        <v>337</v>
      </c>
      <c r="AY144" s="415" t="s">
        <v>337</v>
      </c>
      <c r="AZ144" s="213">
        <v>313001</v>
      </c>
      <c r="BA144" s="416" t="s">
        <v>2573</v>
      </c>
      <c r="BB144" s="415" t="s">
        <v>337</v>
      </c>
      <c r="BE144" s="415" t="s">
        <v>337</v>
      </c>
      <c r="BH144" s="415" t="s">
        <v>337</v>
      </c>
      <c r="BI144" s="213" t="s">
        <v>868</v>
      </c>
      <c r="BJ144" s="416" t="s">
        <v>539</v>
      </c>
      <c r="BK144" s="213" t="s">
        <v>2574</v>
      </c>
      <c r="BL144" s="416" t="s">
        <v>2575</v>
      </c>
      <c r="BM144" s="415" t="s">
        <v>337</v>
      </c>
      <c r="BN144" s="213" t="s">
        <v>2576</v>
      </c>
      <c r="BO144" s="416" t="s">
        <v>2577</v>
      </c>
      <c r="BP144" s="415" t="s">
        <v>337</v>
      </c>
      <c r="BS144" s="415"/>
      <c r="BV144" s="415" t="s">
        <v>337</v>
      </c>
      <c r="BY144" s="415" t="s">
        <v>337</v>
      </c>
      <c r="CB144" s="415" t="s">
        <v>337</v>
      </c>
      <c r="CE144" s="415" t="s">
        <v>337</v>
      </c>
      <c r="CH144" s="415" t="s">
        <v>337</v>
      </c>
      <c r="CK144" s="415" t="s">
        <v>337</v>
      </c>
      <c r="CN144" s="415" t="s">
        <v>337</v>
      </c>
      <c r="CQ144" s="415" t="s">
        <v>337</v>
      </c>
      <c r="CT144" s="415" t="s">
        <v>337</v>
      </c>
    </row>
    <row r="145" spans="1:98">
      <c r="A145" s="1" t="s">
        <v>620</v>
      </c>
      <c r="B145" s="416" t="s">
        <v>2578</v>
      </c>
      <c r="C145" s="415" t="s">
        <v>337</v>
      </c>
      <c r="F145" s="415" t="s">
        <v>337</v>
      </c>
      <c r="I145" s="415" t="s">
        <v>337</v>
      </c>
      <c r="L145" s="415" t="s">
        <v>337</v>
      </c>
      <c r="M145" s="213" t="s">
        <v>2579</v>
      </c>
      <c r="N145" s="416" t="s">
        <v>2580</v>
      </c>
      <c r="O145" s="415" t="s">
        <v>337</v>
      </c>
      <c r="R145" s="415" t="s">
        <v>337</v>
      </c>
      <c r="S145" s="213" t="s">
        <v>2581</v>
      </c>
      <c r="T145" s="416" t="s">
        <v>2582</v>
      </c>
      <c r="U145" s="415" t="s">
        <v>337</v>
      </c>
      <c r="X145" s="415"/>
      <c r="AA145" s="415"/>
      <c r="AB145" s="213">
        <v>9123</v>
      </c>
      <c r="AC145" s="416" t="s">
        <v>2583</v>
      </c>
      <c r="AD145" s="415"/>
      <c r="AE145" s="417" t="s">
        <v>2584</v>
      </c>
      <c r="AF145" s="416" t="s">
        <v>2585</v>
      </c>
      <c r="AG145" s="415"/>
      <c r="AJ145" s="415" t="s">
        <v>337</v>
      </c>
      <c r="AM145" s="415" t="s">
        <v>337</v>
      </c>
      <c r="AP145" s="415" t="s">
        <v>337</v>
      </c>
      <c r="AS145" s="415" t="s">
        <v>337</v>
      </c>
      <c r="AV145" s="415" t="s">
        <v>337</v>
      </c>
      <c r="AY145" s="415" t="s">
        <v>337</v>
      </c>
      <c r="AZ145" s="213">
        <v>313002</v>
      </c>
      <c r="BA145" s="416" t="s">
        <v>2586</v>
      </c>
      <c r="BB145" s="415" t="s">
        <v>337</v>
      </c>
      <c r="BE145" s="415" t="s">
        <v>337</v>
      </c>
      <c r="BH145" s="415" t="s">
        <v>337</v>
      </c>
      <c r="BI145" s="213" t="s">
        <v>891</v>
      </c>
      <c r="BJ145" s="416" t="s">
        <v>892</v>
      </c>
      <c r="BK145" s="213" t="s">
        <v>2587</v>
      </c>
      <c r="BL145" s="416" t="s">
        <v>2588</v>
      </c>
      <c r="BM145" s="415" t="s">
        <v>337</v>
      </c>
      <c r="BN145" s="213" t="s">
        <v>2589</v>
      </c>
      <c r="BO145" s="416" t="s">
        <v>2590</v>
      </c>
      <c r="BP145" s="415" t="s">
        <v>337</v>
      </c>
      <c r="BS145" s="415"/>
      <c r="BV145" s="415" t="s">
        <v>337</v>
      </c>
      <c r="BY145" s="415" t="s">
        <v>337</v>
      </c>
      <c r="CB145" s="415" t="s">
        <v>337</v>
      </c>
      <c r="CE145" s="415" t="s">
        <v>337</v>
      </c>
      <c r="CH145" s="415" t="s">
        <v>337</v>
      </c>
      <c r="CK145" s="415" t="s">
        <v>337</v>
      </c>
      <c r="CN145" s="415" t="s">
        <v>337</v>
      </c>
      <c r="CQ145" s="415" t="s">
        <v>337</v>
      </c>
      <c r="CT145" s="415" t="s">
        <v>337</v>
      </c>
    </row>
    <row r="146" spans="1:98">
      <c r="A146" s="1" t="s">
        <v>620</v>
      </c>
      <c r="B146" s="416" t="s">
        <v>998</v>
      </c>
      <c r="C146" s="415" t="s">
        <v>337</v>
      </c>
      <c r="F146" s="415" t="s">
        <v>337</v>
      </c>
      <c r="I146" s="415" t="s">
        <v>337</v>
      </c>
      <c r="L146" s="415" t="s">
        <v>337</v>
      </c>
      <c r="M146" s="213" t="s">
        <v>2591</v>
      </c>
      <c r="N146" s="416" t="s">
        <v>2592</v>
      </c>
      <c r="O146" s="415" t="s">
        <v>337</v>
      </c>
      <c r="R146" s="415" t="s">
        <v>337</v>
      </c>
      <c r="S146" s="213" t="s">
        <v>2593</v>
      </c>
      <c r="T146" s="416" t="s">
        <v>2594</v>
      </c>
      <c r="U146" s="415" t="s">
        <v>337</v>
      </c>
      <c r="X146" s="415"/>
      <c r="AA146" s="415"/>
      <c r="AB146" s="213">
        <v>9124</v>
      </c>
      <c r="AC146" s="416" t="s">
        <v>2595</v>
      </c>
      <c r="AD146" s="415"/>
      <c r="AE146" s="417" t="s">
        <v>2596</v>
      </c>
      <c r="AF146" s="416" t="s">
        <v>2597</v>
      </c>
      <c r="AG146" s="415"/>
      <c r="AJ146" s="415" t="s">
        <v>337</v>
      </c>
      <c r="AM146" s="415" t="s">
        <v>337</v>
      </c>
      <c r="AP146" s="415" t="s">
        <v>337</v>
      </c>
      <c r="AS146" s="415" t="s">
        <v>337</v>
      </c>
      <c r="AV146" s="415" t="s">
        <v>337</v>
      </c>
      <c r="AY146" s="415" t="s">
        <v>337</v>
      </c>
      <c r="AZ146" s="213">
        <v>313003</v>
      </c>
      <c r="BA146" s="416" t="s">
        <v>2598</v>
      </c>
      <c r="BB146" s="415" t="s">
        <v>337</v>
      </c>
      <c r="BE146" s="415" t="s">
        <v>337</v>
      </c>
      <c r="BH146" s="415" t="s">
        <v>337</v>
      </c>
      <c r="BI146" s="213" t="s">
        <v>891</v>
      </c>
      <c r="BJ146" s="416" t="s">
        <v>892</v>
      </c>
      <c r="BK146" s="213" t="s">
        <v>749</v>
      </c>
      <c r="BL146" s="416" t="s">
        <v>750</v>
      </c>
      <c r="BM146" s="415" t="s">
        <v>337</v>
      </c>
      <c r="BN146" s="213" t="s">
        <v>2599</v>
      </c>
      <c r="BO146" s="416" t="s">
        <v>2600</v>
      </c>
      <c r="BP146" s="415" t="s">
        <v>337</v>
      </c>
      <c r="BS146" s="415"/>
      <c r="BV146" s="415" t="s">
        <v>337</v>
      </c>
      <c r="BY146" s="415" t="s">
        <v>337</v>
      </c>
      <c r="CB146" s="415" t="s">
        <v>337</v>
      </c>
      <c r="CE146" s="415" t="s">
        <v>337</v>
      </c>
      <c r="CH146" s="415" t="s">
        <v>337</v>
      </c>
      <c r="CK146" s="415" t="s">
        <v>337</v>
      </c>
      <c r="CN146" s="415" t="s">
        <v>337</v>
      </c>
      <c r="CQ146" s="415" t="s">
        <v>337</v>
      </c>
      <c r="CT146" s="415" t="s">
        <v>337</v>
      </c>
    </row>
    <row r="147" spans="1:98">
      <c r="A147" s="1" t="s">
        <v>620</v>
      </c>
      <c r="B147" s="416" t="s">
        <v>2601</v>
      </c>
      <c r="C147" s="415" t="s">
        <v>337</v>
      </c>
      <c r="F147" s="415" t="s">
        <v>337</v>
      </c>
      <c r="I147" s="415" t="s">
        <v>337</v>
      </c>
      <c r="L147" s="415" t="s">
        <v>337</v>
      </c>
      <c r="M147" s="213" t="s">
        <v>2602</v>
      </c>
      <c r="N147" s="416" t="s">
        <v>2603</v>
      </c>
      <c r="O147" s="415" t="s">
        <v>337</v>
      </c>
      <c r="R147" s="415" t="s">
        <v>337</v>
      </c>
      <c r="S147" s="213" t="s">
        <v>2604</v>
      </c>
      <c r="T147" s="416" t="s">
        <v>2605</v>
      </c>
      <c r="U147" s="415" t="s">
        <v>337</v>
      </c>
      <c r="X147" s="415"/>
      <c r="AA147" s="415"/>
      <c r="AB147" s="213">
        <v>9125</v>
      </c>
      <c r="AC147" s="416" t="s">
        <v>2606</v>
      </c>
      <c r="AD147" s="415"/>
      <c r="AE147" s="417" t="s">
        <v>2607</v>
      </c>
      <c r="AF147" s="416" t="s">
        <v>2608</v>
      </c>
      <c r="AG147" s="415"/>
      <c r="AJ147" s="415" t="s">
        <v>337</v>
      </c>
      <c r="AM147" s="415" t="s">
        <v>337</v>
      </c>
      <c r="AP147" s="415" t="s">
        <v>337</v>
      </c>
      <c r="AS147" s="415" t="s">
        <v>337</v>
      </c>
      <c r="AV147" s="415" t="s">
        <v>337</v>
      </c>
      <c r="AY147" s="415" t="s">
        <v>337</v>
      </c>
      <c r="AZ147" s="213">
        <v>313004</v>
      </c>
      <c r="BA147" s="416" t="s">
        <v>2609</v>
      </c>
      <c r="BB147" s="415" t="s">
        <v>337</v>
      </c>
      <c r="BE147" s="415" t="s">
        <v>337</v>
      </c>
      <c r="BH147" s="415" t="s">
        <v>337</v>
      </c>
      <c r="BI147" s="213" t="s">
        <v>891</v>
      </c>
      <c r="BJ147" s="416" t="s">
        <v>892</v>
      </c>
      <c r="BK147" s="213" t="s">
        <v>2610</v>
      </c>
      <c r="BL147" s="416" t="s">
        <v>2588</v>
      </c>
      <c r="BM147" s="415" t="s">
        <v>337</v>
      </c>
      <c r="BN147" s="213" t="s">
        <v>2611</v>
      </c>
      <c r="BO147" s="416" t="s">
        <v>2612</v>
      </c>
      <c r="BP147" s="415" t="s">
        <v>337</v>
      </c>
      <c r="BS147" s="415"/>
      <c r="BV147" s="415" t="s">
        <v>337</v>
      </c>
      <c r="BY147" s="415" t="s">
        <v>337</v>
      </c>
      <c r="CB147" s="415" t="s">
        <v>337</v>
      </c>
      <c r="CE147" s="415" t="s">
        <v>337</v>
      </c>
      <c r="CH147" s="415" t="s">
        <v>337</v>
      </c>
      <c r="CK147" s="415" t="s">
        <v>337</v>
      </c>
      <c r="CN147" s="415" t="s">
        <v>337</v>
      </c>
      <c r="CQ147" s="415" t="s">
        <v>337</v>
      </c>
      <c r="CT147" s="415" t="s">
        <v>337</v>
      </c>
    </row>
    <row r="148" spans="1:98">
      <c r="A148" s="1" t="s">
        <v>620</v>
      </c>
      <c r="B148" s="416" t="s">
        <v>2613</v>
      </c>
      <c r="C148" s="415" t="s">
        <v>337</v>
      </c>
      <c r="F148" s="415" t="s">
        <v>337</v>
      </c>
      <c r="I148" s="415" t="s">
        <v>337</v>
      </c>
      <c r="L148" s="415" t="s">
        <v>337</v>
      </c>
      <c r="M148" s="213" t="s">
        <v>2614</v>
      </c>
      <c r="N148" s="416" t="s">
        <v>2615</v>
      </c>
      <c r="O148" s="415" t="s">
        <v>337</v>
      </c>
      <c r="R148" s="415" t="s">
        <v>337</v>
      </c>
      <c r="S148" s="213" t="s">
        <v>2616</v>
      </c>
      <c r="T148" s="416" t="s">
        <v>2617</v>
      </c>
      <c r="U148" s="415" t="s">
        <v>337</v>
      </c>
      <c r="X148" s="415"/>
      <c r="AA148" s="415"/>
      <c r="AB148" s="213">
        <v>9126</v>
      </c>
      <c r="AC148" s="416" t="s">
        <v>2618</v>
      </c>
      <c r="AD148" s="415"/>
      <c r="AE148" s="417" t="s">
        <v>2619</v>
      </c>
      <c r="AF148" s="416" t="s">
        <v>2620</v>
      </c>
      <c r="AG148" s="415"/>
      <c r="AJ148" s="415" t="s">
        <v>337</v>
      </c>
      <c r="AM148" s="415" t="s">
        <v>337</v>
      </c>
      <c r="AP148" s="415" t="s">
        <v>337</v>
      </c>
      <c r="AS148" s="415" t="s">
        <v>337</v>
      </c>
      <c r="AV148" s="415" t="s">
        <v>337</v>
      </c>
      <c r="AY148" s="415" t="s">
        <v>337</v>
      </c>
      <c r="AZ148" s="213">
        <v>313005</v>
      </c>
      <c r="BA148" s="416" t="s">
        <v>2621</v>
      </c>
      <c r="BB148" s="415" t="s">
        <v>337</v>
      </c>
      <c r="BE148" s="415" t="s">
        <v>337</v>
      </c>
      <c r="BH148" s="415" t="s">
        <v>337</v>
      </c>
      <c r="BI148" s="213" t="s">
        <v>913</v>
      </c>
      <c r="BJ148" s="416" t="s">
        <v>575</v>
      </c>
      <c r="BK148" s="213" t="s">
        <v>2622</v>
      </c>
      <c r="BL148" s="416" t="s">
        <v>636</v>
      </c>
      <c r="BM148" s="415" t="s">
        <v>337</v>
      </c>
      <c r="BN148" s="213" t="s">
        <v>2623</v>
      </c>
      <c r="BO148" s="416" t="s">
        <v>2624</v>
      </c>
      <c r="BP148" s="415" t="s">
        <v>337</v>
      </c>
      <c r="BS148" s="415"/>
      <c r="BV148" s="415" t="s">
        <v>337</v>
      </c>
      <c r="BY148" s="415" t="s">
        <v>337</v>
      </c>
      <c r="CB148" s="415" t="s">
        <v>337</v>
      </c>
      <c r="CE148" s="415" t="s">
        <v>337</v>
      </c>
      <c r="CH148" s="415" t="s">
        <v>337</v>
      </c>
      <c r="CK148" s="415" t="s">
        <v>337</v>
      </c>
      <c r="CN148" s="415" t="s">
        <v>337</v>
      </c>
      <c r="CQ148" s="415" t="s">
        <v>337</v>
      </c>
      <c r="CT148" s="415" t="s">
        <v>337</v>
      </c>
    </row>
    <row r="149" spans="1:98">
      <c r="A149" s="1" t="s">
        <v>647</v>
      </c>
      <c r="B149" s="416" t="s">
        <v>2625</v>
      </c>
      <c r="C149" s="415" t="s">
        <v>337</v>
      </c>
      <c r="F149" s="415" t="s">
        <v>337</v>
      </c>
      <c r="I149" s="415" t="s">
        <v>337</v>
      </c>
      <c r="L149" s="415" t="s">
        <v>337</v>
      </c>
      <c r="M149" s="213" t="s">
        <v>2626</v>
      </c>
      <c r="N149" s="416" t="s">
        <v>2627</v>
      </c>
      <c r="O149" s="415" t="s">
        <v>337</v>
      </c>
      <c r="R149" s="415" t="s">
        <v>337</v>
      </c>
      <c r="S149" s="213" t="s">
        <v>2628</v>
      </c>
      <c r="T149" s="416" t="s">
        <v>2629</v>
      </c>
      <c r="U149" s="415" t="s">
        <v>337</v>
      </c>
      <c r="X149" s="415"/>
      <c r="AA149" s="415"/>
      <c r="AB149" s="213">
        <v>9127</v>
      </c>
      <c r="AC149" s="416" t="s">
        <v>2630</v>
      </c>
      <c r="AD149" s="415"/>
      <c r="AE149" s="417" t="s">
        <v>2631</v>
      </c>
      <c r="AF149" s="416" t="s">
        <v>2632</v>
      </c>
      <c r="AG149" s="415"/>
      <c r="AJ149" s="415" t="s">
        <v>337</v>
      </c>
      <c r="AM149" s="415" t="s">
        <v>337</v>
      </c>
      <c r="AP149" s="415" t="s">
        <v>337</v>
      </c>
      <c r="AS149" s="415" t="s">
        <v>337</v>
      </c>
      <c r="AV149" s="415" t="s">
        <v>337</v>
      </c>
      <c r="AY149" s="415" t="s">
        <v>337</v>
      </c>
      <c r="AZ149" s="213">
        <v>314001</v>
      </c>
      <c r="BA149" s="416" t="s">
        <v>2633</v>
      </c>
      <c r="BB149" s="415" t="s">
        <v>337</v>
      </c>
      <c r="BE149" s="415" t="s">
        <v>337</v>
      </c>
      <c r="BH149" s="415" t="s">
        <v>337</v>
      </c>
      <c r="BI149" s="213" t="s">
        <v>913</v>
      </c>
      <c r="BJ149" s="416" t="s">
        <v>575</v>
      </c>
      <c r="BK149" s="213" t="s">
        <v>2634</v>
      </c>
      <c r="BL149" s="416" t="s">
        <v>636</v>
      </c>
      <c r="BM149" s="415" t="s">
        <v>337</v>
      </c>
      <c r="BN149" s="213" t="s">
        <v>2635</v>
      </c>
      <c r="BO149" s="416" t="s">
        <v>2636</v>
      </c>
      <c r="BP149" s="415" t="s">
        <v>337</v>
      </c>
      <c r="BS149" s="415"/>
      <c r="BV149" s="415" t="s">
        <v>337</v>
      </c>
      <c r="BY149" s="415" t="s">
        <v>337</v>
      </c>
      <c r="CB149" s="415" t="s">
        <v>337</v>
      </c>
      <c r="CE149" s="415" t="s">
        <v>337</v>
      </c>
      <c r="CH149" s="415" t="s">
        <v>337</v>
      </c>
      <c r="CK149" s="415" t="s">
        <v>337</v>
      </c>
      <c r="CN149" s="415" t="s">
        <v>337</v>
      </c>
      <c r="CQ149" s="415" t="s">
        <v>337</v>
      </c>
      <c r="CT149" s="415" t="s">
        <v>337</v>
      </c>
    </row>
    <row r="150" spans="1:98">
      <c r="A150" s="1" t="s">
        <v>647</v>
      </c>
      <c r="B150" s="416" t="s">
        <v>2637</v>
      </c>
      <c r="C150" s="415" t="s">
        <v>337</v>
      </c>
      <c r="F150" s="415" t="s">
        <v>337</v>
      </c>
      <c r="I150" s="415" t="s">
        <v>337</v>
      </c>
      <c r="L150" s="415" t="s">
        <v>337</v>
      </c>
      <c r="M150" s="213" t="s">
        <v>2638</v>
      </c>
      <c r="N150" s="416" t="s">
        <v>2639</v>
      </c>
      <c r="O150" s="415" t="s">
        <v>337</v>
      </c>
      <c r="R150" s="415" t="s">
        <v>337</v>
      </c>
      <c r="S150" s="213" t="s">
        <v>2640</v>
      </c>
      <c r="T150" s="416" t="s">
        <v>2641</v>
      </c>
      <c r="U150" s="415" t="s">
        <v>337</v>
      </c>
      <c r="X150" s="415"/>
      <c r="AA150" s="415"/>
      <c r="AB150" s="213">
        <v>9128</v>
      </c>
      <c r="AC150" s="416" t="s">
        <v>2642</v>
      </c>
      <c r="AD150" s="415"/>
      <c r="AE150" s="417" t="s">
        <v>2643</v>
      </c>
      <c r="AF150" s="416" t="s">
        <v>2644</v>
      </c>
      <c r="AG150" s="415"/>
      <c r="AJ150" s="415" t="s">
        <v>337</v>
      </c>
      <c r="AM150" s="415" t="s">
        <v>337</v>
      </c>
      <c r="AP150" s="415" t="s">
        <v>337</v>
      </c>
      <c r="AS150" s="415" t="s">
        <v>337</v>
      </c>
      <c r="AV150" s="415" t="s">
        <v>337</v>
      </c>
      <c r="AY150" s="415" t="s">
        <v>337</v>
      </c>
      <c r="AZ150" s="213">
        <v>314002</v>
      </c>
      <c r="BA150" s="416" t="s">
        <v>2645</v>
      </c>
      <c r="BB150" s="415" t="s">
        <v>337</v>
      </c>
      <c r="BE150" s="415" t="s">
        <v>337</v>
      </c>
      <c r="BH150" s="415" t="s">
        <v>337</v>
      </c>
      <c r="BI150" s="213" t="s">
        <v>913</v>
      </c>
      <c r="BJ150" s="416" t="s">
        <v>575</v>
      </c>
      <c r="BK150" s="213" t="s">
        <v>2646</v>
      </c>
      <c r="BL150" s="416" t="s">
        <v>575</v>
      </c>
      <c r="BM150" s="415" t="s">
        <v>337</v>
      </c>
      <c r="BN150" s="213" t="s">
        <v>2647</v>
      </c>
      <c r="BO150" s="416" t="s">
        <v>2648</v>
      </c>
      <c r="BP150" s="415" t="s">
        <v>337</v>
      </c>
      <c r="BS150" s="415"/>
      <c r="BV150" s="415" t="s">
        <v>337</v>
      </c>
      <c r="BY150" s="415" t="s">
        <v>337</v>
      </c>
      <c r="CB150" s="415" t="s">
        <v>337</v>
      </c>
      <c r="CE150" s="415" t="s">
        <v>337</v>
      </c>
      <c r="CH150" s="415" t="s">
        <v>337</v>
      </c>
      <c r="CK150" s="415" t="s">
        <v>337</v>
      </c>
      <c r="CN150" s="415" t="s">
        <v>337</v>
      </c>
      <c r="CQ150" s="415" t="s">
        <v>337</v>
      </c>
      <c r="CT150" s="415" t="s">
        <v>337</v>
      </c>
    </row>
    <row r="151" spans="1:98">
      <c r="A151" s="1" t="s">
        <v>647</v>
      </c>
      <c r="B151" s="416" t="s">
        <v>2649</v>
      </c>
      <c r="C151" s="415" t="s">
        <v>337</v>
      </c>
      <c r="F151" s="415" t="s">
        <v>337</v>
      </c>
      <c r="I151" s="415" t="s">
        <v>337</v>
      </c>
      <c r="L151" s="415" t="s">
        <v>337</v>
      </c>
      <c r="M151" s="213" t="s">
        <v>2650</v>
      </c>
      <c r="N151" s="416" t="s">
        <v>2651</v>
      </c>
      <c r="O151" s="415" t="s">
        <v>337</v>
      </c>
      <c r="R151" s="415" t="s">
        <v>337</v>
      </c>
      <c r="S151" s="213" t="s">
        <v>2652</v>
      </c>
      <c r="T151" s="416" t="s">
        <v>2653</v>
      </c>
      <c r="U151" s="415" t="s">
        <v>337</v>
      </c>
      <c r="X151" s="415"/>
      <c r="AA151" s="415"/>
      <c r="AB151" s="213">
        <v>9129</v>
      </c>
      <c r="AC151" s="416" t="s">
        <v>2654</v>
      </c>
      <c r="AD151" s="415"/>
      <c r="AE151" s="417" t="s">
        <v>2655</v>
      </c>
      <c r="AF151" s="416" t="s">
        <v>2656</v>
      </c>
      <c r="AG151" s="415"/>
      <c r="AJ151" s="415" t="s">
        <v>337</v>
      </c>
      <c r="AM151" s="415" t="s">
        <v>337</v>
      </c>
      <c r="AP151" s="415" t="s">
        <v>337</v>
      </c>
      <c r="AS151" s="415" t="s">
        <v>337</v>
      </c>
      <c r="AV151" s="415" t="s">
        <v>337</v>
      </c>
      <c r="AY151" s="415" t="s">
        <v>337</v>
      </c>
      <c r="AZ151" s="213">
        <v>314003</v>
      </c>
      <c r="BA151" s="416" t="s">
        <v>2657</v>
      </c>
      <c r="BB151" s="415" t="s">
        <v>337</v>
      </c>
      <c r="BE151" s="415" t="s">
        <v>337</v>
      </c>
      <c r="BH151" s="415" t="s">
        <v>337</v>
      </c>
      <c r="BM151" s="415" t="s">
        <v>337</v>
      </c>
      <c r="BN151" s="213" t="s">
        <v>2658</v>
      </c>
      <c r="BO151" s="416" t="s">
        <v>2659</v>
      </c>
      <c r="BP151" s="415" t="s">
        <v>337</v>
      </c>
      <c r="BS151" s="415"/>
      <c r="BV151" s="415" t="s">
        <v>337</v>
      </c>
      <c r="BY151" s="415" t="s">
        <v>337</v>
      </c>
      <c r="CB151" s="415" t="s">
        <v>337</v>
      </c>
      <c r="CE151" s="415" t="s">
        <v>337</v>
      </c>
      <c r="CH151" s="415" t="s">
        <v>337</v>
      </c>
      <c r="CK151" s="415" t="s">
        <v>337</v>
      </c>
      <c r="CN151" s="415" t="s">
        <v>337</v>
      </c>
      <c r="CQ151" s="415" t="s">
        <v>337</v>
      </c>
      <c r="CT151" s="415" t="s">
        <v>337</v>
      </c>
    </row>
    <row r="152" spans="1:98">
      <c r="A152" s="1" t="s">
        <v>647</v>
      </c>
      <c r="B152" s="416" t="s">
        <v>2660</v>
      </c>
      <c r="C152" s="415" t="s">
        <v>337</v>
      </c>
      <c r="F152" s="415" t="s">
        <v>337</v>
      </c>
      <c r="I152" s="415" t="s">
        <v>337</v>
      </c>
      <c r="L152" s="415" t="s">
        <v>337</v>
      </c>
      <c r="M152" s="213" t="s">
        <v>2661</v>
      </c>
      <c r="N152" s="416" t="s">
        <v>2662</v>
      </c>
      <c r="O152" s="415" t="s">
        <v>337</v>
      </c>
      <c r="R152" s="415" t="s">
        <v>337</v>
      </c>
      <c r="S152" s="213" t="s">
        <v>2663</v>
      </c>
      <c r="T152" s="416" t="s">
        <v>2664</v>
      </c>
      <c r="U152" s="415" t="s">
        <v>337</v>
      </c>
      <c r="X152" s="415"/>
      <c r="AA152" s="415"/>
      <c r="AB152" s="213">
        <v>9130</v>
      </c>
      <c r="AC152" s="416" t="s">
        <v>2665</v>
      </c>
      <c r="AD152" s="415"/>
      <c r="AE152" s="417" t="s">
        <v>2666</v>
      </c>
      <c r="AF152" s="416" t="s">
        <v>2667</v>
      </c>
      <c r="AG152" s="415"/>
      <c r="AJ152" s="415" t="s">
        <v>337</v>
      </c>
      <c r="AM152" s="415" t="s">
        <v>337</v>
      </c>
      <c r="AP152" s="415" t="s">
        <v>337</v>
      </c>
      <c r="AS152" s="415" t="s">
        <v>337</v>
      </c>
      <c r="AV152" s="415" t="s">
        <v>337</v>
      </c>
      <c r="AY152" s="415" t="s">
        <v>337</v>
      </c>
      <c r="AZ152" s="213">
        <v>314004</v>
      </c>
      <c r="BA152" s="416" t="s">
        <v>2668</v>
      </c>
      <c r="BB152" s="415" t="s">
        <v>337</v>
      </c>
      <c r="BE152" s="415" t="s">
        <v>337</v>
      </c>
      <c r="BH152" s="415" t="s">
        <v>337</v>
      </c>
      <c r="BM152" s="415" t="s">
        <v>337</v>
      </c>
      <c r="BN152" s="213" t="s">
        <v>2669</v>
      </c>
      <c r="BO152" s="416" t="s">
        <v>2670</v>
      </c>
      <c r="BP152" s="415" t="s">
        <v>337</v>
      </c>
      <c r="BS152" s="415"/>
      <c r="BV152" s="415" t="s">
        <v>337</v>
      </c>
      <c r="BY152" s="415" t="s">
        <v>337</v>
      </c>
      <c r="CB152" s="415" t="s">
        <v>337</v>
      </c>
      <c r="CE152" s="415" t="s">
        <v>337</v>
      </c>
      <c r="CH152" s="415" t="s">
        <v>337</v>
      </c>
      <c r="CK152" s="415" t="s">
        <v>337</v>
      </c>
      <c r="CN152" s="415" t="s">
        <v>337</v>
      </c>
      <c r="CQ152" s="415" t="s">
        <v>337</v>
      </c>
      <c r="CT152" s="415" t="s">
        <v>337</v>
      </c>
    </row>
    <row r="153" spans="1:98">
      <c r="A153" s="1" t="s">
        <v>647</v>
      </c>
      <c r="B153" s="416" t="s">
        <v>2671</v>
      </c>
      <c r="C153" s="415" t="s">
        <v>337</v>
      </c>
      <c r="F153" s="415" t="s">
        <v>337</v>
      </c>
      <c r="I153" s="415" t="s">
        <v>337</v>
      </c>
      <c r="L153" s="415" t="s">
        <v>337</v>
      </c>
      <c r="M153" s="213" t="s">
        <v>2672</v>
      </c>
      <c r="N153" s="416" t="s">
        <v>2673</v>
      </c>
      <c r="O153" s="415" t="s">
        <v>337</v>
      </c>
      <c r="R153" s="415" t="s">
        <v>337</v>
      </c>
      <c r="S153" s="213" t="s">
        <v>2674</v>
      </c>
      <c r="T153" s="416" t="s">
        <v>2675</v>
      </c>
      <c r="U153" s="415" t="s">
        <v>337</v>
      </c>
      <c r="X153" s="415"/>
      <c r="AA153" s="415"/>
      <c r="AB153" s="213">
        <v>9131</v>
      </c>
      <c r="AC153" s="416" t="s">
        <v>2676</v>
      </c>
      <c r="AD153" s="415"/>
      <c r="AE153" s="417" t="s">
        <v>2677</v>
      </c>
      <c r="AF153" s="416" t="s">
        <v>2678</v>
      </c>
      <c r="AG153" s="415"/>
      <c r="AJ153" s="415" t="s">
        <v>337</v>
      </c>
      <c r="AM153" s="415" t="s">
        <v>337</v>
      </c>
      <c r="AP153" s="415" t="s">
        <v>337</v>
      </c>
      <c r="AS153" s="415" t="s">
        <v>337</v>
      </c>
      <c r="AV153" s="415" t="s">
        <v>337</v>
      </c>
      <c r="AY153" s="415" t="s">
        <v>337</v>
      </c>
      <c r="AZ153" s="213">
        <v>314005</v>
      </c>
      <c r="BA153" s="416" t="s">
        <v>2679</v>
      </c>
      <c r="BB153" s="415" t="s">
        <v>337</v>
      </c>
      <c r="BE153" s="415" t="s">
        <v>337</v>
      </c>
      <c r="BH153" s="415" t="s">
        <v>337</v>
      </c>
      <c r="BM153" s="415" t="s">
        <v>337</v>
      </c>
      <c r="BN153" s="213" t="s">
        <v>2680</v>
      </c>
      <c r="BO153" s="416" t="s">
        <v>2681</v>
      </c>
      <c r="BP153" s="415" t="s">
        <v>337</v>
      </c>
      <c r="BS153" s="415"/>
      <c r="BV153" s="415" t="s">
        <v>337</v>
      </c>
      <c r="BY153" s="415" t="s">
        <v>337</v>
      </c>
      <c r="CB153" s="415" t="s">
        <v>337</v>
      </c>
      <c r="CE153" s="415" t="s">
        <v>337</v>
      </c>
      <c r="CH153" s="415" t="s">
        <v>337</v>
      </c>
      <c r="CK153" s="415" t="s">
        <v>337</v>
      </c>
      <c r="CN153" s="415" t="s">
        <v>337</v>
      </c>
      <c r="CQ153" s="415" t="s">
        <v>337</v>
      </c>
      <c r="CT153" s="415" t="s">
        <v>337</v>
      </c>
    </row>
    <row r="154" spans="1:98">
      <c r="A154" s="1" t="s">
        <v>647</v>
      </c>
      <c r="B154" s="416" t="s">
        <v>2682</v>
      </c>
      <c r="C154" s="415" t="s">
        <v>337</v>
      </c>
      <c r="F154" s="415" t="s">
        <v>337</v>
      </c>
      <c r="I154" s="415" t="s">
        <v>337</v>
      </c>
      <c r="L154" s="415" t="s">
        <v>337</v>
      </c>
      <c r="M154" s="213" t="s">
        <v>2683</v>
      </c>
      <c r="N154" s="416" t="s">
        <v>2684</v>
      </c>
      <c r="O154" s="415" t="s">
        <v>337</v>
      </c>
      <c r="R154" s="415" t="s">
        <v>337</v>
      </c>
      <c r="S154" s="213" t="s">
        <v>2685</v>
      </c>
      <c r="T154" s="416" t="s">
        <v>2686</v>
      </c>
      <c r="U154" s="415" t="s">
        <v>337</v>
      </c>
      <c r="X154" s="415"/>
      <c r="AA154" s="415"/>
      <c r="AB154" s="213">
        <v>9132</v>
      </c>
      <c r="AC154" s="416" t="s">
        <v>2687</v>
      </c>
      <c r="AD154" s="415"/>
      <c r="AE154" s="417" t="s">
        <v>2688</v>
      </c>
      <c r="AF154" s="416" t="s">
        <v>2689</v>
      </c>
      <c r="AG154" s="415"/>
      <c r="AJ154" s="415" t="s">
        <v>337</v>
      </c>
      <c r="AM154" s="415" t="s">
        <v>337</v>
      </c>
      <c r="AP154" s="415" t="s">
        <v>337</v>
      </c>
      <c r="AS154" s="415" t="s">
        <v>337</v>
      </c>
      <c r="AV154" s="415" t="s">
        <v>337</v>
      </c>
      <c r="AY154" s="415" t="s">
        <v>337</v>
      </c>
      <c r="AZ154" s="213">
        <v>315001</v>
      </c>
      <c r="BA154" s="416" t="s">
        <v>2690</v>
      </c>
      <c r="BB154" s="415" t="s">
        <v>337</v>
      </c>
      <c r="BE154" s="415" t="s">
        <v>337</v>
      </c>
      <c r="BH154" s="415" t="s">
        <v>337</v>
      </c>
      <c r="BM154" s="415" t="s">
        <v>337</v>
      </c>
      <c r="BN154" s="213" t="s">
        <v>2691</v>
      </c>
      <c r="BO154" s="416" t="s">
        <v>2692</v>
      </c>
      <c r="BP154" s="415" t="s">
        <v>337</v>
      </c>
      <c r="BS154" s="415"/>
      <c r="BV154" s="415" t="s">
        <v>337</v>
      </c>
      <c r="BY154" s="415" t="s">
        <v>337</v>
      </c>
      <c r="CB154" s="415" t="s">
        <v>337</v>
      </c>
      <c r="CE154" s="415" t="s">
        <v>337</v>
      </c>
      <c r="CH154" s="415" t="s">
        <v>337</v>
      </c>
      <c r="CK154" s="415" t="s">
        <v>337</v>
      </c>
      <c r="CN154" s="415" t="s">
        <v>337</v>
      </c>
      <c r="CQ154" s="415" t="s">
        <v>337</v>
      </c>
      <c r="CT154" s="415" t="s">
        <v>337</v>
      </c>
    </row>
    <row r="155" spans="1:98">
      <c r="A155" s="1" t="s">
        <v>647</v>
      </c>
      <c r="B155" s="416" t="s">
        <v>2693</v>
      </c>
      <c r="C155" s="415" t="s">
        <v>337</v>
      </c>
      <c r="F155" s="415" t="s">
        <v>337</v>
      </c>
      <c r="I155" s="415" t="s">
        <v>337</v>
      </c>
      <c r="L155" s="415" t="s">
        <v>337</v>
      </c>
      <c r="M155" s="213" t="s">
        <v>2694</v>
      </c>
      <c r="N155" s="416" t="s">
        <v>2695</v>
      </c>
      <c r="O155" s="415" t="s">
        <v>337</v>
      </c>
      <c r="R155" s="415" t="s">
        <v>337</v>
      </c>
      <c r="S155" s="213" t="s">
        <v>2696</v>
      </c>
      <c r="T155" s="416" t="s">
        <v>2697</v>
      </c>
      <c r="U155" s="415" t="s">
        <v>337</v>
      </c>
      <c r="X155" s="415"/>
      <c r="AA155" s="415"/>
      <c r="AB155" s="213">
        <v>9133</v>
      </c>
      <c r="AC155" s="416" t="s">
        <v>2698</v>
      </c>
      <c r="AD155" s="415"/>
      <c r="AE155" s="417" t="s">
        <v>2699</v>
      </c>
      <c r="AF155" s="416" t="s">
        <v>2700</v>
      </c>
      <c r="AG155" s="415"/>
      <c r="AJ155" s="415" t="s">
        <v>337</v>
      </c>
      <c r="AM155" s="415" t="s">
        <v>337</v>
      </c>
      <c r="AP155" s="415" t="s">
        <v>337</v>
      </c>
      <c r="AS155" s="415" t="s">
        <v>337</v>
      </c>
      <c r="AV155" s="415" t="s">
        <v>337</v>
      </c>
      <c r="AY155" s="415" t="s">
        <v>337</v>
      </c>
      <c r="AZ155" s="213">
        <v>315002</v>
      </c>
      <c r="BA155" s="416" t="s">
        <v>2701</v>
      </c>
      <c r="BB155" s="415" t="s">
        <v>337</v>
      </c>
      <c r="BE155" s="415" t="s">
        <v>337</v>
      </c>
      <c r="BH155" s="415" t="s">
        <v>337</v>
      </c>
      <c r="BM155" s="415" t="s">
        <v>337</v>
      </c>
      <c r="BN155" s="213" t="s">
        <v>2702</v>
      </c>
      <c r="BO155" s="416" t="s">
        <v>2703</v>
      </c>
      <c r="BP155" s="415" t="s">
        <v>337</v>
      </c>
      <c r="BS155" s="415"/>
      <c r="BV155" s="415" t="s">
        <v>337</v>
      </c>
      <c r="BY155" s="415" t="s">
        <v>337</v>
      </c>
      <c r="CB155" s="415" t="s">
        <v>337</v>
      </c>
      <c r="CE155" s="415" t="s">
        <v>337</v>
      </c>
      <c r="CH155" s="415" t="s">
        <v>337</v>
      </c>
      <c r="CK155" s="415" t="s">
        <v>337</v>
      </c>
      <c r="CN155" s="415" t="s">
        <v>337</v>
      </c>
      <c r="CQ155" s="415" t="s">
        <v>337</v>
      </c>
      <c r="CT155" s="415" t="s">
        <v>337</v>
      </c>
    </row>
    <row r="156" spans="1:98">
      <c r="A156" s="1" t="s">
        <v>647</v>
      </c>
      <c r="B156" s="416" t="s">
        <v>2704</v>
      </c>
      <c r="C156" s="415" t="s">
        <v>337</v>
      </c>
      <c r="F156" s="415" t="s">
        <v>337</v>
      </c>
      <c r="I156" s="415" t="s">
        <v>337</v>
      </c>
      <c r="L156" s="415" t="s">
        <v>337</v>
      </c>
      <c r="M156" s="213" t="s">
        <v>2705</v>
      </c>
      <c r="N156" s="416" t="s">
        <v>2706</v>
      </c>
      <c r="O156" s="415" t="s">
        <v>337</v>
      </c>
      <c r="R156" s="415" t="s">
        <v>337</v>
      </c>
      <c r="S156" s="213" t="s">
        <v>2707</v>
      </c>
      <c r="T156" s="416" t="s">
        <v>2708</v>
      </c>
      <c r="U156" s="415" t="s">
        <v>337</v>
      </c>
      <c r="X156" s="415"/>
      <c r="AA156" s="415"/>
      <c r="AB156" s="213">
        <v>9134</v>
      </c>
      <c r="AC156" s="416" t="s">
        <v>2709</v>
      </c>
      <c r="AD156" s="415"/>
      <c r="AE156" s="417" t="s">
        <v>2710</v>
      </c>
      <c r="AF156" s="416" t="s">
        <v>2711</v>
      </c>
      <c r="AG156" s="415"/>
      <c r="AJ156" s="415" t="s">
        <v>337</v>
      </c>
      <c r="AM156" s="415" t="s">
        <v>337</v>
      </c>
      <c r="AP156" s="415" t="s">
        <v>337</v>
      </c>
      <c r="AS156" s="415" t="s">
        <v>337</v>
      </c>
      <c r="AV156" s="415" t="s">
        <v>337</v>
      </c>
      <c r="AY156" s="415" t="s">
        <v>337</v>
      </c>
      <c r="AZ156" s="213">
        <v>315003</v>
      </c>
      <c r="BA156" s="416" t="s">
        <v>2712</v>
      </c>
      <c r="BB156" s="415" t="s">
        <v>337</v>
      </c>
      <c r="BE156" s="415" t="s">
        <v>337</v>
      </c>
      <c r="BH156" s="415" t="s">
        <v>337</v>
      </c>
      <c r="BM156" s="415" t="s">
        <v>337</v>
      </c>
      <c r="BN156" s="213" t="s">
        <v>2713</v>
      </c>
      <c r="BO156" s="416" t="s">
        <v>2714</v>
      </c>
      <c r="BP156" s="415" t="s">
        <v>337</v>
      </c>
      <c r="BS156" s="415"/>
      <c r="BV156" s="415" t="s">
        <v>337</v>
      </c>
      <c r="BY156" s="415" t="s">
        <v>337</v>
      </c>
      <c r="CB156" s="415" t="s">
        <v>337</v>
      </c>
      <c r="CE156" s="415" t="s">
        <v>337</v>
      </c>
      <c r="CH156" s="415" t="s">
        <v>337</v>
      </c>
      <c r="CK156" s="415" t="s">
        <v>337</v>
      </c>
      <c r="CN156" s="415" t="s">
        <v>337</v>
      </c>
      <c r="CQ156" s="415" t="s">
        <v>337</v>
      </c>
      <c r="CT156" s="415" t="s">
        <v>337</v>
      </c>
    </row>
    <row r="157" spans="1:98">
      <c r="A157" s="1" t="s">
        <v>647</v>
      </c>
      <c r="B157" s="416" t="s">
        <v>2715</v>
      </c>
      <c r="C157" s="415" t="s">
        <v>337</v>
      </c>
      <c r="F157" s="415" t="s">
        <v>337</v>
      </c>
      <c r="I157" s="415" t="s">
        <v>337</v>
      </c>
      <c r="L157" s="415" t="s">
        <v>337</v>
      </c>
      <c r="M157" s="213" t="s">
        <v>2716</v>
      </c>
      <c r="N157" s="416" t="s">
        <v>2717</v>
      </c>
      <c r="O157" s="415" t="s">
        <v>337</v>
      </c>
      <c r="R157" s="415" t="s">
        <v>337</v>
      </c>
      <c r="S157" s="213" t="s">
        <v>2718</v>
      </c>
      <c r="T157" s="416" t="s">
        <v>2719</v>
      </c>
      <c r="U157" s="415" t="s">
        <v>337</v>
      </c>
      <c r="X157" s="415"/>
      <c r="AA157" s="415"/>
      <c r="AB157" s="213">
        <v>9135</v>
      </c>
      <c r="AC157" s="416" t="s">
        <v>2720</v>
      </c>
      <c r="AD157" s="415"/>
      <c r="AE157" s="417" t="s">
        <v>2721</v>
      </c>
      <c r="AF157" s="416" t="s">
        <v>2722</v>
      </c>
      <c r="AG157" s="415"/>
      <c r="AJ157" s="415" t="s">
        <v>337</v>
      </c>
      <c r="AM157" s="415" t="s">
        <v>337</v>
      </c>
      <c r="AP157" s="415" t="s">
        <v>337</v>
      </c>
      <c r="AS157" s="415" t="s">
        <v>337</v>
      </c>
      <c r="AV157" s="415" t="s">
        <v>337</v>
      </c>
      <c r="AY157" s="415" t="s">
        <v>337</v>
      </c>
      <c r="AZ157" s="213">
        <v>315004</v>
      </c>
      <c r="BA157" s="416" t="s">
        <v>2723</v>
      </c>
      <c r="BB157" s="415" t="s">
        <v>337</v>
      </c>
      <c r="BE157" s="415" t="s">
        <v>337</v>
      </c>
      <c r="BH157" s="415" t="s">
        <v>337</v>
      </c>
      <c r="BM157" s="415" t="s">
        <v>337</v>
      </c>
      <c r="BN157" s="213" t="s">
        <v>2724</v>
      </c>
      <c r="BO157" s="416" t="s">
        <v>2725</v>
      </c>
      <c r="BP157" s="415" t="s">
        <v>337</v>
      </c>
      <c r="BS157" s="415"/>
      <c r="BV157" s="415" t="s">
        <v>337</v>
      </c>
      <c r="BY157" s="415" t="s">
        <v>337</v>
      </c>
      <c r="CB157" s="415" t="s">
        <v>337</v>
      </c>
      <c r="CE157" s="415" t="s">
        <v>337</v>
      </c>
      <c r="CH157" s="415" t="s">
        <v>337</v>
      </c>
      <c r="CK157" s="415" t="s">
        <v>337</v>
      </c>
      <c r="CN157" s="415" t="s">
        <v>337</v>
      </c>
      <c r="CQ157" s="415" t="s">
        <v>337</v>
      </c>
      <c r="CT157" s="415" t="s">
        <v>337</v>
      </c>
    </row>
    <row r="158" spans="1:98">
      <c r="A158" s="1" t="s">
        <v>647</v>
      </c>
      <c r="B158" s="416" t="s">
        <v>2726</v>
      </c>
      <c r="C158" s="415" t="s">
        <v>337</v>
      </c>
      <c r="F158" s="415" t="s">
        <v>337</v>
      </c>
      <c r="I158" s="415" t="s">
        <v>337</v>
      </c>
      <c r="L158" s="415" t="s">
        <v>337</v>
      </c>
      <c r="M158" s="213" t="s">
        <v>2727</v>
      </c>
      <c r="N158" s="416" t="s">
        <v>2728</v>
      </c>
      <c r="O158" s="415" t="s">
        <v>337</v>
      </c>
      <c r="R158" s="415" t="s">
        <v>337</v>
      </c>
      <c r="S158" s="213" t="s">
        <v>2729</v>
      </c>
      <c r="T158" s="416" t="s">
        <v>2730</v>
      </c>
      <c r="U158" s="415" t="s">
        <v>337</v>
      </c>
      <c r="X158" s="415"/>
      <c r="AA158" s="415"/>
      <c r="AB158" s="213">
        <v>9136</v>
      </c>
      <c r="AC158" s="416" t="s">
        <v>2731</v>
      </c>
      <c r="AD158" s="415"/>
      <c r="AE158" s="417" t="s">
        <v>2732</v>
      </c>
      <c r="AF158" s="416" t="s">
        <v>2733</v>
      </c>
      <c r="AG158" s="415"/>
      <c r="AJ158" s="415" t="s">
        <v>337</v>
      </c>
      <c r="AM158" s="415" t="s">
        <v>337</v>
      </c>
      <c r="AP158" s="415" t="s">
        <v>337</v>
      </c>
      <c r="AS158" s="415" t="s">
        <v>337</v>
      </c>
      <c r="AV158" s="415" t="s">
        <v>337</v>
      </c>
      <c r="AY158" s="415" t="s">
        <v>337</v>
      </c>
      <c r="AZ158" s="213">
        <v>315005</v>
      </c>
      <c r="BA158" s="416" t="s">
        <v>2734</v>
      </c>
      <c r="BB158" s="415" t="s">
        <v>337</v>
      </c>
      <c r="BE158" s="415" t="s">
        <v>337</v>
      </c>
      <c r="BH158" s="415" t="s">
        <v>337</v>
      </c>
      <c r="BM158" s="415" t="s">
        <v>337</v>
      </c>
      <c r="BN158" s="213" t="s">
        <v>2735</v>
      </c>
      <c r="BO158" s="416" t="s">
        <v>2736</v>
      </c>
      <c r="BP158" s="415" t="s">
        <v>337</v>
      </c>
      <c r="BS158" s="415"/>
      <c r="BV158" s="415" t="s">
        <v>337</v>
      </c>
      <c r="BY158" s="415" t="s">
        <v>337</v>
      </c>
      <c r="CB158" s="415" t="s">
        <v>337</v>
      </c>
      <c r="CE158" s="415" t="s">
        <v>337</v>
      </c>
      <c r="CH158" s="415" t="s">
        <v>337</v>
      </c>
      <c r="CK158" s="415" t="s">
        <v>337</v>
      </c>
      <c r="CN158" s="415" t="s">
        <v>337</v>
      </c>
      <c r="CQ158" s="415" t="s">
        <v>337</v>
      </c>
      <c r="CT158" s="415" t="s">
        <v>337</v>
      </c>
    </row>
    <row r="159" spans="1:98">
      <c r="A159" s="1" t="s">
        <v>647</v>
      </c>
      <c r="B159" s="416" t="s">
        <v>2737</v>
      </c>
      <c r="C159" s="415" t="s">
        <v>337</v>
      </c>
      <c r="F159" s="415" t="s">
        <v>337</v>
      </c>
      <c r="I159" s="415" t="s">
        <v>337</v>
      </c>
      <c r="L159" s="415" t="s">
        <v>337</v>
      </c>
      <c r="M159" s="213" t="s">
        <v>2738</v>
      </c>
      <c r="N159" s="416" t="s">
        <v>2739</v>
      </c>
      <c r="O159" s="415" t="s">
        <v>337</v>
      </c>
      <c r="R159" s="415" t="s">
        <v>337</v>
      </c>
      <c r="S159" s="213" t="s">
        <v>2740</v>
      </c>
      <c r="T159" s="416" t="s">
        <v>2741</v>
      </c>
      <c r="U159" s="415" t="s">
        <v>337</v>
      </c>
      <c r="X159" s="415"/>
      <c r="AA159" s="415"/>
      <c r="AB159" s="213">
        <v>9137</v>
      </c>
      <c r="AC159" s="416" t="s">
        <v>2742</v>
      </c>
      <c r="AD159" s="415"/>
      <c r="AE159" s="417" t="s">
        <v>2743</v>
      </c>
      <c r="AF159" s="416" t="s">
        <v>2744</v>
      </c>
      <c r="AG159" s="415"/>
      <c r="AJ159" s="415" t="s">
        <v>337</v>
      </c>
      <c r="AM159" s="415" t="s">
        <v>337</v>
      </c>
      <c r="AP159" s="415" t="s">
        <v>337</v>
      </c>
      <c r="AS159" s="415" t="s">
        <v>337</v>
      </c>
      <c r="AV159" s="415" t="s">
        <v>337</v>
      </c>
      <c r="AY159" s="415" t="s">
        <v>337</v>
      </c>
      <c r="AZ159" s="213">
        <v>321001</v>
      </c>
      <c r="BA159" s="416" t="s">
        <v>2745</v>
      </c>
      <c r="BB159" s="415" t="s">
        <v>337</v>
      </c>
      <c r="BE159" s="415" t="s">
        <v>337</v>
      </c>
      <c r="BH159" s="415" t="s">
        <v>337</v>
      </c>
      <c r="BM159" s="415" t="s">
        <v>337</v>
      </c>
      <c r="BN159" s="213" t="s">
        <v>2746</v>
      </c>
      <c r="BO159" s="416" t="s">
        <v>2747</v>
      </c>
      <c r="BP159" s="415" t="s">
        <v>337</v>
      </c>
      <c r="BS159" s="415"/>
      <c r="BV159" s="415" t="s">
        <v>337</v>
      </c>
      <c r="BY159" s="415" t="s">
        <v>337</v>
      </c>
      <c r="CB159" s="415" t="s">
        <v>337</v>
      </c>
      <c r="CE159" s="415" t="s">
        <v>337</v>
      </c>
      <c r="CH159" s="415" t="s">
        <v>337</v>
      </c>
      <c r="CK159" s="415" t="s">
        <v>337</v>
      </c>
      <c r="CN159" s="415" t="s">
        <v>337</v>
      </c>
      <c r="CQ159" s="415" t="s">
        <v>337</v>
      </c>
      <c r="CT159" s="415" t="s">
        <v>337</v>
      </c>
    </row>
    <row r="160" spans="1:98">
      <c r="A160" s="1" t="s">
        <v>675</v>
      </c>
      <c r="B160" s="416" t="s">
        <v>2748</v>
      </c>
      <c r="C160" s="415" t="s">
        <v>337</v>
      </c>
      <c r="F160" s="415" t="s">
        <v>337</v>
      </c>
      <c r="I160" s="415" t="s">
        <v>337</v>
      </c>
      <c r="L160" s="415" t="s">
        <v>337</v>
      </c>
      <c r="M160" s="213" t="s">
        <v>2749</v>
      </c>
      <c r="N160" s="416" t="s">
        <v>2750</v>
      </c>
      <c r="O160" s="415" t="s">
        <v>337</v>
      </c>
      <c r="R160" s="415" t="s">
        <v>337</v>
      </c>
      <c r="S160" s="213" t="s">
        <v>2751</v>
      </c>
      <c r="T160" s="416" t="s">
        <v>2752</v>
      </c>
      <c r="U160" s="415" t="s">
        <v>337</v>
      </c>
      <c r="X160" s="415"/>
      <c r="AA160" s="415"/>
      <c r="AB160" s="213">
        <v>9138</v>
      </c>
      <c r="AC160" s="416" t="s">
        <v>2753</v>
      </c>
      <c r="AD160" s="415"/>
      <c r="AE160" s="417" t="s">
        <v>2754</v>
      </c>
      <c r="AF160" s="416" t="s">
        <v>2755</v>
      </c>
      <c r="AG160" s="415"/>
      <c r="AJ160" s="415" t="s">
        <v>337</v>
      </c>
      <c r="AM160" s="415" t="s">
        <v>337</v>
      </c>
      <c r="AP160" s="415" t="s">
        <v>337</v>
      </c>
      <c r="AS160" s="415" t="s">
        <v>337</v>
      </c>
      <c r="AV160" s="415" t="s">
        <v>337</v>
      </c>
      <c r="AY160" s="415" t="s">
        <v>337</v>
      </c>
      <c r="AZ160" s="213">
        <v>321002</v>
      </c>
      <c r="BA160" s="416" t="s">
        <v>2756</v>
      </c>
      <c r="BB160" s="415" t="s">
        <v>337</v>
      </c>
      <c r="BE160" s="415" t="s">
        <v>337</v>
      </c>
      <c r="BH160" s="415" t="s">
        <v>337</v>
      </c>
      <c r="BM160" s="415" t="s">
        <v>337</v>
      </c>
      <c r="BN160" s="213" t="s">
        <v>2757</v>
      </c>
      <c r="BO160" s="416" t="s">
        <v>2758</v>
      </c>
      <c r="BP160" s="415" t="s">
        <v>337</v>
      </c>
      <c r="BS160" s="415"/>
      <c r="BV160" s="415" t="s">
        <v>337</v>
      </c>
      <c r="BY160" s="415" t="s">
        <v>337</v>
      </c>
      <c r="CB160" s="415" t="s">
        <v>337</v>
      </c>
      <c r="CE160" s="415" t="s">
        <v>337</v>
      </c>
      <c r="CH160" s="415" t="s">
        <v>337</v>
      </c>
      <c r="CK160" s="415" t="s">
        <v>337</v>
      </c>
      <c r="CN160" s="415" t="s">
        <v>337</v>
      </c>
      <c r="CQ160" s="415" t="s">
        <v>337</v>
      </c>
      <c r="CT160" s="415" t="s">
        <v>337</v>
      </c>
    </row>
    <row r="161" spans="1:98">
      <c r="A161" s="1" t="s">
        <v>675</v>
      </c>
      <c r="B161" s="416" t="s">
        <v>2759</v>
      </c>
      <c r="C161" s="415" t="s">
        <v>337</v>
      </c>
      <c r="F161" s="415" t="s">
        <v>337</v>
      </c>
      <c r="I161" s="415" t="s">
        <v>337</v>
      </c>
      <c r="L161" s="415" t="s">
        <v>337</v>
      </c>
      <c r="M161" s="213" t="s">
        <v>2760</v>
      </c>
      <c r="N161" s="416" t="s">
        <v>2761</v>
      </c>
      <c r="O161" s="415" t="s">
        <v>337</v>
      </c>
      <c r="R161" s="415" t="s">
        <v>337</v>
      </c>
      <c r="S161" s="213" t="s">
        <v>2762</v>
      </c>
      <c r="T161" s="416" t="s">
        <v>2763</v>
      </c>
      <c r="U161" s="415" t="s">
        <v>337</v>
      </c>
      <c r="X161" s="415"/>
      <c r="AA161" s="415"/>
      <c r="AB161" s="213">
        <v>9139</v>
      </c>
      <c r="AC161" s="416" t="s">
        <v>2764</v>
      </c>
      <c r="AD161" s="415"/>
      <c r="AE161" s="417" t="s">
        <v>2765</v>
      </c>
      <c r="AF161" s="416" t="s">
        <v>2766</v>
      </c>
      <c r="AG161" s="415"/>
      <c r="AJ161" s="415" t="s">
        <v>337</v>
      </c>
      <c r="AM161" s="415" t="s">
        <v>337</v>
      </c>
      <c r="AP161" s="415" t="s">
        <v>337</v>
      </c>
      <c r="AS161" s="415" t="s">
        <v>337</v>
      </c>
      <c r="AV161" s="415" t="s">
        <v>337</v>
      </c>
      <c r="AY161" s="415" t="s">
        <v>337</v>
      </c>
      <c r="AZ161" s="213">
        <v>321003</v>
      </c>
      <c r="BA161" s="416" t="s">
        <v>2767</v>
      </c>
      <c r="BB161" s="415" t="s">
        <v>337</v>
      </c>
      <c r="BE161" s="415" t="s">
        <v>337</v>
      </c>
      <c r="BH161" s="415" t="s">
        <v>337</v>
      </c>
      <c r="BM161" s="415" t="s">
        <v>337</v>
      </c>
      <c r="BN161" s="213" t="s">
        <v>2768</v>
      </c>
      <c r="BO161" s="416" t="s">
        <v>2769</v>
      </c>
      <c r="BP161" s="415" t="s">
        <v>337</v>
      </c>
      <c r="BS161" s="415"/>
      <c r="BV161" s="415" t="s">
        <v>337</v>
      </c>
      <c r="BY161" s="415" t="s">
        <v>337</v>
      </c>
      <c r="CB161" s="415" t="s">
        <v>337</v>
      </c>
      <c r="CE161" s="415" t="s">
        <v>337</v>
      </c>
      <c r="CH161" s="415" t="s">
        <v>337</v>
      </c>
      <c r="CK161" s="415" t="s">
        <v>337</v>
      </c>
      <c r="CN161" s="415" t="s">
        <v>337</v>
      </c>
      <c r="CQ161" s="415" t="s">
        <v>337</v>
      </c>
      <c r="CT161" s="415" t="s">
        <v>337</v>
      </c>
    </row>
    <row r="162" spans="1:98">
      <c r="A162" s="1" t="s">
        <v>675</v>
      </c>
      <c r="B162" s="416" t="s">
        <v>1082</v>
      </c>
      <c r="C162" s="415" t="s">
        <v>337</v>
      </c>
      <c r="F162" s="415" t="s">
        <v>337</v>
      </c>
      <c r="I162" s="415" t="s">
        <v>337</v>
      </c>
      <c r="L162" s="415" t="s">
        <v>337</v>
      </c>
      <c r="M162" s="213" t="s">
        <v>2770</v>
      </c>
      <c r="N162" s="416" t="s">
        <v>2771</v>
      </c>
      <c r="O162" s="415" t="s">
        <v>337</v>
      </c>
      <c r="R162" s="415" t="s">
        <v>337</v>
      </c>
      <c r="S162" s="213" t="s">
        <v>2772</v>
      </c>
      <c r="T162" s="416" t="s">
        <v>2773</v>
      </c>
      <c r="U162" s="415" t="s">
        <v>337</v>
      </c>
      <c r="X162" s="415"/>
      <c r="AA162" s="415"/>
      <c r="AB162" s="213">
        <v>9140</v>
      </c>
      <c r="AC162" s="416" t="s">
        <v>2774</v>
      </c>
      <c r="AD162" s="415"/>
      <c r="AE162" s="417" t="s">
        <v>2775</v>
      </c>
      <c r="AF162" s="416" t="s">
        <v>2776</v>
      </c>
      <c r="AG162" s="415"/>
      <c r="AJ162" s="415" t="s">
        <v>337</v>
      </c>
      <c r="AM162" s="415" t="s">
        <v>337</v>
      </c>
      <c r="AP162" s="415" t="s">
        <v>337</v>
      </c>
      <c r="AS162" s="415" t="s">
        <v>337</v>
      </c>
      <c r="AV162" s="415" t="s">
        <v>337</v>
      </c>
      <c r="AY162" s="415" t="s">
        <v>337</v>
      </c>
      <c r="AZ162" s="213">
        <v>321004</v>
      </c>
      <c r="BA162" s="416" t="s">
        <v>2777</v>
      </c>
      <c r="BB162" s="415" t="s">
        <v>337</v>
      </c>
      <c r="BE162" s="415" t="s">
        <v>337</v>
      </c>
      <c r="BH162" s="415" t="s">
        <v>337</v>
      </c>
      <c r="BM162" s="415" t="s">
        <v>337</v>
      </c>
      <c r="BN162" s="213" t="s">
        <v>2778</v>
      </c>
      <c r="BO162" s="416" t="s">
        <v>2779</v>
      </c>
      <c r="BP162" s="415" t="s">
        <v>337</v>
      </c>
      <c r="BS162" s="415"/>
      <c r="BV162" s="415" t="s">
        <v>337</v>
      </c>
      <c r="BY162" s="415" t="s">
        <v>337</v>
      </c>
      <c r="CB162" s="415" t="s">
        <v>337</v>
      </c>
      <c r="CE162" s="415" t="s">
        <v>337</v>
      </c>
      <c r="CH162" s="415" t="s">
        <v>337</v>
      </c>
      <c r="CK162" s="415" t="s">
        <v>337</v>
      </c>
      <c r="CN162" s="415" t="s">
        <v>337</v>
      </c>
      <c r="CQ162" s="415" t="s">
        <v>337</v>
      </c>
      <c r="CT162" s="415" t="s">
        <v>337</v>
      </c>
    </row>
    <row r="163" spans="1:98">
      <c r="A163" s="1" t="s">
        <v>675</v>
      </c>
      <c r="B163" s="416" t="s">
        <v>2780</v>
      </c>
      <c r="C163" s="415" t="s">
        <v>337</v>
      </c>
      <c r="F163" s="415" t="s">
        <v>337</v>
      </c>
      <c r="I163" s="415" t="s">
        <v>337</v>
      </c>
      <c r="L163" s="415" t="s">
        <v>337</v>
      </c>
      <c r="M163" s="213" t="s">
        <v>2781</v>
      </c>
      <c r="N163" s="416" t="s">
        <v>2782</v>
      </c>
      <c r="O163" s="415" t="s">
        <v>337</v>
      </c>
      <c r="R163" s="415" t="s">
        <v>337</v>
      </c>
      <c r="S163" s="213" t="s">
        <v>2783</v>
      </c>
      <c r="T163" s="416" t="s">
        <v>2784</v>
      </c>
      <c r="U163" s="415" t="s">
        <v>337</v>
      </c>
      <c r="X163" s="415"/>
      <c r="AA163" s="415"/>
      <c r="AB163" s="213">
        <v>9141</v>
      </c>
      <c r="AC163" s="416" t="s">
        <v>2785</v>
      </c>
      <c r="AD163" s="415"/>
      <c r="AE163" s="417" t="s">
        <v>2786</v>
      </c>
      <c r="AF163" s="416" t="s">
        <v>2787</v>
      </c>
      <c r="AG163" s="415"/>
      <c r="AJ163" s="415" t="s">
        <v>337</v>
      </c>
      <c r="AM163" s="415" t="s">
        <v>337</v>
      </c>
      <c r="AP163" s="415" t="s">
        <v>337</v>
      </c>
      <c r="AS163" s="415" t="s">
        <v>337</v>
      </c>
      <c r="AV163" s="415" t="s">
        <v>337</v>
      </c>
      <c r="AY163" s="415" t="s">
        <v>337</v>
      </c>
      <c r="AZ163" s="213">
        <v>321005</v>
      </c>
      <c r="BA163" s="416" t="s">
        <v>2788</v>
      </c>
      <c r="BB163" s="415" t="s">
        <v>337</v>
      </c>
      <c r="BE163" s="415" t="s">
        <v>337</v>
      </c>
      <c r="BH163" s="415" t="s">
        <v>337</v>
      </c>
      <c r="BM163" s="415" t="s">
        <v>337</v>
      </c>
      <c r="BN163" s="213" t="s">
        <v>2789</v>
      </c>
      <c r="BO163" s="416" t="s">
        <v>2790</v>
      </c>
      <c r="BP163" s="415" t="s">
        <v>337</v>
      </c>
      <c r="BS163" s="415"/>
      <c r="BV163" s="415" t="s">
        <v>337</v>
      </c>
      <c r="BY163" s="415" t="s">
        <v>337</v>
      </c>
      <c r="CB163" s="415" t="s">
        <v>337</v>
      </c>
      <c r="CE163" s="415" t="s">
        <v>337</v>
      </c>
      <c r="CH163" s="415" t="s">
        <v>337</v>
      </c>
      <c r="CK163" s="415" t="s">
        <v>337</v>
      </c>
      <c r="CN163" s="415" t="s">
        <v>337</v>
      </c>
      <c r="CQ163" s="415" t="s">
        <v>337</v>
      </c>
      <c r="CT163" s="415" t="s">
        <v>337</v>
      </c>
    </row>
    <row r="164" spans="1:98">
      <c r="A164" s="1" t="s">
        <v>675</v>
      </c>
      <c r="B164" s="416" t="s">
        <v>2791</v>
      </c>
      <c r="C164" s="415" t="s">
        <v>337</v>
      </c>
      <c r="F164" s="415" t="s">
        <v>337</v>
      </c>
      <c r="I164" s="415" t="s">
        <v>337</v>
      </c>
      <c r="L164" s="415" t="s">
        <v>337</v>
      </c>
      <c r="M164" s="213" t="s">
        <v>2792</v>
      </c>
      <c r="N164" s="416" t="s">
        <v>2793</v>
      </c>
      <c r="O164" s="415" t="s">
        <v>337</v>
      </c>
      <c r="R164" s="415" t="s">
        <v>337</v>
      </c>
      <c r="S164" s="213" t="s">
        <v>2794</v>
      </c>
      <c r="T164" s="416" t="s">
        <v>2795</v>
      </c>
      <c r="U164" s="415" t="s">
        <v>337</v>
      </c>
      <c r="X164" s="415"/>
      <c r="AA164" s="415"/>
      <c r="AB164" s="213">
        <v>9142</v>
      </c>
      <c r="AC164" s="416" t="s">
        <v>2796</v>
      </c>
      <c r="AD164" s="415"/>
      <c r="AE164" s="417" t="s">
        <v>2797</v>
      </c>
      <c r="AF164" s="416" t="s">
        <v>2798</v>
      </c>
      <c r="AG164" s="415"/>
      <c r="AJ164" s="415" t="s">
        <v>337</v>
      </c>
      <c r="AM164" s="415" t="s">
        <v>337</v>
      </c>
      <c r="AP164" s="415" t="s">
        <v>337</v>
      </c>
      <c r="AS164" s="415" t="s">
        <v>337</v>
      </c>
      <c r="AV164" s="415" t="s">
        <v>337</v>
      </c>
      <c r="AY164" s="415" t="s">
        <v>337</v>
      </c>
      <c r="AZ164" s="213">
        <v>322001</v>
      </c>
      <c r="BA164" s="416" t="s">
        <v>2799</v>
      </c>
      <c r="BB164" s="415" t="s">
        <v>337</v>
      </c>
      <c r="BE164" s="415" t="s">
        <v>337</v>
      </c>
      <c r="BH164" s="415" t="s">
        <v>337</v>
      </c>
      <c r="BM164" s="415" t="s">
        <v>337</v>
      </c>
      <c r="BN164" s="213" t="s">
        <v>2800</v>
      </c>
      <c r="BO164" s="416" t="s">
        <v>2801</v>
      </c>
      <c r="BP164" s="415" t="s">
        <v>337</v>
      </c>
      <c r="BS164" s="415"/>
      <c r="BV164" s="415" t="s">
        <v>337</v>
      </c>
      <c r="BY164" s="415" t="s">
        <v>337</v>
      </c>
      <c r="CB164" s="415" t="s">
        <v>337</v>
      </c>
      <c r="CE164" s="415" t="s">
        <v>337</v>
      </c>
      <c r="CH164" s="415" t="s">
        <v>337</v>
      </c>
      <c r="CK164" s="415" t="s">
        <v>337</v>
      </c>
      <c r="CN164" s="415" t="s">
        <v>337</v>
      </c>
      <c r="CQ164" s="415" t="s">
        <v>337</v>
      </c>
      <c r="CT164" s="415" t="s">
        <v>337</v>
      </c>
    </row>
    <row r="165" spans="1:98">
      <c r="A165" s="1" t="s">
        <v>675</v>
      </c>
      <c r="B165" s="416" t="s">
        <v>2802</v>
      </c>
      <c r="C165" s="415" t="s">
        <v>337</v>
      </c>
      <c r="F165" s="415" t="s">
        <v>337</v>
      </c>
      <c r="I165" s="415" t="s">
        <v>337</v>
      </c>
      <c r="L165" s="415" t="s">
        <v>337</v>
      </c>
      <c r="M165" s="213" t="s">
        <v>2803</v>
      </c>
      <c r="N165" s="416" t="s">
        <v>2804</v>
      </c>
      <c r="O165" s="415" t="s">
        <v>337</v>
      </c>
      <c r="R165" s="415" t="s">
        <v>337</v>
      </c>
      <c r="S165" s="213" t="s">
        <v>2805</v>
      </c>
      <c r="T165" s="416" t="s">
        <v>2806</v>
      </c>
      <c r="U165" s="415" t="s">
        <v>337</v>
      </c>
      <c r="X165" s="415"/>
      <c r="AA165" s="415"/>
      <c r="AB165" s="213">
        <v>9143</v>
      </c>
      <c r="AC165" s="416" t="s">
        <v>2807</v>
      </c>
      <c r="AD165" s="415"/>
      <c r="AE165" s="417" t="s">
        <v>2808</v>
      </c>
      <c r="AF165" s="416" t="s">
        <v>2809</v>
      </c>
      <c r="AG165" s="415"/>
      <c r="AJ165" s="415" t="s">
        <v>337</v>
      </c>
      <c r="AM165" s="415" t="s">
        <v>337</v>
      </c>
      <c r="AP165" s="415" t="s">
        <v>337</v>
      </c>
      <c r="AS165" s="415" t="s">
        <v>337</v>
      </c>
      <c r="AV165" s="415" t="s">
        <v>337</v>
      </c>
      <c r="AY165" s="415" t="s">
        <v>337</v>
      </c>
      <c r="AZ165" s="213">
        <v>322002</v>
      </c>
      <c r="BA165" s="416" t="s">
        <v>2810</v>
      </c>
      <c r="BB165" s="415" t="s">
        <v>337</v>
      </c>
      <c r="BE165" s="415" t="s">
        <v>337</v>
      </c>
      <c r="BH165" s="415" t="s">
        <v>337</v>
      </c>
      <c r="BM165" s="415" t="s">
        <v>337</v>
      </c>
      <c r="BN165" s="213" t="s">
        <v>2811</v>
      </c>
      <c r="BO165" s="416" t="s">
        <v>2812</v>
      </c>
      <c r="BP165" s="415" t="s">
        <v>337</v>
      </c>
      <c r="BS165" s="415"/>
      <c r="BV165" s="415" t="s">
        <v>337</v>
      </c>
      <c r="BY165" s="415" t="s">
        <v>337</v>
      </c>
      <c r="CB165" s="415" t="s">
        <v>337</v>
      </c>
      <c r="CE165" s="415" t="s">
        <v>337</v>
      </c>
      <c r="CH165" s="415" t="s">
        <v>337</v>
      </c>
      <c r="CK165" s="415" t="s">
        <v>337</v>
      </c>
      <c r="CN165" s="415" t="s">
        <v>337</v>
      </c>
      <c r="CQ165" s="415" t="s">
        <v>337</v>
      </c>
      <c r="CT165" s="415" t="s">
        <v>337</v>
      </c>
    </row>
    <row r="166" spans="1:98">
      <c r="A166" s="1" t="s">
        <v>675</v>
      </c>
      <c r="B166" s="416" t="s">
        <v>2813</v>
      </c>
      <c r="C166" s="415" t="s">
        <v>337</v>
      </c>
      <c r="F166" s="415" t="s">
        <v>337</v>
      </c>
      <c r="I166" s="415" t="s">
        <v>337</v>
      </c>
      <c r="L166" s="415" t="s">
        <v>337</v>
      </c>
      <c r="M166" s="213" t="s">
        <v>2814</v>
      </c>
      <c r="N166" s="416" t="s">
        <v>2815</v>
      </c>
      <c r="O166" s="415" t="s">
        <v>337</v>
      </c>
      <c r="R166" s="415" t="s">
        <v>337</v>
      </c>
      <c r="S166" s="213" t="s">
        <v>2816</v>
      </c>
      <c r="T166" s="416" t="s">
        <v>2817</v>
      </c>
      <c r="U166" s="415" t="s">
        <v>337</v>
      </c>
      <c r="X166" s="415"/>
      <c r="AA166" s="415"/>
      <c r="AB166" s="213">
        <v>9144</v>
      </c>
      <c r="AC166" s="416" t="s">
        <v>2818</v>
      </c>
      <c r="AD166" s="415"/>
      <c r="AE166" s="417" t="s">
        <v>2819</v>
      </c>
      <c r="AF166" s="416" t="s">
        <v>2820</v>
      </c>
      <c r="AG166" s="415"/>
      <c r="AJ166" s="415" t="s">
        <v>337</v>
      </c>
      <c r="AM166" s="415" t="s">
        <v>337</v>
      </c>
      <c r="AP166" s="415" t="s">
        <v>337</v>
      </c>
      <c r="AS166" s="415" t="s">
        <v>337</v>
      </c>
      <c r="AV166" s="415" t="s">
        <v>337</v>
      </c>
      <c r="AY166" s="415" t="s">
        <v>337</v>
      </c>
      <c r="AZ166" s="213">
        <v>322003</v>
      </c>
      <c r="BA166" s="416" t="s">
        <v>2821</v>
      </c>
      <c r="BB166" s="415" t="s">
        <v>337</v>
      </c>
      <c r="BE166" s="415" t="s">
        <v>337</v>
      </c>
      <c r="BH166" s="415" t="s">
        <v>337</v>
      </c>
      <c r="BM166" s="415" t="s">
        <v>337</v>
      </c>
      <c r="BN166" s="213" t="s">
        <v>2822</v>
      </c>
      <c r="BO166" s="416" t="s">
        <v>2823</v>
      </c>
      <c r="BP166" s="415" t="s">
        <v>337</v>
      </c>
      <c r="BS166" s="415"/>
      <c r="BV166" s="415" t="s">
        <v>337</v>
      </c>
      <c r="BY166" s="415" t="s">
        <v>337</v>
      </c>
      <c r="CB166" s="415" t="s">
        <v>337</v>
      </c>
      <c r="CE166" s="415" t="s">
        <v>337</v>
      </c>
      <c r="CH166" s="415" t="s">
        <v>337</v>
      </c>
      <c r="CK166" s="415" t="s">
        <v>337</v>
      </c>
      <c r="CN166" s="415" t="s">
        <v>337</v>
      </c>
      <c r="CQ166" s="415" t="s">
        <v>337</v>
      </c>
      <c r="CT166" s="415" t="s">
        <v>337</v>
      </c>
    </row>
    <row r="167" spans="1:98">
      <c r="A167" s="1" t="s">
        <v>675</v>
      </c>
      <c r="B167" s="416" t="s">
        <v>2824</v>
      </c>
      <c r="C167" s="415" t="s">
        <v>337</v>
      </c>
      <c r="F167" s="415" t="s">
        <v>337</v>
      </c>
      <c r="I167" s="415" t="s">
        <v>337</v>
      </c>
      <c r="L167" s="415" t="s">
        <v>337</v>
      </c>
      <c r="M167" s="213" t="s">
        <v>2825</v>
      </c>
      <c r="N167" s="416" t="s">
        <v>2826</v>
      </c>
      <c r="O167" s="415" t="s">
        <v>337</v>
      </c>
      <c r="R167" s="415" t="s">
        <v>337</v>
      </c>
      <c r="S167" s="213" t="s">
        <v>2827</v>
      </c>
      <c r="T167" s="416" t="s">
        <v>2828</v>
      </c>
      <c r="U167" s="415" t="s">
        <v>337</v>
      </c>
      <c r="X167" s="415"/>
      <c r="AA167" s="415"/>
      <c r="AD167" s="415"/>
      <c r="AE167" s="417" t="s">
        <v>2829</v>
      </c>
      <c r="AF167" s="416" t="s">
        <v>2830</v>
      </c>
      <c r="AG167" s="415"/>
      <c r="AJ167" s="415" t="s">
        <v>337</v>
      </c>
      <c r="AM167" s="415" t="s">
        <v>337</v>
      </c>
      <c r="AP167" s="415" t="s">
        <v>337</v>
      </c>
      <c r="AS167" s="415" t="s">
        <v>337</v>
      </c>
      <c r="AV167" s="415" t="s">
        <v>337</v>
      </c>
      <c r="AY167" s="415" t="s">
        <v>337</v>
      </c>
      <c r="AZ167" s="213">
        <v>322004</v>
      </c>
      <c r="BA167" s="416" t="s">
        <v>2831</v>
      </c>
      <c r="BB167" s="415" t="s">
        <v>337</v>
      </c>
      <c r="BE167" s="415" t="s">
        <v>337</v>
      </c>
      <c r="BH167" s="415" t="s">
        <v>337</v>
      </c>
      <c r="BM167" s="415" t="s">
        <v>337</v>
      </c>
      <c r="BN167" s="213" t="s">
        <v>2832</v>
      </c>
      <c r="BO167" s="416" t="s">
        <v>2833</v>
      </c>
      <c r="BP167" s="415" t="s">
        <v>337</v>
      </c>
      <c r="BS167" s="415"/>
      <c r="BV167" s="415" t="s">
        <v>337</v>
      </c>
      <c r="BY167" s="415" t="s">
        <v>337</v>
      </c>
      <c r="CB167" s="415" t="s">
        <v>337</v>
      </c>
      <c r="CE167" s="415" t="s">
        <v>337</v>
      </c>
      <c r="CH167" s="415" t="s">
        <v>337</v>
      </c>
      <c r="CK167" s="415" t="s">
        <v>337</v>
      </c>
      <c r="CN167" s="415" t="s">
        <v>337</v>
      </c>
      <c r="CQ167" s="415" t="s">
        <v>337</v>
      </c>
      <c r="CT167" s="415" t="s">
        <v>337</v>
      </c>
    </row>
    <row r="168" spans="1:98">
      <c r="A168" s="1" t="s">
        <v>703</v>
      </c>
      <c r="B168" s="416" t="s">
        <v>2629</v>
      </c>
      <c r="C168" s="415" t="s">
        <v>337</v>
      </c>
      <c r="F168" s="415" t="s">
        <v>337</v>
      </c>
      <c r="I168" s="415" t="s">
        <v>337</v>
      </c>
      <c r="L168" s="415" t="s">
        <v>337</v>
      </c>
      <c r="M168" s="213" t="s">
        <v>2834</v>
      </c>
      <c r="N168" s="416" t="s">
        <v>2835</v>
      </c>
      <c r="O168" s="415" t="s">
        <v>337</v>
      </c>
      <c r="R168" s="415" t="s">
        <v>337</v>
      </c>
      <c r="S168" s="213" t="s">
        <v>2836</v>
      </c>
      <c r="T168" s="416" t="s">
        <v>2837</v>
      </c>
      <c r="U168" s="415" t="s">
        <v>337</v>
      </c>
      <c r="X168" s="415"/>
      <c r="AA168" s="415"/>
      <c r="AD168" s="415"/>
      <c r="AE168" s="417" t="s">
        <v>2838</v>
      </c>
      <c r="AF168" s="416" t="s">
        <v>2839</v>
      </c>
      <c r="AG168" s="415"/>
      <c r="AJ168" s="415" t="s">
        <v>337</v>
      </c>
      <c r="AM168" s="415" t="s">
        <v>337</v>
      </c>
      <c r="AP168" s="415" t="s">
        <v>337</v>
      </c>
      <c r="AS168" s="415" t="s">
        <v>337</v>
      </c>
      <c r="AV168" s="415" t="s">
        <v>337</v>
      </c>
      <c r="AY168" s="415" t="s">
        <v>337</v>
      </c>
      <c r="AZ168" s="213">
        <v>322005</v>
      </c>
      <c r="BA168" s="416" t="s">
        <v>2840</v>
      </c>
      <c r="BB168" s="415" t="s">
        <v>337</v>
      </c>
      <c r="BE168" s="415" t="s">
        <v>337</v>
      </c>
      <c r="BH168" s="415" t="s">
        <v>337</v>
      </c>
      <c r="BM168" s="415" t="s">
        <v>337</v>
      </c>
      <c r="BN168" s="213" t="s">
        <v>2841</v>
      </c>
      <c r="BO168" s="416" t="s">
        <v>2842</v>
      </c>
      <c r="BP168" s="415" t="s">
        <v>337</v>
      </c>
      <c r="BS168" s="415"/>
      <c r="BV168" s="415" t="s">
        <v>337</v>
      </c>
      <c r="BY168" s="415" t="s">
        <v>337</v>
      </c>
      <c r="CB168" s="415" t="s">
        <v>337</v>
      </c>
      <c r="CE168" s="415" t="s">
        <v>337</v>
      </c>
      <c r="CH168" s="415" t="s">
        <v>337</v>
      </c>
      <c r="CK168" s="415" t="s">
        <v>337</v>
      </c>
      <c r="CN168" s="415" t="s">
        <v>337</v>
      </c>
      <c r="CQ168" s="415" t="s">
        <v>337</v>
      </c>
      <c r="CT168" s="415" t="s">
        <v>337</v>
      </c>
    </row>
    <row r="169" spans="1:98">
      <c r="A169" s="1" t="s">
        <v>703</v>
      </c>
      <c r="B169" s="416" t="s">
        <v>2843</v>
      </c>
      <c r="C169" s="415" t="s">
        <v>337</v>
      </c>
      <c r="F169" s="415" t="s">
        <v>337</v>
      </c>
      <c r="I169" s="415" t="s">
        <v>337</v>
      </c>
      <c r="L169" s="415" t="s">
        <v>337</v>
      </c>
      <c r="M169" s="213" t="s">
        <v>2844</v>
      </c>
      <c r="N169" s="416" t="s">
        <v>2845</v>
      </c>
      <c r="O169" s="415" t="s">
        <v>337</v>
      </c>
      <c r="R169" s="415" t="s">
        <v>337</v>
      </c>
      <c r="S169" s="213" t="s">
        <v>2846</v>
      </c>
      <c r="T169" s="416" t="s">
        <v>2249</v>
      </c>
      <c r="U169" s="415" t="s">
        <v>337</v>
      </c>
      <c r="X169" s="415"/>
      <c r="AA169" s="415"/>
      <c r="AD169" s="415"/>
      <c r="AE169" s="417" t="s">
        <v>2847</v>
      </c>
      <c r="AF169" s="416" t="s">
        <v>2848</v>
      </c>
      <c r="AG169" s="415"/>
      <c r="AJ169" s="415" t="s">
        <v>337</v>
      </c>
      <c r="AM169" s="415" t="s">
        <v>337</v>
      </c>
      <c r="AP169" s="415" t="s">
        <v>337</v>
      </c>
      <c r="AS169" s="415" t="s">
        <v>337</v>
      </c>
      <c r="AV169" s="415" t="s">
        <v>337</v>
      </c>
      <c r="AY169" s="415" t="s">
        <v>337</v>
      </c>
      <c r="AZ169" s="213">
        <v>323001</v>
      </c>
      <c r="BA169" s="416" t="s">
        <v>2849</v>
      </c>
      <c r="BB169" s="415" t="s">
        <v>337</v>
      </c>
      <c r="BE169" s="415" t="s">
        <v>337</v>
      </c>
      <c r="BH169" s="415" t="s">
        <v>337</v>
      </c>
      <c r="BM169" s="415" t="s">
        <v>337</v>
      </c>
      <c r="BN169" s="213" t="s">
        <v>2850</v>
      </c>
      <c r="BO169" s="416" t="s">
        <v>2851</v>
      </c>
      <c r="BP169" s="415" t="s">
        <v>337</v>
      </c>
      <c r="BS169" s="415"/>
      <c r="BV169" s="415" t="s">
        <v>337</v>
      </c>
      <c r="BY169" s="415" t="s">
        <v>337</v>
      </c>
      <c r="CB169" s="415" t="s">
        <v>337</v>
      </c>
      <c r="CE169" s="415" t="s">
        <v>337</v>
      </c>
      <c r="CH169" s="415" t="s">
        <v>337</v>
      </c>
      <c r="CK169" s="415" t="s">
        <v>337</v>
      </c>
      <c r="CN169" s="415" t="s">
        <v>337</v>
      </c>
      <c r="CQ169" s="415" t="s">
        <v>337</v>
      </c>
      <c r="CT169" s="415" t="s">
        <v>337</v>
      </c>
    </row>
    <row r="170" spans="1:98">
      <c r="A170" s="1" t="s">
        <v>703</v>
      </c>
      <c r="B170" s="416" t="s">
        <v>2852</v>
      </c>
      <c r="C170" s="415" t="s">
        <v>337</v>
      </c>
      <c r="F170" s="415" t="s">
        <v>337</v>
      </c>
      <c r="I170" s="415" t="s">
        <v>337</v>
      </c>
      <c r="L170" s="415" t="s">
        <v>337</v>
      </c>
      <c r="M170" s="213" t="s">
        <v>2853</v>
      </c>
      <c r="N170" s="416" t="s">
        <v>2854</v>
      </c>
      <c r="O170" s="415" t="s">
        <v>337</v>
      </c>
      <c r="R170" s="415" t="s">
        <v>337</v>
      </c>
      <c r="S170" s="213" t="s">
        <v>2855</v>
      </c>
      <c r="T170" s="416" t="s">
        <v>2856</v>
      </c>
      <c r="U170" s="415" t="s">
        <v>337</v>
      </c>
      <c r="X170" s="415"/>
      <c r="AA170" s="415"/>
      <c r="AD170" s="415"/>
      <c r="AE170" s="417" t="s">
        <v>2857</v>
      </c>
      <c r="AF170" s="416" t="s">
        <v>2858</v>
      </c>
      <c r="AG170" s="415"/>
      <c r="AJ170" s="415" t="s">
        <v>337</v>
      </c>
      <c r="AM170" s="415" t="s">
        <v>337</v>
      </c>
      <c r="AP170" s="415" t="s">
        <v>337</v>
      </c>
      <c r="AS170" s="415" t="s">
        <v>337</v>
      </c>
      <c r="AV170" s="415" t="s">
        <v>337</v>
      </c>
      <c r="AY170" s="415" t="s">
        <v>337</v>
      </c>
      <c r="AZ170" s="213">
        <v>323002</v>
      </c>
      <c r="BA170" s="416" t="s">
        <v>2859</v>
      </c>
      <c r="BB170" s="415" t="s">
        <v>337</v>
      </c>
      <c r="BE170" s="415" t="s">
        <v>337</v>
      </c>
      <c r="BH170" s="415" t="s">
        <v>337</v>
      </c>
      <c r="BM170" s="415" t="s">
        <v>337</v>
      </c>
      <c r="BN170" s="213" t="s">
        <v>2860</v>
      </c>
      <c r="BO170" s="416" t="s">
        <v>2861</v>
      </c>
      <c r="BP170" s="415" t="s">
        <v>337</v>
      </c>
      <c r="BS170" s="415"/>
      <c r="BV170" s="415" t="s">
        <v>337</v>
      </c>
      <c r="BY170" s="415" t="s">
        <v>337</v>
      </c>
      <c r="CB170" s="415" t="s">
        <v>337</v>
      </c>
      <c r="CE170" s="415" t="s">
        <v>337</v>
      </c>
      <c r="CH170" s="415" t="s">
        <v>337</v>
      </c>
      <c r="CK170" s="415" t="s">
        <v>337</v>
      </c>
      <c r="CN170" s="415" t="s">
        <v>337</v>
      </c>
      <c r="CQ170" s="415" t="s">
        <v>337</v>
      </c>
      <c r="CT170" s="415" t="s">
        <v>337</v>
      </c>
    </row>
    <row r="171" spans="1:98">
      <c r="A171" s="1" t="s">
        <v>703</v>
      </c>
      <c r="B171" s="416" t="s">
        <v>2862</v>
      </c>
      <c r="C171" s="415" t="s">
        <v>337</v>
      </c>
      <c r="F171" s="415" t="s">
        <v>337</v>
      </c>
      <c r="I171" s="415" t="s">
        <v>337</v>
      </c>
      <c r="L171" s="415" t="s">
        <v>337</v>
      </c>
      <c r="M171" s="213" t="s">
        <v>2863</v>
      </c>
      <c r="N171" s="416" t="s">
        <v>2864</v>
      </c>
      <c r="O171" s="415" t="s">
        <v>337</v>
      </c>
      <c r="R171" s="415" t="s">
        <v>337</v>
      </c>
      <c r="S171" s="213" t="s">
        <v>2865</v>
      </c>
      <c r="T171" s="416" t="s">
        <v>2866</v>
      </c>
      <c r="U171" s="415" t="s">
        <v>337</v>
      </c>
      <c r="X171" s="415"/>
      <c r="AA171" s="415"/>
      <c r="AD171" s="415"/>
      <c r="AE171" s="417" t="s">
        <v>2867</v>
      </c>
      <c r="AF171" s="416" t="s">
        <v>2868</v>
      </c>
      <c r="AG171" s="415"/>
      <c r="AJ171" s="415" t="s">
        <v>337</v>
      </c>
      <c r="AM171" s="415" t="s">
        <v>337</v>
      </c>
      <c r="AP171" s="415" t="s">
        <v>337</v>
      </c>
      <c r="AS171" s="415" t="s">
        <v>337</v>
      </c>
      <c r="AV171" s="415" t="s">
        <v>337</v>
      </c>
      <c r="AY171" s="415" t="s">
        <v>337</v>
      </c>
      <c r="AZ171" s="213">
        <v>323003</v>
      </c>
      <c r="BA171" s="416" t="s">
        <v>2869</v>
      </c>
      <c r="BB171" s="415" t="s">
        <v>337</v>
      </c>
      <c r="BE171" s="415" t="s">
        <v>337</v>
      </c>
      <c r="BH171" s="415" t="s">
        <v>337</v>
      </c>
      <c r="BM171" s="415" t="s">
        <v>337</v>
      </c>
      <c r="BN171" s="213" t="s">
        <v>2870</v>
      </c>
      <c r="BO171" s="416" t="s">
        <v>2871</v>
      </c>
      <c r="BP171" s="415" t="s">
        <v>337</v>
      </c>
      <c r="BS171" s="415"/>
      <c r="BV171" s="415" t="s">
        <v>337</v>
      </c>
      <c r="BY171" s="415" t="s">
        <v>337</v>
      </c>
      <c r="CB171" s="415" t="s">
        <v>337</v>
      </c>
      <c r="CE171" s="415" t="s">
        <v>337</v>
      </c>
      <c r="CH171" s="415" t="s">
        <v>337</v>
      </c>
      <c r="CK171" s="415" t="s">
        <v>337</v>
      </c>
      <c r="CN171" s="415" t="s">
        <v>337</v>
      </c>
      <c r="CQ171" s="415" t="s">
        <v>337</v>
      </c>
      <c r="CT171" s="415" t="s">
        <v>337</v>
      </c>
    </row>
    <row r="172" spans="1:98">
      <c r="A172" s="1" t="s">
        <v>703</v>
      </c>
      <c r="B172" s="416" t="s">
        <v>2872</v>
      </c>
      <c r="C172" s="415" t="s">
        <v>337</v>
      </c>
      <c r="F172" s="415" t="s">
        <v>337</v>
      </c>
      <c r="I172" s="415" t="s">
        <v>337</v>
      </c>
      <c r="L172" s="415" t="s">
        <v>337</v>
      </c>
      <c r="M172" s="213" t="s">
        <v>2873</v>
      </c>
      <c r="N172" s="416" t="s">
        <v>2874</v>
      </c>
      <c r="O172" s="415" t="s">
        <v>337</v>
      </c>
      <c r="R172" s="415" t="s">
        <v>337</v>
      </c>
      <c r="S172" s="213" t="s">
        <v>2875</v>
      </c>
      <c r="T172" s="416" t="s">
        <v>2876</v>
      </c>
      <c r="U172" s="415" t="s">
        <v>337</v>
      </c>
      <c r="X172" s="415"/>
      <c r="AA172" s="415"/>
      <c r="AD172" s="415"/>
      <c r="AE172" s="417" t="s">
        <v>2877</v>
      </c>
      <c r="AF172" s="416" t="s">
        <v>2878</v>
      </c>
      <c r="AG172" s="415"/>
      <c r="AJ172" s="415" t="s">
        <v>337</v>
      </c>
      <c r="AM172" s="415" t="s">
        <v>337</v>
      </c>
      <c r="AP172" s="415" t="s">
        <v>337</v>
      </c>
      <c r="AS172" s="415" t="s">
        <v>337</v>
      </c>
      <c r="AV172" s="415" t="s">
        <v>337</v>
      </c>
      <c r="AY172" s="415" t="s">
        <v>337</v>
      </c>
      <c r="AZ172" s="213">
        <v>323004</v>
      </c>
      <c r="BA172" s="416" t="s">
        <v>2879</v>
      </c>
      <c r="BB172" s="415" t="s">
        <v>337</v>
      </c>
      <c r="BE172" s="415" t="s">
        <v>337</v>
      </c>
      <c r="BH172" s="415" t="s">
        <v>337</v>
      </c>
      <c r="BM172" s="415" t="s">
        <v>337</v>
      </c>
      <c r="BN172" s="213" t="s">
        <v>2880</v>
      </c>
      <c r="BO172" s="416" t="s">
        <v>2881</v>
      </c>
      <c r="BP172" s="415" t="s">
        <v>337</v>
      </c>
      <c r="BS172" s="415"/>
      <c r="BV172" s="415" t="s">
        <v>337</v>
      </c>
      <c r="BY172" s="415" t="s">
        <v>337</v>
      </c>
      <c r="CB172" s="415" t="s">
        <v>337</v>
      </c>
      <c r="CE172" s="415" t="s">
        <v>337</v>
      </c>
      <c r="CH172" s="415" t="s">
        <v>337</v>
      </c>
      <c r="CK172" s="415" t="s">
        <v>337</v>
      </c>
      <c r="CN172" s="415" t="s">
        <v>337</v>
      </c>
      <c r="CQ172" s="415" t="s">
        <v>337</v>
      </c>
      <c r="CT172" s="415" t="s">
        <v>337</v>
      </c>
    </row>
    <row r="173" spans="1:98">
      <c r="A173" s="1" t="s">
        <v>703</v>
      </c>
      <c r="B173" s="416" t="s">
        <v>2882</v>
      </c>
      <c r="C173" s="415" t="s">
        <v>337</v>
      </c>
      <c r="F173" s="415" t="s">
        <v>337</v>
      </c>
      <c r="I173" s="415" t="s">
        <v>337</v>
      </c>
      <c r="L173" s="415" t="s">
        <v>337</v>
      </c>
      <c r="M173" s="213" t="s">
        <v>2883</v>
      </c>
      <c r="N173" s="416" t="s">
        <v>2884</v>
      </c>
      <c r="O173" s="415" t="s">
        <v>337</v>
      </c>
      <c r="R173" s="415" t="s">
        <v>337</v>
      </c>
      <c r="S173" s="213" t="s">
        <v>2885</v>
      </c>
      <c r="T173" s="416" t="s">
        <v>2886</v>
      </c>
      <c r="U173" s="415" t="s">
        <v>337</v>
      </c>
      <c r="X173" s="415"/>
      <c r="AA173" s="415"/>
      <c r="AD173" s="415"/>
      <c r="AE173" s="417" t="s">
        <v>2887</v>
      </c>
      <c r="AF173" s="416" t="s">
        <v>2888</v>
      </c>
      <c r="AG173" s="415"/>
      <c r="AJ173" s="415" t="s">
        <v>337</v>
      </c>
      <c r="AM173" s="415" t="s">
        <v>337</v>
      </c>
      <c r="AP173" s="415" t="s">
        <v>337</v>
      </c>
      <c r="AS173" s="415" t="s">
        <v>337</v>
      </c>
      <c r="AV173" s="415" t="s">
        <v>337</v>
      </c>
      <c r="AY173" s="415" t="s">
        <v>337</v>
      </c>
      <c r="AZ173" s="213">
        <v>323005</v>
      </c>
      <c r="BA173" s="416" t="s">
        <v>2889</v>
      </c>
      <c r="BB173" s="415" t="s">
        <v>337</v>
      </c>
      <c r="BE173" s="415" t="s">
        <v>337</v>
      </c>
      <c r="BH173" s="415" t="s">
        <v>337</v>
      </c>
      <c r="BM173" s="415" t="s">
        <v>337</v>
      </c>
      <c r="BN173" s="213" t="s">
        <v>2890</v>
      </c>
      <c r="BP173" s="415" t="s">
        <v>337</v>
      </c>
      <c r="BS173" s="415"/>
      <c r="BV173" s="415" t="s">
        <v>337</v>
      </c>
      <c r="BY173" s="415" t="s">
        <v>337</v>
      </c>
      <c r="CB173" s="415" t="s">
        <v>337</v>
      </c>
      <c r="CE173" s="415" t="s">
        <v>337</v>
      </c>
      <c r="CH173" s="415" t="s">
        <v>337</v>
      </c>
      <c r="CK173" s="415" t="s">
        <v>337</v>
      </c>
      <c r="CN173" s="415" t="s">
        <v>337</v>
      </c>
      <c r="CQ173" s="415" t="s">
        <v>337</v>
      </c>
      <c r="CT173" s="415" t="s">
        <v>337</v>
      </c>
    </row>
    <row r="174" spans="1:98">
      <c r="A174" s="1" t="s">
        <v>703</v>
      </c>
      <c r="B174" s="416" t="s">
        <v>2891</v>
      </c>
      <c r="C174" s="415" t="s">
        <v>337</v>
      </c>
      <c r="F174" s="415" t="s">
        <v>337</v>
      </c>
      <c r="I174" s="415" t="s">
        <v>337</v>
      </c>
      <c r="L174" s="415" t="s">
        <v>337</v>
      </c>
      <c r="M174" s="213" t="s">
        <v>2892</v>
      </c>
      <c r="N174" s="416" t="s">
        <v>2893</v>
      </c>
      <c r="O174" s="415" t="s">
        <v>337</v>
      </c>
      <c r="R174" s="415" t="s">
        <v>337</v>
      </c>
      <c r="S174" s="213" t="s">
        <v>2894</v>
      </c>
      <c r="T174" s="416" t="s">
        <v>2895</v>
      </c>
      <c r="U174" s="415" t="s">
        <v>337</v>
      </c>
      <c r="X174" s="415"/>
      <c r="AA174" s="415"/>
      <c r="AD174" s="415"/>
      <c r="AE174" s="417" t="s">
        <v>2896</v>
      </c>
      <c r="AF174" s="416" t="s">
        <v>2897</v>
      </c>
      <c r="AG174" s="415"/>
      <c r="AJ174" s="415" t="s">
        <v>337</v>
      </c>
      <c r="AM174" s="415" t="s">
        <v>337</v>
      </c>
      <c r="AP174" s="415" t="s">
        <v>337</v>
      </c>
      <c r="AS174" s="415" t="s">
        <v>337</v>
      </c>
      <c r="AV174" s="415" t="s">
        <v>337</v>
      </c>
      <c r="AY174" s="415" t="s">
        <v>337</v>
      </c>
      <c r="AZ174" s="213">
        <v>324001</v>
      </c>
      <c r="BA174" s="416" t="s">
        <v>2898</v>
      </c>
      <c r="BB174" s="415" t="s">
        <v>337</v>
      </c>
      <c r="BE174" s="415" t="s">
        <v>337</v>
      </c>
      <c r="BH174" s="415" t="s">
        <v>337</v>
      </c>
      <c r="BM174" s="415" t="s">
        <v>337</v>
      </c>
      <c r="BN174" s="213" t="s">
        <v>2899</v>
      </c>
      <c r="BO174" s="416" t="s">
        <v>2900</v>
      </c>
      <c r="BP174" s="415" t="s">
        <v>337</v>
      </c>
      <c r="BS174" s="415"/>
      <c r="BV174" s="415" t="s">
        <v>337</v>
      </c>
      <c r="BY174" s="415" t="s">
        <v>337</v>
      </c>
      <c r="CB174" s="415" t="s">
        <v>337</v>
      </c>
      <c r="CE174" s="415" t="s">
        <v>337</v>
      </c>
      <c r="CH174" s="415" t="s">
        <v>337</v>
      </c>
      <c r="CK174" s="415" t="s">
        <v>337</v>
      </c>
      <c r="CN174" s="415" t="s">
        <v>337</v>
      </c>
      <c r="CQ174" s="415" t="s">
        <v>337</v>
      </c>
      <c r="CT174" s="415" t="s">
        <v>337</v>
      </c>
    </row>
    <row r="175" spans="1:98">
      <c r="A175" s="1" t="s">
        <v>703</v>
      </c>
      <c r="B175" s="416" t="s">
        <v>2901</v>
      </c>
      <c r="C175" s="415" t="s">
        <v>337</v>
      </c>
      <c r="F175" s="415" t="s">
        <v>337</v>
      </c>
      <c r="I175" s="415" t="s">
        <v>337</v>
      </c>
      <c r="L175" s="415" t="s">
        <v>337</v>
      </c>
      <c r="M175" s="213" t="s">
        <v>2902</v>
      </c>
      <c r="N175" s="416" t="s">
        <v>2903</v>
      </c>
      <c r="O175" s="415" t="s">
        <v>337</v>
      </c>
      <c r="R175" s="415" t="s">
        <v>337</v>
      </c>
      <c r="S175" s="213" t="s">
        <v>2904</v>
      </c>
      <c r="T175" s="416" t="s">
        <v>2905</v>
      </c>
      <c r="U175" s="415" t="s">
        <v>337</v>
      </c>
      <c r="X175" s="415"/>
      <c r="AA175" s="415"/>
      <c r="AD175" s="415"/>
      <c r="AE175" s="417" t="s">
        <v>2906</v>
      </c>
      <c r="AF175" s="416" t="s">
        <v>2907</v>
      </c>
      <c r="AG175" s="415"/>
      <c r="AJ175" s="415" t="s">
        <v>337</v>
      </c>
      <c r="AM175" s="415" t="s">
        <v>337</v>
      </c>
      <c r="AP175" s="415" t="s">
        <v>337</v>
      </c>
      <c r="AS175" s="415" t="s">
        <v>337</v>
      </c>
      <c r="AV175" s="415" t="s">
        <v>337</v>
      </c>
      <c r="AY175" s="415" t="s">
        <v>337</v>
      </c>
      <c r="AZ175" s="213">
        <v>324002</v>
      </c>
      <c r="BA175" s="416" t="s">
        <v>2908</v>
      </c>
      <c r="BB175" s="415" t="s">
        <v>337</v>
      </c>
      <c r="BE175" s="415" t="s">
        <v>337</v>
      </c>
      <c r="BH175" s="415" t="s">
        <v>337</v>
      </c>
      <c r="BM175" s="415" t="s">
        <v>337</v>
      </c>
      <c r="BN175" s="213" t="s">
        <v>2909</v>
      </c>
      <c r="BO175" s="416" t="s">
        <v>2910</v>
      </c>
      <c r="BP175" s="415" t="s">
        <v>337</v>
      </c>
      <c r="BS175" s="415"/>
      <c r="BV175" s="415" t="s">
        <v>337</v>
      </c>
      <c r="BY175" s="415" t="s">
        <v>337</v>
      </c>
      <c r="CB175" s="415" t="s">
        <v>337</v>
      </c>
      <c r="CE175" s="415" t="s">
        <v>337</v>
      </c>
      <c r="CH175" s="415" t="s">
        <v>337</v>
      </c>
      <c r="CK175" s="415" t="s">
        <v>337</v>
      </c>
      <c r="CN175" s="415" t="s">
        <v>337</v>
      </c>
      <c r="CQ175" s="415" t="s">
        <v>337</v>
      </c>
      <c r="CT175" s="415" t="s">
        <v>337</v>
      </c>
    </row>
    <row r="176" spans="1:98">
      <c r="A176" s="1" t="s">
        <v>703</v>
      </c>
      <c r="B176" s="416" t="s">
        <v>2911</v>
      </c>
      <c r="C176" s="415" t="s">
        <v>337</v>
      </c>
      <c r="F176" s="415" t="s">
        <v>337</v>
      </c>
      <c r="I176" s="415" t="s">
        <v>337</v>
      </c>
      <c r="L176" s="415" t="s">
        <v>337</v>
      </c>
      <c r="M176" s="213" t="s">
        <v>2912</v>
      </c>
      <c r="N176" s="416" t="s">
        <v>2913</v>
      </c>
      <c r="O176" s="415" t="s">
        <v>337</v>
      </c>
      <c r="R176" s="415" t="s">
        <v>337</v>
      </c>
      <c r="S176" s="213" t="s">
        <v>2914</v>
      </c>
      <c r="T176" s="416" t="s">
        <v>2915</v>
      </c>
      <c r="U176" s="415" t="s">
        <v>337</v>
      </c>
      <c r="X176" s="415"/>
      <c r="AA176" s="415"/>
      <c r="AD176" s="415"/>
      <c r="AE176" s="417" t="s">
        <v>2916</v>
      </c>
      <c r="AF176" s="416" t="s">
        <v>2917</v>
      </c>
      <c r="AG176" s="415"/>
      <c r="AJ176" s="415" t="s">
        <v>337</v>
      </c>
      <c r="AM176" s="415" t="s">
        <v>337</v>
      </c>
      <c r="AP176" s="415" t="s">
        <v>337</v>
      </c>
      <c r="AS176" s="415" t="s">
        <v>337</v>
      </c>
      <c r="AV176" s="415" t="s">
        <v>337</v>
      </c>
      <c r="AY176" s="415" t="s">
        <v>337</v>
      </c>
      <c r="AZ176" s="213">
        <v>324003</v>
      </c>
      <c r="BA176" s="416" t="s">
        <v>2918</v>
      </c>
      <c r="BB176" s="415" t="s">
        <v>337</v>
      </c>
      <c r="BE176" s="415" t="s">
        <v>337</v>
      </c>
      <c r="BH176" s="415" t="s">
        <v>337</v>
      </c>
      <c r="BM176" s="415" t="s">
        <v>337</v>
      </c>
      <c r="BN176" s="213" t="s">
        <v>2919</v>
      </c>
      <c r="BO176" s="416" t="s">
        <v>2920</v>
      </c>
      <c r="BP176" s="415" t="s">
        <v>337</v>
      </c>
      <c r="BS176" s="415"/>
      <c r="BV176" s="415" t="s">
        <v>337</v>
      </c>
      <c r="BY176" s="415" t="s">
        <v>337</v>
      </c>
      <c r="CB176" s="415" t="s">
        <v>337</v>
      </c>
      <c r="CE176" s="415" t="s">
        <v>337</v>
      </c>
      <c r="CH176" s="415" t="s">
        <v>337</v>
      </c>
      <c r="CK176" s="415" t="s">
        <v>337</v>
      </c>
      <c r="CN176" s="415" t="s">
        <v>337</v>
      </c>
      <c r="CQ176" s="415" t="s">
        <v>337</v>
      </c>
      <c r="CT176" s="415" t="s">
        <v>337</v>
      </c>
    </row>
    <row r="177" spans="1:98">
      <c r="A177" s="1" t="s">
        <v>703</v>
      </c>
      <c r="B177" s="416" t="s">
        <v>2921</v>
      </c>
      <c r="C177" s="415" t="s">
        <v>337</v>
      </c>
      <c r="F177" s="415" t="s">
        <v>337</v>
      </c>
      <c r="I177" s="415" t="s">
        <v>337</v>
      </c>
      <c r="L177" s="415" t="s">
        <v>337</v>
      </c>
      <c r="M177" s="213" t="s">
        <v>2922</v>
      </c>
      <c r="N177" s="416" t="s">
        <v>2923</v>
      </c>
      <c r="O177" s="415" t="s">
        <v>337</v>
      </c>
      <c r="R177" s="415" t="s">
        <v>337</v>
      </c>
      <c r="S177" s="213" t="s">
        <v>2924</v>
      </c>
      <c r="T177" s="416" t="s">
        <v>2925</v>
      </c>
      <c r="U177" s="415" t="s">
        <v>337</v>
      </c>
      <c r="X177" s="415"/>
      <c r="AA177" s="415"/>
      <c r="AD177" s="415"/>
      <c r="AE177" s="417" t="s">
        <v>2926</v>
      </c>
      <c r="AF177" s="416" t="s">
        <v>2927</v>
      </c>
      <c r="AG177" s="415"/>
      <c r="AJ177" s="415" t="s">
        <v>337</v>
      </c>
      <c r="AM177" s="415" t="s">
        <v>337</v>
      </c>
      <c r="AP177" s="415" t="s">
        <v>337</v>
      </c>
      <c r="AS177" s="415" t="s">
        <v>337</v>
      </c>
      <c r="AV177" s="415" t="s">
        <v>337</v>
      </c>
      <c r="AY177" s="415" t="s">
        <v>337</v>
      </c>
      <c r="AZ177" s="213">
        <v>324004</v>
      </c>
      <c r="BA177" s="416" t="s">
        <v>2928</v>
      </c>
      <c r="BB177" s="415" t="s">
        <v>337</v>
      </c>
      <c r="BE177" s="415" t="s">
        <v>337</v>
      </c>
      <c r="BH177" s="415" t="s">
        <v>337</v>
      </c>
      <c r="BM177" s="415" t="s">
        <v>337</v>
      </c>
      <c r="BN177" s="213" t="s">
        <v>333</v>
      </c>
      <c r="BO177" s="416" t="s">
        <v>2929</v>
      </c>
      <c r="BP177" s="415" t="s">
        <v>337</v>
      </c>
      <c r="BS177" s="415"/>
      <c r="BV177" s="415" t="s">
        <v>337</v>
      </c>
      <c r="BY177" s="415" t="s">
        <v>337</v>
      </c>
      <c r="CB177" s="415" t="s">
        <v>337</v>
      </c>
      <c r="CE177" s="415" t="s">
        <v>337</v>
      </c>
      <c r="CH177" s="415" t="s">
        <v>337</v>
      </c>
      <c r="CK177" s="415" t="s">
        <v>337</v>
      </c>
      <c r="CN177" s="415" t="s">
        <v>337</v>
      </c>
      <c r="CQ177" s="415" t="s">
        <v>337</v>
      </c>
      <c r="CT177" s="415" t="s">
        <v>337</v>
      </c>
    </row>
    <row r="178" spans="1:98">
      <c r="A178" s="1" t="s">
        <v>703</v>
      </c>
      <c r="B178" s="416" t="s">
        <v>2569</v>
      </c>
      <c r="C178" s="415" t="s">
        <v>337</v>
      </c>
      <c r="F178" s="415" t="s">
        <v>337</v>
      </c>
      <c r="I178" s="415" t="s">
        <v>337</v>
      </c>
      <c r="L178" s="415" t="s">
        <v>337</v>
      </c>
      <c r="M178" s="213" t="s">
        <v>2930</v>
      </c>
      <c r="N178" s="416" t="s">
        <v>2931</v>
      </c>
      <c r="O178" s="415" t="s">
        <v>337</v>
      </c>
      <c r="R178" s="415" t="s">
        <v>337</v>
      </c>
      <c r="S178" s="213" t="s">
        <v>2932</v>
      </c>
      <c r="T178" s="416" t="s">
        <v>2933</v>
      </c>
      <c r="U178" s="415" t="s">
        <v>337</v>
      </c>
      <c r="X178" s="415"/>
      <c r="AA178" s="415"/>
      <c r="AD178" s="415"/>
      <c r="AE178" s="417" t="s">
        <v>2934</v>
      </c>
      <c r="AF178" s="416" t="s">
        <v>2935</v>
      </c>
      <c r="AG178" s="415"/>
      <c r="AJ178" s="415" t="s">
        <v>337</v>
      </c>
      <c r="AM178" s="415" t="s">
        <v>337</v>
      </c>
      <c r="AP178" s="415" t="s">
        <v>337</v>
      </c>
      <c r="AS178" s="415" t="s">
        <v>337</v>
      </c>
      <c r="AV178" s="415" t="s">
        <v>337</v>
      </c>
      <c r="AY178" s="415" t="s">
        <v>337</v>
      </c>
      <c r="AZ178" s="213">
        <v>324005</v>
      </c>
      <c r="BA178" s="416" t="s">
        <v>2936</v>
      </c>
      <c r="BB178" s="415" t="s">
        <v>337</v>
      </c>
      <c r="BE178" s="415" t="s">
        <v>337</v>
      </c>
      <c r="BH178" s="415" t="s">
        <v>337</v>
      </c>
      <c r="BM178" s="415" t="s">
        <v>337</v>
      </c>
      <c r="BN178" s="213" t="s">
        <v>2937</v>
      </c>
      <c r="BO178" s="416" t="s">
        <v>2938</v>
      </c>
      <c r="BP178" s="415" t="s">
        <v>337</v>
      </c>
      <c r="BS178" s="415"/>
      <c r="BV178" s="415" t="s">
        <v>337</v>
      </c>
      <c r="BY178" s="415" t="s">
        <v>337</v>
      </c>
      <c r="CB178" s="415" t="s">
        <v>337</v>
      </c>
      <c r="CE178" s="415" t="s">
        <v>337</v>
      </c>
      <c r="CH178" s="415" t="s">
        <v>337</v>
      </c>
      <c r="CK178" s="415" t="s">
        <v>337</v>
      </c>
      <c r="CN178" s="415" t="s">
        <v>337</v>
      </c>
      <c r="CQ178" s="415" t="s">
        <v>337</v>
      </c>
      <c r="CT178" s="415" t="s">
        <v>337</v>
      </c>
    </row>
    <row r="179" spans="1:98">
      <c r="A179" s="1" t="s">
        <v>703</v>
      </c>
      <c r="B179" s="416" t="s">
        <v>2939</v>
      </c>
      <c r="C179" s="415" t="s">
        <v>337</v>
      </c>
      <c r="F179" s="415" t="s">
        <v>337</v>
      </c>
      <c r="I179" s="415" t="s">
        <v>337</v>
      </c>
      <c r="L179" s="415" t="s">
        <v>337</v>
      </c>
      <c r="M179" s="213" t="s">
        <v>2940</v>
      </c>
      <c r="N179" s="416" t="s">
        <v>2941</v>
      </c>
      <c r="O179" s="415" t="s">
        <v>337</v>
      </c>
      <c r="R179" s="415" t="s">
        <v>337</v>
      </c>
      <c r="S179" s="213" t="s">
        <v>2942</v>
      </c>
      <c r="T179" s="416" t="s">
        <v>2943</v>
      </c>
      <c r="U179" s="415" t="s">
        <v>337</v>
      </c>
      <c r="X179" s="415"/>
      <c r="AA179" s="415"/>
      <c r="AD179" s="415"/>
      <c r="AE179" s="417" t="s">
        <v>2944</v>
      </c>
      <c r="AF179" s="416" t="s">
        <v>2945</v>
      </c>
      <c r="AG179" s="415"/>
      <c r="AJ179" s="415" t="s">
        <v>337</v>
      </c>
      <c r="AM179" s="415" t="s">
        <v>337</v>
      </c>
      <c r="AP179" s="415" t="s">
        <v>337</v>
      </c>
      <c r="AS179" s="415" t="s">
        <v>337</v>
      </c>
      <c r="AV179" s="415" t="s">
        <v>337</v>
      </c>
      <c r="AY179" s="415" t="s">
        <v>337</v>
      </c>
      <c r="AZ179" s="213">
        <v>325001</v>
      </c>
      <c r="BA179" s="416" t="s">
        <v>2946</v>
      </c>
      <c r="BB179" s="415" t="s">
        <v>337</v>
      </c>
      <c r="BE179" s="415" t="s">
        <v>337</v>
      </c>
      <c r="BH179" s="415" t="s">
        <v>337</v>
      </c>
      <c r="BM179" s="415" t="s">
        <v>337</v>
      </c>
      <c r="BN179" s="213" t="s">
        <v>2947</v>
      </c>
      <c r="BO179" s="416" t="s">
        <v>2948</v>
      </c>
      <c r="BP179" s="415" t="s">
        <v>337</v>
      </c>
      <c r="BS179" s="415"/>
      <c r="BV179" s="415" t="s">
        <v>337</v>
      </c>
      <c r="BY179" s="415" t="s">
        <v>337</v>
      </c>
      <c r="CB179" s="415" t="s">
        <v>337</v>
      </c>
      <c r="CE179" s="415" t="s">
        <v>337</v>
      </c>
      <c r="CH179" s="415" t="s">
        <v>337</v>
      </c>
      <c r="CK179" s="415" t="s">
        <v>337</v>
      </c>
      <c r="CN179" s="415" t="s">
        <v>337</v>
      </c>
      <c r="CQ179" s="415" t="s">
        <v>337</v>
      </c>
      <c r="CT179" s="415" t="s">
        <v>337</v>
      </c>
    </row>
    <row r="180" spans="1:98">
      <c r="A180" s="1" t="s">
        <v>703</v>
      </c>
      <c r="B180" s="416" t="s">
        <v>2949</v>
      </c>
      <c r="C180" s="415" t="s">
        <v>337</v>
      </c>
      <c r="F180" s="415" t="s">
        <v>337</v>
      </c>
      <c r="I180" s="415" t="s">
        <v>337</v>
      </c>
      <c r="L180" s="415" t="s">
        <v>337</v>
      </c>
      <c r="M180" s="213" t="s">
        <v>2950</v>
      </c>
      <c r="N180" s="416" t="s">
        <v>2951</v>
      </c>
      <c r="O180" s="415" t="s">
        <v>337</v>
      </c>
      <c r="R180" s="415" t="s">
        <v>337</v>
      </c>
      <c r="S180" s="213" t="s">
        <v>2952</v>
      </c>
      <c r="T180" s="416" t="s">
        <v>2953</v>
      </c>
      <c r="U180" s="415" t="s">
        <v>337</v>
      </c>
      <c r="X180" s="415"/>
      <c r="AA180" s="415"/>
      <c r="AD180" s="415"/>
      <c r="AE180" s="417" t="s">
        <v>2954</v>
      </c>
      <c r="AF180" s="416" t="s">
        <v>2955</v>
      </c>
      <c r="AG180" s="415"/>
      <c r="AJ180" s="415" t="s">
        <v>337</v>
      </c>
      <c r="AM180" s="415" t="s">
        <v>337</v>
      </c>
      <c r="AP180" s="415" t="s">
        <v>337</v>
      </c>
      <c r="AS180" s="415" t="s">
        <v>337</v>
      </c>
      <c r="AV180" s="415" t="s">
        <v>337</v>
      </c>
      <c r="AY180" s="415" t="s">
        <v>337</v>
      </c>
      <c r="AZ180" s="213">
        <v>325002</v>
      </c>
      <c r="BA180" s="416" t="s">
        <v>2956</v>
      </c>
      <c r="BB180" s="415" t="s">
        <v>337</v>
      </c>
      <c r="BE180" s="415" t="s">
        <v>337</v>
      </c>
      <c r="BH180" s="415" t="s">
        <v>337</v>
      </c>
      <c r="BM180" s="415" t="s">
        <v>337</v>
      </c>
      <c r="BN180" s="213" t="s">
        <v>2957</v>
      </c>
      <c r="BO180" s="416" t="s">
        <v>2958</v>
      </c>
      <c r="BP180" s="415" t="s">
        <v>337</v>
      </c>
      <c r="BS180" s="415"/>
      <c r="BV180" s="415" t="s">
        <v>337</v>
      </c>
      <c r="BY180" s="415" t="s">
        <v>337</v>
      </c>
      <c r="CB180" s="415" t="s">
        <v>337</v>
      </c>
      <c r="CE180" s="415" t="s">
        <v>337</v>
      </c>
      <c r="CH180" s="415" t="s">
        <v>337</v>
      </c>
      <c r="CK180" s="415" t="s">
        <v>337</v>
      </c>
      <c r="CN180" s="415" t="s">
        <v>337</v>
      </c>
      <c r="CQ180" s="415" t="s">
        <v>337</v>
      </c>
      <c r="CT180" s="415" t="s">
        <v>337</v>
      </c>
    </row>
    <row r="181" spans="1:98">
      <c r="A181" s="1" t="s">
        <v>703</v>
      </c>
      <c r="B181" s="416" t="s">
        <v>2664</v>
      </c>
      <c r="C181" s="415" t="s">
        <v>337</v>
      </c>
      <c r="F181" s="415" t="s">
        <v>337</v>
      </c>
      <c r="I181" s="415" t="s">
        <v>337</v>
      </c>
      <c r="L181" s="415" t="s">
        <v>337</v>
      </c>
      <c r="M181" s="213" t="s">
        <v>2959</v>
      </c>
      <c r="N181" s="416" t="s">
        <v>2960</v>
      </c>
      <c r="O181" s="415" t="s">
        <v>337</v>
      </c>
      <c r="R181" s="415" t="s">
        <v>337</v>
      </c>
      <c r="S181" s="213" t="s">
        <v>2961</v>
      </c>
      <c r="T181" s="416" t="s">
        <v>2962</v>
      </c>
      <c r="U181" s="415" t="s">
        <v>337</v>
      </c>
      <c r="X181" s="415"/>
      <c r="AA181" s="415"/>
      <c r="AD181" s="415"/>
      <c r="AE181" s="417" t="s">
        <v>2963</v>
      </c>
      <c r="AF181" s="416" t="s">
        <v>2964</v>
      </c>
      <c r="AG181" s="415"/>
      <c r="AJ181" s="415" t="s">
        <v>337</v>
      </c>
      <c r="AM181" s="415" t="s">
        <v>337</v>
      </c>
      <c r="AP181" s="415" t="s">
        <v>337</v>
      </c>
      <c r="AS181" s="415" t="s">
        <v>337</v>
      </c>
      <c r="AV181" s="415" t="s">
        <v>337</v>
      </c>
      <c r="AY181" s="415" t="s">
        <v>337</v>
      </c>
      <c r="AZ181" s="213">
        <v>325003</v>
      </c>
      <c r="BA181" s="416" t="s">
        <v>2965</v>
      </c>
      <c r="BB181" s="415" t="s">
        <v>337</v>
      </c>
      <c r="BE181" s="415" t="s">
        <v>337</v>
      </c>
      <c r="BH181" s="415" t="s">
        <v>337</v>
      </c>
      <c r="BM181" s="415" t="s">
        <v>337</v>
      </c>
      <c r="BN181" s="213" t="s">
        <v>2966</v>
      </c>
      <c r="BO181" s="416" t="s">
        <v>2967</v>
      </c>
      <c r="BP181" s="415" t="s">
        <v>337</v>
      </c>
      <c r="BS181" s="415"/>
      <c r="BV181" s="415" t="s">
        <v>337</v>
      </c>
      <c r="BY181" s="415" t="s">
        <v>337</v>
      </c>
      <c r="CB181" s="415" t="s">
        <v>337</v>
      </c>
      <c r="CE181" s="415" t="s">
        <v>337</v>
      </c>
      <c r="CH181" s="415" t="s">
        <v>337</v>
      </c>
      <c r="CK181" s="415" t="s">
        <v>337</v>
      </c>
      <c r="CN181" s="415" t="s">
        <v>337</v>
      </c>
      <c r="CQ181" s="415" t="s">
        <v>337</v>
      </c>
      <c r="CT181" s="415" t="s">
        <v>337</v>
      </c>
    </row>
    <row r="182" spans="1:98">
      <c r="A182" s="1" t="s">
        <v>703</v>
      </c>
      <c r="B182" s="416" t="s">
        <v>2968</v>
      </c>
      <c r="C182" s="415" t="s">
        <v>337</v>
      </c>
      <c r="F182" s="415" t="s">
        <v>337</v>
      </c>
      <c r="I182" s="415" t="s">
        <v>337</v>
      </c>
      <c r="L182" s="415" t="s">
        <v>337</v>
      </c>
      <c r="M182" s="213" t="s">
        <v>2969</v>
      </c>
      <c r="N182" s="416" t="s">
        <v>2970</v>
      </c>
      <c r="O182" s="415" t="s">
        <v>337</v>
      </c>
      <c r="R182" s="415" t="s">
        <v>337</v>
      </c>
      <c r="S182" s="213" t="s">
        <v>2971</v>
      </c>
      <c r="T182" s="416" t="s">
        <v>2972</v>
      </c>
      <c r="U182" s="415" t="s">
        <v>337</v>
      </c>
      <c r="X182" s="415"/>
      <c r="AA182" s="415"/>
      <c r="AD182" s="415"/>
      <c r="AE182" s="417" t="s">
        <v>2973</v>
      </c>
      <c r="AF182" s="416" t="s">
        <v>2974</v>
      </c>
      <c r="AG182" s="415"/>
      <c r="AJ182" s="415" t="s">
        <v>337</v>
      </c>
      <c r="AM182" s="415" t="s">
        <v>337</v>
      </c>
      <c r="AP182" s="415" t="s">
        <v>337</v>
      </c>
      <c r="AS182" s="415" t="s">
        <v>337</v>
      </c>
      <c r="AV182" s="415" t="s">
        <v>337</v>
      </c>
      <c r="AY182" s="415" t="s">
        <v>337</v>
      </c>
      <c r="AZ182" s="213">
        <v>325004</v>
      </c>
      <c r="BA182" s="416" t="s">
        <v>2975</v>
      </c>
      <c r="BB182" s="415" t="s">
        <v>337</v>
      </c>
      <c r="BE182" s="415" t="s">
        <v>337</v>
      </c>
      <c r="BH182" s="415" t="s">
        <v>337</v>
      </c>
      <c r="BM182" s="415" t="s">
        <v>337</v>
      </c>
      <c r="BN182" s="213" t="s">
        <v>2976</v>
      </c>
      <c r="BO182" s="416" t="s">
        <v>2977</v>
      </c>
      <c r="BP182" s="415" t="s">
        <v>337</v>
      </c>
      <c r="BS182" s="415"/>
      <c r="BV182" s="415" t="s">
        <v>337</v>
      </c>
      <c r="BY182" s="415" t="s">
        <v>337</v>
      </c>
      <c r="CB182" s="415" t="s">
        <v>337</v>
      </c>
      <c r="CE182" s="415" t="s">
        <v>337</v>
      </c>
      <c r="CH182" s="415" t="s">
        <v>337</v>
      </c>
      <c r="CK182" s="415" t="s">
        <v>337</v>
      </c>
      <c r="CN182" s="415" t="s">
        <v>337</v>
      </c>
      <c r="CQ182" s="415" t="s">
        <v>337</v>
      </c>
      <c r="CT182" s="415" t="s">
        <v>337</v>
      </c>
    </row>
    <row r="183" spans="1:98">
      <c r="A183" s="1" t="s">
        <v>703</v>
      </c>
      <c r="B183" s="416" t="s">
        <v>2697</v>
      </c>
      <c r="C183" s="415" t="s">
        <v>337</v>
      </c>
      <c r="F183" s="415" t="s">
        <v>337</v>
      </c>
      <c r="I183" s="415" t="s">
        <v>337</v>
      </c>
      <c r="L183" s="415" t="s">
        <v>337</v>
      </c>
      <c r="M183" s="213" t="s">
        <v>2978</v>
      </c>
      <c r="N183" s="416" t="s">
        <v>2979</v>
      </c>
      <c r="O183" s="415" t="s">
        <v>337</v>
      </c>
      <c r="R183" s="415" t="s">
        <v>337</v>
      </c>
      <c r="S183" s="213" t="s">
        <v>2980</v>
      </c>
      <c r="T183" s="416" t="s">
        <v>2981</v>
      </c>
      <c r="U183" s="415" t="s">
        <v>337</v>
      </c>
      <c r="X183" s="415"/>
      <c r="AA183" s="415"/>
      <c r="AD183" s="415"/>
      <c r="AE183" s="417" t="s">
        <v>2982</v>
      </c>
      <c r="AF183" s="416" t="s">
        <v>2983</v>
      </c>
      <c r="AG183" s="415"/>
      <c r="AJ183" s="415" t="s">
        <v>337</v>
      </c>
      <c r="AM183" s="415" t="s">
        <v>337</v>
      </c>
      <c r="AP183" s="415" t="s">
        <v>337</v>
      </c>
      <c r="AS183" s="415" t="s">
        <v>337</v>
      </c>
      <c r="AV183" s="415" t="s">
        <v>337</v>
      </c>
      <c r="AY183" s="415" t="s">
        <v>337</v>
      </c>
      <c r="AZ183" s="213">
        <v>325005</v>
      </c>
      <c r="BA183" s="416" t="s">
        <v>2984</v>
      </c>
      <c r="BB183" s="415" t="s">
        <v>337</v>
      </c>
      <c r="BE183" s="415" t="s">
        <v>337</v>
      </c>
      <c r="BH183" s="415" t="s">
        <v>337</v>
      </c>
      <c r="BM183" s="415" t="s">
        <v>337</v>
      </c>
      <c r="BN183" s="213" t="s">
        <v>2985</v>
      </c>
      <c r="BO183" s="416" t="s">
        <v>2986</v>
      </c>
      <c r="BP183" s="415" t="s">
        <v>337</v>
      </c>
      <c r="BS183" s="415"/>
      <c r="BV183" s="415" t="s">
        <v>337</v>
      </c>
      <c r="BY183" s="415" t="s">
        <v>337</v>
      </c>
      <c r="CB183" s="415" t="s">
        <v>337</v>
      </c>
      <c r="CE183" s="415" t="s">
        <v>337</v>
      </c>
      <c r="CH183" s="415" t="s">
        <v>337</v>
      </c>
      <c r="CK183" s="415" t="s">
        <v>337</v>
      </c>
      <c r="CN183" s="415" t="s">
        <v>337</v>
      </c>
      <c r="CQ183" s="415" t="s">
        <v>337</v>
      </c>
      <c r="CT183" s="415" t="s">
        <v>337</v>
      </c>
    </row>
    <row r="184" spans="1:98">
      <c r="A184" s="1" t="s">
        <v>731</v>
      </c>
      <c r="B184" s="416" t="s">
        <v>2987</v>
      </c>
      <c r="C184" s="415" t="s">
        <v>337</v>
      </c>
      <c r="F184" s="415" t="s">
        <v>337</v>
      </c>
      <c r="I184" s="415" t="s">
        <v>337</v>
      </c>
      <c r="L184" s="415" t="s">
        <v>337</v>
      </c>
      <c r="M184" s="213" t="s">
        <v>2988</v>
      </c>
      <c r="N184" s="416" t="s">
        <v>2989</v>
      </c>
      <c r="O184" s="415" t="s">
        <v>337</v>
      </c>
      <c r="R184" s="415" t="s">
        <v>337</v>
      </c>
      <c r="S184" s="213" t="s">
        <v>2990</v>
      </c>
      <c r="T184" s="416" t="s">
        <v>2991</v>
      </c>
      <c r="U184" s="415" t="s">
        <v>337</v>
      </c>
      <c r="X184" s="415"/>
      <c r="AA184" s="415"/>
      <c r="AD184" s="415"/>
      <c r="AE184" s="417" t="s">
        <v>2992</v>
      </c>
      <c r="AF184" s="416" t="s">
        <v>2993</v>
      </c>
      <c r="AG184" s="415"/>
      <c r="AJ184" s="415" t="s">
        <v>337</v>
      </c>
      <c r="AM184" s="415" t="s">
        <v>337</v>
      </c>
      <c r="AP184" s="415" t="s">
        <v>337</v>
      </c>
      <c r="AS184" s="415" t="s">
        <v>337</v>
      </c>
      <c r="AV184" s="415" t="s">
        <v>337</v>
      </c>
      <c r="AY184" s="415" t="s">
        <v>337</v>
      </c>
      <c r="AZ184" s="213">
        <v>331001</v>
      </c>
      <c r="BA184" s="416" t="s">
        <v>2994</v>
      </c>
      <c r="BB184" s="415" t="s">
        <v>337</v>
      </c>
      <c r="BE184" s="415" t="s">
        <v>337</v>
      </c>
      <c r="BH184" s="415" t="s">
        <v>337</v>
      </c>
      <c r="BM184" s="415" t="s">
        <v>337</v>
      </c>
      <c r="BN184" s="213" t="s">
        <v>2995</v>
      </c>
      <c r="BO184" s="416" t="s">
        <v>2996</v>
      </c>
      <c r="BP184" s="415" t="s">
        <v>337</v>
      </c>
      <c r="BS184" s="415"/>
      <c r="BV184" s="415" t="s">
        <v>337</v>
      </c>
      <c r="BY184" s="415" t="s">
        <v>337</v>
      </c>
      <c r="CB184" s="415" t="s">
        <v>337</v>
      </c>
      <c r="CE184" s="415" t="s">
        <v>337</v>
      </c>
      <c r="CH184" s="415" t="s">
        <v>337</v>
      </c>
      <c r="CK184" s="415" t="s">
        <v>337</v>
      </c>
      <c r="CN184" s="415" t="s">
        <v>337</v>
      </c>
      <c r="CQ184" s="415" t="s">
        <v>337</v>
      </c>
      <c r="CT184" s="415" t="s">
        <v>337</v>
      </c>
    </row>
    <row r="185" spans="1:98">
      <c r="A185" s="1" t="s">
        <v>731</v>
      </c>
      <c r="B185" s="416" t="s">
        <v>2997</v>
      </c>
      <c r="C185" s="415" t="s">
        <v>337</v>
      </c>
      <c r="F185" s="415" t="s">
        <v>337</v>
      </c>
      <c r="I185" s="415" t="s">
        <v>337</v>
      </c>
      <c r="L185" s="415" t="s">
        <v>337</v>
      </c>
      <c r="M185" s="213" t="s">
        <v>2998</v>
      </c>
      <c r="N185" s="416" t="s">
        <v>2999</v>
      </c>
      <c r="O185" s="415" t="s">
        <v>337</v>
      </c>
      <c r="R185" s="415" t="s">
        <v>337</v>
      </c>
      <c r="S185" s="213" t="s">
        <v>3000</v>
      </c>
      <c r="T185" s="416" t="s">
        <v>3001</v>
      </c>
      <c r="U185" s="415" t="s">
        <v>337</v>
      </c>
      <c r="X185" s="415"/>
      <c r="AA185" s="415"/>
      <c r="AD185" s="415"/>
      <c r="AE185" s="417" t="s">
        <v>3002</v>
      </c>
      <c r="AF185" s="416" t="s">
        <v>3003</v>
      </c>
      <c r="AG185" s="415"/>
      <c r="AJ185" s="415" t="s">
        <v>337</v>
      </c>
      <c r="AM185" s="415" t="s">
        <v>337</v>
      </c>
      <c r="AP185" s="415" t="s">
        <v>337</v>
      </c>
      <c r="AS185" s="415" t="s">
        <v>337</v>
      </c>
      <c r="AV185" s="415" t="s">
        <v>337</v>
      </c>
      <c r="AY185" s="415" t="s">
        <v>337</v>
      </c>
      <c r="AZ185" s="213">
        <v>331002</v>
      </c>
      <c r="BA185" s="416" t="s">
        <v>3004</v>
      </c>
      <c r="BB185" s="415" t="s">
        <v>337</v>
      </c>
      <c r="BE185" s="415" t="s">
        <v>337</v>
      </c>
      <c r="BH185" s="415" t="s">
        <v>337</v>
      </c>
      <c r="BM185" s="415" t="s">
        <v>337</v>
      </c>
      <c r="BN185" s="213" t="s">
        <v>3005</v>
      </c>
      <c r="BO185" s="416" t="s">
        <v>3006</v>
      </c>
      <c r="BP185" s="415" t="s">
        <v>337</v>
      </c>
      <c r="BS185" s="415"/>
      <c r="BV185" s="415" t="s">
        <v>337</v>
      </c>
      <c r="BY185" s="415" t="s">
        <v>337</v>
      </c>
      <c r="CB185" s="415" t="s">
        <v>337</v>
      </c>
      <c r="CE185" s="415" t="s">
        <v>337</v>
      </c>
      <c r="CH185" s="415" t="s">
        <v>337</v>
      </c>
      <c r="CK185" s="415" t="s">
        <v>337</v>
      </c>
      <c r="CN185" s="415" t="s">
        <v>337</v>
      </c>
      <c r="CQ185" s="415" t="s">
        <v>337</v>
      </c>
      <c r="CT185" s="415" t="s">
        <v>337</v>
      </c>
    </row>
    <row r="186" spans="1:98">
      <c r="A186" s="1" t="s">
        <v>731</v>
      </c>
      <c r="B186" s="416" t="s">
        <v>3007</v>
      </c>
      <c r="C186" s="415" t="s">
        <v>337</v>
      </c>
      <c r="F186" s="415" t="s">
        <v>337</v>
      </c>
      <c r="I186" s="415" t="s">
        <v>337</v>
      </c>
      <c r="L186" s="415" t="s">
        <v>337</v>
      </c>
      <c r="M186" s="213" t="s">
        <v>3008</v>
      </c>
      <c r="N186" s="416" t="s">
        <v>3009</v>
      </c>
      <c r="O186" s="415" t="s">
        <v>337</v>
      </c>
      <c r="R186" s="415" t="s">
        <v>337</v>
      </c>
      <c r="S186" s="213" t="s">
        <v>3010</v>
      </c>
      <c r="T186" s="416" t="s">
        <v>3011</v>
      </c>
      <c r="U186" s="415" t="s">
        <v>337</v>
      </c>
      <c r="X186" s="415"/>
      <c r="AA186" s="415"/>
      <c r="AD186" s="415"/>
      <c r="AE186" s="417" t="s">
        <v>3012</v>
      </c>
      <c r="AF186" s="416" t="s">
        <v>3013</v>
      </c>
      <c r="AG186" s="415"/>
      <c r="AJ186" s="415" t="s">
        <v>337</v>
      </c>
      <c r="AM186" s="415" t="s">
        <v>337</v>
      </c>
      <c r="AP186" s="415" t="s">
        <v>337</v>
      </c>
      <c r="AS186" s="415" t="s">
        <v>337</v>
      </c>
      <c r="AV186" s="415" t="s">
        <v>337</v>
      </c>
      <c r="AY186" s="415" t="s">
        <v>337</v>
      </c>
      <c r="AZ186" s="213">
        <v>331003</v>
      </c>
      <c r="BA186" s="416" t="s">
        <v>3014</v>
      </c>
      <c r="BB186" s="415" t="s">
        <v>337</v>
      </c>
      <c r="BE186" s="415" t="s">
        <v>337</v>
      </c>
      <c r="BH186" s="415" t="s">
        <v>337</v>
      </c>
      <c r="BM186" s="415" t="s">
        <v>337</v>
      </c>
      <c r="BN186" s="213" t="s">
        <v>3015</v>
      </c>
      <c r="BO186" s="416" t="s">
        <v>3016</v>
      </c>
      <c r="BP186" s="415" t="s">
        <v>337</v>
      </c>
      <c r="BS186" s="415"/>
      <c r="BV186" s="415" t="s">
        <v>337</v>
      </c>
      <c r="BY186" s="415" t="s">
        <v>337</v>
      </c>
      <c r="CB186" s="415" t="s">
        <v>337</v>
      </c>
      <c r="CE186" s="415" t="s">
        <v>337</v>
      </c>
      <c r="CH186" s="415" t="s">
        <v>337</v>
      </c>
      <c r="CK186" s="415" t="s">
        <v>337</v>
      </c>
      <c r="CN186" s="415" t="s">
        <v>337</v>
      </c>
      <c r="CQ186" s="415" t="s">
        <v>337</v>
      </c>
      <c r="CT186" s="415" t="s">
        <v>337</v>
      </c>
    </row>
    <row r="187" spans="1:98">
      <c r="A187" s="1" t="s">
        <v>731</v>
      </c>
      <c r="B187" s="416" t="s">
        <v>3017</v>
      </c>
      <c r="C187" s="415" t="s">
        <v>337</v>
      </c>
      <c r="F187" s="415" t="s">
        <v>337</v>
      </c>
      <c r="I187" s="415" t="s">
        <v>337</v>
      </c>
      <c r="L187" s="415" t="s">
        <v>337</v>
      </c>
      <c r="M187" s="213" t="s">
        <v>3018</v>
      </c>
      <c r="N187" s="416" t="s">
        <v>3019</v>
      </c>
      <c r="O187" s="415" t="s">
        <v>337</v>
      </c>
      <c r="R187" s="415" t="s">
        <v>337</v>
      </c>
      <c r="S187" s="213" t="s">
        <v>3020</v>
      </c>
      <c r="T187" s="416" t="s">
        <v>3021</v>
      </c>
      <c r="U187" s="415" t="s">
        <v>337</v>
      </c>
      <c r="X187" s="415"/>
      <c r="AA187" s="415"/>
      <c r="AD187" s="415"/>
      <c r="AE187" s="417" t="s">
        <v>3022</v>
      </c>
      <c r="AF187" s="416" t="s">
        <v>3023</v>
      </c>
      <c r="AG187" s="415"/>
      <c r="AJ187" s="415" t="s">
        <v>337</v>
      </c>
      <c r="AM187" s="415" t="s">
        <v>337</v>
      </c>
      <c r="AP187" s="415" t="s">
        <v>337</v>
      </c>
      <c r="AS187" s="415" t="s">
        <v>337</v>
      </c>
      <c r="AV187" s="415" t="s">
        <v>337</v>
      </c>
      <c r="AY187" s="415" t="s">
        <v>337</v>
      </c>
      <c r="AZ187" s="213">
        <v>331004</v>
      </c>
      <c r="BA187" s="416" t="s">
        <v>3024</v>
      </c>
      <c r="BB187" s="415" t="s">
        <v>337</v>
      </c>
      <c r="BE187" s="415" t="s">
        <v>337</v>
      </c>
      <c r="BH187" s="415" t="s">
        <v>337</v>
      </c>
      <c r="BM187" s="415" t="s">
        <v>337</v>
      </c>
      <c r="BN187" s="213" t="s">
        <v>3025</v>
      </c>
      <c r="BO187" s="416" t="s">
        <v>3026</v>
      </c>
      <c r="BP187" s="415" t="s">
        <v>337</v>
      </c>
      <c r="BS187" s="415"/>
      <c r="BV187" s="415" t="s">
        <v>337</v>
      </c>
      <c r="BY187" s="415" t="s">
        <v>337</v>
      </c>
      <c r="CB187" s="415" t="s">
        <v>337</v>
      </c>
      <c r="CE187" s="415" t="s">
        <v>337</v>
      </c>
      <c r="CH187" s="415" t="s">
        <v>337</v>
      </c>
      <c r="CK187" s="415" t="s">
        <v>337</v>
      </c>
      <c r="CN187" s="415" t="s">
        <v>337</v>
      </c>
      <c r="CQ187" s="415" t="s">
        <v>337</v>
      </c>
      <c r="CT187" s="415" t="s">
        <v>337</v>
      </c>
    </row>
    <row r="188" spans="1:98">
      <c r="A188" s="1" t="s">
        <v>731</v>
      </c>
      <c r="B188" s="416" t="s">
        <v>3027</v>
      </c>
      <c r="C188" s="415" t="s">
        <v>337</v>
      </c>
      <c r="F188" s="415" t="s">
        <v>337</v>
      </c>
      <c r="I188" s="415" t="s">
        <v>337</v>
      </c>
      <c r="L188" s="415" t="s">
        <v>337</v>
      </c>
      <c r="M188" s="213" t="s">
        <v>3028</v>
      </c>
      <c r="N188" s="416" t="s">
        <v>3029</v>
      </c>
      <c r="O188" s="415" t="s">
        <v>337</v>
      </c>
      <c r="R188" s="415" t="s">
        <v>337</v>
      </c>
      <c r="S188" s="213" t="s">
        <v>3030</v>
      </c>
      <c r="T188" s="416" t="s">
        <v>3031</v>
      </c>
      <c r="U188" s="415" t="s">
        <v>337</v>
      </c>
      <c r="X188" s="415"/>
      <c r="AA188" s="415"/>
      <c r="AD188" s="415"/>
      <c r="AE188" s="417" t="s">
        <v>3032</v>
      </c>
      <c r="AF188" s="416" t="s">
        <v>3033</v>
      </c>
      <c r="AG188" s="415"/>
      <c r="AJ188" s="415" t="s">
        <v>337</v>
      </c>
      <c r="AM188" s="415" t="s">
        <v>337</v>
      </c>
      <c r="AP188" s="415" t="s">
        <v>337</v>
      </c>
      <c r="AS188" s="415" t="s">
        <v>337</v>
      </c>
      <c r="AV188" s="415" t="s">
        <v>337</v>
      </c>
      <c r="AY188" s="415" t="s">
        <v>337</v>
      </c>
      <c r="AZ188" s="213">
        <v>331005</v>
      </c>
      <c r="BA188" s="416" t="s">
        <v>3034</v>
      </c>
      <c r="BB188" s="415" t="s">
        <v>337</v>
      </c>
      <c r="BE188" s="415" t="s">
        <v>337</v>
      </c>
      <c r="BH188" s="415" t="s">
        <v>337</v>
      </c>
      <c r="BM188" s="415" t="s">
        <v>337</v>
      </c>
      <c r="BN188" s="213" t="s">
        <v>3035</v>
      </c>
      <c r="BO188" s="416" t="s">
        <v>3036</v>
      </c>
      <c r="BP188" s="415" t="s">
        <v>337</v>
      </c>
      <c r="BS188" s="415"/>
      <c r="BV188" s="415" t="s">
        <v>337</v>
      </c>
      <c r="BY188" s="415" t="s">
        <v>337</v>
      </c>
      <c r="CB188" s="415" t="s">
        <v>337</v>
      </c>
      <c r="CE188" s="415" t="s">
        <v>337</v>
      </c>
      <c r="CH188" s="415" t="s">
        <v>337</v>
      </c>
      <c r="CK188" s="415" t="s">
        <v>337</v>
      </c>
      <c r="CN188" s="415" t="s">
        <v>337</v>
      </c>
      <c r="CQ188" s="415" t="s">
        <v>337</v>
      </c>
      <c r="CT188" s="415" t="s">
        <v>337</v>
      </c>
    </row>
    <row r="189" spans="1:98">
      <c r="A189" s="1" t="s">
        <v>731</v>
      </c>
      <c r="B189" s="416" t="s">
        <v>3037</v>
      </c>
      <c r="C189" s="415" t="s">
        <v>337</v>
      </c>
      <c r="F189" s="415" t="s">
        <v>337</v>
      </c>
      <c r="I189" s="415" t="s">
        <v>337</v>
      </c>
      <c r="L189" s="415" t="s">
        <v>337</v>
      </c>
      <c r="M189" s="213" t="s">
        <v>3038</v>
      </c>
      <c r="N189" s="416" t="s">
        <v>3039</v>
      </c>
      <c r="O189" s="415" t="s">
        <v>337</v>
      </c>
      <c r="R189" s="415" t="s">
        <v>337</v>
      </c>
      <c r="S189" s="213" t="s">
        <v>3040</v>
      </c>
      <c r="T189" s="416" t="s">
        <v>3041</v>
      </c>
      <c r="U189" s="415" t="s">
        <v>337</v>
      </c>
      <c r="X189" s="415"/>
      <c r="AA189" s="415"/>
      <c r="AD189" s="415"/>
      <c r="AE189" s="417" t="s">
        <v>3042</v>
      </c>
      <c r="AF189" s="416" t="s">
        <v>3043</v>
      </c>
      <c r="AG189" s="415"/>
      <c r="AJ189" s="415" t="s">
        <v>337</v>
      </c>
      <c r="AM189" s="415" t="s">
        <v>337</v>
      </c>
      <c r="AP189" s="415" t="s">
        <v>337</v>
      </c>
      <c r="AS189" s="415" t="s">
        <v>337</v>
      </c>
      <c r="AV189" s="415" t="s">
        <v>337</v>
      </c>
      <c r="AY189" s="415" t="s">
        <v>337</v>
      </c>
      <c r="AZ189" s="213">
        <v>332001</v>
      </c>
      <c r="BA189" s="416" t="s">
        <v>3044</v>
      </c>
      <c r="BB189" s="415" t="s">
        <v>337</v>
      </c>
      <c r="BE189" s="415" t="s">
        <v>337</v>
      </c>
      <c r="BH189" s="415" t="s">
        <v>337</v>
      </c>
      <c r="BM189" s="415" t="s">
        <v>337</v>
      </c>
      <c r="BN189" s="213" t="s">
        <v>3045</v>
      </c>
      <c r="BO189" s="416" t="s">
        <v>3046</v>
      </c>
      <c r="BP189" s="415" t="s">
        <v>337</v>
      </c>
      <c r="BS189" s="415"/>
      <c r="BV189" s="415" t="s">
        <v>337</v>
      </c>
      <c r="BY189" s="415" t="s">
        <v>337</v>
      </c>
      <c r="CB189" s="415" t="s">
        <v>337</v>
      </c>
      <c r="CE189" s="415" t="s">
        <v>337</v>
      </c>
      <c r="CH189" s="415" t="s">
        <v>337</v>
      </c>
      <c r="CK189" s="415" t="s">
        <v>337</v>
      </c>
      <c r="CN189" s="415" t="s">
        <v>337</v>
      </c>
      <c r="CQ189" s="415" t="s">
        <v>337</v>
      </c>
      <c r="CT189" s="415" t="s">
        <v>337</v>
      </c>
    </row>
    <row r="190" spans="1:98">
      <c r="A190" s="1" t="s">
        <v>731</v>
      </c>
      <c r="B190" s="416" t="s">
        <v>3047</v>
      </c>
      <c r="C190" s="415" t="s">
        <v>337</v>
      </c>
      <c r="F190" s="415" t="s">
        <v>337</v>
      </c>
      <c r="I190" s="415" t="s">
        <v>337</v>
      </c>
      <c r="L190" s="415" t="s">
        <v>337</v>
      </c>
      <c r="M190" s="213" t="s">
        <v>3048</v>
      </c>
      <c r="N190" s="416" t="s">
        <v>3049</v>
      </c>
      <c r="O190" s="415" t="s">
        <v>337</v>
      </c>
      <c r="R190" s="415" t="s">
        <v>337</v>
      </c>
      <c r="S190" s="213" t="s">
        <v>3050</v>
      </c>
      <c r="T190" s="416" t="s">
        <v>3051</v>
      </c>
      <c r="U190" s="415" t="s">
        <v>337</v>
      </c>
      <c r="X190" s="415"/>
      <c r="AA190" s="415"/>
      <c r="AD190" s="415"/>
      <c r="AE190" s="417" t="s">
        <v>3052</v>
      </c>
      <c r="AF190" s="416" t="s">
        <v>3053</v>
      </c>
      <c r="AG190" s="415"/>
      <c r="AJ190" s="415" t="s">
        <v>337</v>
      </c>
      <c r="AM190" s="415" t="s">
        <v>337</v>
      </c>
      <c r="AP190" s="415" t="s">
        <v>337</v>
      </c>
      <c r="AS190" s="415" t="s">
        <v>337</v>
      </c>
      <c r="AV190" s="415" t="s">
        <v>337</v>
      </c>
      <c r="AY190" s="415" t="s">
        <v>337</v>
      </c>
      <c r="AZ190" s="213">
        <v>332002</v>
      </c>
      <c r="BA190" s="416" t="s">
        <v>3054</v>
      </c>
      <c r="BB190" s="415" t="s">
        <v>337</v>
      </c>
      <c r="BE190" s="415" t="s">
        <v>337</v>
      </c>
      <c r="BH190" s="415" t="s">
        <v>337</v>
      </c>
      <c r="BM190" s="415" t="s">
        <v>337</v>
      </c>
      <c r="BN190" s="213" t="s">
        <v>3055</v>
      </c>
      <c r="BO190" s="416" t="s">
        <v>3056</v>
      </c>
      <c r="BP190" s="415" t="s">
        <v>337</v>
      </c>
      <c r="BS190" s="415"/>
      <c r="BV190" s="415" t="s">
        <v>337</v>
      </c>
      <c r="BY190" s="415" t="s">
        <v>337</v>
      </c>
      <c r="CB190" s="415" t="s">
        <v>337</v>
      </c>
      <c r="CE190" s="415" t="s">
        <v>337</v>
      </c>
      <c r="CH190" s="415" t="s">
        <v>337</v>
      </c>
      <c r="CK190" s="415" t="s">
        <v>337</v>
      </c>
      <c r="CN190" s="415" t="s">
        <v>337</v>
      </c>
      <c r="CQ190" s="415" t="s">
        <v>337</v>
      </c>
      <c r="CT190" s="415" t="s">
        <v>337</v>
      </c>
    </row>
    <row r="191" spans="1:98">
      <c r="A191" s="1" t="s">
        <v>731</v>
      </c>
      <c r="B191" s="416" t="s">
        <v>3057</v>
      </c>
      <c r="C191" s="415" t="s">
        <v>337</v>
      </c>
      <c r="F191" s="415" t="s">
        <v>337</v>
      </c>
      <c r="I191" s="415" t="s">
        <v>337</v>
      </c>
      <c r="L191" s="415" t="s">
        <v>337</v>
      </c>
      <c r="M191" s="213" t="s">
        <v>3058</v>
      </c>
      <c r="N191" s="416" t="s">
        <v>3059</v>
      </c>
      <c r="O191" s="415" t="s">
        <v>337</v>
      </c>
      <c r="R191" s="415" t="s">
        <v>337</v>
      </c>
      <c r="S191" s="213" t="s">
        <v>3060</v>
      </c>
      <c r="T191" s="416" t="s">
        <v>3061</v>
      </c>
      <c r="U191" s="415" t="s">
        <v>337</v>
      </c>
      <c r="X191" s="415"/>
      <c r="AA191" s="415"/>
      <c r="AD191" s="415"/>
      <c r="AE191" s="417" t="s">
        <v>3062</v>
      </c>
      <c r="AF191" s="416" t="s">
        <v>3063</v>
      </c>
      <c r="AG191" s="415"/>
      <c r="AJ191" s="415" t="s">
        <v>337</v>
      </c>
      <c r="AM191" s="415" t="s">
        <v>337</v>
      </c>
      <c r="AP191" s="415" t="s">
        <v>337</v>
      </c>
      <c r="AS191" s="415" t="s">
        <v>337</v>
      </c>
      <c r="AV191" s="415" t="s">
        <v>337</v>
      </c>
      <c r="AY191" s="415" t="s">
        <v>337</v>
      </c>
      <c r="AZ191" s="213">
        <v>332003</v>
      </c>
      <c r="BA191" s="416" t="s">
        <v>3064</v>
      </c>
      <c r="BB191" s="415" t="s">
        <v>337</v>
      </c>
      <c r="BE191" s="415" t="s">
        <v>337</v>
      </c>
      <c r="BH191" s="415" t="s">
        <v>337</v>
      </c>
      <c r="BM191" s="415" t="s">
        <v>337</v>
      </c>
      <c r="BN191" s="213" t="s">
        <v>3065</v>
      </c>
      <c r="BP191" s="415" t="s">
        <v>337</v>
      </c>
      <c r="BS191" s="415"/>
      <c r="BV191" s="415" t="s">
        <v>337</v>
      </c>
      <c r="BY191" s="415" t="s">
        <v>337</v>
      </c>
      <c r="CB191" s="415" t="s">
        <v>337</v>
      </c>
      <c r="CE191" s="415" t="s">
        <v>337</v>
      </c>
      <c r="CH191" s="415" t="s">
        <v>337</v>
      </c>
      <c r="CK191" s="415" t="s">
        <v>337</v>
      </c>
      <c r="CN191" s="415" t="s">
        <v>337</v>
      </c>
      <c r="CQ191" s="415" t="s">
        <v>337</v>
      </c>
      <c r="CT191" s="415" t="s">
        <v>337</v>
      </c>
    </row>
    <row r="192" spans="1:98">
      <c r="A192" s="1" t="s">
        <v>757</v>
      </c>
      <c r="B192" s="416" t="s">
        <v>3066</v>
      </c>
      <c r="C192" s="415" t="s">
        <v>337</v>
      </c>
      <c r="F192" s="415" t="s">
        <v>337</v>
      </c>
      <c r="I192" s="415" t="s">
        <v>337</v>
      </c>
      <c r="L192" s="415" t="s">
        <v>337</v>
      </c>
      <c r="M192" s="213" t="s">
        <v>3067</v>
      </c>
      <c r="N192" s="416" t="s">
        <v>3068</v>
      </c>
      <c r="O192" s="415" t="s">
        <v>337</v>
      </c>
      <c r="R192" s="415" t="s">
        <v>337</v>
      </c>
      <c r="S192" s="213" t="s">
        <v>3069</v>
      </c>
      <c r="T192" s="416" t="s">
        <v>3070</v>
      </c>
      <c r="U192" s="415" t="s">
        <v>337</v>
      </c>
      <c r="X192" s="415"/>
      <c r="AA192" s="415"/>
      <c r="AD192" s="415"/>
      <c r="AE192" s="417" t="s">
        <v>3071</v>
      </c>
      <c r="AF192" s="416" t="s">
        <v>3072</v>
      </c>
      <c r="AG192" s="415"/>
      <c r="AJ192" s="415" t="s">
        <v>337</v>
      </c>
      <c r="AM192" s="415" t="s">
        <v>337</v>
      </c>
      <c r="AP192" s="415" t="s">
        <v>337</v>
      </c>
      <c r="AS192" s="415" t="s">
        <v>337</v>
      </c>
      <c r="AV192" s="415" t="s">
        <v>337</v>
      </c>
      <c r="AY192" s="415" t="s">
        <v>337</v>
      </c>
      <c r="AZ192" s="213">
        <v>332004</v>
      </c>
      <c r="BA192" s="416" t="s">
        <v>3073</v>
      </c>
      <c r="BB192" s="415" t="s">
        <v>337</v>
      </c>
      <c r="BE192" s="415" t="s">
        <v>337</v>
      </c>
      <c r="BH192" s="415" t="s">
        <v>337</v>
      </c>
      <c r="BM192" s="415" t="s">
        <v>337</v>
      </c>
      <c r="BN192" s="213" t="s">
        <v>3074</v>
      </c>
      <c r="BO192" s="416" t="s">
        <v>3075</v>
      </c>
      <c r="BP192" s="415" t="s">
        <v>337</v>
      </c>
      <c r="BS192" s="415"/>
      <c r="BV192" s="415" t="s">
        <v>337</v>
      </c>
      <c r="BY192" s="415" t="s">
        <v>337</v>
      </c>
      <c r="CB192" s="415" t="s">
        <v>337</v>
      </c>
      <c r="CE192" s="415" t="s">
        <v>337</v>
      </c>
      <c r="CH192" s="415" t="s">
        <v>337</v>
      </c>
      <c r="CK192" s="415" t="s">
        <v>337</v>
      </c>
      <c r="CN192" s="415" t="s">
        <v>337</v>
      </c>
      <c r="CQ192" s="415" t="s">
        <v>337</v>
      </c>
      <c r="CT192" s="415" t="s">
        <v>337</v>
      </c>
    </row>
    <row r="193" spans="1:98">
      <c r="A193" s="1" t="s">
        <v>757</v>
      </c>
      <c r="B193" s="416" t="s">
        <v>3076</v>
      </c>
      <c r="C193" s="415" t="s">
        <v>337</v>
      </c>
      <c r="F193" s="415" t="s">
        <v>337</v>
      </c>
      <c r="I193" s="415" t="s">
        <v>337</v>
      </c>
      <c r="L193" s="415" t="s">
        <v>337</v>
      </c>
      <c r="M193" s="213" t="s">
        <v>3077</v>
      </c>
      <c r="N193" s="416" t="s">
        <v>3078</v>
      </c>
      <c r="O193" s="415" t="s">
        <v>337</v>
      </c>
      <c r="R193" s="415" t="s">
        <v>337</v>
      </c>
      <c r="S193" s="213" t="s">
        <v>3079</v>
      </c>
      <c r="T193" s="416" t="s">
        <v>3080</v>
      </c>
      <c r="U193" s="415" t="s">
        <v>337</v>
      </c>
      <c r="X193" s="415"/>
      <c r="AA193" s="415"/>
      <c r="AD193" s="415"/>
      <c r="AE193" s="417" t="s">
        <v>3081</v>
      </c>
      <c r="AF193" s="416" t="s">
        <v>3082</v>
      </c>
      <c r="AG193" s="415"/>
      <c r="AJ193" s="415" t="s">
        <v>337</v>
      </c>
      <c r="AM193" s="415" t="s">
        <v>337</v>
      </c>
      <c r="AP193" s="415" t="s">
        <v>337</v>
      </c>
      <c r="AS193" s="415" t="s">
        <v>337</v>
      </c>
      <c r="AV193" s="415" t="s">
        <v>337</v>
      </c>
      <c r="AY193" s="415" t="s">
        <v>337</v>
      </c>
      <c r="AZ193" s="213">
        <v>332005</v>
      </c>
      <c r="BA193" s="416" t="s">
        <v>3083</v>
      </c>
      <c r="BB193" s="415" t="s">
        <v>337</v>
      </c>
      <c r="BE193" s="415" t="s">
        <v>337</v>
      </c>
      <c r="BH193" s="415" t="s">
        <v>337</v>
      </c>
      <c r="BM193" s="415" t="s">
        <v>337</v>
      </c>
      <c r="BN193" s="213" t="s">
        <v>3084</v>
      </c>
      <c r="BO193" s="416" t="s">
        <v>3085</v>
      </c>
      <c r="BP193" s="415" t="s">
        <v>337</v>
      </c>
      <c r="BS193" s="415"/>
      <c r="BV193" s="415" t="s">
        <v>337</v>
      </c>
      <c r="BY193" s="415" t="s">
        <v>337</v>
      </c>
      <c r="CB193" s="415" t="s">
        <v>337</v>
      </c>
      <c r="CE193" s="415" t="s">
        <v>337</v>
      </c>
      <c r="CH193" s="415" t="s">
        <v>337</v>
      </c>
      <c r="CK193" s="415" t="s">
        <v>337</v>
      </c>
      <c r="CN193" s="415" t="s">
        <v>337</v>
      </c>
      <c r="CQ193" s="415" t="s">
        <v>337</v>
      </c>
      <c r="CT193" s="415" t="s">
        <v>337</v>
      </c>
    </row>
    <row r="194" spans="1:98">
      <c r="A194" s="1" t="s">
        <v>757</v>
      </c>
      <c r="B194" s="416" t="s">
        <v>3086</v>
      </c>
      <c r="C194" s="415" t="s">
        <v>337</v>
      </c>
      <c r="F194" s="415" t="s">
        <v>337</v>
      </c>
      <c r="I194" s="415" t="s">
        <v>337</v>
      </c>
      <c r="L194" s="415" t="s">
        <v>337</v>
      </c>
      <c r="M194" s="213" t="s">
        <v>3087</v>
      </c>
      <c r="N194" s="416" t="s">
        <v>3088</v>
      </c>
      <c r="O194" s="415" t="s">
        <v>337</v>
      </c>
      <c r="R194" s="415" t="s">
        <v>337</v>
      </c>
      <c r="S194" s="213" t="s">
        <v>3089</v>
      </c>
      <c r="T194" s="416" t="s">
        <v>1792</v>
      </c>
      <c r="U194" s="415" t="s">
        <v>337</v>
      </c>
      <c r="X194" s="415"/>
      <c r="AA194" s="415"/>
      <c r="AD194" s="415"/>
      <c r="AE194" s="417" t="s">
        <v>3090</v>
      </c>
      <c r="AF194" s="416" t="s">
        <v>3091</v>
      </c>
      <c r="AG194" s="415"/>
      <c r="AJ194" s="415" t="s">
        <v>337</v>
      </c>
      <c r="AM194" s="415" t="s">
        <v>337</v>
      </c>
      <c r="AP194" s="415" t="s">
        <v>337</v>
      </c>
      <c r="AS194" s="415" t="s">
        <v>337</v>
      </c>
      <c r="AV194" s="415" t="s">
        <v>337</v>
      </c>
      <c r="AY194" s="415" t="s">
        <v>337</v>
      </c>
      <c r="AZ194" s="213">
        <v>333001</v>
      </c>
      <c r="BA194" s="416" t="s">
        <v>3092</v>
      </c>
      <c r="BB194" s="415" t="s">
        <v>337</v>
      </c>
      <c r="BE194" s="415" t="s">
        <v>337</v>
      </c>
      <c r="BH194" s="415" t="s">
        <v>337</v>
      </c>
      <c r="BM194" s="415" t="s">
        <v>337</v>
      </c>
      <c r="BN194" s="213" t="s">
        <v>3093</v>
      </c>
      <c r="BO194" s="416" t="s">
        <v>3094</v>
      </c>
      <c r="BP194" s="415" t="s">
        <v>337</v>
      </c>
      <c r="BS194" s="415"/>
      <c r="BV194" s="415" t="s">
        <v>337</v>
      </c>
      <c r="BY194" s="415" t="s">
        <v>337</v>
      </c>
      <c r="CB194" s="415" t="s">
        <v>337</v>
      </c>
      <c r="CE194" s="415" t="s">
        <v>337</v>
      </c>
      <c r="CH194" s="415" t="s">
        <v>337</v>
      </c>
      <c r="CK194" s="415" t="s">
        <v>337</v>
      </c>
      <c r="CN194" s="415" t="s">
        <v>337</v>
      </c>
      <c r="CQ194" s="415" t="s">
        <v>337</v>
      </c>
      <c r="CT194" s="415" t="s">
        <v>337</v>
      </c>
    </row>
    <row r="195" spans="1:98">
      <c r="A195" s="1" t="s">
        <v>757</v>
      </c>
      <c r="B195" s="416" t="s">
        <v>3095</v>
      </c>
      <c r="C195" s="415" t="s">
        <v>337</v>
      </c>
      <c r="F195" s="415" t="s">
        <v>337</v>
      </c>
      <c r="I195" s="415" t="s">
        <v>337</v>
      </c>
      <c r="L195" s="415" t="s">
        <v>337</v>
      </c>
      <c r="M195" s="213" t="s">
        <v>3096</v>
      </c>
      <c r="N195" s="416" t="s">
        <v>3097</v>
      </c>
      <c r="O195" s="415" t="s">
        <v>337</v>
      </c>
      <c r="R195" s="415" t="s">
        <v>337</v>
      </c>
      <c r="S195" s="213" t="s">
        <v>3098</v>
      </c>
      <c r="T195" s="416" t="s">
        <v>3099</v>
      </c>
      <c r="U195" s="415" t="s">
        <v>337</v>
      </c>
      <c r="X195" s="415"/>
      <c r="AA195" s="415"/>
      <c r="AD195" s="415"/>
      <c r="AE195" s="417" t="s">
        <v>3100</v>
      </c>
      <c r="AF195" s="416" t="s">
        <v>3101</v>
      </c>
      <c r="AG195" s="415"/>
      <c r="AJ195" s="415" t="s">
        <v>337</v>
      </c>
      <c r="AM195" s="415" t="s">
        <v>337</v>
      </c>
      <c r="AP195" s="415" t="s">
        <v>337</v>
      </c>
      <c r="AS195" s="415" t="s">
        <v>337</v>
      </c>
      <c r="AV195" s="415" t="s">
        <v>337</v>
      </c>
      <c r="AY195" s="415" t="s">
        <v>337</v>
      </c>
      <c r="AZ195" s="213">
        <v>333002</v>
      </c>
      <c r="BA195" s="416" t="s">
        <v>3102</v>
      </c>
      <c r="BB195" s="415" t="s">
        <v>337</v>
      </c>
      <c r="BE195" s="415" t="s">
        <v>337</v>
      </c>
      <c r="BH195" s="415" t="s">
        <v>337</v>
      </c>
      <c r="BM195" s="415" t="s">
        <v>337</v>
      </c>
      <c r="BN195" s="213" t="s">
        <v>3103</v>
      </c>
      <c r="BP195" s="415" t="s">
        <v>337</v>
      </c>
      <c r="BS195" s="415"/>
      <c r="BV195" s="415" t="s">
        <v>337</v>
      </c>
      <c r="BY195" s="415" t="s">
        <v>337</v>
      </c>
      <c r="CB195" s="415" t="s">
        <v>337</v>
      </c>
      <c r="CE195" s="415" t="s">
        <v>337</v>
      </c>
      <c r="CH195" s="415" t="s">
        <v>337</v>
      </c>
      <c r="CK195" s="415" t="s">
        <v>337</v>
      </c>
      <c r="CN195" s="415" t="s">
        <v>337</v>
      </c>
      <c r="CQ195" s="415" t="s">
        <v>337</v>
      </c>
      <c r="CT195" s="415" t="s">
        <v>337</v>
      </c>
    </row>
    <row r="196" spans="1:98">
      <c r="A196" s="1" t="s">
        <v>757</v>
      </c>
      <c r="B196" s="416" t="s">
        <v>3104</v>
      </c>
      <c r="C196" s="415" t="s">
        <v>337</v>
      </c>
      <c r="F196" s="415" t="s">
        <v>337</v>
      </c>
      <c r="I196" s="415" t="s">
        <v>337</v>
      </c>
      <c r="L196" s="415" t="s">
        <v>337</v>
      </c>
      <c r="M196" s="213" t="s">
        <v>3105</v>
      </c>
      <c r="N196" s="416" t="s">
        <v>3106</v>
      </c>
      <c r="O196" s="415" t="s">
        <v>337</v>
      </c>
      <c r="R196" s="415" t="s">
        <v>337</v>
      </c>
      <c r="S196" s="213" t="s">
        <v>3107</v>
      </c>
      <c r="T196" s="416" t="s">
        <v>3108</v>
      </c>
      <c r="U196" s="415" t="s">
        <v>337</v>
      </c>
      <c r="X196" s="415"/>
      <c r="AA196" s="415"/>
      <c r="AD196" s="415"/>
      <c r="AE196" s="417" t="s">
        <v>3109</v>
      </c>
      <c r="AF196" s="416" t="s">
        <v>3110</v>
      </c>
      <c r="AG196" s="415"/>
      <c r="AJ196" s="415" t="s">
        <v>337</v>
      </c>
      <c r="AM196" s="415" t="s">
        <v>337</v>
      </c>
      <c r="AP196" s="415" t="s">
        <v>337</v>
      </c>
      <c r="AS196" s="415" t="s">
        <v>337</v>
      </c>
      <c r="AV196" s="415" t="s">
        <v>337</v>
      </c>
      <c r="AY196" s="415" t="s">
        <v>337</v>
      </c>
      <c r="AZ196" s="213">
        <v>333003</v>
      </c>
      <c r="BA196" s="416" t="s">
        <v>3111</v>
      </c>
      <c r="BB196" s="415" t="s">
        <v>337</v>
      </c>
      <c r="BE196" s="415" t="s">
        <v>337</v>
      </c>
      <c r="BH196" s="415" t="s">
        <v>337</v>
      </c>
      <c r="BM196" s="415" t="s">
        <v>337</v>
      </c>
      <c r="BN196" s="213" t="s">
        <v>3112</v>
      </c>
      <c r="BP196" s="415" t="s">
        <v>337</v>
      </c>
      <c r="BS196" s="415"/>
      <c r="BV196" s="415" t="s">
        <v>337</v>
      </c>
      <c r="BY196" s="415" t="s">
        <v>337</v>
      </c>
      <c r="CB196" s="415" t="s">
        <v>337</v>
      </c>
      <c r="CE196" s="415" t="s">
        <v>337</v>
      </c>
      <c r="CH196" s="415" t="s">
        <v>337</v>
      </c>
      <c r="CK196" s="415" t="s">
        <v>337</v>
      </c>
      <c r="CN196" s="415" t="s">
        <v>337</v>
      </c>
      <c r="CQ196" s="415" t="s">
        <v>337</v>
      </c>
      <c r="CT196" s="415" t="s">
        <v>337</v>
      </c>
    </row>
    <row r="197" spans="1:98">
      <c r="A197" s="1" t="s">
        <v>757</v>
      </c>
      <c r="B197" s="416" t="s">
        <v>3113</v>
      </c>
      <c r="C197" s="415" t="s">
        <v>337</v>
      </c>
      <c r="F197" s="415" t="s">
        <v>337</v>
      </c>
      <c r="I197" s="415" t="s">
        <v>337</v>
      </c>
      <c r="L197" s="415" t="s">
        <v>337</v>
      </c>
      <c r="M197" s="213" t="s">
        <v>3114</v>
      </c>
      <c r="N197" s="416" t="s">
        <v>3115</v>
      </c>
      <c r="O197" s="415" t="s">
        <v>337</v>
      </c>
      <c r="R197" s="415" t="s">
        <v>337</v>
      </c>
      <c r="S197" s="213" t="s">
        <v>3116</v>
      </c>
      <c r="T197" s="416" t="s">
        <v>3117</v>
      </c>
      <c r="U197" s="415" t="s">
        <v>337</v>
      </c>
      <c r="X197" s="415"/>
      <c r="AA197" s="415"/>
      <c r="AD197" s="415"/>
      <c r="AE197" s="417" t="s">
        <v>3118</v>
      </c>
      <c r="AF197" s="416" t="s">
        <v>3119</v>
      </c>
      <c r="AG197" s="415"/>
      <c r="AJ197" s="415" t="s">
        <v>337</v>
      </c>
      <c r="AM197" s="415" t="s">
        <v>337</v>
      </c>
      <c r="AP197" s="415" t="s">
        <v>337</v>
      </c>
      <c r="AS197" s="415" t="s">
        <v>337</v>
      </c>
      <c r="AV197" s="415" t="s">
        <v>337</v>
      </c>
      <c r="AY197" s="415" t="s">
        <v>337</v>
      </c>
      <c r="AZ197" s="213">
        <v>333004</v>
      </c>
      <c r="BA197" s="416" t="s">
        <v>3120</v>
      </c>
      <c r="BB197" s="415" t="s">
        <v>337</v>
      </c>
      <c r="BE197" s="415" t="s">
        <v>337</v>
      </c>
      <c r="BH197" s="415" t="s">
        <v>337</v>
      </c>
      <c r="BM197" s="415" t="s">
        <v>337</v>
      </c>
      <c r="BN197" s="213" t="s">
        <v>3121</v>
      </c>
      <c r="BO197" s="416" t="s">
        <v>3122</v>
      </c>
      <c r="BP197" s="415" t="s">
        <v>337</v>
      </c>
      <c r="BS197" s="415"/>
      <c r="BV197" s="415" t="s">
        <v>337</v>
      </c>
      <c r="BY197" s="415" t="s">
        <v>337</v>
      </c>
      <c r="CB197" s="415" t="s">
        <v>337</v>
      </c>
      <c r="CE197" s="415" t="s">
        <v>337</v>
      </c>
      <c r="CH197" s="415" t="s">
        <v>337</v>
      </c>
      <c r="CK197" s="415" t="s">
        <v>337</v>
      </c>
      <c r="CN197" s="415" t="s">
        <v>337</v>
      </c>
      <c r="CQ197" s="415" t="s">
        <v>337</v>
      </c>
      <c r="CT197" s="415" t="s">
        <v>337</v>
      </c>
    </row>
    <row r="198" spans="1:98">
      <c r="A198" s="1" t="s">
        <v>757</v>
      </c>
      <c r="B198" s="416" t="s">
        <v>3123</v>
      </c>
      <c r="C198" s="415" t="s">
        <v>337</v>
      </c>
      <c r="F198" s="415" t="s">
        <v>337</v>
      </c>
      <c r="I198" s="415" t="s">
        <v>337</v>
      </c>
      <c r="L198" s="415" t="s">
        <v>337</v>
      </c>
      <c r="M198" s="213" t="s">
        <v>3124</v>
      </c>
      <c r="N198" s="416" t="s">
        <v>3125</v>
      </c>
      <c r="O198" s="415" t="s">
        <v>337</v>
      </c>
      <c r="R198" s="415" t="s">
        <v>337</v>
      </c>
      <c r="S198" s="213" t="s">
        <v>3126</v>
      </c>
      <c r="T198" s="416" t="s">
        <v>3127</v>
      </c>
      <c r="U198" s="415" t="s">
        <v>337</v>
      </c>
      <c r="X198" s="415"/>
      <c r="AA198" s="415"/>
      <c r="AD198" s="415"/>
      <c r="AE198" s="417" t="s">
        <v>3128</v>
      </c>
      <c r="AF198" s="416" t="s">
        <v>3129</v>
      </c>
      <c r="AG198" s="415"/>
      <c r="AJ198" s="415" t="s">
        <v>337</v>
      </c>
      <c r="AM198" s="415" t="s">
        <v>337</v>
      </c>
      <c r="AP198" s="415" t="s">
        <v>337</v>
      </c>
      <c r="AS198" s="415" t="s">
        <v>337</v>
      </c>
      <c r="AV198" s="415" t="s">
        <v>337</v>
      </c>
      <c r="AY198" s="415" t="s">
        <v>337</v>
      </c>
      <c r="AZ198" s="213">
        <v>333005</v>
      </c>
      <c r="BA198" s="416" t="s">
        <v>3130</v>
      </c>
      <c r="BB198" s="415" t="s">
        <v>337</v>
      </c>
      <c r="BE198" s="415" t="s">
        <v>337</v>
      </c>
      <c r="BH198" s="415" t="s">
        <v>337</v>
      </c>
      <c r="BM198" s="415" t="s">
        <v>337</v>
      </c>
      <c r="BN198" s="213" t="s">
        <v>3131</v>
      </c>
      <c r="BO198" s="416" t="s">
        <v>3132</v>
      </c>
      <c r="BP198" s="415" t="s">
        <v>337</v>
      </c>
      <c r="BS198" s="415"/>
      <c r="BV198" s="415" t="s">
        <v>337</v>
      </c>
      <c r="BY198" s="415" t="s">
        <v>337</v>
      </c>
      <c r="CB198" s="415" t="s">
        <v>337</v>
      </c>
      <c r="CE198" s="415" t="s">
        <v>337</v>
      </c>
      <c r="CH198" s="415" t="s">
        <v>337</v>
      </c>
      <c r="CK198" s="415" t="s">
        <v>337</v>
      </c>
      <c r="CN198" s="415" t="s">
        <v>337</v>
      </c>
      <c r="CQ198" s="415" t="s">
        <v>337</v>
      </c>
      <c r="CT198" s="415" t="s">
        <v>337</v>
      </c>
    </row>
    <row r="199" spans="1:98">
      <c r="A199" s="1" t="s">
        <v>757</v>
      </c>
      <c r="B199" s="416" t="s">
        <v>3133</v>
      </c>
      <c r="C199" s="415" t="s">
        <v>337</v>
      </c>
      <c r="F199" s="415" t="s">
        <v>337</v>
      </c>
      <c r="I199" s="415" t="s">
        <v>337</v>
      </c>
      <c r="L199" s="415" t="s">
        <v>337</v>
      </c>
      <c r="M199" s="213" t="s">
        <v>3134</v>
      </c>
      <c r="N199" s="416" t="s">
        <v>3135</v>
      </c>
      <c r="O199" s="415" t="s">
        <v>337</v>
      </c>
      <c r="R199" s="415" t="s">
        <v>337</v>
      </c>
      <c r="S199" s="213" t="s">
        <v>3136</v>
      </c>
      <c r="T199" s="416" t="s">
        <v>3137</v>
      </c>
      <c r="U199" s="415" t="s">
        <v>337</v>
      </c>
      <c r="X199" s="415"/>
      <c r="AA199" s="415"/>
      <c r="AD199" s="415"/>
      <c r="AE199" s="417" t="s">
        <v>3138</v>
      </c>
      <c r="AF199" s="416" t="s">
        <v>3139</v>
      </c>
      <c r="AG199" s="415"/>
      <c r="AJ199" s="415" t="s">
        <v>337</v>
      </c>
      <c r="AM199" s="415" t="s">
        <v>337</v>
      </c>
      <c r="AP199" s="415" t="s">
        <v>337</v>
      </c>
      <c r="AS199" s="415" t="s">
        <v>337</v>
      </c>
      <c r="AV199" s="415" t="s">
        <v>337</v>
      </c>
      <c r="AY199" s="415" t="s">
        <v>337</v>
      </c>
      <c r="AZ199" s="213">
        <v>334001</v>
      </c>
      <c r="BA199" s="416" t="s">
        <v>3140</v>
      </c>
      <c r="BB199" s="415" t="s">
        <v>337</v>
      </c>
      <c r="BE199" s="415" t="s">
        <v>337</v>
      </c>
      <c r="BH199" s="415" t="s">
        <v>337</v>
      </c>
      <c r="BM199" s="415" t="s">
        <v>337</v>
      </c>
      <c r="BN199" s="213" t="s">
        <v>3141</v>
      </c>
      <c r="BO199" s="416" t="s">
        <v>3142</v>
      </c>
      <c r="BP199" s="415" t="s">
        <v>337</v>
      </c>
      <c r="BS199" s="415"/>
      <c r="BV199" s="415" t="s">
        <v>337</v>
      </c>
      <c r="BY199" s="415" t="s">
        <v>337</v>
      </c>
      <c r="CB199" s="415" t="s">
        <v>337</v>
      </c>
      <c r="CE199" s="415" t="s">
        <v>337</v>
      </c>
      <c r="CH199" s="415" t="s">
        <v>337</v>
      </c>
      <c r="CK199" s="415" t="s">
        <v>337</v>
      </c>
      <c r="CN199" s="415" t="s">
        <v>337</v>
      </c>
      <c r="CQ199" s="415" t="s">
        <v>337</v>
      </c>
      <c r="CT199" s="415" t="s">
        <v>337</v>
      </c>
    </row>
    <row r="200" spans="1:98">
      <c r="A200" s="1" t="s">
        <v>757</v>
      </c>
      <c r="B200" s="416" t="s">
        <v>3143</v>
      </c>
      <c r="C200" s="415" t="s">
        <v>337</v>
      </c>
      <c r="F200" s="415" t="s">
        <v>337</v>
      </c>
      <c r="I200" s="415" t="s">
        <v>337</v>
      </c>
      <c r="L200" s="415" t="s">
        <v>337</v>
      </c>
      <c r="M200" s="213" t="s">
        <v>3144</v>
      </c>
      <c r="N200" s="416" t="s">
        <v>3145</v>
      </c>
      <c r="O200" s="415" t="s">
        <v>337</v>
      </c>
      <c r="R200" s="415" t="s">
        <v>337</v>
      </c>
      <c r="S200" s="213" t="s">
        <v>3146</v>
      </c>
      <c r="T200" s="416" t="s">
        <v>3147</v>
      </c>
      <c r="U200" s="415" t="s">
        <v>337</v>
      </c>
      <c r="X200" s="415"/>
      <c r="AA200" s="415"/>
      <c r="AD200" s="415"/>
      <c r="AE200" s="417" t="s">
        <v>3148</v>
      </c>
      <c r="AF200" s="416" t="s">
        <v>3149</v>
      </c>
      <c r="AG200" s="415"/>
      <c r="AJ200" s="415" t="s">
        <v>337</v>
      </c>
      <c r="AM200" s="415" t="s">
        <v>337</v>
      </c>
      <c r="AP200" s="415" t="s">
        <v>337</v>
      </c>
      <c r="AS200" s="415" t="s">
        <v>337</v>
      </c>
      <c r="AV200" s="415" t="s">
        <v>337</v>
      </c>
      <c r="AY200" s="415" t="s">
        <v>337</v>
      </c>
      <c r="AZ200" s="213">
        <v>334002</v>
      </c>
      <c r="BA200" s="416" t="s">
        <v>3150</v>
      </c>
      <c r="BB200" s="415" t="s">
        <v>337</v>
      </c>
      <c r="BE200" s="415" t="s">
        <v>337</v>
      </c>
      <c r="BH200" s="415" t="s">
        <v>337</v>
      </c>
      <c r="BM200" s="415" t="s">
        <v>337</v>
      </c>
      <c r="BN200" s="213" t="s">
        <v>3151</v>
      </c>
      <c r="BO200" s="416" t="s">
        <v>3152</v>
      </c>
      <c r="BP200" s="415" t="s">
        <v>337</v>
      </c>
      <c r="BS200" s="415"/>
      <c r="BV200" s="415" t="s">
        <v>337</v>
      </c>
      <c r="BY200" s="415" t="s">
        <v>337</v>
      </c>
      <c r="CB200" s="415" t="s">
        <v>337</v>
      </c>
      <c r="CE200" s="415" t="s">
        <v>337</v>
      </c>
      <c r="CH200" s="415" t="s">
        <v>337</v>
      </c>
      <c r="CK200" s="415" t="s">
        <v>337</v>
      </c>
      <c r="CN200" s="415" t="s">
        <v>337</v>
      </c>
      <c r="CQ200" s="415" t="s">
        <v>337</v>
      </c>
      <c r="CT200" s="415" t="s">
        <v>337</v>
      </c>
    </row>
    <row r="201" spans="1:98">
      <c r="A201" s="1" t="s">
        <v>757</v>
      </c>
      <c r="B201" s="416" t="s">
        <v>3153</v>
      </c>
      <c r="C201" s="415" t="s">
        <v>337</v>
      </c>
      <c r="F201" s="415" t="s">
        <v>337</v>
      </c>
      <c r="I201" s="415" t="s">
        <v>337</v>
      </c>
      <c r="L201" s="415" t="s">
        <v>337</v>
      </c>
      <c r="M201" s="213" t="s">
        <v>3154</v>
      </c>
      <c r="N201" s="416" t="s">
        <v>3155</v>
      </c>
      <c r="O201" s="415" t="s">
        <v>337</v>
      </c>
      <c r="R201" s="415" t="s">
        <v>337</v>
      </c>
      <c r="S201" s="213" t="s">
        <v>3156</v>
      </c>
      <c r="T201" s="416" t="s">
        <v>3157</v>
      </c>
      <c r="U201" s="415" t="s">
        <v>337</v>
      </c>
      <c r="X201" s="415"/>
      <c r="AA201" s="415"/>
      <c r="AD201" s="415"/>
      <c r="AE201" s="417" t="s">
        <v>3158</v>
      </c>
      <c r="AF201" s="416" t="s">
        <v>3159</v>
      </c>
      <c r="AG201" s="415"/>
      <c r="AJ201" s="415" t="s">
        <v>337</v>
      </c>
      <c r="AM201" s="415" t="s">
        <v>337</v>
      </c>
      <c r="AP201" s="415" t="s">
        <v>337</v>
      </c>
      <c r="AS201" s="415" t="s">
        <v>337</v>
      </c>
      <c r="AV201" s="415" t="s">
        <v>337</v>
      </c>
      <c r="AY201" s="415" t="s">
        <v>337</v>
      </c>
      <c r="AZ201" s="213">
        <v>334003</v>
      </c>
      <c r="BA201" s="416" t="s">
        <v>3160</v>
      </c>
      <c r="BB201" s="415" t="s">
        <v>337</v>
      </c>
      <c r="BE201" s="415" t="s">
        <v>337</v>
      </c>
      <c r="BH201" s="415" t="s">
        <v>337</v>
      </c>
      <c r="BM201" s="415" t="s">
        <v>337</v>
      </c>
      <c r="BN201" s="213" t="s">
        <v>3161</v>
      </c>
      <c r="BO201" s="416" t="s">
        <v>3152</v>
      </c>
      <c r="BP201" s="415" t="s">
        <v>337</v>
      </c>
      <c r="BS201" s="415"/>
      <c r="BV201" s="415" t="s">
        <v>337</v>
      </c>
      <c r="BY201" s="415" t="s">
        <v>337</v>
      </c>
      <c r="CB201" s="415" t="s">
        <v>337</v>
      </c>
      <c r="CE201" s="415" t="s">
        <v>337</v>
      </c>
      <c r="CH201" s="415" t="s">
        <v>337</v>
      </c>
      <c r="CK201" s="415" t="s">
        <v>337</v>
      </c>
      <c r="CN201" s="415" t="s">
        <v>337</v>
      </c>
      <c r="CQ201" s="415" t="s">
        <v>337</v>
      </c>
      <c r="CT201" s="415" t="s">
        <v>337</v>
      </c>
    </row>
    <row r="202" spans="1:98">
      <c r="A202" s="1" t="s">
        <v>757</v>
      </c>
      <c r="B202" s="416" t="s">
        <v>3162</v>
      </c>
      <c r="C202" s="415" t="s">
        <v>337</v>
      </c>
      <c r="F202" s="415" t="s">
        <v>337</v>
      </c>
      <c r="I202" s="415" t="s">
        <v>337</v>
      </c>
      <c r="L202" s="415" t="s">
        <v>337</v>
      </c>
      <c r="M202" s="213" t="s">
        <v>3163</v>
      </c>
      <c r="N202" s="416" t="s">
        <v>3164</v>
      </c>
      <c r="O202" s="415" t="s">
        <v>337</v>
      </c>
      <c r="R202" s="415" t="s">
        <v>337</v>
      </c>
      <c r="S202" s="213" t="s">
        <v>3165</v>
      </c>
      <c r="T202" s="416" t="s">
        <v>3166</v>
      </c>
      <c r="U202" s="415" t="s">
        <v>337</v>
      </c>
      <c r="X202" s="415"/>
      <c r="AA202" s="415"/>
      <c r="AD202" s="415"/>
      <c r="AE202" s="417" t="s">
        <v>3167</v>
      </c>
      <c r="AF202" s="416" t="s">
        <v>3168</v>
      </c>
      <c r="AG202" s="415"/>
      <c r="AJ202" s="415" t="s">
        <v>337</v>
      </c>
      <c r="AM202" s="415" t="s">
        <v>337</v>
      </c>
      <c r="AP202" s="415" t="s">
        <v>337</v>
      </c>
      <c r="AS202" s="415" t="s">
        <v>337</v>
      </c>
      <c r="AV202" s="415" t="s">
        <v>337</v>
      </c>
      <c r="AY202" s="415" t="s">
        <v>337</v>
      </c>
      <c r="AZ202" s="213">
        <v>334004</v>
      </c>
      <c r="BA202" s="416" t="s">
        <v>3169</v>
      </c>
      <c r="BB202" s="415" t="s">
        <v>337</v>
      </c>
      <c r="BE202" s="415" t="s">
        <v>337</v>
      </c>
      <c r="BH202" s="415" t="s">
        <v>337</v>
      </c>
      <c r="BM202" s="415" t="s">
        <v>337</v>
      </c>
      <c r="BN202" s="213" t="s">
        <v>3170</v>
      </c>
      <c r="BO202" s="416" t="s">
        <v>3171</v>
      </c>
      <c r="BP202" s="415" t="s">
        <v>337</v>
      </c>
      <c r="BS202" s="415"/>
      <c r="BV202" s="415" t="s">
        <v>337</v>
      </c>
      <c r="BY202" s="415" t="s">
        <v>337</v>
      </c>
      <c r="CB202" s="415" t="s">
        <v>337</v>
      </c>
      <c r="CE202" s="415" t="s">
        <v>337</v>
      </c>
      <c r="CH202" s="415" t="s">
        <v>337</v>
      </c>
      <c r="CK202" s="415" t="s">
        <v>337</v>
      </c>
      <c r="CN202" s="415" t="s">
        <v>337</v>
      </c>
      <c r="CQ202" s="415" t="s">
        <v>337</v>
      </c>
      <c r="CT202" s="415" t="s">
        <v>337</v>
      </c>
    </row>
    <row r="203" spans="1:98">
      <c r="A203" s="1" t="s">
        <v>757</v>
      </c>
      <c r="B203" s="416" t="s">
        <v>3172</v>
      </c>
      <c r="C203" s="415" t="s">
        <v>337</v>
      </c>
      <c r="F203" s="415" t="s">
        <v>337</v>
      </c>
      <c r="I203" s="415" t="s">
        <v>337</v>
      </c>
      <c r="L203" s="415" t="s">
        <v>337</v>
      </c>
      <c r="M203" s="213" t="s">
        <v>3173</v>
      </c>
      <c r="N203" s="416" t="s">
        <v>3174</v>
      </c>
      <c r="O203" s="415" t="s">
        <v>337</v>
      </c>
      <c r="R203" s="415" t="s">
        <v>337</v>
      </c>
      <c r="S203" s="213" t="s">
        <v>3175</v>
      </c>
      <c r="T203" s="416" t="s">
        <v>3176</v>
      </c>
      <c r="U203" s="415" t="s">
        <v>337</v>
      </c>
      <c r="X203" s="415"/>
      <c r="AA203" s="415"/>
      <c r="AD203" s="415"/>
      <c r="AE203" s="417" t="s">
        <v>3177</v>
      </c>
      <c r="AF203" s="416" t="s">
        <v>3178</v>
      </c>
      <c r="AG203" s="415"/>
      <c r="AJ203" s="415" t="s">
        <v>337</v>
      </c>
      <c r="AM203" s="415" t="s">
        <v>337</v>
      </c>
      <c r="AP203" s="415" t="s">
        <v>337</v>
      </c>
      <c r="AS203" s="415" t="s">
        <v>337</v>
      </c>
      <c r="AV203" s="415" t="s">
        <v>337</v>
      </c>
      <c r="AY203" s="415" t="s">
        <v>337</v>
      </c>
      <c r="AZ203" s="213">
        <v>334005</v>
      </c>
      <c r="BA203" s="416" t="s">
        <v>3179</v>
      </c>
      <c r="BB203" s="415" t="s">
        <v>337</v>
      </c>
      <c r="BE203" s="415" t="s">
        <v>337</v>
      </c>
      <c r="BH203" s="415" t="s">
        <v>337</v>
      </c>
      <c r="BM203" s="415" t="s">
        <v>337</v>
      </c>
      <c r="BN203" s="213" t="s">
        <v>3180</v>
      </c>
      <c r="BO203" s="416" t="s">
        <v>3181</v>
      </c>
      <c r="BP203" s="415" t="s">
        <v>337</v>
      </c>
      <c r="BS203" s="415"/>
      <c r="BV203" s="415" t="s">
        <v>337</v>
      </c>
      <c r="BY203" s="415" t="s">
        <v>337</v>
      </c>
      <c r="CB203" s="415" t="s">
        <v>337</v>
      </c>
      <c r="CE203" s="415" t="s">
        <v>337</v>
      </c>
      <c r="CH203" s="415" t="s">
        <v>337</v>
      </c>
      <c r="CK203" s="415" t="s">
        <v>337</v>
      </c>
      <c r="CN203" s="415" t="s">
        <v>337</v>
      </c>
      <c r="CQ203" s="415" t="s">
        <v>337</v>
      </c>
      <c r="CT203" s="415" t="s">
        <v>337</v>
      </c>
    </row>
    <row r="204" spans="1:98">
      <c r="A204" s="1" t="s">
        <v>757</v>
      </c>
      <c r="B204" s="416" t="s">
        <v>3182</v>
      </c>
      <c r="C204" s="415" t="s">
        <v>337</v>
      </c>
      <c r="F204" s="415" t="s">
        <v>337</v>
      </c>
      <c r="I204" s="415" t="s">
        <v>337</v>
      </c>
      <c r="L204" s="415" t="s">
        <v>337</v>
      </c>
      <c r="M204" s="213" t="s">
        <v>3183</v>
      </c>
      <c r="N204" s="416" t="s">
        <v>3184</v>
      </c>
      <c r="O204" s="415" t="s">
        <v>337</v>
      </c>
      <c r="R204" s="415" t="s">
        <v>337</v>
      </c>
      <c r="S204" s="213" t="s">
        <v>3185</v>
      </c>
      <c r="T204" s="416" t="s">
        <v>3186</v>
      </c>
      <c r="U204" s="415" t="s">
        <v>337</v>
      </c>
      <c r="X204" s="415"/>
      <c r="AA204" s="415"/>
      <c r="AD204" s="415"/>
      <c r="AE204" s="417" t="s">
        <v>3187</v>
      </c>
      <c r="AF204" s="416" t="s">
        <v>3188</v>
      </c>
      <c r="AG204" s="415"/>
      <c r="AJ204" s="415" t="s">
        <v>337</v>
      </c>
      <c r="AM204" s="415" t="s">
        <v>337</v>
      </c>
      <c r="AP204" s="415" t="s">
        <v>337</v>
      </c>
      <c r="AS204" s="415" t="s">
        <v>337</v>
      </c>
      <c r="AV204" s="415" t="s">
        <v>337</v>
      </c>
      <c r="AY204" s="415" t="s">
        <v>337</v>
      </c>
      <c r="AZ204" s="213">
        <v>335001</v>
      </c>
      <c r="BA204" s="416" t="s">
        <v>3189</v>
      </c>
      <c r="BB204" s="415" t="s">
        <v>337</v>
      </c>
      <c r="BE204" s="415" t="s">
        <v>337</v>
      </c>
      <c r="BH204" s="415" t="s">
        <v>337</v>
      </c>
      <c r="BM204" s="415" t="s">
        <v>337</v>
      </c>
      <c r="BN204" s="213" t="s">
        <v>3190</v>
      </c>
      <c r="BO204" s="416" t="s">
        <v>3191</v>
      </c>
      <c r="BP204" s="415" t="s">
        <v>337</v>
      </c>
      <c r="BS204" s="415"/>
      <c r="BV204" s="415" t="s">
        <v>337</v>
      </c>
      <c r="BY204" s="415" t="s">
        <v>337</v>
      </c>
      <c r="CB204" s="415" t="s">
        <v>337</v>
      </c>
      <c r="CE204" s="415" t="s">
        <v>337</v>
      </c>
      <c r="CH204" s="415" t="s">
        <v>337</v>
      </c>
      <c r="CK204" s="415" t="s">
        <v>337</v>
      </c>
      <c r="CN204" s="415" t="s">
        <v>337</v>
      </c>
      <c r="CQ204" s="415" t="s">
        <v>337</v>
      </c>
      <c r="CT204" s="415" t="s">
        <v>337</v>
      </c>
    </row>
    <row r="205" spans="1:98">
      <c r="A205" s="1" t="s">
        <v>757</v>
      </c>
      <c r="B205" s="416" t="s">
        <v>3192</v>
      </c>
      <c r="C205" s="415" t="s">
        <v>337</v>
      </c>
      <c r="F205" s="415" t="s">
        <v>337</v>
      </c>
      <c r="I205" s="415" t="s">
        <v>337</v>
      </c>
      <c r="L205" s="415" t="s">
        <v>337</v>
      </c>
      <c r="M205" s="213" t="s">
        <v>3193</v>
      </c>
      <c r="N205" s="416" t="s">
        <v>3194</v>
      </c>
      <c r="O205" s="415" t="s">
        <v>337</v>
      </c>
      <c r="R205" s="415" t="s">
        <v>337</v>
      </c>
      <c r="S205" s="213" t="s">
        <v>3195</v>
      </c>
      <c r="T205" s="416" t="s">
        <v>3196</v>
      </c>
      <c r="U205" s="415" t="s">
        <v>337</v>
      </c>
      <c r="X205" s="415"/>
      <c r="AA205" s="415"/>
      <c r="AD205" s="415"/>
      <c r="AE205" s="417" t="s">
        <v>3197</v>
      </c>
      <c r="AF205" s="416" t="s">
        <v>3198</v>
      </c>
      <c r="AG205" s="415"/>
      <c r="AJ205" s="415" t="s">
        <v>337</v>
      </c>
      <c r="AM205" s="415" t="s">
        <v>337</v>
      </c>
      <c r="AP205" s="415" t="s">
        <v>337</v>
      </c>
      <c r="AS205" s="415" t="s">
        <v>337</v>
      </c>
      <c r="AV205" s="415" t="s">
        <v>337</v>
      </c>
      <c r="AY205" s="415" t="s">
        <v>337</v>
      </c>
      <c r="AZ205" s="213">
        <v>335002</v>
      </c>
      <c r="BA205" s="416" t="s">
        <v>3199</v>
      </c>
      <c r="BB205" s="415" t="s">
        <v>337</v>
      </c>
      <c r="BE205" s="415" t="s">
        <v>337</v>
      </c>
      <c r="BH205" s="415" t="s">
        <v>337</v>
      </c>
      <c r="BM205" s="415" t="s">
        <v>337</v>
      </c>
      <c r="BN205" s="213" t="s">
        <v>3200</v>
      </c>
      <c r="BO205" s="416" t="s">
        <v>3201</v>
      </c>
      <c r="BP205" s="415" t="s">
        <v>337</v>
      </c>
      <c r="BS205" s="415"/>
      <c r="BV205" s="415" t="s">
        <v>337</v>
      </c>
      <c r="BY205" s="415" t="s">
        <v>337</v>
      </c>
      <c r="CB205" s="415" t="s">
        <v>337</v>
      </c>
      <c r="CE205" s="415" t="s">
        <v>337</v>
      </c>
      <c r="CH205" s="415" t="s">
        <v>337</v>
      </c>
      <c r="CK205" s="415" t="s">
        <v>337</v>
      </c>
      <c r="CN205" s="415" t="s">
        <v>337</v>
      </c>
      <c r="CQ205" s="415" t="s">
        <v>337</v>
      </c>
      <c r="CT205" s="415" t="s">
        <v>337</v>
      </c>
    </row>
    <row r="206" spans="1:98">
      <c r="A206" s="1" t="s">
        <v>757</v>
      </c>
      <c r="B206" s="416" t="s">
        <v>3202</v>
      </c>
      <c r="C206" s="415" t="s">
        <v>337</v>
      </c>
      <c r="F206" s="415" t="s">
        <v>337</v>
      </c>
      <c r="I206" s="415" t="s">
        <v>337</v>
      </c>
      <c r="L206" s="415" t="s">
        <v>337</v>
      </c>
      <c r="M206" s="213" t="s">
        <v>3203</v>
      </c>
      <c r="N206" s="416" t="s">
        <v>3204</v>
      </c>
      <c r="O206" s="415" t="s">
        <v>337</v>
      </c>
      <c r="R206" s="415" t="s">
        <v>337</v>
      </c>
      <c r="S206" s="213" t="s">
        <v>3205</v>
      </c>
      <c r="T206" s="416" t="s">
        <v>3206</v>
      </c>
      <c r="U206" s="415" t="s">
        <v>337</v>
      </c>
      <c r="X206" s="415"/>
      <c r="AA206" s="415"/>
      <c r="AD206" s="415"/>
      <c r="AE206" s="417" t="s">
        <v>3207</v>
      </c>
      <c r="AF206" s="416" t="s">
        <v>3208</v>
      </c>
      <c r="AG206" s="415"/>
      <c r="AJ206" s="415" t="s">
        <v>337</v>
      </c>
      <c r="AM206" s="415" t="s">
        <v>337</v>
      </c>
      <c r="AP206" s="415" t="s">
        <v>337</v>
      </c>
      <c r="AS206" s="415" t="s">
        <v>337</v>
      </c>
      <c r="AV206" s="415" t="s">
        <v>337</v>
      </c>
      <c r="AY206" s="415" t="s">
        <v>337</v>
      </c>
      <c r="AZ206" s="213">
        <v>335003</v>
      </c>
      <c r="BA206" s="416" t="s">
        <v>3209</v>
      </c>
      <c r="BB206" s="415" t="s">
        <v>337</v>
      </c>
      <c r="BE206" s="415" t="s">
        <v>337</v>
      </c>
      <c r="BH206" s="415" t="s">
        <v>337</v>
      </c>
      <c r="BM206" s="415" t="s">
        <v>337</v>
      </c>
      <c r="BN206" s="213" t="s">
        <v>3210</v>
      </c>
      <c r="BO206" s="416" t="s">
        <v>3211</v>
      </c>
      <c r="BP206" s="415" t="s">
        <v>337</v>
      </c>
      <c r="BS206" s="415"/>
      <c r="BV206" s="415" t="s">
        <v>337</v>
      </c>
      <c r="BY206" s="415" t="s">
        <v>337</v>
      </c>
      <c r="CB206" s="415" t="s">
        <v>337</v>
      </c>
      <c r="CE206" s="415" t="s">
        <v>337</v>
      </c>
      <c r="CH206" s="415" t="s">
        <v>337</v>
      </c>
      <c r="CK206" s="415" t="s">
        <v>337</v>
      </c>
      <c r="CN206" s="415" t="s">
        <v>337</v>
      </c>
      <c r="CQ206" s="415" t="s">
        <v>337</v>
      </c>
      <c r="CT206" s="415" t="s">
        <v>337</v>
      </c>
    </row>
    <row r="207" spans="1:98">
      <c r="A207" s="1" t="s">
        <v>757</v>
      </c>
      <c r="B207" s="416" t="s">
        <v>3212</v>
      </c>
      <c r="C207" s="415" t="s">
        <v>337</v>
      </c>
      <c r="F207" s="415" t="s">
        <v>337</v>
      </c>
      <c r="I207" s="415" t="s">
        <v>337</v>
      </c>
      <c r="L207" s="415" t="s">
        <v>337</v>
      </c>
      <c r="M207" s="213" t="s">
        <v>3213</v>
      </c>
      <c r="N207" s="416" t="s">
        <v>3214</v>
      </c>
      <c r="O207" s="415" t="s">
        <v>337</v>
      </c>
      <c r="R207" s="415" t="s">
        <v>337</v>
      </c>
      <c r="S207" s="213" t="s">
        <v>3215</v>
      </c>
      <c r="T207" s="416" t="s">
        <v>3216</v>
      </c>
      <c r="U207" s="415" t="s">
        <v>337</v>
      </c>
      <c r="X207" s="415"/>
      <c r="AA207" s="415"/>
      <c r="AD207" s="415"/>
      <c r="AE207" s="417" t="s">
        <v>3217</v>
      </c>
      <c r="AF207" s="416" t="s">
        <v>3218</v>
      </c>
      <c r="AG207" s="415"/>
      <c r="AJ207" s="415" t="s">
        <v>337</v>
      </c>
      <c r="AM207" s="415" t="s">
        <v>337</v>
      </c>
      <c r="AP207" s="415" t="s">
        <v>337</v>
      </c>
      <c r="AS207" s="415" t="s">
        <v>337</v>
      </c>
      <c r="AV207" s="415" t="s">
        <v>337</v>
      </c>
      <c r="AY207" s="415" t="s">
        <v>337</v>
      </c>
      <c r="AZ207" s="213">
        <v>335004</v>
      </c>
      <c r="BA207" s="416" t="s">
        <v>3219</v>
      </c>
      <c r="BB207" s="415" t="s">
        <v>337</v>
      </c>
      <c r="BE207" s="415" t="s">
        <v>337</v>
      </c>
      <c r="BH207" s="415" t="s">
        <v>337</v>
      </c>
      <c r="BM207" s="415" t="s">
        <v>337</v>
      </c>
      <c r="BN207" s="213" t="s">
        <v>3220</v>
      </c>
      <c r="BO207" s="416" t="s">
        <v>3221</v>
      </c>
      <c r="BP207" s="415" t="s">
        <v>337</v>
      </c>
      <c r="BS207" s="415"/>
      <c r="BV207" s="415" t="s">
        <v>337</v>
      </c>
      <c r="BY207" s="415" t="s">
        <v>337</v>
      </c>
      <c r="CB207" s="415" t="s">
        <v>337</v>
      </c>
      <c r="CE207" s="415" t="s">
        <v>337</v>
      </c>
      <c r="CH207" s="415" t="s">
        <v>337</v>
      </c>
      <c r="CK207" s="415" t="s">
        <v>337</v>
      </c>
      <c r="CN207" s="415" t="s">
        <v>337</v>
      </c>
      <c r="CQ207" s="415" t="s">
        <v>337</v>
      </c>
      <c r="CT207" s="415" t="s">
        <v>337</v>
      </c>
    </row>
    <row r="208" spans="1:98">
      <c r="A208" s="1" t="s">
        <v>757</v>
      </c>
      <c r="B208" s="416" t="s">
        <v>3222</v>
      </c>
      <c r="C208" s="415" t="s">
        <v>337</v>
      </c>
      <c r="F208" s="415" t="s">
        <v>337</v>
      </c>
      <c r="I208" s="415" t="s">
        <v>337</v>
      </c>
      <c r="L208" s="415" t="s">
        <v>337</v>
      </c>
      <c r="M208" s="213" t="s">
        <v>3223</v>
      </c>
      <c r="N208" s="416" t="s">
        <v>3224</v>
      </c>
      <c r="O208" s="415" t="s">
        <v>337</v>
      </c>
      <c r="R208" s="415" t="s">
        <v>337</v>
      </c>
      <c r="S208" s="213" t="s">
        <v>3225</v>
      </c>
      <c r="T208" s="416" t="s">
        <v>3226</v>
      </c>
      <c r="U208" s="415" t="s">
        <v>337</v>
      </c>
      <c r="X208" s="415"/>
      <c r="AA208" s="415"/>
      <c r="AD208" s="415"/>
      <c r="AE208" s="417" t="s">
        <v>3227</v>
      </c>
      <c r="AF208" s="416" t="s">
        <v>3228</v>
      </c>
      <c r="AG208" s="415"/>
      <c r="AJ208" s="415" t="s">
        <v>337</v>
      </c>
      <c r="AM208" s="415" t="s">
        <v>337</v>
      </c>
      <c r="AP208" s="415" t="s">
        <v>337</v>
      </c>
      <c r="AS208" s="415" t="s">
        <v>337</v>
      </c>
      <c r="AV208" s="415" t="s">
        <v>337</v>
      </c>
      <c r="AY208" s="415" t="s">
        <v>337</v>
      </c>
      <c r="AZ208" s="213">
        <v>335005</v>
      </c>
      <c r="BA208" s="416" t="s">
        <v>3229</v>
      </c>
      <c r="BB208" s="415" t="s">
        <v>337</v>
      </c>
      <c r="BE208" s="415" t="s">
        <v>337</v>
      </c>
      <c r="BH208" s="415" t="s">
        <v>337</v>
      </c>
      <c r="BM208" s="415" t="s">
        <v>337</v>
      </c>
      <c r="BN208" s="213" t="s">
        <v>3230</v>
      </c>
      <c r="BO208" s="416" t="s">
        <v>3231</v>
      </c>
      <c r="BP208" s="415" t="s">
        <v>337</v>
      </c>
      <c r="BS208" s="415"/>
      <c r="BV208" s="415" t="s">
        <v>337</v>
      </c>
      <c r="BY208" s="415" t="s">
        <v>337</v>
      </c>
      <c r="CB208" s="415" t="s">
        <v>337</v>
      </c>
      <c r="CE208" s="415" t="s">
        <v>337</v>
      </c>
      <c r="CH208" s="415" t="s">
        <v>337</v>
      </c>
      <c r="CK208" s="415" t="s">
        <v>337</v>
      </c>
      <c r="CN208" s="415" t="s">
        <v>337</v>
      </c>
      <c r="CQ208" s="415" t="s">
        <v>337</v>
      </c>
      <c r="CT208" s="415" t="s">
        <v>337</v>
      </c>
    </row>
    <row r="209" spans="1:98">
      <c r="A209" s="1" t="s">
        <v>757</v>
      </c>
      <c r="B209" s="416" t="s">
        <v>3232</v>
      </c>
      <c r="C209" s="415" t="s">
        <v>337</v>
      </c>
      <c r="F209" s="415" t="s">
        <v>337</v>
      </c>
      <c r="I209" s="415" t="s">
        <v>337</v>
      </c>
      <c r="L209" s="415" t="s">
        <v>337</v>
      </c>
      <c r="M209" s="213" t="s">
        <v>3233</v>
      </c>
      <c r="N209" s="416" t="s">
        <v>3234</v>
      </c>
      <c r="O209" s="415" t="s">
        <v>337</v>
      </c>
      <c r="R209" s="415" t="s">
        <v>337</v>
      </c>
      <c r="S209" s="213" t="s">
        <v>3235</v>
      </c>
      <c r="T209" s="416" t="s">
        <v>3236</v>
      </c>
      <c r="U209" s="415" t="s">
        <v>337</v>
      </c>
      <c r="X209" s="415"/>
      <c r="AA209" s="415"/>
      <c r="AD209" s="415"/>
      <c r="AE209" s="417" t="s">
        <v>3237</v>
      </c>
      <c r="AF209" s="416" t="s">
        <v>3238</v>
      </c>
      <c r="AG209" s="415"/>
      <c r="AJ209" s="415" t="s">
        <v>337</v>
      </c>
      <c r="AM209" s="415" t="s">
        <v>337</v>
      </c>
      <c r="AP209" s="415" t="s">
        <v>337</v>
      </c>
      <c r="AS209" s="415" t="s">
        <v>337</v>
      </c>
      <c r="AV209" s="415" t="s">
        <v>337</v>
      </c>
      <c r="AY209" s="415" t="s">
        <v>337</v>
      </c>
      <c r="AZ209" s="213">
        <v>341001</v>
      </c>
      <c r="BA209" s="416" t="s">
        <v>3239</v>
      </c>
      <c r="BB209" s="415" t="s">
        <v>337</v>
      </c>
      <c r="BE209" s="415" t="s">
        <v>337</v>
      </c>
      <c r="BH209" s="415" t="s">
        <v>337</v>
      </c>
      <c r="BM209" s="415" t="s">
        <v>337</v>
      </c>
      <c r="BN209" s="213" t="s">
        <v>3240</v>
      </c>
      <c r="BO209" s="416" t="s">
        <v>3241</v>
      </c>
      <c r="BP209" s="415" t="s">
        <v>337</v>
      </c>
      <c r="BS209" s="415"/>
      <c r="BV209" s="415" t="s">
        <v>337</v>
      </c>
      <c r="BY209" s="415" t="s">
        <v>337</v>
      </c>
      <c r="CB209" s="415" t="s">
        <v>337</v>
      </c>
      <c r="CE209" s="415" t="s">
        <v>337</v>
      </c>
      <c r="CH209" s="415" t="s">
        <v>337</v>
      </c>
      <c r="CK209" s="415" t="s">
        <v>337</v>
      </c>
      <c r="CN209" s="415" t="s">
        <v>337</v>
      </c>
      <c r="CQ209" s="415" t="s">
        <v>337</v>
      </c>
      <c r="CT209" s="415" t="s">
        <v>337</v>
      </c>
    </row>
    <row r="210" spans="1:98">
      <c r="A210" s="1" t="s">
        <v>781</v>
      </c>
      <c r="B210" s="416" t="s">
        <v>3242</v>
      </c>
      <c r="C210" s="415" t="s">
        <v>337</v>
      </c>
      <c r="F210" s="415" t="s">
        <v>337</v>
      </c>
      <c r="I210" s="415" t="s">
        <v>337</v>
      </c>
      <c r="L210" s="415" t="s">
        <v>337</v>
      </c>
      <c r="M210" s="213" t="s">
        <v>3243</v>
      </c>
      <c r="N210" s="416" t="s">
        <v>3244</v>
      </c>
      <c r="O210" s="415" t="s">
        <v>337</v>
      </c>
      <c r="R210" s="415" t="s">
        <v>337</v>
      </c>
      <c r="S210" s="213" t="s">
        <v>3245</v>
      </c>
      <c r="T210" s="416" t="s">
        <v>3246</v>
      </c>
      <c r="U210" s="415" t="s">
        <v>337</v>
      </c>
      <c r="X210" s="415"/>
      <c r="AA210" s="415"/>
      <c r="AD210" s="415"/>
      <c r="AE210" s="417" t="s">
        <v>3247</v>
      </c>
      <c r="AF210" s="416" t="s">
        <v>3248</v>
      </c>
      <c r="AG210" s="415"/>
      <c r="AJ210" s="415" t="s">
        <v>337</v>
      </c>
      <c r="AM210" s="415" t="s">
        <v>337</v>
      </c>
      <c r="AP210" s="415" t="s">
        <v>337</v>
      </c>
      <c r="AS210" s="415" t="s">
        <v>337</v>
      </c>
      <c r="AV210" s="415" t="s">
        <v>337</v>
      </c>
      <c r="AY210" s="415" t="s">
        <v>337</v>
      </c>
      <c r="AZ210" s="213">
        <v>341002</v>
      </c>
      <c r="BA210" s="416" t="s">
        <v>3249</v>
      </c>
      <c r="BB210" s="415" t="s">
        <v>337</v>
      </c>
      <c r="BE210" s="415" t="s">
        <v>337</v>
      </c>
      <c r="BH210" s="415" t="s">
        <v>337</v>
      </c>
      <c r="BM210" s="415" t="s">
        <v>337</v>
      </c>
      <c r="BN210" s="213" t="s">
        <v>3250</v>
      </c>
      <c r="BO210" s="416" t="s">
        <v>3251</v>
      </c>
      <c r="BP210" s="415" t="s">
        <v>337</v>
      </c>
      <c r="BS210" s="415"/>
      <c r="BV210" s="415" t="s">
        <v>337</v>
      </c>
      <c r="BY210" s="415" t="s">
        <v>337</v>
      </c>
      <c r="CB210" s="415" t="s">
        <v>337</v>
      </c>
      <c r="CE210" s="415" t="s">
        <v>337</v>
      </c>
      <c r="CH210" s="415" t="s">
        <v>337</v>
      </c>
      <c r="CK210" s="415" t="s">
        <v>337</v>
      </c>
      <c r="CN210" s="415" t="s">
        <v>337</v>
      </c>
      <c r="CQ210" s="415" t="s">
        <v>337</v>
      </c>
      <c r="CT210" s="415" t="s">
        <v>337</v>
      </c>
    </row>
    <row r="211" spans="1:98">
      <c r="A211" s="1" t="s">
        <v>781</v>
      </c>
      <c r="B211" s="416" t="s">
        <v>3252</v>
      </c>
      <c r="C211" s="415" t="s">
        <v>337</v>
      </c>
      <c r="F211" s="415" t="s">
        <v>337</v>
      </c>
      <c r="I211" s="415" t="s">
        <v>337</v>
      </c>
      <c r="L211" s="415" t="s">
        <v>337</v>
      </c>
      <c r="M211" s="213" t="s">
        <v>3253</v>
      </c>
      <c r="N211" s="416" t="s">
        <v>3254</v>
      </c>
      <c r="O211" s="415" t="s">
        <v>337</v>
      </c>
      <c r="R211" s="415" t="s">
        <v>337</v>
      </c>
      <c r="S211" s="213" t="s">
        <v>3255</v>
      </c>
      <c r="T211" s="416" t="s">
        <v>3256</v>
      </c>
      <c r="U211" s="415" t="s">
        <v>337</v>
      </c>
      <c r="X211" s="415"/>
      <c r="AA211" s="415"/>
      <c r="AD211" s="415"/>
      <c r="AE211" s="417" t="s">
        <v>3257</v>
      </c>
      <c r="AF211" s="416" t="s">
        <v>3258</v>
      </c>
      <c r="AG211" s="415"/>
      <c r="AJ211" s="415" t="s">
        <v>337</v>
      </c>
      <c r="AM211" s="415" t="s">
        <v>337</v>
      </c>
      <c r="AP211" s="415" t="s">
        <v>337</v>
      </c>
      <c r="AS211" s="415" t="s">
        <v>337</v>
      </c>
      <c r="AV211" s="415" t="s">
        <v>337</v>
      </c>
      <c r="AY211" s="415" t="s">
        <v>337</v>
      </c>
      <c r="AZ211" s="213">
        <v>341003</v>
      </c>
      <c r="BA211" s="416" t="s">
        <v>3259</v>
      </c>
      <c r="BB211" s="415" t="s">
        <v>337</v>
      </c>
      <c r="BE211" s="415" t="s">
        <v>337</v>
      </c>
      <c r="BH211" s="415" t="s">
        <v>337</v>
      </c>
      <c r="BM211" s="415" t="s">
        <v>337</v>
      </c>
      <c r="BN211" s="213" t="s">
        <v>3260</v>
      </c>
      <c r="BO211" s="416" t="s">
        <v>3261</v>
      </c>
      <c r="BP211" s="415" t="s">
        <v>337</v>
      </c>
      <c r="BS211" s="415"/>
      <c r="BV211" s="415" t="s">
        <v>337</v>
      </c>
      <c r="BY211" s="415" t="s">
        <v>337</v>
      </c>
      <c r="CB211" s="415" t="s">
        <v>337</v>
      </c>
      <c r="CE211" s="415" t="s">
        <v>337</v>
      </c>
      <c r="CH211" s="415" t="s">
        <v>337</v>
      </c>
      <c r="CK211" s="415" t="s">
        <v>337</v>
      </c>
      <c r="CN211" s="415" t="s">
        <v>337</v>
      </c>
      <c r="CQ211" s="415" t="s">
        <v>337</v>
      </c>
      <c r="CT211" s="415" t="s">
        <v>337</v>
      </c>
    </row>
    <row r="212" spans="1:98">
      <c r="A212" s="1" t="s">
        <v>781</v>
      </c>
      <c r="B212" s="416" t="s">
        <v>3262</v>
      </c>
      <c r="C212" s="415" t="s">
        <v>337</v>
      </c>
      <c r="F212" s="415" t="s">
        <v>337</v>
      </c>
      <c r="I212" s="415" t="s">
        <v>337</v>
      </c>
      <c r="L212" s="415" t="s">
        <v>337</v>
      </c>
      <c r="M212" s="213" t="s">
        <v>3263</v>
      </c>
      <c r="N212" s="416" t="s">
        <v>3264</v>
      </c>
      <c r="O212" s="415" t="s">
        <v>337</v>
      </c>
      <c r="R212" s="415" t="s">
        <v>337</v>
      </c>
      <c r="S212" s="213" t="s">
        <v>3265</v>
      </c>
      <c r="T212" s="416" t="s">
        <v>3266</v>
      </c>
      <c r="U212" s="415" t="s">
        <v>337</v>
      </c>
      <c r="X212" s="415"/>
      <c r="AA212" s="415"/>
      <c r="AD212" s="415"/>
      <c r="AE212" s="417" t="s">
        <v>3267</v>
      </c>
      <c r="AF212" s="416" t="s">
        <v>3268</v>
      </c>
      <c r="AG212" s="415"/>
      <c r="AJ212" s="415" t="s">
        <v>337</v>
      </c>
      <c r="AM212" s="415" t="s">
        <v>337</v>
      </c>
      <c r="AP212" s="415" t="s">
        <v>337</v>
      </c>
      <c r="AS212" s="415" t="s">
        <v>337</v>
      </c>
      <c r="AV212" s="415" t="s">
        <v>337</v>
      </c>
      <c r="AY212" s="415" t="s">
        <v>337</v>
      </c>
      <c r="AZ212" s="213">
        <v>341004</v>
      </c>
      <c r="BA212" s="416" t="s">
        <v>3269</v>
      </c>
      <c r="BB212" s="415" t="s">
        <v>337</v>
      </c>
      <c r="BE212" s="415" t="s">
        <v>337</v>
      </c>
      <c r="BH212" s="415" t="s">
        <v>337</v>
      </c>
      <c r="BM212" s="415" t="s">
        <v>337</v>
      </c>
      <c r="BN212" s="213" t="s">
        <v>3270</v>
      </c>
      <c r="BO212" s="416" t="s">
        <v>3271</v>
      </c>
      <c r="BP212" s="415" t="s">
        <v>337</v>
      </c>
      <c r="BS212" s="415"/>
      <c r="BV212" s="415" t="s">
        <v>337</v>
      </c>
      <c r="BY212" s="415" t="s">
        <v>337</v>
      </c>
      <c r="CB212" s="415" t="s">
        <v>337</v>
      </c>
      <c r="CE212" s="415" t="s">
        <v>337</v>
      </c>
      <c r="CH212" s="415" t="s">
        <v>337</v>
      </c>
      <c r="CK212" s="415" t="s">
        <v>337</v>
      </c>
      <c r="CN212" s="415" t="s">
        <v>337</v>
      </c>
      <c r="CQ212" s="415" t="s">
        <v>337</v>
      </c>
      <c r="CT212" s="415" t="s">
        <v>337</v>
      </c>
    </row>
    <row r="213" spans="1:98">
      <c r="A213" s="1" t="s">
        <v>781</v>
      </c>
      <c r="B213" s="416" t="s">
        <v>3272</v>
      </c>
      <c r="C213" s="415" t="s">
        <v>337</v>
      </c>
      <c r="F213" s="415" t="s">
        <v>337</v>
      </c>
      <c r="I213" s="415" t="s">
        <v>337</v>
      </c>
      <c r="L213" s="415" t="s">
        <v>337</v>
      </c>
      <c r="M213" s="213" t="s">
        <v>149</v>
      </c>
      <c r="N213" s="416" t="s">
        <v>3273</v>
      </c>
      <c r="O213" s="415" t="s">
        <v>337</v>
      </c>
      <c r="R213" s="415" t="s">
        <v>337</v>
      </c>
      <c r="S213" s="213" t="s">
        <v>3274</v>
      </c>
      <c r="T213" s="416" t="s">
        <v>3275</v>
      </c>
      <c r="U213" s="415" t="s">
        <v>337</v>
      </c>
      <c r="X213" s="415"/>
      <c r="AA213" s="415"/>
      <c r="AD213" s="415"/>
      <c r="AE213" s="417" t="s">
        <v>3276</v>
      </c>
      <c r="AF213" s="416" t="s">
        <v>3277</v>
      </c>
      <c r="AG213" s="415"/>
      <c r="AJ213" s="415" t="s">
        <v>337</v>
      </c>
      <c r="AM213" s="415" t="s">
        <v>337</v>
      </c>
      <c r="AP213" s="415" t="s">
        <v>337</v>
      </c>
      <c r="AS213" s="415" t="s">
        <v>337</v>
      </c>
      <c r="AV213" s="415" t="s">
        <v>337</v>
      </c>
      <c r="AY213" s="415" t="s">
        <v>337</v>
      </c>
      <c r="AZ213" s="213">
        <v>341005</v>
      </c>
      <c r="BA213" s="416" t="s">
        <v>3278</v>
      </c>
      <c r="BB213" s="415" t="s">
        <v>337</v>
      </c>
      <c r="BE213" s="415" t="s">
        <v>337</v>
      </c>
      <c r="BH213" s="415" t="s">
        <v>337</v>
      </c>
      <c r="BM213" s="415" t="s">
        <v>337</v>
      </c>
      <c r="BN213" s="213" t="s">
        <v>3279</v>
      </c>
      <c r="BO213" s="416" t="s">
        <v>3280</v>
      </c>
      <c r="BP213" s="415" t="s">
        <v>337</v>
      </c>
      <c r="BS213" s="415"/>
      <c r="BV213" s="415" t="s">
        <v>337</v>
      </c>
      <c r="BY213" s="415" t="s">
        <v>337</v>
      </c>
      <c r="CB213" s="415" t="s">
        <v>337</v>
      </c>
      <c r="CE213" s="415" t="s">
        <v>337</v>
      </c>
      <c r="CH213" s="415" t="s">
        <v>337</v>
      </c>
      <c r="CK213" s="415" t="s">
        <v>337</v>
      </c>
      <c r="CN213" s="415" t="s">
        <v>337</v>
      </c>
      <c r="CQ213" s="415" t="s">
        <v>337</v>
      </c>
      <c r="CT213" s="415" t="s">
        <v>337</v>
      </c>
    </row>
    <row r="214" spans="1:98">
      <c r="A214" s="1" t="s">
        <v>781</v>
      </c>
      <c r="B214" s="416" t="s">
        <v>3281</v>
      </c>
      <c r="C214" s="415" t="s">
        <v>337</v>
      </c>
      <c r="F214" s="415" t="s">
        <v>337</v>
      </c>
      <c r="I214" s="415" t="s">
        <v>337</v>
      </c>
      <c r="L214" s="415" t="s">
        <v>337</v>
      </c>
      <c r="M214" s="213" t="s">
        <v>3282</v>
      </c>
      <c r="N214" s="416" t="s">
        <v>3283</v>
      </c>
      <c r="O214" s="415" t="s">
        <v>337</v>
      </c>
      <c r="R214" s="415" t="s">
        <v>337</v>
      </c>
      <c r="S214" s="213" t="s">
        <v>3284</v>
      </c>
      <c r="T214" s="416" t="s">
        <v>3285</v>
      </c>
      <c r="U214" s="415" t="s">
        <v>337</v>
      </c>
      <c r="X214" s="415"/>
      <c r="AA214" s="415"/>
      <c r="AD214" s="415"/>
      <c r="AE214" s="417" t="s">
        <v>3286</v>
      </c>
      <c r="AF214" s="416" t="s">
        <v>3287</v>
      </c>
      <c r="AG214" s="415"/>
      <c r="AJ214" s="415" t="s">
        <v>337</v>
      </c>
      <c r="AM214" s="415" t="s">
        <v>337</v>
      </c>
      <c r="AP214" s="415" t="s">
        <v>337</v>
      </c>
      <c r="AS214" s="415" t="s">
        <v>337</v>
      </c>
      <c r="AV214" s="415" t="s">
        <v>337</v>
      </c>
      <c r="AY214" s="415" t="s">
        <v>337</v>
      </c>
      <c r="AZ214" s="213">
        <v>341006</v>
      </c>
      <c r="BA214" s="416" t="s">
        <v>3288</v>
      </c>
      <c r="BB214" s="415" t="s">
        <v>337</v>
      </c>
      <c r="BE214" s="415" t="s">
        <v>337</v>
      </c>
      <c r="BH214" s="415" t="s">
        <v>337</v>
      </c>
      <c r="BM214" s="415" t="s">
        <v>337</v>
      </c>
      <c r="BN214" s="213" t="s">
        <v>3289</v>
      </c>
      <c r="BO214" s="416" t="s">
        <v>3290</v>
      </c>
      <c r="BP214" s="415" t="s">
        <v>337</v>
      </c>
      <c r="BS214" s="415"/>
      <c r="BV214" s="415" t="s">
        <v>337</v>
      </c>
      <c r="BY214" s="415" t="s">
        <v>337</v>
      </c>
      <c r="CB214" s="415" t="s">
        <v>337</v>
      </c>
      <c r="CE214" s="415" t="s">
        <v>337</v>
      </c>
      <c r="CH214" s="415" t="s">
        <v>337</v>
      </c>
      <c r="CK214" s="415" t="s">
        <v>337</v>
      </c>
      <c r="CN214" s="415" t="s">
        <v>337</v>
      </c>
      <c r="CQ214" s="415" t="s">
        <v>337</v>
      </c>
      <c r="CT214" s="415" t="s">
        <v>337</v>
      </c>
    </row>
    <row r="215" spans="1:98">
      <c r="A215" s="1" t="s">
        <v>781</v>
      </c>
      <c r="B215" s="416" t="s">
        <v>3291</v>
      </c>
      <c r="C215" s="415" t="s">
        <v>337</v>
      </c>
      <c r="F215" s="415" t="s">
        <v>337</v>
      </c>
      <c r="I215" s="415" t="s">
        <v>337</v>
      </c>
      <c r="L215" s="415" t="s">
        <v>337</v>
      </c>
      <c r="M215" s="213" t="s">
        <v>3292</v>
      </c>
      <c r="N215" s="416" t="s">
        <v>3293</v>
      </c>
      <c r="O215" s="415" t="s">
        <v>337</v>
      </c>
      <c r="R215" s="415" t="s">
        <v>337</v>
      </c>
      <c r="S215" s="213" t="s">
        <v>3294</v>
      </c>
      <c r="T215" s="416" t="s">
        <v>3295</v>
      </c>
      <c r="U215" s="415" t="s">
        <v>337</v>
      </c>
      <c r="X215" s="415"/>
      <c r="AA215" s="415"/>
      <c r="AD215" s="415"/>
      <c r="AE215" s="417" t="s">
        <v>3296</v>
      </c>
      <c r="AF215" s="416" t="s">
        <v>3297</v>
      </c>
      <c r="AG215" s="415"/>
      <c r="AJ215" s="415" t="s">
        <v>337</v>
      </c>
      <c r="AM215" s="415" t="s">
        <v>337</v>
      </c>
      <c r="AP215" s="415" t="s">
        <v>337</v>
      </c>
      <c r="AS215" s="415" t="s">
        <v>337</v>
      </c>
      <c r="AV215" s="415" t="s">
        <v>337</v>
      </c>
      <c r="AY215" s="415" t="s">
        <v>337</v>
      </c>
      <c r="AZ215" s="213">
        <v>342001</v>
      </c>
      <c r="BA215" s="416" t="s">
        <v>3298</v>
      </c>
      <c r="BB215" s="415" t="s">
        <v>337</v>
      </c>
      <c r="BE215" s="415" t="s">
        <v>337</v>
      </c>
      <c r="BH215" s="415" t="s">
        <v>337</v>
      </c>
      <c r="BM215" s="415" t="s">
        <v>337</v>
      </c>
      <c r="BN215" s="213" t="s">
        <v>3299</v>
      </c>
      <c r="BP215" s="415" t="s">
        <v>337</v>
      </c>
      <c r="BS215" s="415"/>
      <c r="BV215" s="415" t="s">
        <v>337</v>
      </c>
      <c r="BY215" s="415" t="s">
        <v>337</v>
      </c>
      <c r="CB215" s="415" t="s">
        <v>337</v>
      </c>
      <c r="CE215" s="415" t="s">
        <v>337</v>
      </c>
      <c r="CH215" s="415" t="s">
        <v>337</v>
      </c>
      <c r="CK215" s="415" t="s">
        <v>337</v>
      </c>
      <c r="CN215" s="415" t="s">
        <v>337</v>
      </c>
      <c r="CQ215" s="415" t="s">
        <v>337</v>
      </c>
      <c r="CT215" s="415" t="s">
        <v>337</v>
      </c>
    </row>
    <row r="216" spans="1:98">
      <c r="A216" s="1" t="s">
        <v>781</v>
      </c>
      <c r="B216" s="416" t="s">
        <v>3300</v>
      </c>
      <c r="C216" s="415" t="s">
        <v>337</v>
      </c>
      <c r="F216" s="415" t="s">
        <v>337</v>
      </c>
      <c r="I216" s="415" t="s">
        <v>337</v>
      </c>
      <c r="L216" s="415" t="s">
        <v>337</v>
      </c>
      <c r="M216" s="213" t="s">
        <v>3301</v>
      </c>
      <c r="N216" s="416" t="s">
        <v>3302</v>
      </c>
      <c r="O216" s="415" t="s">
        <v>337</v>
      </c>
      <c r="R216" s="415" t="s">
        <v>337</v>
      </c>
      <c r="S216" s="213" t="s">
        <v>3303</v>
      </c>
      <c r="T216" s="416" t="s">
        <v>3304</v>
      </c>
      <c r="U216" s="415" t="s">
        <v>337</v>
      </c>
      <c r="X216" s="415"/>
      <c r="AA216" s="415"/>
      <c r="AD216" s="415"/>
      <c r="AE216" s="417" t="s">
        <v>3305</v>
      </c>
      <c r="AF216" s="416" t="s">
        <v>3306</v>
      </c>
      <c r="AG216" s="415"/>
      <c r="AJ216" s="415" t="s">
        <v>337</v>
      </c>
      <c r="AM216" s="415" t="s">
        <v>337</v>
      </c>
      <c r="AP216" s="415" t="s">
        <v>337</v>
      </c>
      <c r="AS216" s="415" t="s">
        <v>337</v>
      </c>
      <c r="AV216" s="415" t="s">
        <v>337</v>
      </c>
      <c r="AY216" s="415" t="s">
        <v>337</v>
      </c>
      <c r="AZ216" s="213">
        <v>342002</v>
      </c>
      <c r="BA216" s="416" t="s">
        <v>3307</v>
      </c>
      <c r="BB216" s="415" t="s">
        <v>337</v>
      </c>
      <c r="BE216" s="415" t="s">
        <v>337</v>
      </c>
      <c r="BH216" s="415" t="s">
        <v>337</v>
      </c>
      <c r="BM216" s="415" t="s">
        <v>337</v>
      </c>
      <c r="BN216" s="213" t="s">
        <v>3308</v>
      </c>
      <c r="BO216" s="416" t="s">
        <v>3309</v>
      </c>
      <c r="BP216" s="415" t="s">
        <v>337</v>
      </c>
      <c r="BS216" s="415"/>
      <c r="BV216" s="415" t="s">
        <v>337</v>
      </c>
      <c r="BY216" s="415" t="s">
        <v>337</v>
      </c>
      <c r="CB216" s="415" t="s">
        <v>337</v>
      </c>
      <c r="CE216" s="415" t="s">
        <v>337</v>
      </c>
      <c r="CH216" s="415" t="s">
        <v>337</v>
      </c>
      <c r="CK216" s="415" t="s">
        <v>337</v>
      </c>
      <c r="CN216" s="415" t="s">
        <v>337</v>
      </c>
      <c r="CQ216" s="415" t="s">
        <v>337</v>
      </c>
      <c r="CT216" s="415" t="s">
        <v>337</v>
      </c>
    </row>
    <row r="217" spans="1:98">
      <c r="A217" s="1" t="s">
        <v>781</v>
      </c>
      <c r="B217" s="416" t="s">
        <v>3310</v>
      </c>
      <c r="C217" s="415" t="s">
        <v>337</v>
      </c>
      <c r="F217" s="415" t="s">
        <v>337</v>
      </c>
      <c r="I217" s="415" t="s">
        <v>337</v>
      </c>
      <c r="L217" s="415" t="s">
        <v>337</v>
      </c>
      <c r="M217" s="213" t="s">
        <v>3311</v>
      </c>
      <c r="N217" s="416" t="s">
        <v>3312</v>
      </c>
      <c r="O217" s="415" t="s">
        <v>337</v>
      </c>
      <c r="R217" s="415" t="s">
        <v>337</v>
      </c>
      <c r="S217" s="213" t="s">
        <v>3313</v>
      </c>
      <c r="T217" s="416" t="s">
        <v>3314</v>
      </c>
      <c r="U217" s="415" t="s">
        <v>337</v>
      </c>
      <c r="X217" s="415"/>
      <c r="AA217" s="415"/>
      <c r="AD217" s="415"/>
      <c r="AE217" s="417" t="s">
        <v>3315</v>
      </c>
      <c r="AF217" s="416" t="s">
        <v>3316</v>
      </c>
      <c r="AG217" s="415"/>
      <c r="AJ217" s="415" t="s">
        <v>337</v>
      </c>
      <c r="AM217" s="415" t="s">
        <v>337</v>
      </c>
      <c r="AP217" s="415" t="s">
        <v>337</v>
      </c>
      <c r="AS217" s="415" t="s">
        <v>337</v>
      </c>
      <c r="AV217" s="415" t="s">
        <v>337</v>
      </c>
      <c r="AY217" s="415" t="s">
        <v>337</v>
      </c>
      <c r="AZ217" s="213">
        <v>342003</v>
      </c>
      <c r="BA217" s="416" t="s">
        <v>3317</v>
      </c>
      <c r="BB217" s="415" t="s">
        <v>337</v>
      </c>
      <c r="BE217" s="415" t="s">
        <v>337</v>
      </c>
      <c r="BH217" s="415" t="s">
        <v>337</v>
      </c>
      <c r="BM217" s="415" t="s">
        <v>337</v>
      </c>
      <c r="BN217" s="213" t="s">
        <v>3318</v>
      </c>
      <c r="BO217" s="416" t="s">
        <v>3309</v>
      </c>
      <c r="BP217" s="415" t="s">
        <v>337</v>
      </c>
      <c r="BS217" s="415"/>
      <c r="BV217" s="415" t="s">
        <v>337</v>
      </c>
      <c r="BY217" s="415" t="s">
        <v>337</v>
      </c>
      <c r="CB217" s="415" t="s">
        <v>337</v>
      </c>
      <c r="CE217" s="415" t="s">
        <v>337</v>
      </c>
      <c r="CH217" s="415" t="s">
        <v>337</v>
      </c>
      <c r="CK217" s="415" t="s">
        <v>337</v>
      </c>
      <c r="CN217" s="415" t="s">
        <v>337</v>
      </c>
      <c r="CQ217" s="415" t="s">
        <v>337</v>
      </c>
      <c r="CT217" s="415" t="s">
        <v>337</v>
      </c>
    </row>
    <row r="218" spans="1:98">
      <c r="A218" s="1" t="s">
        <v>781</v>
      </c>
      <c r="B218" s="416" t="s">
        <v>3319</v>
      </c>
      <c r="C218" s="415" t="s">
        <v>337</v>
      </c>
      <c r="F218" s="415" t="s">
        <v>337</v>
      </c>
      <c r="I218" s="415" t="s">
        <v>337</v>
      </c>
      <c r="L218" s="415" t="s">
        <v>337</v>
      </c>
      <c r="M218" s="213" t="s">
        <v>3320</v>
      </c>
      <c r="N218" s="416" t="s">
        <v>3321</v>
      </c>
      <c r="O218" s="415" t="s">
        <v>337</v>
      </c>
      <c r="R218" s="415" t="s">
        <v>337</v>
      </c>
      <c r="S218" s="213" t="s">
        <v>3322</v>
      </c>
      <c r="T218" s="416" t="s">
        <v>3323</v>
      </c>
      <c r="U218" s="415" t="s">
        <v>337</v>
      </c>
      <c r="X218" s="415"/>
      <c r="AA218" s="415"/>
      <c r="AD218" s="415"/>
      <c r="AE218" s="417" t="s">
        <v>3324</v>
      </c>
      <c r="AF218" s="416" t="s">
        <v>3325</v>
      </c>
      <c r="AG218" s="415"/>
      <c r="AJ218" s="415" t="s">
        <v>337</v>
      </c>
      <c r="AM218" s="415" t="s">
        <v>337</v>
      </c>
      <c r="AP218" s="415" t="s">
        <v>337</v>
      </c>
      <c r="AS218" s="415" t="s">
        <v>337</v>
      </c>
      <c r="AV218" s="415" t="s">
        <v>337</v>
      </c>
      <c r="AY218" s="415" t="s">
        <v>337</v>
      </c>
      <c r="AZ218" s="213">
        <v>342004</v>
      </c>
      <c r="BA218" s="416" t="s">
        <v>3326</v>
      </c>
      <c r="BB218" s="415" t="s">
        <v>337</v>
      </c>
      <c r="BE218" s="415" t="s">
        <v>337</v>
      </c>
      <c r="BH218" s="415" t="s">
        <v>337</v>
      </c>
      <c r="BM218" s="415" t="s">
        <v>337</v>
      </c>
      <c r="BN218" s="213" t="s">
        <v>3327</v>
      </c>
      <c r="BO218" s="416" t="s">
        <v>3328</v>
      </c>
      <c r="BP218" s="415" t="s">
        <v>337</v>
      </c>
      <c r="BS218" s="415"/>
      <c r="BV218" s="415" t="s">
        <v>337</v>
      </c>
      <c r="BY218" s="415" t="s">
        <v>337</v>
      </c>
      <c r="CB218" s="415" t="s">
        <v>337</v>
      </c>
      <c r="CE218" s="415" t="s">
        <v>337</v>
      </c>
      <c r="CH218" s="415" t="s">
        <v>337</v>
      </c>
      <c r="CK218" s="415" t="s">
        <v>337</v>
      </c>
      <c r="CN218" s="415" t="s">
        <v>337</v>
      </c>
      <c r="CQ218" s="415" t="s">
        <v>337</v>
      </c>
      <c r="CT218" s="415" t="s">
        <v>337</v>
      </c>
    </row>
    <row r="219" spans="1:98">
      <c r="A219" s="1" t="s">
        <v>781</v>
      </c>
      <c r="B219" s="416" t="s">
        <v>3329</v>
      </c>
      <c r="C219" s="415" t="s">
        <v>337</v>
      </c>
      <c r="F219" s="415" t="s">
        <v>337</v>
      </c>
      <c r="I219" s="415" t="s">
        <v>337</v>
      </c>
      <c r="L219" s="415" t="s">
        <v>337</v>
      </c>
      <c r="M219" s="213" t="s">
        <v>3330</v>
      </c>
      <c r="N219" s="416" t="s">
        <v>3331</v>
      </c>
      <c r="O219" s="415" t="s">
        <v>337</v>
      </c>
      <c r="R219" s="415" t="s">
        <v>337</v>
      </c>
      <c r="S219" s="213" t="s">
        <v>3332</v>
      </c>
      <c r="T219" s="416" t="s">
        <v>3333</v>
      </c>
      <c r="U219" s="415" t="s">
        <v>337</v>
      </c>
      <c r="X219" s="415"/>
      <c r="AA219" s="415"/>
      <c r="AD219" s="415"/>
      <c r="AE219" s="417" t="s">
        <v>3334</v>
      </c>
      <c r="AF219" s="416" t="s">
        <v>3335</v>
      </c>
      <c r="AG219" s="415"/>
      <c r="AJ219" s="415" t="s">
        <v>337</v>
      </c>
      <c r="AM219" s="415" t="s">
        <v>337</v>
      </c>
      <c r="AP219" s="415" t="s">
        <v>337</v>
      </c>
      <c r="AS219" s="415" t="s">
        <v>337</v>
      </c>
      <c r="AV219" s="415" t="s">
        <v>337</v>
      </c>
      <c r="AY219" s="415" t="s">
        <v>337</v>
      </c>
      <c r="AZ219" s="213">
        <v>342005</v>
      </c>
      <c r="BA219" s="416" t="s">
        <v>3336</v>
      </c>
      <c r="BB219" s="415" t="s">
        <v>337</v>
      </c>
      <c r="BE219" s="415" t="s">
        <v>337</v>
      </c>
      <c r="BH219" s="415" t="s">
        <v>337</v>
      </c>
      <c r="BM219" s="415" t="s">
        <v>337</v>
      </c>
      <c r="BN219" s="213" t="s">
        <v>3337</v>
      </c>
      <c r="BO219" s="416" t="s">
        <v>3338</v>
      </c>
      <c r="BP219" s="415" t="s">
        <v>337</v>
      </c>
      <c r="BS219" s="415"/>
      <c r="BV219" s="415" t="s">
        <v>337</v>
      </c>
      <c r="BY219" s="415" t="s">
        <v>337</v>
      </c>
      <c r="CB219" s="415" t="s">
        <v>337</v>
      </c>
      <c r="CE219" s="415" t="s">
        <v>337</v>
      </c>
      <c r="CH219" s="415" t="s">
        <v>337</v>
      </c>
      <c r="CK219" s="415" t="s">
        <v>337</v>
      </c>
      <c r="CN219" s="415" t="s">
        <v>337</v>
      </c>
      <c r="CQ219" s="415" t="s">
        <v>337</v>
      </c>
      <c r="CT219" s="415" t="s">
        <v>337</v>
      </c>
    </row>
    <row r="220" spans="1:98">
      <c r="A220" s="1" t="s">
        <v>781</v>
      </c>
      <c r="B220" s="416" t="s">
        <v>3339</v>
      </c>
      <c r="C220" s="415" t="s">
        <v>337</v>
      </c>
      <c r="F220" s="415" t="s">
        <v>337</v>
      </c>
      <c r="I220" s="415" t="s">
        <v>337</v>
      </c>
      <c r="L220" s="415" t="s">
        <v>337</v>
      </c>
      <c r="M220" s="213" t="s">
        <v>3340</v>
      </c>
      <c r="N220" s="416" t="s">
        <v>3341</v>
      </c>
      <c r="O220" s="415" t="s">
        <v>337</v>
      </c>
      <c r="R220" s="415" t="s">
        <v>337</v>
      </c>
      <c r="S220" s="213" t="s">
        <v>3342</v>
      </c>
      <c r="T220" s="416" t="s">
        <v>3343</v>
      </c>
      <c r="U220" s="415" t="s">
        <v>337</v>
      </c>
      <c r="X220" s="415"/>
      <c r="AA220" s="415"/>
      <c r="AD220" s="415"/>
      <c r="AE220" s="417" t="s">
        <v>3344</v>
      </c>
      <c r="AF220" s="416" t="s">
        <v>3345</v>
      </c>
      <c r="AG220" s="415"/>
      <c r="AJ220" s="415" t="s">
        <v>337</v>
      </c>
      <c r="AM220" s="415" t="s">
        <v>337</v>
      </c>
      <c r="AP220" s="415" t="s">
        <v>337</v>
      </c>
      <c r="AS220" s="415" t="s">
        <v>337</v>
      </c>
      <c r="AV220" s="415" t="s">
        <v>337</v>
      </c>
      <c r="AY220" s="415" t="s">
        <v>337</v>
      </c>
      <c r="AZ220" s="213">
        <v>342006</v>
      </c>
      <c r="BA220" s="416" t="s">
        <v>3346</v>
      </c>
      <c r="BB220" s="415" t="s">
        <v>337</v>
      </c>
      <c r="BE220" s="415" t="s">
        <v>337</v>
      </c>
      <c r="BH220" s="415" t="s">
        <v>337</v>
      </c>
      <c r="BM220" s="415" t="s">
        <v>337</v>
      </c>
      <c r="BN220" s="213" t="s">
        <v>3347</v>
      </c>
      <c r="BO220" s="416" t="s">
        <v>3328</v>
      </c>
      <c r="BP220" s="415" t="s">
        <v>337</v>
      </c>
      <c r="BS220" s="415"/>
      <c r="BV220" s="415" t="s">
        <v>337</v>
      </c>
      <c r="BY220" s="415" t="s">
        <v>337</v>
      </c>
      <c r="CB220" s="415" t="s">
        <v>337</v>
      </c>
      <c r="CE220" s="415" t="s">
        <v>337</v>
      </c>
      <c r="CH220" s="415" t="s">
        <v>337</v>
      </c>
      <c r="CK220" s="415" t="s">
        <v>337</v>
      </c>
      <c r="CN220" s="415" t="s">
        <v>337</v>
      </c>
      <c r="CQ220" s="415" t="s">
        <v>337</v>
      </c>
      <c r="CT220" s="415" t="s">
        <v>337</v>
      </c>
    </row>
    <row r="221" spans="1:98">
      <c r="A221" s="1" t="s">
        <v>781</v>
      </c>
      <c r="B221" s="416" t="s">
        <v>3348</v>
      </c>
      <c r="C221" s="415" t="s">
        <v>337</v>
      </c>
      <c r="F221" s="415" t="s">
        <v>337</v>
      </c>
      <c r="I221" s="415" t="s">
        <v>337</v>
      </c>
      <c r="L221" s="415" t="s">
        <v>337</v>
      </c>
      <c r="M221" s="213" t="s">
        <v>3349</v>
      </c>
      <c r="N221" s="416" t="s">
        <v>3350</v>
      </c>
      <c r="O221" s="415" t="s">
        <v>337</v>
      </c>
      <c r="R221" s="415" t="s">
        <v>337</v>
      </c>
      <c r="S221" s="213" t="s">
        <v>3351</v>
      </c>
      <c r="T221" s="416" t="s">
        <v>3352</v>
      </c>
      <c r="U221" s="415" t="s">
        <v>337</v>
      </c>
      <c r="X221" s="415"/>
      <c r="AA221" s="415"/>
      <c r="AD221" s="415"/>
      <c r="AE221" s="417" t="s">
        <v>3353</v>
      </c>
      <c r="AF221" s="416" t="s">
        <v>3354</v>
      </c>
      <c r="AG221" s="415"/>
      <c r="AJ221" s="415" t="s">
        <v>337</v>
      </c>
      <c r="AM221" s="415" t="s">
        <v>337</v>
      </c>
      <c r="AP221" s="415" t="s">
        <v>337</v>
      </c>
      <c r="AS221" s="415" t="s">
        <v>337</v>
      </c>
      <c r="AV221" s="415" t="s">
        <v>337</v>
      </c>
      <c r="AY221" s="415" t="s">
        <v>337</v>
      </c>
      <c r="AZ221" s="213">
        <v>351001</v>
      </c>
      <c r="BA221" s="416" t="s">
        <v>3355</v>
      </c>
      <c r="BB221" s="415" t="s">
        <v>337</v>
      </c>
      <c r="BE221" s="415" t="s">
        <v>337</v>
      </c>
      <c r="BH221" s="415" t="s">
        <v>337</v>
      </c>
      <c r="BM221" s="415" t="s">
        <v>337</v>
      </c>
      <c r="BN221" s="213" t="s">
        <v>3356</v>
      </c>
      <c r="BO221" s="416" t="s">
        <v>3328</v>
      </c>
      <c r="BP221" s="415" t="s">
        <v>337</v>
      </c>
      <c r="BS221" s="415"/>
      <c r="BV221" s="415" t="s">
        <v>337</v>
      </c>
      <c r="BY221" s="415" t="s">
        <v>337</v>
      </c>
      <c r="CB221" s="415" t="s">
        <v>337</v>
      </c>
      <c r="CE221" s="415" t="s">
        <v>337</v>
      </c>
      <c r="CH221" s="415" t="s">
        <v>337</v>
      </c>
      <c r="CK221" s="415" t="s">
        <v>337</v>
      </c>
      <c r="CN221" s="415" t="s">
        <v>337</v>
      </c>
      <c r="CQ221" s="415" t="s">
        <v>337</v>
      </c>
      <c r="CT221" s="415" t="s">
        <v>337</v>
      </c>
    </row>
    <row r="222" spans="1:98">
      <c r="A222" s="1" t="s">
        <v>781</v>
      </c>
      <c r="B222" s="416" t="s">
        <v>3357</v>
      </c>
      <c r="C222" s="415" t="s">
        <v>337</v>
      </c>
      <c r="F222" s="415" t="s">
        <v>337</v>
      </c>
      <c r="I222" s="415" t="s">
        <v>337</v>
      </c>
      <c r="L222" s="415" t="s">
        <v>337</v>
      </c>
      <c r="M222" s="213" t="s">
        <v>3358</v>
      </c>
      <c r="N222" s="416" t="s">
        <v>3359</v>
      </c>
      <c r="O222" s="415" t="s">
        <v>337</v>
      </c>
      <c r="R222" s="415" t="s">
        <v>337</v>
      </c>
      <c r="S222" s="213" t="s">
        <v>3360</v>
      </c>
      <c r="T222" s="416" t="s">
        <v>3361</v>
      </c>
      <c r="U222" s="415" t="s">
        <v>337</v>
      </c>
      <c r="X222" s="415"/>
      <c r="AA222" s="415"/>
      <c r="AD222" s="415"/>
      <c r="AE222" s="417" t="s">
        <v>3362</v>
      </c>
      <c r="AF222" s="416" t="s">
        <v>3363</v>
      </c>
      <c r="AG222" s="415"/>
      <c r="AJ222" s="415" t="s">
        <v>337</v>
      </c>
      <c r="AM222" s="415" t="s">
        <v>337</v>
      </c>
      <c r="AP222" s="415" t="s">
        <v>337</v>
      </c>
      <c r="AS222" s="415" t="s">
        <v>337</v>
      </c>
      <c r="AV222" s="415" t="s">
        <v>337</v>
      </c>
      <c r="AY222" s="415" t="s">
        <v>337</v>
      </c>
      <c r="AZ222" s="213">
        <v>351002</v>
      </c>
      <c r="BA222" s="416" t="s">
        <v>3364</v>
      </c>
      <c r="BB222" s="415" t="s">
        <v>337</v>
      </c>
      <c r="BE222" s="415" t="s">
        <v>337</v>
      </c>
      <c r="BH222" s="415" t="s">
        <v>337</v>
      </c>
      <c r="BM222" s="415" t="s">
        <v>337</v>
      </c>
      <c r="BN222" s="213" t="s">
        <v>3365</v>
      </c>
      <c r="BO222" s="416" t="s">
        <v>3328</v>
      </c>
      <c r="BP222" s="415" t="s">
        <v>337</v>
      </c>
      <c r="BS222" s="415"/>
      <c r="BV222" s="415" t="s">
        <v>337</v>
      </c>
      <c r="BY222" s="415" t="s">
        <v>337</v>
      </c>
      <c r="CB222" s="415" t="s">
        <v>337</v>
      </c>
      <c r="CE222" s="415" t="s">
        <v>337</v>
      </c>
      <c r="CH222" s="415" t="s">
        <v>337</v>
      </c>
      <c r="CK222" s="415" t="s">
        <v>337</v>
      </c>
      <c r="CN222" s="415" t="s">
        <v>337</v>
      </c>
      <c r="CQ222" s="415" t="s">
        <v>337</v>
      </c>
      <c r="CT222" s="415" t="s">
        <v>337</v>
      </c>
    </row>
    <row r="223" spans="1:98">
      <c r="A223" s="1" t="s">
        <v>781</v>
      </c>
      <c r="B223" s="416" t="s">
        <v>3366</v>
      </c>
      <c r="C223" s="415" t="s">
        <v>337</v>
      </c>
      <c r="F223" s="415" t="s">
        <v>337</v>
      </c>
      <c r="I223" s="415" t="s">
        <v>337</v>
      </c>
      <c r="L223" s="415" t="s">
        <v>337</v>
      </c>
      <c r="M223" s="436" t="s">
        <v>318</v>
      </c>
      <c r="N223" s="420" t="s">
        <v>42</v>
      </c>
      <c r="O223" s="415" t="s">
        <v>337</v>
      </c>
      <c r="R223" s="415" t="s">
        <v>337</v>
      </c>
      <c r="S223" s="213" t="s">
        <v>3367</v>
      </c>
      <c r="T223" s="416" t="s">
        <v>3368</v>
      </c>
      <c r="U223" s="415" t="s">
        <v>337</v>
      </c>
      <c r="X223" s="415"/>
      <c r="AA223" s="415"/>
      <c r="AD223" s="415"/>
      <c r="AE223" s="417" t="s">
        <v>3369</v>
      </c>
      <c r="AF223" s="416" t="s">
        <v>3370</v>
      </c>
      <c r="AG223" s="415"/>
      <c r="AJ223" s="415" t="s">
        <v>337</v>
      </c>
      <c r="AM223" s="415" t="s">
        <v>337</v>
      </c>
      <c r="AP223" s="415" t="s">
        <v>337</v>
      </c>
      <c r="AS223" s="415" t="s">
        <v>337</v>
      </c>
      <c r="AV223" s="415" t="s">
        <v>337</v>
      </c>
      <c r="AY223" s="415" t="s">
        <v>337</v>
      </c>
      <c r="AZ223" s="213">
        <v>351003</v>
      </c>
      <c r="BA223" s="416" t="s">
        <v>3371</v>
      </c>
      <c r="BB223" s="415" t="s">
        <v>337</v>
      </c>
      <c r="BE223" s="415" t="s">
        <v>337</v>
      </c>
      <c r="BH223" s="415" t="s">
        <v>337</v>
      </c>
      <c r="BM223" s="415" t="s">
        <v>337</v>
      </c>
      <c r="BP223" s="415" t="s">
        <v>337</v>
      </c>
      <c r="BS223" s="415"/>
      <c r="BV223" s="415" t="s">
        <v>337</v>
      </c>
      <c r="BY223" s="415" t="s">
        <v>337</v>
      </c>
      <c r="CB223" s="415" t="s">
        <v>337</v>
      </c>
      <c r="CE223" s="415" t="s">
        <v>337</v>
      </c>
      <c r="CH223" s="415" t="s">
        <v>337</v>
      </c>
      <c r="CK223" s="415" t="s">
        <v>337</v>
      </c>
      <c r="CN223" s="415" t="s">
        <v>337</v>
      </c>
      <c r="CQ223" s="415" t="s">
        <v>337</v>
      </c>
      <c r="CT223" s="415" t="s">
        <v>337</v>
      </c>
    </row>
    <row r="224" spans="1:98">
      <c r="A224" s="1" t="s">
        <v>781</v>
      </c>
      <c r="B224" s="416" t="s">
        <v>3372</v>
      </c>
      <c r="C224" s="415" t="s">
        <v>337</v>
      </c>
      <c r="F224" s="415" t="s">
        <v>337</v>
      </c>
      <c r="I224" s="415" t="s">
        <v>337</v>
      </c>
      <c r="L224" s="415" t="s">
        <v>337</v>
      </c>
      <c r="M224" s="213" t="s">
        <v>3373</v>
      </c>
      <c r="N224" s="416" t="s">
        <v>3374</v>
      </c>
      <c r="O224" s="415" t="s">
        <v>337</v>
      </c>
      <c r="R224" s="415" t="s">
        <v>337</v>
      </c>
      <c r="S224" s="213" t="s">
        <v>3375</v>
      </c>
      <c r="T224" s="416" t="s">
        <v>3376</v>
      </c>
      <c r="U224" s="415" t="s">
        <v>337</v>
      </c>
      <c r="X224" s="415"/>
      <c r="AA224" s="415"/>
      <c r="AD224" s="415"/>
      <c r="AE224" s="417" t="s">
        <v>3377</v>
      </c>
      <c r="AF224" s="416" t="s">
        <v>3378</v>
      </c>
      <c r="AG224" s="415"/>
      <c r="AJ224" s="415" t="s">
        <v>337</v>
      </c>
      <c r="AM224" s="415" t="s">
        <v>337</v>
      </c>
      <c r="AP224" s="415" t="s">
        <v>337</v>
      </c>
      <c r="AS224" s="415" t="s">
        <v>337</v>
      </c>
      <c r="AV224" s="415" t="s">
        <v>337</v>
      </c>
      <c r="AY224" s="415" t="s">
        <v>337</v>
      </c>
      <c r="AZ224" s="213">
        <v>351004</v>
      </c>
      <c r="BA224" s="416" t="s">
        <v>3379</v>
      </c>
      <c r="BB224" s="415" t="s">
        <v>337</v>
      </c>
      <c r="BE224" s="415" t="s">
        <v>337</v>
      </c>
      <c r="BH224" s="415" t="s">
        <v>337</v>
      </c>
      <c r="BM224" s="415" t="s">
        <v>337</v>
      </c>
      <c r="BP224" s="415" t="s">
        <v>337</v>
      </c>
      <c r="BS224" s="415"/>
      <c r="BV224" s="415" t="s">
        <v>337</v>
      </c>
      <c r="BY224" s="415" t="s">
        <v>337</v>
      </c>
      <c r="CB224" s="415" t="s">
        <v>337</v>
      </c>
      <c r="CE224" s="415" t="s">
        <v>337</v>
      </c>
      <c r="CH224" s="415" t="s">
        <v>337</v>
      </c>
      <c r="CK224" s="415" t="s">
        <v>337</v>
      </c>
      <c r="CN224" s="415" t="s">
        <v>337</v>
      </c>
      <c r="CQ224" s="415" t="s">
        <v>337</v>
      </c>
      <c r="CT224" s="415" t="s">
        <v>337</v>
      </c>
    </row>
    <row r="225" spans="1:98">
      <c r="A225" s="1" t="s">
        <v>781</v>
      </c>
      <c r="B225" s="416" t="s">
        <v>3380</v>
      </c>
      <c r="C225" s="415" t="s">
        <v>337</v>
      </c>
      <c r="F225" s="415" t="s">
        <v>337</v>
      </c>
      <c r="I225" s="415" t="s">
        <v>337</v>
      </c>
      <c r="L225" s="415" t="s">
        <v>337</v>
      </c>
      <c r="M225" s="213" t="s">
        <v>3381</v>
      </c>
      <c r="N225" s="416" t="s">
        <v>3382</v>
      </c>
      <c r="O225" s="415" t="s">
        <v>337</v>
      </c>
      <c r="R225" s="415" t="s">
        <v>337</v>
      </c>
      <c r="S225" s="213" t="s">
        <v>3383</v>
      </c>
      <c r="T225" s="416" t="s">
        <v>3384</v>
      </c>
      <c r="U225" s="415" t="s">
        <v>337</v>
      </c>
      <c r="X225" s="415"/>
      <c r="AA225" s="415"/>
      <c r="AD225" s="415"/>
      <c r="AE225" s="417" t="s">
        <v>3385</v>
      </c>
      <c r="AF225" s="416" t="s">
        <v>3386</v>
      </c>
      <c r="AG225" s="415"/>
      <c r="AJ225" s="415" t="s">
        <v>337</v>
      </c>
      <c r="AM225" s="415" t="s">
        <v>337</v>
      </c>
      <c r="AP225" s="415" t="s">
        <v>337</v>
      </c>
      <c r="AS225" s="415" t="s">
        <v>337</v>
      </c>
      <c r="AV225" s="415" t="s">
        <v>337</v>
      </c>
      <c r="AY225" s="415" t="s">
        <v>337</v>
      </c>
      <c r="AZ225" s="213">
        <v>351005</v>
      </c>
      <c r="BA225" s="416" t="s">
        <v>3387</v>
      </c>
      <c r="BB225" s="415" t="s">
        <v>337</v>
      </c>
      <c r="BE225" s="415" t="s">
        <v>337</v>
      </c>
      <c r="BH225" s="415" t="s">
        <v>337</v>
      </c>
      <c r="BM225" s="415" t="s">
        <v>337</v>
      </c>
      <c r="BP225" s="415" t="s">
        <v>337</v>
      </c>
      <c r="BS225" s="415"/>
      <c r="BV225" s="415" t="s">
        <v>337</v>
      </c>
      <c r="BY225" s="415" t="s">
        <v>337</v>
      </c>
      <c r="CB225" s="415" t="s">
        <v>337</v>
      </c>
      <c r="CE225" s="415" t="s">
        <v>337</v>
      </c>
      <c r="CH225" s="415" t="s">
        <v>337</v>
      </c>
      <c r="CK225" s="415" t="s">
        <v>337</v>
      </c>
      <c r="CN225" s="415" t="s">
        <v>337</v>
      </c>
      <c r="CQ225" s="415" t="s">
        <v>337</v>
      </c>
      <c r="CT225" s="415" t="s">
        <v>337</v>
      </c>
    </row>
    <row r="226" spans="1:98">
      <c r="A226" s="1" t="s">
        <v>781</v>
      </c>
      <c r="B226" s="416" t="s">
        <v>3388</v>
      </c>
      <c r="C226" s="415" t="s">
        <v>337</v>
      </c>
      <c r="F226" s="415" t="s">
        <v>337</v>
      </c>
      <c r="I226" s="415" t="s">
        <v>337</v>
      </c>
      <c r="L226" s="415" t="s">
        <v>337</v>
      </c>
      <c r="M226" s="213" t="s">
        <v>3389</v>
      </c>
      <c r="N226" s="416" t="s">
        <v>3390</v>
      </c>
      <c r="O226" s="415" t="s">
        <v>337</v>
      </c>
      <c r="R226" s="415" t="s">
        <v>337</v>
      </c>
      <c r="S226" s="213" t="s">
        <v>3391</v>
      </c>
      <c r="T226" s="416" t="s">
        <v>3392</v>
      </c>
      <c r="U226" s="415" t="s">
        <v>337</v>
      </c>
      <c r="X226" s="415"/>
      <c r="AA226" s="415"/>
      <c r="AD226" s="415"/>
      <c r="AE226" s="417" t="s">
        <v>3393</v>
      </c>
      <c r="AF226" s="416" t="s">
        <v>3394</v>
      </c>
      <c r="AG226" s="415"/>
      <c r="AJ226" s="415" t="s">
        <v>337</v>
      </c>
      <c r="AM226" s="415" t="s">
        <v>337</v>
      </c>
      <c r="AP226" s="415" t="s">
        <v>337</v>
      </c>
      <c r="AS226" s="415" t="s">
        <v>337</v>
      </c>
      <c r="AV226" s="415" t="s">
        <v>337</v>
      </c>
      <c r="AY226" s="415" t="s">
        <v>337</v>
      </c>
      <c r="AZ226" s="213">
        <v>351006</v>
      </c>
      <c r="BA226" s="416" t="s">
        <v>3395</v>
      </c>
      <c r="BB226" s="415" t="s">
        <v>337</v>
      </c>
      <c r="BE226" s="415" t="s">
        <v>337</v>
      </c>
      <c r="BH226" s="415" t="s">
        <v>337</v>
      </c>
      <c r="BM226" s="415" t="s">
        <v>337</v>
      </c>
      <c r="BP226" s="415" t="s">
        <v>337</v>
      </c>
      <c r="BS226" s="415"/>
      <c r="BV226" s="415" t="s">
        <v>337</v>
      </c>
      <c r="BY226" s="415" t="s">
        <v>337</v>
      </c>
      <c r="CB226" s="415" t="s">
        <v>337</v>
      </c>
      <c r="CE226" s="415" t="s">
        <v>337</v>
      </c>
      <c r="CH226" s="415" t="s">
        <v>337</v>
      </c>
      <c r="CK226" s="415" t="s">
        <v>337</v>
      </c>
      <c r="CN226" s="415" t="s">
        <v>337</v>
      </c>
      <c r="CQ226" s="415" t="s">
        <v>337</v>
      </c>
      <c r="CT226" s="415" t="s">
        <v>337</v>
      </c>
    </row>
    <row r="227" spans="1:98">
      <c r="A227" s="1" t="s">
        <v>781</v>
      </c>
      <c r="B227" s="416" t="s">
        <v>3396</v>
      </c>
      <c r="C227" s="415" t="s">
        <v>337</v>
      </c>
      <c r="F227" s="415" t="s">
        <v>337</v>
      </c>
      <c r="I227" s="415" t="s">
        <v>337</v>
      </c>
      <c r="L227" s="415" t="s">
        <v>337</v>
      </c>
      <c r="M227" s="213" t="s">
        <v>3397</v>
      </c>
      <c r="N227" s="416" t="s">
        <v>3398</v>
      </c>
      <c r="O227" s="415" t="s">
        <v>337</v>
      </c>
      <c r="R227" s="415" t="s">
        <v>337</v>
      </c>
      <c r="S227" s="213" t="s">
        <v>3399</v>
      </c>
      <c r="T227" s="416" t="s">
        <v>3400</v>
      </c>
      <c r="U227" s="415" t="s">
        <v>337</v>
      </c>
      <c r="X227" s="415"/>
      <c r="AA227" s="415"/>
      <c r="AD227" s="415"/>
      <c r="AE227" s="417" t="s">
        <v>3401</v>
      </c>
      <c r="AF227" s="416" t="s">
        <v>3402</v>
      </c>
      <c r="AG227" s="415"/>
      <c r="AJ227" s="415" t="s">
        <v>337</v>
      </c>
      <c r="AM227" s="415" t="s">
        <v>337</v>
      </c>
      <c r="AP227" s="415" t="s">
        <v>337</v>
      </c>
      <c r="AS227" s="415" t="s">
        <v>337</v>
      </c>
      <c r="AV227" s="415" t="s">
        <v>337</v>
      </c>
      <c r="AY227" s="415" t="s">
        <v>337</v>
      </c>
      <c r="AZ227" s="213">
        <v>352001</v>
      </c>
      <c r="BA227" s="416" t="s">
        <v>3403</v>
      </c>
      <c r="BB227" s="415" t="s">
        <v>337</v>
      </c>
      <c r="BE227" s="415" t="s">
        <v>337</v>
      </c>
      <c r="BH227" s="415" t="s">
        <v>337</v>
      </c>
      <c r="BM227" s="415" t="s">
        <v>337</v>
      </c>
      <c r="BP227" s="415" t="s">
        <v>337</v>
      </c>
      <c r="BS227" s="415"/>
      <c r="BV227" s="415" t="s">
        <v>337</v>
      </c>
      <c r="BY227" s="415" t="s">
        <v>337</v>
      </c>
      <c r="CB227" s="415" t="s">
        <v>337</v>
      </c>
      <c r="CE227" s="415" t="s">
        <v>337</v>
      </c>
      <c r="CH227" s="415" t="s">
        <v>337</v>
      </c>
      <c r="CK227" s="415" t="s">
        <v>337</v>
      </c>
      <c r="CN227" s="415" t="s">
        <v>337</v>
      </c>
      <c r="CQ227" s="415" t="s">
        <v>337</v>
      </c>
      <c r="CT227" s="415" t="s">
        <v>337</v>
      </c>
    </row>
    <row r="228" spans="1:98">
      <c r="A228" s="1" t="s">
        <v>781</v>
      </c>
      <c r="B228" s="416" t="s">
        <v>3404</v>
      </c>
      <c r="C228" s="415" t="s">
        <v>337</v>
      </c>
      <c r="F228" s="415" t="s">
        <v>337</v>
      </c>
      <c r="I228" s="415" t="s">
        <v>337</v>
      </c>
      <c r="L228" s="415" t="s">
        <v>337</v>
      </c>
      <c r="M228" s="213" t="s">
        <v>3405</v>
      </c>
      <c r="N228" s="416" t="s">
        <v>3406</v>
      </c>
      <c r="O228" s="415" t="s">
        <v>337</v>
      </c>
      <c r="R228" s="415" t="s">
        <v>337</v>
      </c>
      <c r="S228" s="213" t="s">
        <v>3407</v>
      </c>
      <c r="T228" s="416" t="s">
        <v>3408</v>
      </c>
      <c r="U228" s="415" t="s">
        <v>337</v>
      </c>
      <c r="X228" s="415"/>
      <c r="AA228" s="415"/>
      <c r="AD228" s="415"/>
      <c r="AE228" s="417" t="s">
        <v>3409</v>
      </c>
      <c r="AF228" s="416" t="s">
        <v>3410</v>
      </c>
      <c r="AG228" s="415"/>
      <c r="AJ228" s="415" t="s">
        <v>337</v>
      </c>
      <c r="AM228" s="415" t="s">
        <v>337</v>
      </c>
      <c r="AP228" s="415" t="s">
        <v>337</v>
      </c>
      <c r="AS228" s="415" t="s">
        <v>337</v>
      </c>
      <c r="AV228" s="415" t="s">
        <v>337</v>
      </c>
      <c r="AY228" s="415" t="s">
        <v>337</v>
      </c>
      <c r="AZ228" s="213">
        <v>352002</v>
      </c>
      <c r="BA228" s="416" t="s">
        <v>3411</v>
      </c>
      <c r="BB228" s="415" t="s">
        <v>337</v>
      </c>
      <c r="BE228" s="415" t="s">
        <v>337</v>
      </c>
      <c r="BH228" s="415" t="s">
        <v>337</v>
      </c>
      <c r="BM228" s="415" t="s">
        <v>337</v>
      </c>
      <c r="BP228" s="415" t="s">
        <v>337</v>
      </c>
      <c r="BS228" s="415"/>
      <c r="BV228" s="415" t="s">
        <v>337</v>
      </c>
      <c r="BY228" s="415" t="s">
        <v>337</v>
      </c>
      <c r="CB228" s="415" t="s">
        <v>337</v>
      </c>
      <c r="CE228" s="415" t="s">
        <v>337</v>
      </c>
      <c r="CH228" s="415" t="s">
        <v>337</v>
      </c>
      <c r="CK228" s="415" t="s">
        <v>337</v>
      </c>
      <c r="CN228" s="415" t="s">
        <v>337</v>
      </c>
      <c r="CQ228" s="415" t="s">
        <v>337</v>
      </c>
      <c r="CT228" s="415" t="s">
        <v>337</v>
      </c>
    </row>
    <row r="229" spans="1:98">
      <c r="A229" s="1" t="s">
        <v>781</v>
      </c>
      <c r="B229" s="416" t="s">
        <v>3412</v>
      </c>
      <c r="C229" s="415" t="s">
        <v>337</v>
      </c>
      <c r="F229" s="415" t="s">
        <v>337</v>
      </c>
      <c r="I229" s="415" t="s">
        <v>337</v>
      </c>
      <c r="L229" s="415" t="s">
        <v>337</v>
      </c>
      <c r="M229" s="213" t="s">
        <v>3413</v>
      </c>
      <c r="N229" s="416" t="s">
        <v>3414</v>
      </c>
      <c r="O229" s="415" t="s">
        <v>337</v>
      </c>
      <c r="R229" s="415" t="s">
        <v>337</v>
      </c>
      <c r="S229" s="213" t="s">
        <v>3415</v>
      </c>
      <c r="T229" s="416" t="s">
        <v>3416</v>
      </c>
      <c r="U229" s="415" t="s">
        <v>337</v>
      </c>
      <c r="X229" s="415"/>
      <c r="AA229" s="415"/>
      <c r="AD229" s="415"/>
      <c r="AE229" s="417" t="s">
        <v>3417</v>
      </c>
      <c r="AF229" s="416" t="s">
        <v>3418</v>
      </c>
      <c r="AG229" s="415"/>
      <c r="AJ229" s="415" t="s">
        <v>337</v>
      </c>
      <c r="AM229" s="415" t="s">
        <v>337</v>
      </c>
      <c r="AP229" s="415" t="s">
        <v>337</v>
      </c>
      <c r="AS229" s="415" t="s">
        <v>337</v>
      </c>
      <c r="AV229" s="415" t="s">
        <v>337</v>
      </c>
      <c r="AY229" s="415" t="s">
        <v>337</v>
      </c>
      <c r="AZ229" s="213">
        <v>352003</v>
      </c>
      <c r="BA229" s="416" t="s">
        <v>3419</v>
      </c>
      <c r="BB229" s="415" t="s">
        <v>337</v>
      </c>
      <c r="BE229" s="415" t="s">
        <v>337</v>
      </c>
      <c r="BH229" s="415" t="s">
        <v>337</v>
      </c>
      <c r="BM229" s="415" t="s">
        <v>337</v>
      </c>
      <c r="BP229" s="415" t="s">
        <v>337</v>
      </c>
      <c r="BS229" s="415"/>
      <c r="BV229" s="415" t="s">
        <v>337</v>
      </c>
      <c r="BY229" s="415" t="s">
        <v>337</v>
      </c>
      <c r="CB229" s="415" t="s">
        <v>337</v>
      </c>
      <c r="CE229" s="415" t="s">
        <v>337</v>
      </c>
      <c r="CH229" s="415" t="s">
        <v>337</v>
      </c>
      <c r="CK229" s="415" t="s">
        <v>337</v>
      </c>
      <c r="CN229" s="415" t="s">
        <v>337</v>
      </c>
      <c r="CQ229" s="415" t="s">
        <v>337</v>
      </c>
      <c r="CT229" s="415" t="s">
        <v>337</v>
      </c>
    </row>
    <row r="230" spans="1:98">
      <c r="A230" s="1" t="s">
        <v>781</v>
      </c>
      <c r="B230" s="416" t="s">
        <v>3420</v>
      </c>
      <c r="C230" s="415" t="s">
        <v>337</v>
      </c>
      <c r="F230" s="415" t="s">
        <v>337</v>
      </c>
      <c r="I230" s="415" t="s">
        <v>337</v>
      </c>
      <c r="L230" s="415" t="s">
        <v>337</v>
      </c>
      <c r="M230" s="213" t="s">
        <v>3421</v>
      </c>
      <c r="N230" s="416" t="s">
        <v>3422</v>
      </c>
      <c r="O230" s="415" t="s">
        <v>337</v>
      </c>
      <c r="R230" s="415" t="s">
        <v>337</v>
      </c>
      <c r="S230" s="213" t="s">
        <v>3423</v>
      </c>
      <c r="T230" s="416" t="s">
        <v>3424</v>
      </c>
      <c r="U230" s="415" t="s">
        <v>337</v>
      </c>
      <c r="X230" s="415"/>
      <c r="AA230" s="415"/>
      <c r="AD230" s="415"/>
      <c r="AE230" s="417" t="s">
        <v>3425</v>
      </c>
      <c r="AF230" s="416" t="s">
        <v>3426</v>
      </c>
      <c r="AG230" s="415"/>
      <c r="AJ230" s="415" t="s">
        <v>337</v>
      </c>
      <c r="AM230" s="415" t="s">
        <v>337</v>
      </c>
      <c r="AP230" s="415" t="s">
        <v>337</v>
      </c>
      <c r="AS230" s="415" t="s">
        <v>337</v>
      </c>
      <c r="AV230" s="415" t="s">
        <v>337</v>
      </c>
      <c r="AY230" s="415" t="s">
        <v>337</v>
      </c>
      <c r="AZ230" s="213">
        <v>352004</v>
      </c>
      <c r="BA230" s="416" t="s">
        <v>3427</v>
      </c>
      <c r="BB230" s="415" t="s">
        <v>337</v>
      </c>
      <c r="BE230" s="415" t="s">
        <v>337</v>
      </c>
      <c r="BH230" s="415" t="s">
        <v>337</v>
      </c>
      <c r="BM230" s="415" t="s">
        <v>337</v>
      </c>
      <c r="BP230" s="415" t="s">
        <v>337</v>
      </c>
      <c r="BS230" s="415"/>
      <c r="BV230" s="415" t="s">
        <v>337</v>
      </c>
      <c r="BY230" s="415" t="s">
        <v>337</v>
      </c>
      <c r="CB230" s="415" t="s">
        <v>337</v>
      </c>
      <c r="CE230" s="415" t="s">
        <v>337</v>
      </c>
      <c r="CH230" s="415" t="s">
        <v>337</v>
      </c>
      <c r="CK230" s="415" t="s">
        <v>337</v>
      </c>
      <c r="CN230" s="415" t="s">
        <v>337</v>
      </c>
      <c r="CQ230" s="415" t="s">
        <v>337</v>
      </c>
      <c r="CT230" s="415" t="s">
        <v>337</v>
      </c>
    </row>
    <row r="231" spans="1:98">
      <c r="A231" s="1" t="s">
        <v>781</v>
      </c>
      <c r="B231" s="416" t="s">
        <v>3428</v>
      </c>
      <c r="C231" s="415" t="s">
        <v>337</v>
      </c>
      <c r="F231" s="415" t="s">
        <v>337</v>
      </c>
      <c r="I231" s="415" t="s">
        <v>337</v>
      </c>
      <c r="L231" s="415" t="s">
        <v>337</v>
      </c>
      <c r="M231" s="213" t="s">
        <v>3429</v>
      </c>
      <c r="N231" s="416" t="s">
        <v>3430</v>
      </c>
      <c r="O231" s="415" t="s">
        <v>337</v>
      </c>
      <c r="R231" s="415" t="s">
        <v>337</v>
      </c>
      <c r="S231" s="213" t="s">
        <v>3431</v>
      </c>
      <c r="T231" s="416" t="s">
        <v>3432</v>
      </c>
      <c r="U231" s="415" t="s">
        <v>337</v>
      </c>
      <c r="X231" s="415"/>
      <c r="AA231" s="415"/>
      <c r="AD231" s="415"/>
      <c r="AE231" s="417" t="s">
        <v>3433</v>
      </c>
      <c r="AF231" s="416" t="s">
        <v>3434</v>
      </c>
      <c r="AG231" s="415"/>
      <c r="AJ231" s="415" t="s">
        <v>337</v>
      </c>
      <c r="AM231" s="415" t="s">
        <v>337</v>
      </c>
      <c r="AP231" s="415" t="s">
        <v>337</v>
      </c>
      <c r="AS231" s="415" t="s">
        <v>337</v>
      </c>
      <c r="AV231" s="415" t="s">
        <v>337</v>
      </c>
      <c r="AY231" s="415" t="s">
        <v>337</v>
      </c>
      <c r="AZ231" s="213">
        <v>352005</v>
      </c>
      <c r="BA231" s="416" t="s">
        <v>3435</v>
      </c>
      <c r="BB231" s="415" t="s">
        <v>337</v>
      </c>
      <c r="BE231" s="415" t="s">
        <v>337</v>
      </c>
      <c r="BH231" s="415" t="s">
        <v>337</v>
      </c>
      <c r="BM231" s="415" t="s">
        <v>337</v>
      </c>
      <c r="BP231" s="415" t="s">
        <v>337</v>
      </c>
      <c r="BS231" s="415"/>
      <c r="BV231" s="415" t="s">
        <v>337</v>
      </c>
      <c r="BY231" s="415" t="s">
        <v>337</v>
      </c>
      <c r="CB231" s="415" t="s">
        <v>337</v>
      </c>
      <c r="CE231" s="415" t="s">
        <v>337</v>
      </c>
      <c r="CH231" s="415" t="s">
        <v>337</v>
      </c>
      <c r="CK231" s="415" t="s">
        <v>337</v>
      </c>
      <c r="CN231" s="415" t="s">
        <v>337</v>
      </c>
      <c r="CQ231" s="415" t="s">
        <v>337</v>
      </c>
      <c r="CT231" s="415" t="s">
        <v>337</v>
      </c>
    </row>
    <row r="232" spans="1:98">
      <c r="A232" s="1" t="s">
        <v>781</v>
      </c>
      <c r="B232" s="416" t="s">
        <v>3436</v>
      </c>
      <c r="C232" s="415" t="s">
        <v>337</v>
      </c>
      <c r="F232" s="415" t="s">
        <v>337</v>
      </c>
      <c r="I232" s="415" t="s">
        <v>337</v>
      </c>
      <c r="L232" s="415" t="s">
        <v>337</v>
      </c>
      <c r="M232" s="213" t="s">
        <v>3437</v>
      </c>
      <c r="N232" s="416" t="s">
        <v>3438</v>
      </c>
      <c r="O232" s="415" t="s">
        <v>337</v>
      </c>
      <c r="R232" s="415" t="s">
        <v>337</v>
      </c>
      <c r="S232" s="213" t="s">
        <v>3439</v>
      </c>
      <c r="T232" s="416" t="s">
        <v>3440</v>
      </c>
      <c r="U232" s="415" t="s">
        <v>337</v>
      </c>
      <c r="X232" s="415"/>
      <c r="AA232" s="415"/>
      <c r="AD232" s="415"/>
      <c r="AE232" s="417" t="s">
        <v>3441</v>
      </c>
      <c r="AF232" s="416" t="s">
        <v>3442</v>
      </c>
      <c r="AG232" s="415"/>
      <c r="AJ232" s="415" t="s">
        <v>337</v>
      </c>
      <c r="AM232" s="415" t="s">
        <v>337</v>
      </c>
      <c r="AP232" s="415" t="s">
        <v>337</v>
      </c>
      <c r="AS232" s="415" t="s">
        <v>337</v>
      </c>
      <c r="AV232" s="415" t="s">
        <v>337</v>
      </c>
      <c r="AY232" s="415" t="s">
        <v>337</v>
      </c>
      <c r="AZ232" s="213">
        <v>352006</v>
      </c>
      <c r="BA232" s="416" t="s">
        <v>3443</v>
      </c>
      <c r="BB232" s="415" t="s">
        <v>337</v>
      </c>
      <c r="BE232" s="415" t="s">
        <v>337</v>
      </c>
      <c r="BH232" s="415" t="s">
        <v>337</v>
      </c>
      <c r="BM232" s="415" t="s">
        <v>337</v>
      </c>
      <c r="BP232" s="415" t="s">
        <v>337</v>
      </c>
      <c r="BS232" s="415"/>
      <c r="BV232" s="415" t="s">
        <v>337</v>
      </c>
      <c r="BY232" s="415" t="s">
        <v>337</v>
      </c>
      <c r="CB232" s="415" t="s">
        <v>337</v>
      </c>
      <c r="CE232" s="415" t="s">
        <v>337</v>
      </c>
      <c r="CH232" s="415" t="s">
        <v>337</v>
      </c>
      <c r="CK232" s="415" t="s">
        <v>337</v>
      </c>
      <c r="CN232" s="415" t="s">
        <v>337</v>
      </c>
      <c r="CQ232" s="415" t="s">
        <v>337</v>
      </c>
      <c r="CT232" s="415" t="s">
        <v>337</v>
      </c>
    </row>
    <row r="233" spans="1:98">
      <c r="A233" s="1" t="s">
        <v>781</v>
      </c>
      <c r="B233" s="416" t="s">
        <v>3444</v>
      </c>
      <c r="C233" s="415" t="s">
        <v>337</v>
      </c>
      <c r="F233" s="415" t="s">
        <v>337</v>
      </c>
      <c r="I233" s="415" t="s">
        <v>337</v>
      </c>
      <c r="L233" s="415" t="s">
        <v>337</v>
      </c>
      <c r="M233" s="213" t="s">
        <v>3445</v>
      </c>
      <c r="N233" s="416" t="s">
        <v>3446</v>
      </c>
      <c r="O233" s="415" t="s">
        <v>337</v>
      </c>
      <c r="R233" s="415" t="s">
        <v>337</v>
      </c>
      <c r="S233" s="213" t="s">
        <v>3447</v>
      </c>
      <c r="T233" s="416" t="s">
        <v>3448</v>
      </c>
      <c r="U233" s="415" t="s">
        <v>337</v>
      </c>
      <c r="X233" s="415"/>
      <c r="AA233" s="415"/>
      <c r="AD233" s="415"/>
      <c r="AE233" s="417" t="s">
        <v>3449</v>
      </c>
      <c r="AF233" s="416" t="s">
        <v>3450</v>
      </c>
      <c r="AG233" s="415"/>
      <c r="AJ233" s="415" t="s">
        <v>337</v>
      </c>
      <c r="AM233" s="415" t="s">
        <v>337</v>
      </c>
      <c r="AP233" s="415" t="s">
        <v>337</v>
      </c>
      <c r="AS233" s="415" t="s">
        <v>337</v>
      </c>
      <c r="AV233" s="415" t="s">
        <v>337</v>
      </c>
      <c r="AY233" s="415" t="s">
        <v>337</v>
      </c>
      <c r="AZ233" s="213">
        <v>361001</v>
      </c>
      <c r="BA233" s="416" t="s">
        <v>3451</v>
      </c>
      <c r="BB233" s="415" t="s">
        <v>337</v>
      </c>
      <c r="BE233" s="415" t="s">
        <v>337</v>
      </c>
      <c r="BH233" s="415" t="s">
        <v>337</v>
      </c>
      <c r="BM233" s="415" t="s">
        <v>337</v>
      </c>
      <c r="BP233" s="415" t="s">
        <v>337</v>
      </c>
      <c r="BS233" s="415"/>
      <c r="BV233" s="415" t="s">
        <v>337</v>
      </c>
      <c r="BY233" s="415" t="s">
        <v>337</v>
      </c>
      <c r="CB233" s="415" t="s">
        <v>337</v>
      </c>
      <c r="CE233" s="415" t="s">
        <v>337</v>
      </c>
      <c r="CH233" s="415" t="s">
        <v>337</v>
      </c>
      <c r="CK233" s="415" t="s">
        <v>337</v>
      </c>
      <c r="CN233" s="415" t="s">
        <v>337</v>
      </c>
      <c r="CQ233" s="415" t="s">
        <v>337</v>
      </c>
      <c r="CT233" s="415" t="s">
        <v>337</v>
      </c>
    </row>
    <row r="234" spans="1:98">
      <c r="A234" s="1" t="s">
        <v>781</v>
      </c>
      <c r="B234" s="416" t="s">
        <v>3452</v>
      </c>
      <c r="C234" s="415" t="s">
        <v>337</v>
      </c>
      <c r="F234" s="415" t="s">
        <v>337</v>
      </c>
      <c r="I234" s="415" t="s">
        <v>337</v>
      </c>
      <c r="L234" s="415" t="s">
        <v>337</v>
      </c>
      <c r="M234" s="213" t="s">
        <v>3453</v>
      </c>
      <c r="N234" s="416" t="s">
        <v>3454</v>
      </c>
      <c r="O234" s="415" t="s">
        <v>337</v>
      </c>
      <c r="R234" s="415" t="s">
        <v>337</v>
      </c>
      <c r="S234" s="213" t="s">
        <v>3455</v>
      </c>
      <c r="T234" s="416" t="s">
        <v>3456</v>
      </c>
      <c r="U234" s="415" t="s">
        <v>337</v>
      </c>
      <c r="X234" s="415"/>
      <c r="AA234" s="415"/>
      <c r="AD234" s="415"/>
      <c r="AE234" s="417" t="s">
        <v>3457</v>
      </c>
      <c r="AF234" s="416" t="s">
        <v>3458</v>
      </c>
      <c r="AG234" s="415"/>
      <c r="AJ234" s="415" t="s">
        <v>337</v>
      </c>
      <c r="AM234" s="415" t="s">
        <v>337</v>
      </c>
      <c r="AP234" s="415" t="s">
        <v>337</v>
      </c>
      <c r="AS234" s="415" t="s">
        <v>337</v>
      </c>
      <c r="AV234" s="415" t="s">
        <v>337</v>
      </c>
      <c r="AY234" s="415" t="s">
        <v>337</v>
      </c>
      <c r="AZ234" s="213">
        <v>361002</v>
      </c>
      <c r="BA234" s="416" t="s">
        <v>3459</v>
      </c>
      <c r="BB234" s="415" t="s">
        <v>337</v>
      </c>
      <c r="BE234" s="415" t="s">
        <v>337</v>
      </c>
      <c r="BH234" s="415" t="s">
        <v>337</v>
      </c>
      <c r="BM234" s="415" t="s">
        <v>337</v>
      </c>
      <c r="BP234" s="415" t="s">
        <v>337</v>
      </c>
      <c r="BS234" s="415"/>
      <c r="BV234" s="415" t="s">
        <v>337</v>
      </c>
      <c r="BY234" s="415" t="s">
        <v>337</v>
      </c>
      <c r="CB234" s="415" t="s">
        <v>337</v>
      </c>
      <c r="CE234" s="415" t="s">
        <v>337</v>
      </c>
      <c r="CH234" s="415" t="s">
        <v>337</v>
      </c>
      <c r="CK234" s="415" t="s">
        <v>337</v>
      </c>
      <c r="CN234" s="415" t="s">
        <v>337</v>
      </c>
      <c r="CQ234" s="415" t="s">
        <v>337</v>
      </c>
      <c r="CT234" s="415" t="s">
        <v>337</v>
      </c>
    </row>
    <row r="235" spans="1:98">
      <c r="A235" s="1" t="s">
        <v>807</v>
      </c>
      <c r="B235" s="416" t="s">
        <v>3460</v>
      </c>
      <c r="C235" s="415" t="s">
        <v>337</v>
      </c>
      <c r="F235" s="415" t="s">
        <v>337</v>
      </c>
      <c r="I235" s="415" t="s">
        <v>337</v>
      </c>
      <c r="L235" s="415" t="s">
        <v>337</v>
      </c>
      <c r="M235" s="213" t="s">
        <v>3461</v>
      </c>
      <c r="N235" s="416" t="s">
        <v>3462</v>
      </c>
      <c r="O235" s="415" t="s">
        <v>337</v>
      </c>
      <c r="R235" s="415" t="s">
        <v>337</v>
      </c>
      <c r="S235" s="213" t="s">
        <v>3463</v>
      </c>
      <c r="T235" s="416" t="s">
        <v>3464</v>
      </c>
      <c r="U235" s="415" t="s">
        <v>337</v>
      </c>
      <c r="X235" s="415"/>
      <c r="AA235" s="415"/>
      <c r="AD235" s="415"/>
      <c r="AE235" s="417" t="s">
        <v>3465</v>
      </c>
      <c r="AF235" s="416" t="s">
        <v>3466</v>
      </c>
      <c r="AG235" s="415"/>
      <c r="AJ235" s="415" t="s">
        <v>337</v>
      </c>
      <c r="AM235" s="415" t="s">
        <v>337</v>
      </c>
      <c r="AP235" s="415" t="s">
        <v>337</v>
      </c>
      <c r="AS235" s="415" t="s">
        <v>337</v>
      </c>
      <c r="AV235" s="415" t="s">
        <v>337</v>
      </c>
      <c r="AY235" s="415" t="s">
        <v>337</v>
      </c>
      <c r="AZ235" s="213">
        <v>361003</v>
      </c>
      <c r="BA235" s="416" t="s">
        <v>3467</v>
      </c>
      <c r="BB235" s="415" t="s">
        <v>337</v>
      </c>
      <c r="BE235" s="415" t="s">
        <v>337</v>
      </c>
      <c r="BH235" s="415" t="s">
        <v>337</v>
      </c>
      <c r="BM235" s="415" t="s">
        <v>337</v>
      </c>
      <c r="BP235" s="415" t="s">
        <v>337</v>
      </c>
      <c r="BS235" s="415"/>
      <c r="BV235" s="415" t="s">
        <v>337</v>
      </c>
      <c r="BY235" s="415" t="s">
        <v>337</v>
      </c>
      <c r="CB235" s="415" t="s">
        <v>337</v>
      </c>
      <c r="CE235" s="415" t="s">
        <v>337</v>
      </c>
      <c r="CH235" s="415" t="s">
        <v>337</v>
      </c>
      <c r="CK235" s="415" t="s">
        <v>337</v>
      </c>
      <c r="CN235" s="415" t="s">
        <v>337</v>
      </c>
      <c r="CQ235" s="415" t="s">
        <v>337</v>
      </c>
      <c r="CT235" s="415" t="s">
        <v>337</v>
      </c>
    </row>
    <row r="236" spans="1:98">
      <c r="A236" s="1" t="s">
        <v>807</v>
      </c>
      <c r="B236" s="416" t="s">
        <v>3468</v>
      </c>
      <c r="C236" s="415" t="s">
        <v>337</v>
      </c>
      <c r="F236" s="415" t="s">
        <v>337</v>
      </c>
      <c r="I236" s="415" t="s">
        <v>337</v>
      </c>
      <c r="L236" s="415" t="s">
        <v>337</v>
      </c>
      <c r="M236" s="213" t="s">
        <v>3469</v>
      </c>
      <c r="N236" s="416" t="s">
        <v>3470</v>
      </c>
      <c r="O236" s="415" t="s">
        <v>337</v>
      </c>
      <c r="R236" s="415" t="s">
        <v>337</v>
      </c>
      <c r="S236" s="213" t="s">
        <v>3471</v>
      </c>
      <c r="T236" s="416" t="s">
        <v>3472</v>
      </c>
      <c r="U236" s="415" t="s">
        <v>337</v>
      </c>
      <c r="X236" s="415"/>
      <c r="AA236" s="415"/>
      <c r="AD236" s="415"/>
      <c r="AE236" s="417" t="s">
        <v>3473</v>
      </c>
      <c r="AF236" s="416" t="s">
        <v>3474</v>
      </c>
      <c r="AG236" s="415"/>
      <c r="AJ236" s="415" t="s">
        <v>337</v>
      </c>
      <c r="AM236" s="415" t="s">
        <v>337</v>
      </c>
      <c r="AP236" s="415" t="s">
        <v>337</v>
      </c>
      <c r="AS236" s="415" t="s">
        <v>337</v>
      </c>
      <c r="AV236" s="415" t="s">
        <v>337</v>
      </c>
      <c r="AY236" s="415" t="s">
        <v>337</v>
      </c>
      <c r="AZ236" s="213">
        <v>361004</v>
      </c>
      <c r="BA236" s="416" t="s">
        <v>3475</v>
      </c>
      <c r="BB236" s="415" t="s">
        <v>337</v>
      </c>
      <c r="BE236" s="415" t="s">
        <v>337</v>
      </c>
      <c r="BH236" s="415" t="s">
        <v>337</v>
      </c>
      <c r="BM236" s="415" t="s">
        <v>337</v>
      </c>
      <c r="BP236" s="415" t="s">
        <v>337</v>
      </c>
      <c r="BS236" s="415"/>
      <c r="BV236" s="415" t="s">
        <v>337</v>
      </c>
      <c r="BY236" s="415" t="s">
        <v>337</v>
      </c>
      <c r="CB236" s="415" t="s">
        <v>337</v>
      </c>
      <c r="CE236" s="415" t="s">
        <v>337</v>
      </c>
      <c r="CH236" s="415" t="s">
        <v>337</v>
      </c>
      <c r="CK236" s="415" t="s">
        <v>337</v>
      </c>
      <c r="CN236" s="415" t="s">
        <v>337</v>
      </c>
      <c r="CQ236" s="415" t="s">
        <v>337</v>
      </c>
      <c r="CT236" s="415" t="s">
        <v>337</v>
      </c>
    </row>
    <row r="237" spans="1:98">
      <c r="A237" s="1" t="s">
        <v>807</v>
      </c>
      <c r="B237" s="416" t="s">
        <v>3476</v>
      </c>
      <c r="C237" s="415" t="s">
        <v>337</v>
      </c>
      <c r="F237" s="415" t="s">
        <v>337</v>
      </c>
      <c r="I237" s="415" t="s">
        <v>337</v>
      </c>
      <c r="L237" s="415" t="s">
        <v>337</v>
      </c>
      <c r="M237" s="213" t="s">
        <v>3477</v>
      </c>
      <c r="N237" s="416" t="s">
        <v>3478</v>
      </c>
      <c r="O237" s="415" t="s">
        <v>337</v>
      </c>
      <c r="R237" s="415" t="s">
        <v>337</v>
      </c>
      <c r="S237" s="213" t="s">
        <v>3479</v>
      </c>
      <c r="T237" s="416" t="s">
        <v>3480</v>
      </c>
      <c r="U237" s="415" t="s">
        <v>337</v>
      </c>
      <c r="X237" s="415"/>
      <c r="AA237" s="415"/>
      <c r="AD237" s="415"/>
      <c r="AE237" s="417" t="s">
        <v>3481</v>
      </c>
      <c r="AF237" s="416" t="s">
        <v>3482</v>
      </c>
      <c r="AG237" s="415"/>
      <c r="AJ237" s="415" t="s">
        <v>337</v>
      </c>
      <c r="AM237" s="415" t="s">
        <v>337</v>
      </c>
      <c r="AP237" s="415" t="s">
        <v>337</v>
      </c>
      <c r="AS237" s="415" t="s">
        <v>337</v>
      </c>
      <c r="AV237" s="415" t="s">
        <v>337</v>
      </c>
      <c r="AY237" s="415" t="s">
        <v>337</v>
      </c>
      <c r="AZ237" s="213">
        <v>361005</v>
      </c>
      <c r="BA237" s="416" t="s">
        <v>3483</v>
      </c>
      <c r="BB237" s="415" t="s">
        <v>337</v>
      </c>
      <c r="BE237" s="415" t="s">
        <v>337</v>
      </c>
      <c r="BH237" s="415" t="s">
        <v>337</v>
      </c>
      <c r="BM237" s="415" t="s">
        <v>337</v>
      </c>
      <c r="BP237" s="415" t="s">
        <v>337</v>
      </c>
      <c r="BS237" s="415"/>
      <c r="BV237" s="415" t="s">
        <v>337</v>
      </c>
      <c r="BY237" s="415" t="s">
        <v>337</v>
      </c>
      <c r="CB237" s="415" t="s">
        <v>337</v>
      </c>
      <c r="CE237" s="415" t="s">
        <v>337</v>
      </c>
      <c r="CH237" s="415" t="s">
        <v>337</v>
      </c>
      <c r="CK237" s="415" t="s">
        <v>337</v>
      </c>
      <c r="CN237" s="415" t="s">
        <v>337</v>
      </c>
      <c r="CQ237" s="415" t="s">
        <v>337</v>
      </c>
      <c r="CT237" s="415" t="s">
        <v>337</v>
      </c>
    </row>
    <row r="238" spans="1:98">
      <c r="A238" s="1" t="s">
        <v>807</v>
      </c>
      <c r="B238" s="416" t="s">
        <v>3484</v>
      </c>
      <c r="C238" s="415" t="s">
        <v>337</v>
      </c>
      <c r="F238" s="415" t="s">
        <v>337</v>
      </c>
      <c r="I238" s="415" t="s">
        <v>337</v>
      </c>
      <c r="L238" s="415" t="s">
        <v>337</v>
      </c>
      <c r="M238" s="213" t="s">
        <v>875</v>
      </c>
      <c r="N238" s="416" t="s">
        <v>3485</v>
      </c>
      <c r="O238" s="415" t="s">
        <v>337</v>
      </c>
      <c r="R238" s="415" t="s">
        <v>337</v>
      </c>
      <c r="S238" s="213" t="s">
        <v>3486</v>
      </c>
      <c r="T238" s="416" t="s">
        <v>3487</v>
      </c>
      <c r="U238" s="415" t="s">
        <v>337</v>
      </c>
      <c r="X238" s="415"/>
      <c r="AA238" s="415"/>
      <c r="AD238" s="415"/>
      <c r="AE238" s="417" t="s">
        <v>3488</v>
      </c>
      <c r="AF238" s="416" t="s">
        <v>3489</v>
      </c>
      <c r="AG238" s="415"/>
      <c r="AJ238" s="415" t="s">
        <v>337</v>
      </c>
      <c r="AM238" s="415" t="s">
        <v>337</v>
      </c>
      <c r="AP238" s="415" t="s">
        <v>337</v>
      </c>
      <c r="AS238" s="415" t="s">
        <v>337</v>
      </c>
      <c r="AV238" s="415" t="s">
        <v>337</v>
      </c>
      <c r="AY238" s="415" t="s">
        <v>337</v>
      </c>
      <c r="AZ238" s="213">
        <v>361006</v>
      </c>
      <c r="BA238" s="416" t="s">
        <v>3490</v>
      </c>
      <c r="BB238" s="415" t="s">
        <v>337</v>
      </c>
      <c r="BE238" s="415" t="s">
        <v>337</v>
      </c>
      <c r="BH238" s="415" t="s">
        <v>337</v>
      </c>
      <c r="BM238" s="415" t="s">
        <v>337</v>
      </c>
      <c r="BP238" s="415" t="s">
        <v>337</v>
      </c>
      <c r="BS238" s="415"/>
      <c r="BV238" s="415" t="s">
        <v>337</v>
      </c>
      <c r="BY238" s="415" t="s">
        <v>337</v>
      </c>
      <c r="CB238" s="415" t="s">
        <v>337</v>
      </c>
      <c r="CE238" s="415" t="s">
        <v>337</v>
      </c>
      <c r="CH238" s="415" t="s">
        <v>337</v>
      </c>
      <c r="CK238" s="415" t="s">
        <v>337</v>
      </c>
      <c r="CN238" s="415" t="s">
        <v>337</v>
      </c>
      <c r="CQ238" s="415" t="s">
        <v>337</v>
      </c>
      <c r="CT238" s="415" t="s">
        <v>337</v>
      </c>
    </row>
    <row r="239" spans="1:98">
      <c r="A239" s="1" t="s">
        <v>807</v>
      </c>
      <c r="B239" s="416" t="s">
        <v>3491</v>
      </c>
      <c r="C239" s="415" t="s">
        <v>337</v>
      </c>
      <c r="F239" s="415" t="s">
        <v>337</v>
      </c>
      <c r="I239" s="415" t="s">
        <v>337</v>
      </c>
      <c r="L239" s="415" t="s">
        <v>337</v>
      </c>
      <c r="M239" s="213" t="s">
        <v>3492</v>
      </c>
      <c r="N239" s="416" t="s">
        <v>3493</v>
      </c>
      <c r="O239" s="415" t="s">
        <v>337</v>
      </c>
      <c r="R239" s="415" t="s">
        <v>337</v>
      </c>
      <c r="S239" s="213" t="s">
        <v>3494</v>
      </c>
      <c r="T239" s="416" t="s">
        <v>3495</v>
      </c>
      <c r="U239" s="415" t="s">
        <v>337</v>
      </c>
      <c r="X239" s="415"/>
      <c r="AA239" s="415"/>
      <c r="AD239" s="415"/>
      <c r="AE239" s="417" t="s">
        <v>3496</v>
      </c>
      <c r="AF239" s="416" t="s">
        <v>3497</v>
      </c>
      <c r="AG239" s="415"/>
      <c r="AJ239" s="415" t="s">
        <v>337</v>
      </c>
      <c r="AM239" s="415" t="s">
        <v>337</v>
      </c>
      <c r="AP239" s="415" t="s">
        <v>337</v>
      </c>
      <c r="AS239" s="415" t="s">
        <v>337</v>
      </c>
      <c r="AV239" s="415" t="s">
        <v>337</v>
      </c>
      <c r="AY239" s="415" t="s">
        <v>337</v>
      </c>
      <c r="AZ239" s="213">
        <v>362001</v>
      </c>
      <c r="BA239" s="416" t="s">
        <v>3498</v>
      </c>
      <c r="BB239" s="415" t="s">
        <v>337</v>
      </c>
      <c r="BE239" s="415" t="s">
        <v>337</v>
      </c>
      <c r="BH239" s="415" t="s">
        <v>337</v>
      </c>
      <c r="BM239" s="415" t="s">
        <v>337</v>
      </c>
      <c r="BP239" s="415" t="s">
        <v>337</v>
      </c>
      <c r="BS239" s="415"/>
      <c r="BV239" s="415" t="s">
        <v>337</v>
      </c>
      <c r="BY239" s="415" t="s">
        <v>337</v>
      </c>
      <c r="CB239" s="415" t="s">
        <v>337</v>
      </c>
      <c r="CE239" s="415" t="s">
        <v>337</v>
      </c>
      <c r="CH239" s="415" t="s">
        <v>337</v>
      </c>
      <c r="CK239" s="415" t="s">
        <v>337</v>
      </c>
      <c r="CN239" s="415" t="s">
        <v>337</v>
      </c>
      <c r="CQ239" s="415" t="s">
        <v>337</v>
      </c>
      <c r="CT239" s="415" t="s">
        <v>337</v>
      </c>
    </row>
    <row r="240" spans="1:98">
      <c r="A240" s="1" t="s">
        <v>807</v>
      </c>
      <c r="B240" s="416" t="s">
        <v>3499</v>
      </c>
      <c r="C240" s="415" t="s">
        <v>337</v>
      </c>
      <c r="F240" s="415" t="s">
        <v>337</v>
      </c>
      <c r="I240" s="415" t="s">
        <v>337</v>
      </c>
      <c r="L240" s="415" t="s">
        <v>337</v>
      </c>
      <c r="M240" s="213" t="s">
        <v>3500</v>
      </c>
      <c r="N240" s="416" t="s">
        <v>3501</v>
      </c>
      <c r="O240" s="415" t="s">
        <v>337</v>
      </c>
      <c r="R240" s="415" t="s">
        <v>337</v>
      </c>
      <c r="S240" s="213" t="s">
        <v>3502</v>
      </c>
      <c r="T240" s="416" t="s">
        <v>3503</v>
      </c>
      <c r="U240" s="415" t="s">
        <v>337</v>
      </c>
      <c r="X240" s="415"/>
      <c r="AA240" s="415"/>
      <c r="AD240" s="415"/>
      <c r="AE240" s="417" t="s">
        <v>3504</v>
      </c>
      <c r="AF240" s="416" t="s">
        <v>3505</v>
      </c>
      <c r="AG240" s="415"/>
      <c r="AJ240" s="415" t="s">
        <v>337</v>
      </c>
      <c r="AM240" s="415" t="s">
        <v>337</v>
      </c>
      <c r="AP240" s="415" t="s">
        <v>337</v>
      </c>
      <c r="AS240" s="415" t="s">
        <v>337</v>
      </c>
      <c r="AV240" s="415" t="s">
        <v>337</v>
      </c>
      <c r="AY240" s="415" t="s">
        <v>337</v>
      </c>
      <c r="AZ240" s="213">
        <v>362002</v>
      </c>
      <c r="BA240" s="416" t="s">
        <v>3506</v>
      </c>
      <c r="BB240" s="415" t="s">
        <v>337</v>
      </c>
      <c r="BE240" s="415" t="s">
        <v>337</v>
      </c>
      <c r="BH240" s="415" t="s">
        <v>337</v>
      </c>
      <c r="BM240" s="415" t="s">
        <v>337</v>
      </c>
      <c r="BP240" s="415" t="s">
        <v>337</v>
      </c>
      <c r="BS240" s="415"/>
      <c r="BV240" s="415" t="s">
        <v>337</v>
      </c>
      <c r="BY240" s="415" t="s">
        <v>337</v>
      </c>
      <c r="CB240" s="415" t="s">
        <v>337</v>
      </c>
      <c r="CE240" s="415" t="s">
        <v>337</v>
      </c>
      <c r="CH240" s="415" t="s">
        <v>337</v>
      </c>
      <c r="CK240" s="415" t="s">
        <v>337</v>
      </c>
      <c r="CN240" s="415" t="s">
        <v>337</v>
      </c>
      <c r="CQ240" s="415" t="s">
        <v>337</v>
      </c>
      <c r="CT240" s="415" t="s">
        <v>337</v>
      </c>
    </row>
    <row r="241" spans="1:98">
      <c r="A241" s="1" t="s">
        <v>807</v>
      </c>
      <c r="B241" s="416" t="s">
        <v>3507</v>
      </c>
      <c r="C241" s="415" t="s">
        <v>337</v>
      </c>
      <c r="F241" s="415" t="s">
        <v>337</v>
      </c>
      <c r="I241" s="415" t="s">
        <v>337</v>
      </c>
      <c r="L241" s="415" t="s">
        <v>337</v>
      </c>
      <c r="M241" s="213" t="s">
        <v>3508</v>
      </c>
      <c r="N241" s="416" t="s">
        <v>3509</v>
      </c>
      <c r="O241" s="415" t="s">
        <v>337</v>
      </c>
      <c r="R241" s="415" t="s">
        <v>337</v>
      </c>
      <c r="S241" s="213" t="s">
        <v>3510</v>
      </c>
      <c r="T241" s="416" t="s">
        <v>3511</v>
      </c>
      <c r="U241" s="415" t="s">
        <v>337</v>
      </c>
      <c r="X241" s="415"/>
      <c r="AA241" s="415"/>
      <c r="AD241" s="415"/>
      <c r="AE241" s="417" t="s">
        <v>3512</v>
      </c>
      <c r="AF241" s="416" t="s">
        <v>3513</v>
      </c>
      <c r="AG241" s="415"/>
      <c r="AJ241" s="415" t="s">
        <v>337</v>
      </c>
      <c r="AM241" s="415" t="s">
        <v>337</v>
      </c>
      <c r="AP241" s="415" t="s">
        <v>337</v>
      </c>
      <c r="AS241" s="415" t="s">
        <v>337</v>
      </c>
      <c r="AV241" s="415" t="s">
        <v>337</v>
      </c>
      <c r="AY241" s="415" t="s">
        <v>337</v>
      </c>
      <c r="AZ241" s="213">
        <v>362003</v>
      </c>
      <c r="BA241" s="416" t="s">
        <v>3514</v>
      </c>
      <c r="BB241" s="415" t="s">
        <v>337</v>
      </c>
      <c r="BE241" s="415" t="s">
        <v>337</v>
      </c>
      <c r="BH241" s="415" t="s">
        <v>337</v>
      </c>
      <c r="BM241" s="415" t="s">
        <v>337</v>
      </c>
      <c r="BP241" s="415" t="s">
        <v>337</v>
      </c>
      <c r="BS241" s="415"/>
      <c r="BV241" s="415" t="s">
        <v>337</v>
      </c>
      <c r="BY241" s="415" t="s">
        <v>337</v>
      </c>
      <c r="CB241" s="415" t="s">
        <v>337</v>
      </c>
      <c r="CE241" s="415" t="s">
        <v>337</v>
      </c>
      <c r="CH241" s="415" t="s">
        <v>337</v>
      </c>
      <c r="CK241" s="415" t="s">
        <v>337</v>
      </c>
      <c r="CN241" s="415" t="s">
        <v>337</v>
      </c>
      <c r="CQ241" s="415" t="s">
        <v>337</v>
      </c>
      <c r="CT241" s="415" t="s">
        <v>337</v>
      </c>
    </row>
    <row r="242" spans="1:98">
      <c r="A242" s="1" t="s">
        <v>807</v>
      </c>
      <c r="B242" s="416" t="s">
        <v>3515</v>
      </c>
      <c r="C242" s="415" t="s">
        <v>337</v>
      </c>
      <c r="F242" s="415" t="s">
        <v>337</v>
      </c>
      <c r="I242" s="415" t="s">
        <v>337</v>
      </c>
      <c r="L242" s="415" t="s">
        <v>337</v>
      </c>
      <c r="M242" s="213" t="s">
        <v>3516</v>
      </c>
      <c r="N242" s="416" t="s">
        <v>3517</v>
      </c>
      <c r="O242" s="415" t="s">
        <v>337</v>
      </c>
      <c r="R242" s="415" t="s">
        <v>337</v>
      </c>
      <c r="S242" s="213" t="s">
        <v>3518</v>
      </c>
      <c r="T242" s="416" t="s">
        <v>3519</v>
      </c>
      <c r="U242" s="415" t="s">
        <v>337</v>
      </c>
      <c r="X242" s="415"/>
      <c r="AA242" s="415"/>
      <c r="AD242" s="415"/>
      <c r="AE242" s="417" t="s">
        <v>3520</v>
      </c>
      <c r="AF242" s="416" t="s">
        <v>3521</v>
      </c>
      <c r="AG242" s="415"/>
      <c r="AJ242" s="415" t="s">
        <v>337</v>
      </c>
      <c r="AM242" s="415" t="s">
        <v>337</v>
      </c>
      <c r="AP242" s="415" t="s">
        <v>337</v>
      </c>
      <c r="AS242" s="415" t="s">
        <v>337</v>
      </c>
      <c r="AV242" s="415" t="s">
        <v>337</v>
      </c>
      <c r="AY242" s="415" t="s">
        <v>337</v>
      </c>
      <c r="AZ242" s="213">
        <v>362004</v>
      </c>
      <c r="BA242" s="416" t="s">
        <v>3522</v>
      </c>
      <c r="BB242" s="415" t="s">
        <v>337</v>
      </c>
      <c r="BE242" s="415" t="s">
        <v>337</v>
      </c>
      <c r="BH242" s="415" t="s">
        <v>337</v>
      </c>
      <c r="BM242" s="415" t="s">
        <v>337</v>
      </c>
      <c r="BP242" s="415" t="s">
        <v>337</v>
      </c>
      <c r="BS242" s="415"/>
      <c r="BV242" s="415" t="s">
        <v>337</v>
      </c>
      <c r="BY242" s="415" t="s">
        <v>337</v>
      </c>
      <c r="CB242" s="415" t="s">
        <v>337</v>
      </c>
      <c r="CE242" s="415" t="s">
        <v>337</v>
      </c>
      <c r="CH242" s="415" t="s">
        <v>337</v>
      </c>
      <c r="CK242" s="415" t="s">
        <v>337</v>
      </c>
      <c r="CN242" s="415" t="s">
        <v>337</v>
      </c>
      <c r="CQ242" s="415" t="s">
        <v>337</v>
      </c>
      <c r="CT242" s="415" t="s">
        <v>337</v>
      </c>
    </row>
    <row r="243" spans="1:98">
      <c r="A243" s="1" t="s">
        <v>807</v>
      </c>
      <c r="B243" s="416" t="s">
        <v>3523</v>
      </c>
      <c r="C243" s="415" t="s">
        <v>337</v>
      </c>
      <c r="F243" s="415" t="s">
        <v>337</v>
      </c>
      <c r="I243" s="415" t="s">
        <v>337</v>
      </c>
      <c r="L243" s="415" t="s">
        <v>337</v>
      </c>
      <c r="M243" s="213" t="s">
        <v>3524</v>
      </c>
      <c r="N243" s="416" t="s">
        <v>3525</v>
      </c>
      <c r="O243" s="415" t="s">
        <v>337</v>
      </c>
      <c r="R243" s="415" t="s">
        <v>337</v>
      </c>
      <c r="S243" s="213" t="s">
        <v>3526</v>
      </c>
      <c r="T243" s="416" t="s">
        <v>3527</v>
      </c>
      <c r="U243" s="415" t="s">
        <v>337</v>
      </c>
      <c r="X243" s="415"/>
      <c r="AA243" s="415"/>
      <c r="AD243" s="415"/>
      <c r="AE243" s="417" t="s">
        <v>3528</v>
      </c>
      <c r="AF243" s="416" t="s">
        <v>3529</v>
      </c>
      <c r="AG243" s="415"/>
      <c r="AJ243" s="415" t="s">
        <v>337</v>
      </c>
      <c r="AM243" s="415" t="s">
        <v>337</v>
      </c>
      <c r="AP243" s="415" t="s">
        <v>337</v>
      </c>
      <c r="AS243" s="415" t="s">
        <v>337</v>
      </c>
      <c r="AV243" s="415" t="s">
        <v>337</v>
      </c>
      <c r="AY243" s="415" t="s">
        <v>337</v>
      </c>
      <c r="AZ243" s="213">
        <v>362005</v>
      </c>
      <c r="BA243" s="416" t="s">
        <v>3530</v>
      </c>
      <c r="BB243" s="415" t="s">
        <v>337</v>
      </c>
      <c r="BE243" s="415" t="s">
        <v>337</v>
      </c>
      <c r="BH243" s="415" t="s">
        <v>337</v>
      </c>
      <c r="BM243" s="415" t="s">
        <v>337</v>
      </c>
      <c r="BP243" s="415" t="s">
        <v>337</v>
      </c>
      <c r="BS243" s="415"/>
      <c r="BV243" s="415" t="s">
        <v>337</v>
      </c>
      <c r="BY243" s="415" t="s">
        <v>337</v>
      </c>
      <c r="CB243" s="415" t="s">
        <v>337</v>
      </c>
      <c r="CE243" s="415" t="s">
        <v>337</v>
      </c>
      <c r="CH243" s="415" t="s">
        <v>337</v>
      </c>
      <c r="CK243" s="415" t="s">
        <v>337</v>
      </c>
      <c r="CN243" s="415" t="s">
        <v>337</v>
      </c>
      <c r="CQ243" s="415" t="s">
        <v>337</v>
      </c>
      <c r="CT243" s="415" t="s">
        <v>337</v>
      </c>
    </row>
    <row r="244" spans="1:98">
      <c r="A244" s="1" t="s">
        <v>807</v>
      </c>
      <c r="B244" s="416" t="s">
        <v>3531</v>
      </c>
      <c r="C244" s="415" t="s">
        <v>337</v>
      </c>
      <c r="F244" s="415" t="s">
        <v>337</v>
      </c>
      <c r="I244" s="415" t="s">
        <v>337</v>
      </c>
      <c r="L244" s="415" t="s">
        <v>337</v>
      </c>
      <c r="M244" s="213" t="s">
        <v>3532</v>
      </c>
      <c r="N244" s="416" t="s">
        <v>3533</v>
      </c>
      <c r="O244" s="415" t="s">
        <v>337</v>
      </c>
      <c r="R244" s="415" t="s">
        <v>337</v>
      </c>
      <c r="S244" s="213" t="s">
        <v>3534</v>
      </c>
      <c r="T244" s="416" t="s">
        <v>3535</v>
      </c>
      <c r="U244" s="415" t="s">
        <v>337</v>
      </c>
      <c r="X244" s="415"/>
      <c r="AA244" s="415"/>
      <c r="AD244" s="415"/>
      <c r="AE244" s="417" t="s">
        <v>3536</v>
      </c>
      <c r="AF244" s="416" t="s">
        <v>3537</v>
      </c>
      <c r="AG244" s="415"/>
      <c r="AJ244" s="415" t="s">
        <v>337</v>
      </c>
      <c r="AM244" s="415" t="s">
        <v>337</v>
      </c>
      <c r="AP244" s="415" t="s">
        <v>337</v>
      </c>
      <c r="AS244" s="415" t="s">
        <v>337</v>
      </c>
      <c r="AV244" s="415" t="s">
        <v>337</v>
      </c>
      <c r="AY244" s="415" t="s">
        <v>337</v>
      </c>
      <c r="AZ244" s="213">
        <v>362006</v>
      </c>
      <c r="BA244" s="416" t="s">
        <v>3538</v>
      </c>
      <c r="BB244" s="415" t="s">
        <v>337</v>
      </c>
      <c r="BE244" s="415" t="s">
        <v>337</v>
      </c>
      <c r="BH244" s="415" t="s">
        <v>337</v>
      </c>
      <c r="BM244" s="415" t="s">
        <v>337</v>
      </c>
      <c r="BP244" s="415" t="s">
        <v>337</v>
      </c>
      <c r="BS244" s="415"/>
      <c r="BV244" s="415" t="s">
        <v>337</v>
      </c>
      <c r="BY244" s="415" t="s">
        <v>337</v>
      </c>
      <c r="CB244" s="415" t="s">
        <v>337</v>
      </c>
      <c r="CE244" s="415" t="s">
        <v>337</v>
      </c>
      <c r="CH244" s="415" t="s">
        <v>337</v>
      </c>
      <c r="CK244" s="415" t="s">
        <v>337</v>
      </c>
      <c r="CN244" s="415" t="s">
        <v>337</v>
      </c>
      <c r="CQ244" s="415" t="s">
        <v>337</v>
      </c>
      <c r="CT244" s="415" t="s">
        <v>337</v>
      </c>
    </row>
    <row r="245" spans="1:98">
      <c r="A245" s="1" t="s">
        <v>832</v>
      </c>
      <c r="B245" s="416" t="s">
        <v>3539</v>
      </c>
      <c r="C245" s="415" t="s">
        <v>337</v>
      </c>
      <c r="F245" s="415" t="s">
        <v>337</v>
      </c>
      <c r="I245" s="415" t="s">
        <v>337</v>
      </c>
      <c r="L245" s="415" t="s">
        <v>337</v>
      </c>
      <c r="M245" s="213" t="s">
        <v>3540</v>
      </c>
      <c r="N245" s="416" t="s">
        <v>3541</v>
      </c>
      <c r="O245" s="415" t="s">
        <v>337</v>
      </c>
      <c r="R245" s="415" t="s">
        <v>337</v>
      </c>
      <c r="S245" s="213" t="s">
        <v>3542</v>
      </c>
      <c r="T245" s="416" t="s">
        <v>3543</v>
      </c>
      <c r="U245" s="415" t="s">
        <v>337</v>
      </c>
      <c r="X245" s="415"/>
      <c r="AA245" s="415"/>
      <c r="AD245" s="415"/>
      <c r="AE245" s="417" t="s">
        <v>3544</v>
      </c>
      <c r="AF245" s="416" t="s">
        <v>3545</v>
      </c>
      <c r="AG245" s="415"/>
      <c r="AJ245" s="415" t="s">
        <v>337</v>
      </c>
      <c r="AM245" s="415" t="s">
        <v>337</v>
      </c>
      <c r="AP245" s="415" t="s">
        <v>337</v>
      </c>
      <c r="AS245" s="415" t="s">
        <v>337</v>
      </c>
      <c r="AV245" s="415" t="s">
        <v>337</v>
      </c>
      <c r="AY245" s="415" t="s">
        <v>337</v>
      </c>
      <c r="AZ245" s="213">
        <v>371001</v>
      </c>
      <c r="BA245" s="416" t="s">
        <v>3546</v>
      </c>
      <c r="BB245" s="415" t="s">
        <v>337</v>
      </c>
      <c r="BE245" s="415" t="s">
        <v>337</v>
      </c>
      <c r="BH245" s="415" t="s">
        <v>337</v>
      </c>
      <c r="BM245" s="415" t="s">
        <v>337</v>
      </c>
      <c r="BP245" s="415" t="s">
        <v>337</v>
      </c>
      <c r="BS245" s="415"/>
      <c r="BV245" s="415" t="s">
        <v>337</v>
      </c>
      <c r="BY245" s="415" t="s">
        <v>337</v>
      </c>
      <c r="CB245" s="415" t="s">
        <v>337</v>
      </c>
      <c r="CE245" s="415" t="s">
        <v>337</v>
      </c>
      <c r="CH245" s="415" t="s">
        <v>337</v>
      </c>
      <c r="CK245" s="415" t="s">
        <v>337</v>
      </c>
      <c r="CN245" s="415" t="s">
        <v>337</v>
      </c>
      <c r="CQ245" s="415" t="s">
        <v>337</v>
      </c>
      <c r="CT245" s="415" t="s">
        <v>337</v>
      </c>
    </row>
    <row r="246" spans="1:98">
      <c r="A246" s="1" t="s">
        <v>832</v>
      </c>
      <c r="B246" s="416" t="s">
        <v>3547</v>
      </c>
      <c r="C246" s="415" t="s">
        <v>337</v>
      </c>
      <c r="F246" s="415" t="s">
        <v>337</v>
      </c>
      <c r="I246" s="415" t="s">
        <v>337</v>
      </c>
      <c r="L246" s="415" t="s">
        <v>337</v>
      </c>
      <c r="M246" s="213" t="s">
        <v>3548</v>
      </c>
      <c r="N246" s="416" t="s">
        <v>3549</v>
      </c>
      <c r="O246" s="415" t="s">
        <v>337</v>
      </c>
      <c r="R246" s="415" t="s">
        <v>337</v>
      </c>
      <c r="S246" s="213" t="s">
        <v>3550</v>
      </c>
      <c r="T246" s="416" t="s">
        <v>3551</v>
      </c>
      <c r="U246" s="415" t="s">
        <v>337</v>
      </c>
      <c r="X246" s="415"/>
      <c r="AA246" s="415"/>
      <c r="AD246" s="415"/>
      <c r="AE246" s="417" t="s">
        <v>3552</v>
      </c>
      <c r="AF246" s="416" t="s">
        <v>3553</v>
      </c>
      <c r="AG246" s="415"/>
      <c r="AJ246" s="415" t="s">
        <v>337</v>
      </c>
      <c r="AM246" s="415" t="s">
        <v>337</v>
      </c>
      <c r="AP246" s="415" t="s">
        <v>337</v>
      </c>
      <c r="AS246" s="415" t="s">
        <v>337</v>
      </c>
      <c r="AV246" s="415" t="s">
        <v>337</v>
      </c>
      <c r="AY246" s="415" t="s">
        <v>337</v>
      </c>
      <c r="AZ246" s="213">
        <v>371002</v>
      </c>
      <c r="BA246" s="416" t="s">
        <v>3554</v>
      </c>
      <c r="BB246" s="415" t="s">
        <v>337</v>
      </c>
      <c r="BE246" s="415" t="s">
        <v>337</v>
      </c>
      <c r="BH246" s="415" t="s">
        <v>337</v>
      </c>
      <c r="BM246" s="415" t="s">
        <v>337</v>
      </c>
      <c r="BP246" s="415" t="s">
        <v>337</v>
      </c>
      <c r="BS246" s="415"/>
      <c r="BV246" s="415" t="s">
        <v>337</v>
      </c>
      <c r="BY246" s="415" t="s">
        <v>337</v>
      </c>
      <c r="CB246" s="415" t="s">
        <v>337</v>
      </c>
      <c r="CE246" s="415" t="s">
        <v>337</v>
      </c>
      <c r="CH246" s="415" t="s">
        <v>337</v>
      </c>
      <c r="CK246" s="415" t="s">
        <v>337</v>
      </c>
      <c r="CN246" s="415" t="s">
        <v>337</v>
      </c>
      <c r="CQ246" s="415" t="s">
        <v>337</v>
      </c>
      <c r="CT246" s="415" t="s">
        <v>337</v>
      </c>
    </row>
    <row r="247" spans="1:98">
      <c r="A247" s="1" t="s">
        <v>832</v>
      </c>
      <c r="B247" s="416" t="s">
        <v>3555</v>
      </c>
      <c r="C247" s="415" t="s">
        <v>337</v>
      </c>
      <c r="F247" s="415" t="s">
        <v>337</v>
      </c>
      <c r="I247" s="415" t="s">
        <v>337</v>
      </c>
      <c r="L247" s="415" t="s">
        <v>337</v>
      </c>
      <c r="M247" s="213" t="s">
        <v>1751</v>
      </c>
      <c r="N247" s="416" t="s">
        <v>3556</v>
      </c>
      <c r="O247" s="415" t="s">
        <v>337</v>
      </c>
      <c r="R247" s="415" t="s">
        <v>337</v>
      </c>
      <c r="S247" s="213" t="s">
        <v>3557</v>
      </c>
      <c r="T247" s="416" t="s">
        <v>3558</v>
      </c>
      <c r="U247" s="415" t="s">
        <v>337</v>
      </c>
      <c r="X247" s="415"/>
      <c r="AA247" s="415"/>
      <c r="AD247" s="415"/>
      <c r="AE247" s="417" t="s">
        <v>3559</v>
      </c>
      <c r="AF247" s="416" t="s">
        <v>3560</v>
      </c>
      <c r="AG247" s="415"/>
      <c r="AJ247" s="415" t="s">
        <v>337</v>
      </c>
      <c r="AM247" s="415" t="s">
        <v>337</v>
      </c>
      <c r="AP247" s="415" t="s">
        <v>337</v>
      </c>
      <c r="AS247" s="415" t="s">
        <v>337</v>
      </c>
      <c r="AV247" s="415" t="s">
        <v>337</v>
      </c>
      <c r="AY247" s="415" t="s">
        <v>337</v>
      </c>
      <c r="AZ247" s="213">
        <v>371003</v>
      </c>
      <c r="BA247" s="416" t="s">
        <v>3561</v>
      </c>
      <c r="BB247" s="415" t="s">
        <v>337</v>
      </c>
      <c r="BE247" s="415" t="s">
        <v>337</v>
      </c>
      <c r="BH247" s="415" t="s">
        <v>337</v>
      </c>
      <c r="BM247" s="415" t="s">
        <v>337</v>
      </c>
      <c r="BP247" s="415" t="s">
        <v>337</v>
      </c>
      <c r="BS247" s="415"/>
      <c r="BV247" s="415" t="s">
        <v>337</v>
      </c>
      <c r="BY247" s="415" t="s">
        <v>337</v>
      </c>
      <c r="CB247" s="415" t="s">
        <v>337</v>
      </c>
      <c r="CE247" s="415" t="s">
        <v>337</v>
      </c>
      <c r="CH247" s="415" t="s">
        <v>337</v>
      </c>
      <c r="CK247" s="415" t="s">
        <v>337</v>
      </c>
      <c r="CN247" s="415" t="s">
        <v>337</v>
      </c>
      <c r="CQ247" s="415" t="s">
        <v>337</v>
      </c>
      <c r="CT247" s="415" t="s">
        <v>337</v>
      </c>
    </row>
    <row r="248" spans="1:98">
      <c r="A248" s="1" t="s">
        <v>832</v>
      </c>
      <c r="B248" s="416" t="s">
        <v>3562</v>
      </c>
      <c r="C248" s="415" t="s">
        <v>337</v>
      </c>
      <c r="F248" s="415" t="s">
        <v>337</v>
      </c>
      <c r="I248" s="415" t="s">
        <v>337</v>
      </c>
      <c r="L248" s="415" t="s">
        <v>337</v>
      </c>
      <c r="M248" s="213" t="s">
        <v>3563</v>
      </c>
      <c r="N248" s="416" t="s">
        <v>3564</v>
      </c>
      <c r="O248" s="415" t="s">
        <v>337</v>
      </c>
      <c r="R248" s="415" t="s">
        <v>337</v>
      </c>
      <c r="S248" s="213" t="s">
        <v>3565</v>
      </c>
      <c r="T248" s="416" t="s">
        <v>3566</v>
      </c>
      <c r="U248" s="415" t="s">
        <v>337</v>
      </c>
      <c r="X248" s="415"/>
      <c r="AA248" s="415"/>
      <c r="AD248" s="415"/>
      <c r="AE248" s="417" t="s">
        <v>3567</v>
      </c>
      <c r="AF248" s="416" t="s">
        <v>3568</v>
      </c>
      <c r="AG248" s="415"/>
      <c r="AJ248" s="415" t="s">
        <v>337</v>
      </c>
      <c r="AM248" s="415" t="s">
        <v>337</v>
      </c>
      <c r="AP248" s="415" t="s">
        <v>337</v>
      </c>
      <c r="AS248" s="415" t="s">
        <v>337</v>
      </c>
      <c r="AV248" s="415" t="s">
        <v>337</v>
      </c>
      <c r="AY248" s="415" t="s">
        <v>337</v>
      </c>
      <c r="AZ248" s="213">
        <v>371004</v>
      </c>
      <c r="BA248" s="416" t="s">
        <v>3569</v>
      </c>
      <c r="BB248" s="415" t="s">
        <v>337</v>
      </c>
      <c r="BE248" s="415" t="s">
        <v>337</v>
      </c>
      <c r="BH248" s="415" t="s">
        <v>337</v>
      </c>
      <c r="BM248" s="415" t="s">
        <v>337</v>
      </c>
      <c r="BP248" s="415" t="s">
        <v>337</v>
      </c>
      <c r="BS248" s="415"/>
      <c r="BV248" s="415" t="s">
        <v>337</v>
      </c>
      <c r="BY248" s="415" t="s">
        <v>337</v>
      </c>
      <c r="CB248" s="415" t="s">
        <v>337</v>
      </c>
      <c r="CE248" s="415" t="s">
        <v>337</v>
      </c>
      <c r="CH248" s="415" t="s">
        <v>337</v>
      </c>
      <c r="CK248" s="415" t="s">
        <v>337</v>
      </c>
      <c r="CN248" s="415" t="s">
        <v>337</v>
      </c>
      <c r="CQ248" s="415" t="s">
        <v>337</v>
      </c>
      <c r="CT248" s="415" t="s">
        <v>337</v>
      </c>
    </row>
    <row r="249" spans="1:98">
      <c r="A249" s="1" t="s">
        <v>832</v>
      </c>
      <c r="B249" s="416" t="s">
        <v>3570</v>
      </c>
      <c r="C249" s="415" t="s">
        <v>337</v>
      </c>
      <c r="F249" s="415" t="s">
        <v>337</v>
      </c>
      <c r="I249" s="415" t="s">
        <v>337</v>
      </c>
      <c r="L249" s="415" t="s">
        <v>337</v>
      </c>
      <c r="M249" s="213" t="s">
        <v>3571</v>
      </c>
      <c r="N249" s="416" t="s">
        <v>3572</v>
      </c>
      <c r="O249" s="415" t="s">
        <v>337</v>
      </c>
      <c r="R249" s="415" t="s">
        <v>337</v>
      </c>
      <c r="S249" s="213" t="s">
        <v>3573</v>
      </c>
      <c r="T249" s="416" t="s">
        <v>3574</v>
      </c>
      <c r="U249" s="415" t="s">
        <v>337</v>
      </c>
      <c r="X249" s="415"/>
      <c r="AA249" s="415"/>
      <c r="AD249" s="415"/>
      <c r="AE249" s="417" t="s">
        <v>3575</v>
      </c>
      <c r="AF249" s="416" t="s">
        <v>3576</v>
      </c>
      <c r="AG249" s="415"/>
      <c r="AJ249" s="415" t="s">
        <v>337</v>
      </c>
      <c r="AM249" s="415" t="s">
        <v>337</v>
      </c>
      <c r="AP249" s="415" t="s">
        <v>337</v>
      </c>
      <c r="AS249" s="415" t="s">
        <v>337</v>
      </c>
      <c r="AV249" s="415" t="s">
        <v>337</v>
      </c>
      <c r="AY249" s="415" t="s">
        <v>337</v>
      </c>
      <c r="AZ249" s="213">
        <v>371005</v>
      </c>
      <c r="BA249" s="416" t="s">
        <v>3577</v>
      </c>
      <c r="BB249" s="415" t="s">
        <v>337</v>
      </c>
      <c r="BE249" s="415" t="s">
        <v>337</v>
      </c>
      <c r="BH249" s="415" t="s">
        <v>337</v>
      </c>
      <c r="BM249" s="415" t="s">
        <v>337</v>
      </c>
      <c r="BP249" s="415" t="s">
        <v>337</v>
      </c>
      <c r="BS249" s="415"/>
      <c r="BV249" s="415" t="s">
        <v>337</v>
      </c>
      <c r="BY249" s="415" t="s">
        <v>337</v>
      </c>
      <c r="CB249" s="415" t="s">
        <v>337</v>
      </c>
      <c r="CE249" s="415" t="s">
        <v>337</v>
      </c>
      <c r="CH249" s="415" t="s">
        <v>337</v>
      </c>
      <c r="CK249" s="415" t="s">
        <v>337</v>
      </c>
      <c r="CN249" s="415" t="s">
        <v>337</v>
      </c>
      <c r="CQ249" s="415" t="s">
        <v>337</v>
      </c>
      <c r="CT249" s="415" t="s">
        <v>337</v>
      </c>
    </row>
    <row r="250" spans="1:98">
      <c r="A250" s="1" t="s">
        <v>832</v>
      </c>
      <c r="B250" s="416" t="s">
        <v>3578</v>
      </c>
      <c r="C250" s="415" t="s">
        <v>337</v>
      </c>
      <c r="F250" s="415" t="s">
        <v>337</v>
      </c>
      <c r="I250" s="415" t="s">
        <v>337</v>
      </c>
      <c r="L250" s="415" t="s">
        <v>337</v>
      </c>
      <c r="M250" s="213" t="s">
        <v>3579</v>
      </c>
      <c r="N250" s="416" t="s">
        <v>3580</v>
      </c>
      <c r="O250" s="415" t="s">
        <v>337</v>
      </c>
      <c r="R250" s="415" t="s">
        <v>337</v>
      </c>
      <c r="S250" s="213" t="s">
        <v>3581</v>
      </c>
      <c r="T250" s="416" t="s">
        <v>3582</v>
      </c>
      <c r="U250" s="415" t="s">
        <v>337</v>
      </c>
      <c r="X250" s="415"/>
      <c r="AA250" s="415"/>
      <c r="AD250" s="415"/>
      <c r="AE250" s="417" t="s">
        <v>3583</v>
      </c>
      <c r="AF250" s="416" t="s">
        <v>3584</v>
      </c>
      <c r="AG250" s="415"/>
      <c r="AJ250" s="415" t="s">
        <v>337</v>
      </c>
      <c r="AM250" s="415" t="s">
        <v>337</v>
      </c>
      <c r="AP250" s="415" t="s">
        <v>337</v>
      </c>
      <c r="AS250" s="415" t="s">
        <v>337</v>
      </c>
      <c r="AV250" s="415" t="s">
        <v>337</v>
      </c>
      <c r="AY250" s="415" t="s">
        <v>337</v>
      </c>
      <c r="AZ250" s="213">
        <v>371006</v>
      </c>
      <c r="BA250" s="416" t="s">
        <v>3585</v>
      </c>
      <c r="BB250" s="415" t="s">
        <v>337</v>
      </c>
      <c r="BE250" s="415" t="s">
        <v>337</v>
      </c>
      <c r="BH250" s="415" t="s">
        <v>337</v>
      </c>
      <c r="BM250" s="415" t="s">
        <v>337</v>
      </c>
      <c r="BP250" s="415" t="s">
        <v>337</v>
      </c>
      <c r="BS250" s="415"/>
      <c r="BV250" s="415" t="s">
        <v>337</v>
      </c>
      <c r="BY250" s="415" t="s">
        <v>337</v>
      </c>
      <c r="CB250" s="415" t="s">
        <v>337</v>
      </c>
      <c r="CE250" s="415" t="s">
        <v>337</v>
      </c>
      <c r="CH250" s="415" t="s">
        <v>337</v>
      </c>
      <c r="CK250" s="415" t="s">
        <v>337</v>
      </c>
      <c r="CN250" s="415" t="s">
        <v>337</v>
      </c>
      <c r="CQ250" s="415" t="s">
        <v>337</v>
      </c>
      <c r="CT250" s="415" t="s">
        <v>337</v>
      </c>
    </row>
    <row r="251" spans="1:98">
      <c r="A251" s="1" t="s">
        <v>832</v>
      </c>
      <c r="B251" s="416" t="s">
        <v>3586</v>
      </c>
      <c r="C251" s="415" t="s">
        <v>337</v>
      </c>
      <c r="F251" s="415" t="s">
        <v>337</v>
      </c>
      <c r="I251" s="415" t="s">
        <v>337</v>
      </c>
      <c r="L251" s="415" t="s">
        <v>337</v>
      </c>
      <c r="M251" s="213" t="s">
        <v>3587</v>
      </c>
      <c r="N251" s="416" t="s">
        <v>3588</v>
      </c>
      <c r="O251" s="415" t="s">
        <v>337</v>
      </c>
      <c r="R251" s="415" t="s">
        <v>337</v>
      </c>
      <c r="S251" s="213" t="s">
        <v>3589</v>
      </c>
      <c r="T251" s="416" t="s">
        <v>3590</v>
      </c>
      <c r="U251" s="415" t="s">
        <v>337</v>
      </c>
      <c r="X251" s="415"/>
      <c r="AA251" s="415"/>
      <c r="AD251" s="415"/>
      <c r="AE251" s="417" t="s">
        <v>3591</v>
      </c>
      <c r="AF251" s="416" t="s">
        <v>3592</v>
      </c>
      <c r="AG251" s="415"/>
      <c r="AJ251" s="415" t="s">
        <v>337</v>
      </c>
      <c r="AM251" s="415" t="s">
        <v>337</v>
      </c>
      <c r="AP251" s="415" t="s">
        <v>337</v>
      </c>
      <c r="AS251" s="415" t="s">
        <v>337</v>
      </c>
      <c r="AV251" s="415" t="s">
        <v>337</v>
      </c>
      <c r="AY251" s="415" t="s">
        <v>337</v>
      </c>
      <c r="AZ251" s="213">
        <v>372001</v>
      </c>
      <c r="BA251" s="416" t="s">
        <v>3593</v>
      </c>
      <c r="BB251" s="415" t="s">
        <v>337</v>
      </c>
      <c r="BE251" s="415" t="s">
        <v>337</v>
      </c>
      <c r="BH251" s="415" t="s">
        <v>337</v>
      </c>
      <c r="BM251" s="415" t="s">
        <v>337</v>
      </c>
      <c r="BP251" s="415" t="s">
        <v>337</v>
      </c>
      <c r="BS251" s="415"/>
      <c r="BV251" s="415" t="s">
        <v>337</v>
      </c>
      <c r="BY251" s="415" t="s">
        <v>337</v>
      </c>
      <c r="CB251" s="415" t="s">
        <v>337</v>
      </c>
      <c r="CE251" s="415" t="s">
        <v>337</v>
      </c>
      <c r="CH251" s="415" t="s">
        <v>337</v>
      </c>
      <c r="CK251" s="415" t="s">
        <v>337</v>
      </c>
      <c r="CN251" s="415" t="s">
        <v>337</v>
      </c>
      <c r="CQ251" s="415" t="s">
        <v>337</v>
      </c>
      <c r="CT251" s="415" t="s">
        <v>337</v>
      </c>
    </row>
    <row r="252" spans="1:98">
      <c r="A252" s="1" t="s">
        <v>854</v>
      </c>
      <c r="B252" s="416" t="s">
        <v>3594</v>
      </c>
      <c r="C252" s="415" t="s">
        <v>337</v>
      </c>
      <c r="F252" s="415" t="s">
        <v>337</v>
      </c>
      <c r="I252" s="415" t="s">
        <v>337</v>
      </c>
      <c r="L252" s="415" t="s">
        <v>337</v>
      </c>
      <c r="M252" s="213" t="s">
        <v>3595</v>
      </c>
      <c r="N252" s="416" t="s">
        <v>3596</v>
      </c>
      <c r="O252" s="415" t="s">
        <v>337</v>
      </c>
      <c r="R252" s="415" t="s">
        <v>337</v>
      </c>
      <c r="S252" s="213" t="s">
        <v>3597</v>
      </c>
      <c r="T252" s="416" t="s">
        <v>3598</v>
      </c>
      <c r="U252" s="415" t="s">
        <v>337</v>
      </c>
      <c r="X252" s="415"/>
      <c r="AA252" s="415"/>
      <c r="AD252" s="415"/>
      <c r="AE252" s="417" t="s">
        <v>3599</v>
      </c>
      <c r="AF252" s="416" t="s">
        <v>3600</v>
      </c>
      <c r="AG252" s="415"/>
      <c r="AJ252" s="415" t="s">
        <v>337</v>
      </c>
      <c r="AM252" s="415" t="s">
        <v>337</v>
      </c>
      <c r="AP252" s="415" t="s">
        <v>337</v>
      </c>
      <c r="AS252" s="415" t="s">
        <v>337</v>
      </c>
      <c r="AV252" s="415" t="s">
        <v>337</v>
      </c>
      <c r="AY252" s="415" t="s">
        <v>337</v>
      </c>
      <c r="AZ252" s="213">
        <v>372002</v>
      </c>
      <c r="BA252" s="416" t="s">
        <v>3601</v>
      </c>
      <c r="BB252" s="415" t="s">
        <v>337</v>
      </c>
      <c r="BE252" s="415" t="s">
        <v>337</v>
      </c>
      <c r="BH252" s="415" t="s">
        <v>337</v>
      </c>
      <c r="BM252" s="415" t="s">
        <v>337</v>
      </c>
      <c r="BP252" s="415" t="s">
        <v>337</v>
      </c>
      <c r="BS252" s="415"/>
      <c r="BV252" s="415" t="s">
        <v>337</v>
      </c>
      <c r="BY252" s="415" t="s">
        <v>337</v>
      </c>
      <c r="CB252" s="415" t="s">
        <v>337</v>
      </c>
      <c r="CE252" s="415" t="s">
        <v>337</v>
      </c>
      <c r="CH252" s="415" t="s">
        <v>337</v>
      </c>
      <c r="CK252" s="415" t="s">
        <v>337</v>
      </c>
      <c r="CN252" s="415" t="s">
        <v>337</v>
      </c>
      <c r="CQ252" s="415" t="s">
        <v>337</v>
      </c>
      <c r="CT252" s="415" t="s">
        <v>337</v>
      </c>
    </row>
    <row r="253" spans="1:98">
      <c r="A253" s="1" t="s">
        <v>854</v>
      </c>
      <c r="B253" s="416" t="s">
        <v>3602</v>
      </c>
      <c r="C253" s="415" t="s">
        <v>337</v>
      </c>
      <c r="F253" s="415" t="s">
        <v>337</v>
      </c>
      <c r="I253" s="415" t="s">
        <v>337</v>
      </c>
      <c r="L253" s="415" t="s">
        <v>337</v>
      </c>
      <c r="M253" s="213" t="s">
        <v>3603</v>
      </c>
      <c r="N253" s="416" t="s">
        <v>3604</v>
      </c>
      <c r="O253" s="415" t="s">
        <v>337</v>
      </c>
      <c r="R253" s="415" t="s">
        <v>337</v>
      </c>
      <c r="S253" s="213" t="s">
        <v>3605</v>
      </c>
      <c r="T253" s="416" t="s">
        <v>3606</v>
      </c>
      <c r="U253" s="415" t="s">
        <v>337</v>
      </c>
      <c r="X253" s="415"/>
      <c r="AA253" s="415"/>
      <c r="AD253" s="415"/>
      <c r="AE253" s="417" t="s">
        <v>3607</v>
      </c>
      <c r="AF253" s="416" t="s">
        <v>3608</v>
      </c>
      <c r="AG253" s="415"/>
      <c r="AJ253" s="415" t="s">
        <v>337</v>
      </c>
      <c r="AM253" s="415" t="s">
        <v>337</v>
      </c>
      <c r="AP253" s="415" t="s">
        <v>337</v>
      </c>
      <c r="AS253" s="415" t="s">
        <v>337</v>
      </c>
      <c r="AV253" s="415" t="s">
        <v>337</v>
      </c>
      <c r="AY253" s="415" t="s">
        <v>337</v>
      </c>
      <c r="AZ253" s="213">
        <v>372003</v>
      </c>
      <c r="BA253" s="416" t="s">
        <v>3609</v>
      </c>
      <c r="BB253" s="415" t="s">
        <v>337</v>
      </c>
      <c r="BE253" s="415" t="s">
        <v>337</v>
      </c>
      <c r="BH253" s="415" t="s">
        <v>337</v>
      </c>
      <c r="BM253" s="415" t="s">
        <v>337</v>
      </c>
      <c r="BP253" s="415" t="s">
        <v>337</v>
      </c>
      <c r="BS253" s="415"/>
      <c r="BV253" s="415" t="s">
        <v>337</v>
      </c>
      <c r="BY253" s="415" t="s">
        <v>337</v>
      </c>
      <c r="CB253" s="415" t="s">
        <v>337</v>
      </c>
      <c r="CE253" s="415" t="s">
        <v>337</v>
      </c>
      <c r="CH253" s="415" t="s">
        <v>337</v>
      </c>
      <c r="CK253" s="415" t="s">
        <v>337</v>
      </c>
      <c r="CN253" s="415" t="s">
        <v>337</v>
      </c>
      <c r="CQ253" s="415" t="s">
        <v>337</v>
      </c>
      <c r="CT253" s="415" t="s">
        <v>337</v>
      </c>
    </row>
    <row r="254" spans="1:98">
      <c r="A254" s="1" t="s">
        <v>854</v>
      </c>
      <c r="B254" s="416" t="s">
        <v>3610</v>
      </c>
      <c r="C254" s="415" t="s">
        <v>337</v>
      </c>
      <c r="F254" s="415" t="s">
        <v>337</v>
      </c>
      <c r="I254" s="415" t="s">
        <v>337</v>
      </c>
      <c r="L254" s="415" t="s">
        <v>337</v>
      </c>
      <c r="M254" s="213" t="s">
        <v>3611</v>
      </c>
      <c r="N254" s="416" t="s">
        <v>3612</v>
      </c>
      <c r="O254" s="415" t="s">
        <v>337</v>
      </c>
      <c r="R254" s="415" t="s">
        <v>337</v>
      </c>
      <c r="S254" s="213" t="s">
        <v>3613</v>
      </c>
      <c r="T254" s="416" t="s">
        <v>3614</v>
      </c>
      <c r="U254" s="415" t="s">
        <v>337</v>
      </c>
      <c r="X254" s="415"/>
      <c r="AA254" s="415"/>
      <c r="AD254" s="415"/>
      <c r="AE254" s="417" t="s">
        <v>3615</v>
      </c>
      <c r="AF254" s="416" t="s">
        <v>3616</v>
      </c>
      <c r="AG254" s="415"/>
      <c r="AJ254" s="415" t="s">
        <v>337</v>
      </c>
      <c r="AM254" s="415" t="s">
        <v>337</v>
      </c>
      <c r="AP254" s="415" t="s">
        <v>337</v>
      </c>
      <c r="AS254" s="415" t="s">
        <v>337</v>
      </c>
      <c r="AV254" s="415" t="s">
        <v>337</v>
      </c>
      <c r="AY254" s="415" t="s">
        <v>337</v>
      </c>
      <c r="AZ254" s="213">
        <v>372004</v>
      </c>
      <c r="BA254" s="416" t="s">
        <v>3617</v>
      </c>
      <c r="BB254" s="415" t="s">
        <v>337</v>
      </c>
      <c r="BE254" s="415" t="s">
        <v>337</v>
      </c>
      <c r="BH254" s="415" t="s">
        <v>337</v>
      </c>
      <c r="BM254" s="415" t="s">
        <v>337</v>
      </c>
      <c r="BP254" s="415" t="s">
        <v>337</v>
      </c>
      <c r="BS254" s="415"/>
      <c r="BV254" s="415" t="s">
        <v>337</v>
      </c>
      <c r="BY254" s="415" t="s">
        <v>337</v>
      </c>
      <c r="CB254" s="415" t="s">
        <v>337</v>
      </c>
      <c r="CE254" s="415" t="s">
        <v>337</v>
      </c>
      <c r="CH254" s="415" t="s">
        <v>337</v>
      </c>
      <c r="CK254" s="415" t="s">
        <v>337</v>
      </c>
      <c r="CN254" s="415" t="s">
        <v>337</v>
      </c>
      <c r="CQ254" s="415" t="s">
        <v>337</v>
      </c>
      <c r="CT254" s="415" t="s">
        <v>337</v>
      </c>
    </row>
    <row r="255" spans="1:98">
      <c r="A255" s="1" t="s">
        <v>854</v>
      </c>
      <c r="B255" s="416" t="s">
        <v>3618</v>
      </c>
      <c r="C255" s="415" t="s">
        <v>337</v>
      </c>
      <c r="F255" s="415" t="s">
        <v>337</v>
      </c>
      <c r="I255" s="415" t="s">
        <v>337</v>
      </c>
      <c r="L255" s="415" t="s">
        <v>337</v>
      </c>
      <c r="M255" s="213" t="s">
        <v>3619</v>
      </c>
      <c r="N255" s="416" t="s">
        <v>3620</v>
      </c>
      <c r="O255" s="415" t="s">
        <v>337</v>
      </c>
      <c r="R255" s="415" t="s">
        <v>337</v>
      </c>
      <c r="S255" s="213" t="s">
        <v>3621</v>
      </c>
      <c r="T255" s="416" t="s">
        <v>3622</v>
      </c>
      <c r="U255" s="415" t="s">
        <v>337</v>
      </c>
      <c r="X255" s="415"/>
      <c r="AA255" s="415"/>
      <c r="AD255" s="415"/>
      <c r="AE255" s="417" t="s">
        <v>3623</v>
      </c>
      <c r="AF255" s="416" t="s">
        <v>3624</v>
      </c>
      <c r="AG255" s="415"/>
      <c r="AJ255" s="415" t="s">
        <v>337</v>
      </c>
      <c r="AM255" s="415" t="s">
        <v>337</v>
      </c>
      <c r="AP255" s="415" t="s">
        <v>337</v>
      </c>
      <c r="AS255" s="415" t="s">
        <v>337</v>
      </c>
      <c r="AV255" s="415" t="s">
        <v>337</v>
      </c>
      <c r="AY255" s="415" t="s">
        <v>337</v>
      </c>
      <c r="AZ255" s="213">
        <v>372005</v>
      </c>
      <c r="BA255" s="416" t="s">
        <v>3625</v>
      </c>
      <c r="BB255" s="415" t="s">
        <v>337</v>
      </c>
      <c r="BE255" s="415" t="s">
        <v>337</v>
      </c>
      <c r="BH255" s="415" t="s">
        <v>337</v>
      </c>
      <c r="BM255" s="415" t="s">
        <v>337</v>
      </c>
      <c r="BP255" s="415" t="s">
        <v>337</v>
      </c>
      <c r="BS255" s="415"/>
      <c r="BV255" s="415" t="s">
        <v>337</v>
      </c>
      <c r="BY255" s="415" t="s">
        <v>337</v>
      </c>
      <c r="CB255" s="415" t="s">
        <v>337</v>
      </c>
      <c r="CE255" s="415" t="s">
        <v>337</v>
      </c>
      <c r="CH255" s="415" t="s">
        <v>337</v>
      </c>
      <c r="CK255" s="415" t="s">
        <v>337</v>
      </c>
      <c r="CN255" s="415" t="s">
        <v>337</v>
      </c>
      <c r="CQ255" s="415" t="s">
        <v>337</v>
      </c>
      <c r="CT255" s="415" t="s">
        <v>337</v>
      </c>
    </row>
    <row r="256" spans="1:98">
      <c r="A256" s="1" t="s">
        <v>854</v>
      </c>
      <c r="B256" s="416" t="s">
        <v>3626</v>
      </c>
      <c r="C256" s="415" t="s">
        <v>337</v>
      </c>
      <c r="F256" s="415" t="s">
        <v>337</v>
      </c>
      <c r="I256" s="415" t="s">
        <v>337</v>
      </c>
      <c r="L256" s="415" t="s">
        <v>337</v>
      </c>
      <c r="O256" s="415" t="s">
        <v>337</v>
      </c>
      <c r="R256" s="415" t="s">
        <v>337</v>
      </c>
      <c r="S256" s="213" t="s">
        <v>3627</v>
      </c>
      <c r="T256" s="416" t="s">
        <v>3628</v>
      </c>
      <c r="U256" s="415" t="s">
        <v>337</v>
      </c>
      <c r="X256" s="415"/>
      <c r="AA256" s="415"/>
      <c r="AD256" s="415"/>
      <c r="AE256" s="417" t="s">
        <v>3629</v>
      </c>
      <c r="AF256" s="416" t="s">
        <v>3630</v>
      </c>
      <c r="AG256" s="415"/>
      <c r="AJ256" s="415" t="s">
        <v>337</v>
      </c>
      <c r="AM256" s="415" t="s">
        <v>337</v>
      </c>
      <c r="AP256" s="415" t="s">
        <v>337</v>
      </c>
      <c r="AS256" s="415" t="s">
        <v>337</v>
      </c>
      <c r="AV256" s="415" t="s">
        <v>337</v>
      </c>
      <c r="AY256" s="415" t="s">
        <v>337</v>
      </c>
      <c r="AZ256" s="213">
        <v>372006</v>
      </c>
      <c r="BA256" s="416" t="s">
        <v>3631</v>
      </c>
      <c r="BB256" s="415" t="s">
        <v>337</v>
      </c>
      <c r="BE256" s="415" t="s">
        <v>337</v>
      </c>
      <c r="BH256" s="415" t="s">
        <v>337</v>
      </c>
      <c r="BM256" s="415" t="s">
        <v>337</v>
      </c>
      <c r="BP256" s="415" t="s">
        <v>337</v>
      </c>
      <c r="BS256" s="415"/>
      <c r="BV256" s="415" t="s">
        <v>337</v>
      </c>
      <c r="BY256" s="415" t="s">
        <v>337</v>
      </c>
      <c r="CB256" s="415" t="s">
        <v>337</v>
      </c>
      <c r="CE256" s="415" t="s">
        <v>337</v>
      </c>
      <c r="CH256" s="415" t="s">
        <v>337</v>
      </c>
      <c r="CK256" s="415" t="s">
        <v>337</v>
      </c>
      <c r="CN256" s="415" t="s">
        <v>337</v>
      </c>
      <c r="CQ256" s="415" t="s">
        <v>337</v>
      </c>
      <c r="CT256" s="415" t="s">
        <v>337</v>
      </c>
    </row>
    <row r="257" spans="1:98">
      <c r="A257" s="1" t="s">
        <v>854</v>
      </c>
      <c r="B257" s="416" t="s">
        <v>3632</v>
      </c>
      <c r="C257" s="415" t="s">
        <v>337</v>
      </c>
      <c r="F257" s="415" t="s">
        <v>337</v>
      </c>
      <c r="I257" s="415" t="s">
        <v>337</v>
      </c>
      <c r="L257" s="415" t="s">
        <v>337</v>
      </c>
      <c r="O257" s="415" t="s">
        <v>337</v>
      </c>
      <c r="R257" s="415" t="s">
        <v>337</v>
      </c>
      <c r="S257" s="213" t="s">
        <v>3633</v>
      </c>
      <c r="T257" s="416" t="s">
        <v>3634</v>
      </c>
      <c r="U257" s="415" t="s">
        <v>337</v>
      </c>
      <c r="X257" s="415"/>
      <c r="AA257" s="415"/>
      <c r="AD257" s="415"/>
      <c r="AE257" s="417" t="s">
        <v>3635</v>
      </c>
      <c r="AF257" s="416" t="s">
        <v>3636</v>
      </c>
      <c r="AG257" s="415"/>
      <c r="AJ257" s="415" t="s">
        <v>337</v>
      </c>
      <c r="AM257" s="415" t="s">
        <v>337</v>
      </c>
      <c r="AP257" s="415" t="s">
        <v>337</v>
      </c>
      <c r="AS257" s="415" t="s">
        <v>337</v>
      </c>
      <c r="AV257" s="415" t="s">
        <v>337</v>
      </c>
      <c r="AY257" s="415" t="s">
        <v>337</v>
      </c>
      <c r="AZ257" s="213">
        <v>411001</v>
      </c>
      <c r="BA257" s="416" t="s">
        <v>3637</v>
      </c>
      <c r="BB257" s="415" t="s">
        <v>337</v>
      </c>
      <c r="BE257" s="415" t="s">
        <v>337</v>
      </c>
      <c r="BH257" s="415" t="s">
        <v>337</v>
      </c>
      <c r="BM257" s="415" t="s">
        <v>337</v>
      </c>
      <c r="BP257" s="415" t="s">
        <v>337</v>
      </c>
      <c r="BS257" s="415"/>
      <c r="BV257" s="415" t="s">
        <v>337</v>
      </c>
      <c r="BY257" s="415" t="s">
        <v>337</v>
      </c>
      <c r="CB257" s="415" t="s">
        <v>337</v>
      </c>
      <c r="CE257" s="415" t="s">
        <v>337</v>
      </c>
      <c r="CH257" s="415" t="s">
        <v>337</v>
      </c>
      <c r="CK257" s="415" t="s">
        <v>337</v>
      </c>
      <c r="CN257" s="415" t="s">
        <v>337</v>
      </c>
      <c r="CQ257" s="415" t="s">
        <v>337</v>
      </c>
      <c r="CT257" s="415" t="s">
        <v>337</v>
      </c>
    </row>
    <row r="258" spans="1:98">
      <c r="A258" s="1" t="s">
        <v>854</v>
      </c>
      <c r="B258" s="416" t="s">
        <v>3638</v>
      </c>
      <c r="C258" s="415" t="s">
        <v>337</v>
      </c>
      <c r="F258" s="415" t="s">
        <v>337</v>
      </c>
      <c r="I258" s="415" t="s">
        <v>337</v>
      </c>
      <c r="L258" s="415" t="s">
        <v>337</v>
      </c>
      <c r="O258" s="415" t="s">
        <v>337</v>
      </c>
      <c r="R258" s="415" t="s">
        <v>337</v>
      </c>
      <c r="S258" s="213" t="s">
        <v>3639</v>
      </c>
      <c r="T258" s="416" t="s">
        <v>3640</v>
      </c>
      <c r="U258" s="415" t="s">
        <v>337</v>
      </c>
      <c r="X258" s="415"/>
      <c r="AA258" s="415"/>
      <c r="AD258" s="415"/>
      <c r="AE258" s="417" t="s">
        <v>3641</v>
      </c>
      <c r="AF258" s="416" t="s">
        <v>3642</v>
      </c>
      <c r="AG258" s="415"/>
      <c r="AJ258" s="415" t="s">
        <v>337</v>
      </c>
      <c r="AM258" s="415" t="s">
        <v>337</v>
      </c>
      <c r="AP258" s="415" t="s">
        <v>337</v>
      </c>
      <c r="AS258" s="415" t="s">
        <v>337</v>
      </c>
      <c r="AV258" s="415" t="s">
        <v>337</v>
      </c>
      <c r="AY258" s="415" t="s">
        <v>337</v>
      </c>
      <c r="AZ258" s="213">
        <v>411002</v>
      </c>
      <c r="BA258" s="416" t="s">
        <v>3643</v>
      </c>
      <c r="BB258" s="415" t="s">
        <v>337</v>
      </c>
      <c r="BE258" s="415" t="s">
        <v>337</v>
      </c>
      <c r="BH258" s="415" t="s">
        <v>337</v>
      </c>
      <c r="BM258" s="415" t="s">
        <v>337</v>
      </c>
      <c r="BP258" s="415" t="s">
        <v>337</v>
      </c>
      <c r="BS258" s="415"/>
      <c r="BV258" s="415" t="s">
        <v>337</v>
      </c>
      <c r="BY258" s="415" t="s">
        <v>337</v>
      </c>
      <c r="CB258" s="415" t="s">
        <v>337</v>
      </c>
      <c r="CE258" s="415" t="s">
        <v>337</v>
      </c>
      <c r="CH258" s="415" t="s">
        <v>337</v>
      </c>
      <c r="CK258" s="415" t="s">
        <v>337</v>
      </c>
      <c r="CN258" s="415" t="s">
        <v>337</v>
      </c>
      <c r="CQ258" s="415" t="s">
        <v>337</v>
      </c>
      <c r="CT258" s="415" t="s">
        <v>337</v>
      </c>
    </row>
    <row r="259" spans="1:98">
      <c r="A259" s="1" t="s">
        <v>854</v>
      </c>
      <c r="B259" s="416" t="s">
        <v>3644</v>
      </c>
      <c r="C259" s="415" t="s">
        <v>337</v>
      </c>
      <c r="F259" s="415" t="s">
        <v>337</v>
      </c>
      <c r="I259" s="415" t="s">
        <v>337</v>
      </c>
      <c r="L259" s="415" t="s">
        <v>337</v>
      </c>
      <c r="O259" s="415" t="s">
        <v>337</v>
      </c>
      <c r="R259" s="415" t="s">
        <v>337</v>
      </c>
      <c r="S259" s="213" t="s">
        <v>3645</v>
      </c>
      <c r="T259" s="416" t="s">
        <v>3646</v>
      </c>
      <c r="U259" s="415" t="s">
        <v>337</v>
      </c>
      <c r="X259" s="415"/>
      <c r="AA259" s="415"/>
      <c r="AD259" s="415"/>
      <c r="AE259" s="417" t="s">
        <v>3647</v>
      </c>
      <c r="AF259" s="416" t="s">
        <v>3648</v>
      </c>
      <c r="AG259" s="415"/>
      <c r="AJ259" s="415" t="s">
        <v>337</v>
      </c>
      <c r="AM259" s="415" t="s">
        <v>337</v>
      </c>
      <c r="AP259" s="415" t="s">
        <v>337</v>
      </c>
      <c r="AS259" s="415" t="s">
        <v>337</v>
      </c>
      <c r="AV259" s="415" t="s">
        <v>337</v>
      </c>
      <c r="AY259" s="415" t="s">
        <v>337</v>
      </c>
      <c r="AZ259" s="213">
        <v>411003</v>
      </c>
      <c r="BA259" s="416" t="s">
        <v>3649</v>
      </c>
      <c r="BB259" s="415" t="s">
        <v>337</v>
      </c>
      <c r="BE259" s="415" t="s">
        <v>337</v>
      </c>
      <c r="BH259" s="415" t="s">
        <v>337</v>
      </c>
      <c r="BM259" s="415" t="s">
        <v>337</v>
      </c>
      <c r="BP259" s="415" t="s">
        <v>337</v>
      </c>
      <c r="BS259" s="415"/>
      <c r="BV259" s="415" t="s">
        <v>337</v>
      </c>
      <c r="BY259" s="415" t="s">
        <v>337</v>
      </c>
      <c r="CB259" s="415" t="s">
        <v>337</v>
      </c>
      <c r="CE259" s="415" t="s">
        <v>337</v>
      </c>
      <c r="CH259" s="415" t="s">
        <v>337</v>
      </c>
      <c r="CK259" s="415" t="s">
        <v>337</v>
      </c>
      <c r="CN259" s="415" t="s">
        <v>337</v>
      </c>
      <c r="CQ259" s="415" t="s">
        <v>337</v>
      </c>
      <c r="CT259" s="415" t="s">
        <v>337</v>
      </c>
    </row>
    <row r="260" spans="1:98">
      <c r="A260" s="1" t="s">
        <v>854</v>
      </c>
      <c r="B260" s="416" t="s">
        <v>3650</v>
      </c>
      <c r="C260" s="415" t="s">
        <v>337</v>
      </c>
      <c r="F260" s="415" t="s">
        <v>337</v>
      </c>
      <c r="I260" s="415" t="s">
        <v>337</v>
      </c>
      <c r="L260" s="415" t="s">
        <v>337</v>
      </c>
      <c r="O260" s="415" t="s">
        <v>337</v>
      </c>
      <c r="R260" s="415" t="s">
        <v>337</v>
      </c>
      <c r="S260" s="213" t="s">
        <v>3651</v>
      </c>
      <c r="T260" s="416" t="s">
        <v>3652</v>
      </c>
      <c r="U260" s="415" t="s">
        <v>337</v>
      </c>
      <c r="X260" s="415"/>
      <c r="AA260" s="415"/>
      <c r="AD260" s="415"/>
      <c r="AE260" s="417" t="s">
        <v>3653</v>
      </c>
      <c r="AF260" s="416" t="s">
        <v>3654</v>
      </c>
      <c r="AG260" s="415"/>
      <c r="AJ260" s="415" t="s">
        <v>337</v>
      </c>
      <c r="AM260" s="415" t="s">
        <v>337</v>
      </c>
      <c r="AP260" s="415" t="s">
        <v>337</v>
      </c>
      <c r="AS260" s="415" t="s">
        <v>337</v>
      </c>
      <c r="AV260" s="415" t="s">
        <v>337</v>
      </c>
      <c r="AY260" s="415" t="s">
        <v>337</v>
      </c>
      <c r="AZ260" s="213">
        <v>411004</v>
      </c>
      <c r="BA260" s="416" t="s">
        <v>3655</v>
      </c>
      <c r="BB260" s="415" t="s">
        <v>337</v>
      </c>
      <c r="BE260" s="415" t="s">
        <v>337</v>
      </c>
      <c r="BH260" s="415" t="s">
        <v>337</v>
      </c>
      <c r="BM260" s="415" t="s">
        <v>337</v>
      </c>
      <c r="BP260" s="415" t="s">
        <v>337</v>
      </c>
      <c r="BS260" s="415"/>
      <c r="BV260" s="415" t="s">
        <v>337</v>
      </c>
      <c r="BY260" s="415" t="s">
        <v>337</v>
      </c>
      <c r="CB260" s="415" t="s">
        <v>337</v>
      </c>
      <c r="CE260" s="415" t="s">
        <v>337</v>
      </c>
      <c r="CH260" s="415" t="s">
        <v>337</v>
      </c>
      <c r="CK260" s="415" t="s">
        <v>337</v>
      </c>
      <c r="CN260" s="415" t="s">
        <v>337</v>
      </c>
      <c r="CQ260" s="415" t="s">
        <v>337</v>
      </c>
      <c r="CT260" s="415" t="s">
        <v>337</v>
      </c>
    </row>
    <row r="261" spans="1:98">
      <c r="A261" s="1" t="s">
        <v>878</v>
      </c>
      <c r="B261" s="416" t="s">
        <v>3656</v>
      </c>
      <c r="C261" s="415" t="s">
        <v>337</v>
      </c>
      <c r="F261" s="415" t="s">
        <v>337</v>
      </c>
      <c r="I261" s="415" t="s">
        <v>337</v>
      </c>
      <c r="L261" s="415" t="s">
        <v>337</v>
      </c>
      <c r="O261" s="415" t="s">
        <v>337</v>
      </c>
      <c r="R261" s="415" t="s">
        <v>337</v>
      </c>
      <c r="S261" s="213" t="s">
        <v>3657</v>
      </c>
      <c r="T261" s="416" t="s">
        <v>3658</v>
      </c>
      <c r="U261" s="415" t="s">
        <v>337</v>
      </c>
      <c r="X261" s="415"/>
      <c r="AA261" s="415"/>
      <c r="AD261" s="415"/>
      <c r="AE261" s="417" t="s">
        <v>3659</v>
      </c>
      <c r="AF261" s="416" t="s">
        <v>3660</v>
      </c>
      <c r="AG261" s="415"/>
      <c r="AJ261" s="415" t="s">
        <v>337</v>
      </c>
      <c r="AM261" s="415" t="s">
        <v>337</v>
      </c>
      <c r="AP261" s="415" t="s">
        <v>337</v>
      </c>
      <c r="AS261" s="415" t="s">
        <v>337</v>
      </c>
      <c r="AV261" s="415" t="s">
        <v>337</v>
      </c>
      <c r="AY261" s="415" t="s">
        <v>337</v>
      </c>
      <c r="AZ261" s="213">
        <v>411005</v>
      </c>
      <c r="BA261" s="416" t="s">
        <v>3661</v>
      </c>
      <c r="BB261" s="415" t="s">
        <v>337</v>
      </c>
      <c r="BE261" s="415" t="s">
        <v>337</v>
      </c>
      <c r="BH261" s="415" t="s">
        <v>337</v>
      </c>
      <c r="BM261" s="415" t="s">
        <v>337</v>
      </c>
      <c r="BP261" s="415" t="s">
        <v>337</v>
      </c>
      <c r="BS261" s="415"/>
      <c r="BV261" s="415" t="s">
        <v>337</v>
      </c>
      <c r="BY261" s="415" t="s">
        <v>337</v>
      </c>
      <c r="CB261" s="415" t="s">
        <v>337</v>
      </c>
      <c r="CE261" s="415" t="s">
        <v>337</v>
      </c>
      <c r="CH261" s="415" t="s">
        <v>337</v>
      </c>
      <c r="CK261" s="415" t="s">
        <v>337</v>
      </c>
      <c r="CN261" s="415" t="s">
        <v>337</v>
      </c>
      <c r="CQ261" s="415" t="s">
        <v>337</v>
      </c>
      <c r="CT261" s="415" t="s">
        <v>337</v>
      </c>
    </row>
    <row r="262" spans="1:98">
      <c r="A262" s="1" t="s">
        <v>878</v>
      </c>
      <c r="B262" s="416" t="s">
        <v>3662</v>
      </c>
      <c r="C262" s="415" t="s">
        <v>337</v>
      </c>
      <c r="F262" s="415" t="s">
        <v>337</v>
      </c>
      <c r="I262" s="415" t="s">
        <v>337</v>
      </c>
      <c r="L262" s="415" t="s">
        <v>337</v>
      </c>
      <c r="O262" s="415" t="s">
        <v>337</v>
      </c>
      <c r="R262" s="415" t="s">
        <v>337</v>
      </c>
      <c r="S262" s="213" t="s">
        <v>3663</v>
      </c>
      <c r="T262" s="416" t="s">
        <v>3664</v>
      </c>
      <c r="U262" s="415" t="s">
        <v>337</v>
      </c>
      <c r="X262" s="415"/>
      <c r="AA262" s="415"/>
      <c r="AD262" s="415"/>
      <c r="AE262" s="417" t="s">
        <v>3665</v>
      </c>
      <c r="AF262" s="416" t="s">
        <v>3666</v>
      </c>
      <c r="AG262" s="415"/>
      <c r="AJ262" s="415" t="s">
        <v>337</v>
      </c>
      <c r="AM262" s="415" t="s">
        <v>337</v>
      </c>
      <c r="AP262" s="415" t="s">
        <v>337</v>
      </c>
      <c r="AS262" s="415" t="s">
        <v>337</v>
      </c>
      <c r="AV262" s="415" t="s">
        <v>337</v>
      </c>
      <c r="AY262" s="415" t="s">
        <v>337</v>
      </c>
      <c r="AZ262" s="213">
        <v>411006</v>
      </c>
      <c r="BA262" s="416" t="s">
        <v>3667</v>
      </c>
      <c r="BB262" s="415" t="s">
        <v>337</v>
      </c>
      <c r="BE262" s="415" t="s">
        <v>337</v>
      </c>
      <c r="BH262" s="415" t="s">
        <v>337</v>
      </c>
      <c r="BM262" s="415" t="s">
        <v>337</v>
      </c>
      <c r="BP262" s="415" t="s">
        <v>337</v>
      </c>
      <c r="BS262" s="415"/>
      <c r="BV262" s="415" t="s">
        <v>337</v>
      </c>
      <c r="BY262" s="415" t="s">
        <v>337</v>
      </c>
      <c r="CB262" s="415" t="s">
        <v>337</v>
      </c>
      <c r="CE262" s="415" t="s">
        <v>337</v>
      </c>
      <c r="CH262" s="415" t="s">
        <v>337</v>
      </c>
      <c r="CK262" s="415" t="s">
        <v>337</v>
      </c>
      <c r="CN262" s="415" t="s">
        <v>337</v>
      </c>
      <c r="CQ262" s="415" t="s">
        <v>337</v>
      </c>
      <c r="CT262" s="415" t="s">
        <v>337</v>
      </c>
    </row>
    <row r="263" spans="1:98">
      <c r="A263" s="1" t="s">
        <v>878</v>
      </c>
      <c r="B263" s="416" t="s">
        <v>3668</v>
      </c>
      <c r="C263" s="415" t="s">
        <v>337</v>
      </c>
      <c r="F263" s="415" t="s">
        <v>337</v>
      </c>
      <c r="I263" s="415" t="s">
        <v>337</v>
      </c>
      <c r="L263" s="415" t="s">
        <v>337</v>
      </c>
      <c r="O263" s="415" t="s">
        <v>337</v>
      </c>
      <c r="R263" s="415" t="s">
        <v>337</v>
      </c>
      <c r="S263" s="213" t="s">
        <v>3669</v>
      </c>
      <c r="T263" s="416" t="s">
        <v>3670</v>
      </c>
      <c r="U263" s="415" t="s">
        <v>337</v>
      </c>
      <c r="X263" s="415"/>
      <c r="AA263" s="415"/>
      <c r="AD263" s="415"/>
      <c r="AE263" s="417" t="s">
        <v>3671</v>
      </c>
      <c r="AF263" s="416" t="s">
        <v>3672</v>
      </c>
      <c r="AG263" s="415"/>
      <c r="AJ263" s="415" t="s">
        <v>337</v>
      </c>
      <c r="AM263" s="415" t="s">
        <v>337</v>
      </c>
      <c r="AP263" s="415" t="s">
        <v>337</v>
      </c>
      <c r="AS263" s="415" t="s">
        <v>337</v>
      </c>
      <c r="AV263" s="415" t="s">
        <v>337</v>
      </c>
      <c r="AY263" s="415" t="s">
        <v>337</v>
      </c>
      <c r="AZ263" s="213">
        <v>421001</v>
      </c>
      <c r="BA263" s="416" t="s">
        <v>3673</v>
      </c>
      <c r="BB263" s="415" t="s">
        <v>337</v>
      </c>
      <c r="BE263" s="415" t="s">
        <v>337</v>
      </c>
      <c r="BH263" s="415" t="s">
        <v>337</v>
      </c>
      <c r="BM263" s="415" t="s">
        <v>337</v>
      </c>
      <c r="BP263" s="415" t="s">
        <v>337</v>
      </c>
      <c r="BS263" s="415"/>
      <c r="BV263" s="415" t="s">
        <v>337</v>
      </c>
      <c r="BY263" s="415" t="s">
        <v>337</v>
      </c>
      <c r="CB263" s="415" t="s">
        <v>337</v>
      </c>
      <c r="CE263" s="415" t="s">
        <v>337</v>
      </c>
      <c r="CH263" s="415" t="s">
        <v>337</v>
      </c>
      <c r="CK263" s="415" t="s">
        <v>337</v>
      </c>
      <c r="CN263" s="415" t="s">
        <v>337</v>
      </c>
      <c r="CQ263" s="415" t="s">
        <v>337</v>
      </c>
      <c r="CT263" s="415" t="s">
        <v>337</v>
      </c>
    </row>
    <row r="264" spans="1:98">
      <c r="A264" s="1" t="s">
        <v>878</v>
      </c>
      <c r="B264" s="416" t="s">
        <v>3674</v>
      </c>
      <c r="C264" s="415" t="s">
        <v>337</v>
      </c>
      <c r="F264" s="415" t="s">
        <v>337</v>
      </c>
      <c r="I264" s="415" t="s">
        <v>337</v>
      </c>
      <c r="L264" s="415" t="s">
        <v>337</v>
      </c>
      <c r="O264" s="415" t="s">
        <v>337</v>
      </c>
      <c r="R264" s="415" t="s">
        <v>337</v>
      </c>
      <c r="S264" s="213" t="s">
        <v>3675</v>
      </c>
      <c r="T264" s="416" t="s">
        <v>3676</v>
      </c>
      <c r="U264" s="415" t="s">
        <v>337</v>
      </c>
      <c r="X264" s="415"/>
      <c r="AA264" s="415"/>
      <c r="AD264" s="415"/>
      <c r="AE264" s="417" t="s">
        <v>3677</v>
      </c>
      <c r="AF264" s="416" t="s">
        <v>3678</v>
      </c>
      <c r="AG264" s="415"/>
      <c r="AJ264" s="415" t="s">
        <v>337</v>
      </c>
      <c r="AM264" s="415" t="s">
        <v>337</v>
      </c>
      <c r="AP264" s="415" t="s">
        <v>337</v>
      </c>
      <c r="AS264" s="415" t="s">
        <v>337</v>
      </c>
      <c r="AV264" s="415" t="s">
        <v>337</v>
      </c>
      <c r="AY264" s="415" t="s">
        <v>337</v>
      </c>
      <c r="AZ264" s="213">
        <v>421002</v>
      </c>
      <c r="BA264" s="416" t="s">
        <v>3679</v>
      </c>
      <c r="BB264" s="415" t="s">
        <v>337</v>
      </c>
      <c r="BE264" s="415" t="s">
        <v>337</v>
      </c>
      <c r="BH264" s="415" t="s">
        <v>337</v>
      </c>
      <c r="BM264" s="415" t="s">
        <v>337</v>
      </c>
      <c r="BP264" s="415" t="s">
        <v>337</v>
      </c>
      <c r="BS264" s="415"/>
      <c r="BV264" s="415" t="s">
        <v>337</v>
      </c>
      <c r="BY264" s="415" t="s">
        <v>337</v>
      </c>
      <c r="CB264" s="415" t="s">
        <v>337</v>
      </c>
      <c r="CE264" s="415" t="s">
        <v>337</v>
      </c>
      <c r="CH264" s="415" t="s">
        <v>337</v>
      </c>
      <c r="CK264" s="415" t="s">
        <v>337</v>
      </c>
      <c r="CN264" s="415" t="s">
        <v>337</v>
      </c>
      <c r="CQ264" s="415" t="s">
        <v>337</v>
      </c>
      <c r="CT264" s="415" t="s">
        <v>337</v>
      </c>
    </row>
    <row r="265" spans="1:98">
      <c r="A265" s="1" t="s">
        <v>900</v>
      </c>
      <c r="B265" s="416" t="s">
        <v>3680</v>
      </c>
      <c r="C265" s="415" t="s">
        <v>337</v>
      </c>
      <c r="F265" s="415" t="s">
        <v>337</v>
      </c>
      <c r="I265" s="415" t="s">
        <v>337</v>
      </c>
      <c r="L265" s="415" t="s">
        <v>337</v>
      </c>
      <c r="O265" s="415" t="s">
        <v>337</v>
      </c>
      <c r="R265" s="415" t="s">
        <v>337</v>
      </c>
      <c r="S265" s="213" t="s">
        <v>3681</v>
      </c>
      <c r="T265" s="416" t="s">
        <v>3682</v>
      </c>
      <c r="U265" s="415" t="s">
        <v>337</v>
      </c>
      <c r="X265" s="415"/>
      <c r="AA265" s="415"/>
      <c r="AD265" s="415"/>
      <c r="AE265" s="417" t="s">
        <v>3683</v>
      </c>
      <c r="AF265" s="416" t="s">
        <v>3684</v>
      </c>
      <c r="AG265" s="415"/>
      <c r="AJ265" s="415" t="s">
        <v>337</v>
      </c>
      <c r="AM265" s="415" t="s">
        <v>337</v>
      </c>
      <c r="AP265" s="415" t="s">
        <v>337</v>
      </c>
      <c r="AS265" s="415" t="s">
        <v>337</v>
      </c>
      <c r="AV265" s="415" t="s">
        <v>337</v>
      </c>
      <c r="AY265" s="415" t="s">
        <v>337</v>
      </c>
      <c r="AZ265" s="213">
        <v>421003</v>
      </c>
      <c r="BA265" s="416" t="s">
        <v>3685</v>
      </c>
      <c r="BB265" s="415" t="s">
        <v>337</v>
      </c>
      <c r="BE265" s="415" t="s">
        <v>337</v>
      </c>
      <c r="BH265" s="415" t="s">
        <v>337</v>
      </c>
      <c r="BM265" s="415" t="s">
        <v>337</v>
      </c>
      <c r="BP265" s="415" t="s">
        <v>337</v>
      </c>
      <c r="BS265" s="415"/>
      <c r="BV265" s="415" t="s">
        <v>337</v>
      </c>
      <c r="BY265" s="415" t="s">
        <v>337</v>
      </c>
      <c r="CB265" s="415" t="s">
        <v>337</v>
      </c>
      <c r="CE265" s="415" t="s">
        <v>337</v>
      </c>
      <c r="CH265" s="415" t="s">
        <v>337</v>
      </c>
      <c r="CK265" s="415" t="s">
        <v>337</v>
      </c>
      <c r="CN265" s="415" t="s">
        <v>337</v>
      </c>
      <c r="CQ265" s="415" t="s">
        <v>337</v>
      </c>
      <c r="CT265" s="415" t="s">
        <v>337</v>
      </c>
    </row>
    <row r="266" spans="1:98">
      <c r="A266" s="1" t="s">
        <v>900</v>
      </c>
      <c r="B266" s="416" t="s">
        <v>3686</v>
      </c>
      <c r="C266" s="415" t="s">
        <v>337</v>
      </c>
      <c r="F266" s="415" t="s">
        <v>337</v>
      </c>
      <c r="I266" s="415" t="s">
        <v>337</v>
      </c>
      <c r="L266" s="415" t="s">
        <v>337</v>
      </c>
      <c r="O266" s="415" t="s">
        <v>337</v>
      </c>
      <c r="R266" s="415" t="s">
        <v>337</v>
      </c>
      <c r="S266" s="213" t="s">
        <v>3687</v>
      </c>
      <c r="T266" s="416" t="s">
        <v>3688</v>
      </c>
      <c r="U266" s="415" t="s">
        <v>337</v>
      </c>
      <c r="X266" s="415"/>
      <c r="AA266" s="415"/>
      <c r="AD266" s="415"/>
      <c r="AE266" s="417" t="s">
        <v>3689</v>
      </c>
      <c r="AF266" s="416" t="s">
        <v>3690</v>
      </c>
      <c r="AG266" s="415"/>
      <c r="AJ266" s="415" t="s">
        <v>337</v>
      </c>
      <c r="AM266" s="415" t="s">
        <v>337</v>
      </c>
      <c r="AP266" s="415" t="s">
        <v>337</v>
      </c>
      <c r="AS266" s="415" t="s">
        <v>337</v>
      </c>
      <c r="AV266" s="415" t="s">
        <v>337</v>
      </c>
      <c r="AY266" s="415" t="s">
        <v>337</v>
      </c>
      <c r="AZ266" s="213">
        <v>421004</v>
      </c>
      <c r="BA266" s="416" t="s">
        <v>3691</v>
      </c>
      <c r="BB266" s="415" t="s">
        <v>337</v>
      </c>
      <c r="BE266" s="415" t="s">
        <v>337</v>
      </c>
      <c r="BH266" s="415" t="s">
        <v>337</v>
      </c>
      <c r="BM266" s="415" t="s">
        <v>337</v>
      </c>
      <c r="BP266" s="415" t="s">
        <v>337</v>
      </c>
      <c r="BS266" s="415"/>
      <c r="BV266" s="415" t="s">
        <v>337</v>
      </c>
      <c r="BY266" s="415" t="s">
        <v>337</v>
      </c>
      <c r="CB266" s="415" t="s">
        <v>337</v>
      </c>
      <c r="CE266" s="415" t="s">
        <v>337</v>
      </c>
      <c r="CH266" s="415" t="s">
        <v>337</v>
      </c>
      <c r="CK266" s="415" t="s">
        <v>337</v>
      </c>
      <c r="CN266" s="415" t="s">
        <v>337</v>
      </c>
      <c r="CQ266" s="415" t="s">
        <v>337</v>
      </c>
      <c r="CT266" s="415" t="s">
        <v>337</v>
      </c>
    </row>
    <row r="267" spans="1:98">
      <c r="A267" s="1" t="s">
        <v>900</v>
      </c>
      <c r="B267" s="416" t="s">
        <v>3692</v>
      </c>
      <c r="C267" s="415" t="s">
        <v>337</v>
      </c>
      <c r="F267" s="415" t="s">
        <v>337</v>
      </c>
      <c r="I267" s="415" t="s">
        <v>337</v>
      </c>
      <c r="L267" s="415" t="s">
        <v>337</v>
      </c>
      <c r="O267" s="415" t="s">
        <v>337</v>
      </c>
      <c r="R267" s="415" t="s">
        <v>337</v>
      </c>
      <c r="S267" s="213" t="s">
        <v>3693</v>
      </c>
      <c r="T267" s="416" t="s">
        <v>3694</v>
      </c>
      <c r="U267" s="415" t="s">
        <v>337</v>
      </c>
      <c r="X267" s="415"/>
      <c r="AA267" s="415"/>
      <c r="AD267" s="415"/>
      <c r="AE267" s="417" t="s">
        <v>3695</v>
      </c>
      <c r="AF267" s="416" t="s">
        <v>3696</v>
      </c>
      <c r="AG267" s="415"/>
      <c r="AJ267" s="415" t="s">
        <v>337</v>
      </c>
      <c r="AM267" s="415" t="s">
        <v>337</v>
      </c>
      <c r="AP267" s="415" t="s">
        <v>337</v>
      </c>
      <c r="AS267" s="415" t="s">
        <v>337</v>
      </c>
      <c r="AV267" s="415" t="s">
        <v>337</v>
      </c>
      <c r="AY267" s="415" t="s">
        <v>337</v>
      </c>
      <c r="AZ267" s="213">
        <v>421005</v>
      </c>
      <c r="BA267" s="416" t="s">
        <v>3697</v>
      </c>
      <c r="BB267" s="415" t="s">
        <v>337</v>
      </c>
      <c r="BE267" s="415" t="s">
        <v>337</v>
      </c>
      <c r="BH267" s="415" t="s">
        <v>337</v>
      </c>
      <c r="BM267" s="415" t="s">
        <v>337</v>
      </c>
      <c r="BP267" s="415" t="s">
        <v>337</v>
      </c>
      <c r="BS267" s="415"/>
      <c r="BV267" s="415" t="s">
        <v>337</v>
      </c>
      <c r="BY267" s="415" t="s">
        <v>337</v>
      </c>
      <c r="CB267" s="415" t="s">
        <v>337</v>
      </c>
      <c r="CE267" s="415" t="s">
        <v>337</v>
      </c>
      <c r="CH267" s="415" t="s">
        <v>337</v>
      </c>
      <c r="CK267" s="415" t="s">
        <v>337</v>
      </c>
      <c r="CN267" s="415" t="s">
        <v>337</v>
      </c>
      <c r="CQ267" s="415" t="s">
        <v>337</v>
      </c>
      <c r="CT267" s="415" t="s">
        <v>337</v>
      </c>
    </row>
    <row r="268" spans="1:98">
      <c r="A268" s="1" t="s">
        <v>900</v>
      </c>
      <c r="B268" s="416" t="s">
        <v>3698</v>
      </c>
      <c r="C268" s="415" t="s">
        <v>337</v>
      </c>
      <c r="F268" s="415" t="s">
        <v>337</v>
      </c>
      <c r="I268" s="415" t="s">
        <v>337</v>
      </c>
      <c r="L268" s="415" t="s">
        <v>337</v>
      </c>
      <c r="O268" s="415" t="s">
        <v>337</v>
      </c>
      <c r="R268" s="415" t="s">
        <v>337</v>
      </c>
      <c r="S268" s="213" t="s">
        <v>3699</v>
      </c>
      <c r="T268" s="416" t="s">
        <v>3700</v>
      </c>
      <c r="U268" s="415" t="s">
        <v>337</v>
      </c>
      <c r="X268" s="415"/>
      <c r="AA268" s="415"/>
      <c r="AD268" s="415"/>
      <c r="AE268" s="417" t="s">
        <v>3701</v>
      </c>
      <c r="AF268" s="416" t="s">
        <v>3702</v>
      </c>
      <c r="AG268" s="415"/>
      <c r="AJ268" s="415" t="s">
        <v>337</v>
      </c>
      <c r="AM268" s="415" t="s">
        <v>337</v>
      </c>
      <c r="AP268" s="415" t="s">
        <v>337</v>
      </c>
      <c r="AS268" s="415" t="s">
        <v>337</v>
      </c>
      <c r="AV268" s="415" t="s">
        <v>337</v>
      </c>
      <c r="AY268" s="415" t="s">
        <v>337</v>
      </c>
      <c r="AZ268" s="213">
        <v>421006</v>
      </c>
      <c r="BA268" s="416" t="s">
        <v>3703</v>
      </c>
      <c r="BB268" s="415" t="s">
        <v>337</v>
      </c>
      <c r="BE268" s="415" t="s">
        <v>337</v>
      </c>
      <c r="BH268" s="415" t="s">
        <v>337</v>
      </c>
      <c r="BM268" s="415" t="s">
        <v>337</v>
      </c>
      <c r="BP268" s="415" t="s">
        <v>337</v>
      </c>
      <c r="BS268" s="415"/>
      <c r="BV268" s="415" t="s">
        <v>337</v>
      </c>
      <c r="BY268" s="415" t="s">
        <v>337</v>
      </c>
      <c r="CB268" s="415" t="s">
        <v>337</v>
      </c>
      <c r="CE268" s="415" t="s">
        <v>337</v>
      </c>
      <c r="CH268" s="415" t="s">
        <v>337</v>
      </c>
      <c r="CK268" s="415" t="s">
        <v>337</v>
      </c>
      <c r="CN268" s="415" t="s">
        <v>337</v>
      </c>
      <c r="CQ268" s="415" t="s">
        <v>337</v>
      </c>
      <c r="CT268" s="415" t="s">
        <v>337</v>
      </c>
    </row>
    <row r="269" spans="1:98">
      <c r="A269" s="1" t="s">
        <v>900</v>
      </c>
      <c r="B269" s="416" t="s">
        <v>3704</v>
      </c>
      <c r="C269" s="415" t="s">
        <v>337</v>
      </c>
      <c r="F269" s="415" t="s">
        <v>337</v>
      </c>
      <c r="I269" s="415" t="s">
        <v>337</v>
      </c>
      <c r="L269" s="415" t="s">
        <v>337</v>
      </c>
      <c r="O269" s="415" t="s">
        <v>337</v>
      </c>
      <c r="R269" s="415" t="s">
        <v>337</v>
      </c>
      <c r="S269" s="213" t="s">
        <v>3705</v>
      </c>
      <c r="T269" s="416" t="s">
        <v>3706</v>
      </c>
      <c r="U269" s="415" t="s">
        <v>337</v>
      </c>
      <c r="X269" s="415"/>
      <c r="AA269" s="415"/>
      <c r="AD269" s="415"/>
      <c r="AE269" s="417" t="s">
        <v>3707</v>
      </c>
      <c r="AF269" s="416" t="s">
        <v>3708</v>
      </c>
      <c r="AG269" s="415"/>
      <c r="AJ269" s="415" t="s">
        <v>337</v>
      </c>
      <c r="AM269" s="415" t="s">
        <v>337</v>
      </c>
      <c r="AP269" s="415" t="s">
        <v>337</v>
      </c>
      <c r="AS269" s="415" t="s">
        <v>337</v>
      </c>
      <c r="AV269" s="415" t="s">
        <v>337</v>
      </c>
      <c r="AY269" s="415" t="s">
        <v>337</v>
      </c>
      <c r="AZ269" s="213">
        <v>421007</v>
      </c>
      <c r="BA269" s="416" t="s">
        <v>3709</v>
      </c>
      <c r="BB269" s="415" t="s">
        <v>337</v>
      </c>
      <c r="BE269" s="415" t="s">
        <v>337</v>
      </c>
      <c r="BH269" s="415" t="s">
        <v>337</v>
      </c>
      <c r="BM269" s="415" t="s">
        <v>337</v>
      </c>
      <c r="BP269" s="415" t="s">
        <v>337</v>
      </c>
      <c r="BS269" s="415"/>
      <c r="BV269" s="415" t="s">
        <v>337</v>
      </c>
      <c r="BY269" s="415" t="s">
        <v>337</v>
      </c>
      <c r="CB269" s="415" t="s">
        <v>337</v>
      </c>
      <c r="CE269" s="415" t="s">
        <v>337</v>
      </c>
      <c r="CH269" s="415" t="s">
        <v>337</v>
      </c>
      <c r="CK269" s="415" t="s">
        <v>337</v>
      </c>
      <c r="CN269" s="415" t="s">
        <v>337</v>
      </c>
      <c r="CQ269" s="415" t="s">
        <v>337</v>
      </c>
      <c r="CT269" s="415" t="s">
        <v>337</v>
      </c>
    </row>
    <row r="270" spans="1:98">
      <c r="A270" s="1" t="s">
        <v>900</v>
      </c>
      <c r="B270" s="416" t="s">
        <v>3710</v>
      </c>
      <c r="C270" s="415" t="s">
        <v>337</v>
      </c>
      <c r="F270" s="415" t="s">
        <v>337</v>
      </c>
      <c r="I270" s="415" t="s">
        <v>337</v>
      </c>
      <c r="L270" s="415" t="s">
        <v>337</v>
      </c>
      <c r="O270" s="415" t="s">
        <v>337</v>
      </c>
      <c r="R270" s="415" t="s">
        <v>337</v>
      </c>
      <c r="S270" s="213" t="s">
        <v>3711</v>
      </c>
      <c r="T270" s="416" t="s">
        <v>3712</v>
      </c>
      <c r="U270" s="415" t="s">
        <v>337</v>
      </c>
      <c r="X270" s="415"/>
      <c r="AA270" s="415"/>
      <c r="AD270" s="415"/>
      <c r="AE270" s="417" t="s">
        <v>3713</v>
      </c>
      <c r="AF270" s="416" t="s">
        <v>3714</v>
      </c>
      <c r="AG270" s="415"/>
      <c r="AJ270" s="415" t="s">
        <v>337</v>
      </c>
      <c r="AM270" s="415" t="s">
        <v>337</v>
      </c>
      <c r="AP270" s="415" t="s">
        <v>337</v>
      </c>
      <c r="AS270" s="415" t="s">
        <v>337</v>
      </c>
      <c r="AV270" s="415" t="s">
        <v>337</v>
      </c>
      <c r="AY270" s="415" t="s">
        <v>337</v>
      </c>
      <c r="AZ270" s="213">
        <v>421008</v>
      </c>
      <c r="BA270" s="416" t="s">
        <v>3715</v>
      </c>
      <c r="BB270" s="415" t="s">
        <v>337</v>
      </c>
      <c r="BE270" s="415" t="s">
        <v>337</v>
      </c>
      <c r="BH270" s="415" t="s">
        <v>337</v>
      </c>
      <c r="BM270" s="415" t="s">
        <v>337</v>
      </c>
      <c r="BP270" s="415" t="s">
        <v>337</v>
      </c>
      <c r="BS270" s="415"/>
      <c r="BV270" s="415" t="s">
        <v>337</v>
      </c>
      <c r="BY270" s="415" t="s">
        <v>337</v>
      </c>
      <c r="CB270" s="415" t="s">
        <v>337</v>
      </c>
      <c r="CE270" s="415" t="s">
        <v>337</v>
      </c>
      <c r="CH270" s="415" t="s">
        <v>337</v>
      </c>
      <c r="CK270" s="415" t="s">
        <v>337</v>
      </c>
      <c r="CN270" s="415" t="s">
        <v>337</v>
      </c>
      <c r="CQ270" s="415" t="s">
        <v>337</v>
      </c>
      <c r="CT270" s="415" t="s">
        <v>337</v>
      </c>
    </row>
    <row r="271" spans="1:98">
      <c r="A271" s="1" t="s">
        <v>900</v>
      </c>
      <c r="B271" s="416" t="s">
        <v>3716</v>
      </c>
      <c r="C271" s="415" t="s">
        <v>337</v>
      </c>
      <c r="F271" s="415" t="s">
        <v>337</v>
      </c>
      <c r="I271" s="415" t="s">
        <v>337</v>
      </c>
      <c r="L271" s="415" t="s">
        <v>337</v>
      </c>
      <c r="O271" s="415" t="s">
        <v>337</v>
      </c>
      <c r="R271" s="415" t="s">
        <v>337</v>
      </c>
      <c r="S271" s="213" t="s">
        <v>3717</v>
      </c>
      <c r="T271" s="416" t="s">
        <v>3718</v>
      </c>
      <c r="U271" s="415" t="s">
        <v>337</v>
      </c>
      <c r="X271" s="415"/>
      <c r="AA271" s="415"/>
      <c r="AD271" s="415"/>
      <c r="AE271" s="417" t="s">
        <v>3719</v>
      </c>
      <c r="AF271" s="416" t="s">
        <v>3720</v>
      </c>
      <c r="AG271" s="415"/>
      <c r="AJ271" s="415" t="s">
        <v>337</v>
      </c>
      <c r="AM271" s="415" t="s">
        <v>337</v>
      </c>
      <c r="AP271" s="415" t="s">
        <v>337</v>
      </c>
      <c r="AS271" s="415" t="s">
        <v>337</v>
      </c>
      <c r="AV271" s="415" t="s">
        <v>337</v>
      </c>
      <c r="AY271" s="415" t="s">
        <v>337</v>
      </c>
      <c r="AZ271" s="213">
        <v>422001</v>
      </c>
      <c r="BA271" s="416" t="s">
        <v>3721</v>
      </c>
      <c r="BB271" s="415" t="s">
        <v>337</v>
      </c>
      <c r="BE271" s="415" t="s">
        <v>337</v>
      </c>
      <c r="BH271" s="415" t="s">
        <v>337</v>
      </c>
      <c r="BM271" s="415" t="s">
        <v>337</v>
      </c>
      <c r="BP271" s="415" t="s">
        <v>337</v>
      </c>
      <c r="BS271" s="415"/>
      <c r="BV271" s="415" t="s">
        <v>337</v>
      </c>
      <c r="BY271" s="415" t="s">
        <v>337</v>
      </c>
      <c r="CB271" s="415" t="s">
        <v>337</v>
      </c>
      <c r="CE271" s="415" t="s">
        <v>337</v>
      </c>
      <c r="CH271" s="415" t="s">
        <v>337</v>
      </c>
      <c r="CK271" s="415" t="s">
        <v>337</v>
      </c>
      <c r="CN271" s="415" t="s">
        <v>337</v>
      </c>
      <c r="CQ271" s="415" t="s">
        <v>337</v>
      </c>
      <c r="CT271" s="415" t="s">
        <v>337</v>
      </c>
    </row>
    <row r="272" spans="1:98">
      <c r="A272" s="1" t="s">
        <v>920</v>
      </c>
      <c r="B272" s="416" t="s">
        <v>3722</v>
      </c>
      <c r="C272" s="415" t="s">
        <v>337</v>
      </c>
      <c r="F272" s="415" t="s">
        <v>337</v>
      </c>
      <c r="I272" s="415" t="s">
        <v>337</v>
      </c>
      <c r="L272" s="415" t="s">
        <v>337</v>
      </c>
      <c r="O272" s="415" t="s">
        <v>337</v>
      </c>
      <c r="R272" s="415" t="s">
        <v>337</v>
      </c>
      <c r="S272" s="213" t="s">
        <v>3723</v>
      </c>
      <c r="T272" s="416" t="s">
        <v>3724</v>
      </c>
      <c r="U272" s="415" t="s">
        <v>337</v>
      </c>
      <c r="X272" s="415"/>
      <c r="AA272" s="415"/>
      <c r="AD272" s="415"/>
      <c r="AE272" s="417" t="s">
        <v>3725</v>
      </c>
      <c r="AF272" s="416" t="s">
        <v>3726</v>
      </c>
      <c r="AG272" s="415"/>
      <c r="AJ272" s="415" t="s">
        <v>337</v>
      </c>
      <c r="AM272" s="415" t="s">
        <v>337</v>
      </c>
      <c r="AP272" s="415" t="s">
        <v>337</v>
      </c>
      <c r="AS272" s="415" t="s">
        <v>337</v>
      </c>
      <c r="AV272" s="415" t="s">
        <v>337</v>
      </c>
      <c r="AY272" s="415" t="s">
        <v>337</v>
      </c>
      <c r="AZ272" s="213">
        <v>422002</v>
      </c>
      <c r="BA272" s="416" t="s">
        <v>3727</v>
      </c>
      <c r="BB272" s="415" t="s">
        <v>337</v>
      </c>
      <c r="BE272" s="415" t="s">
        <v>337</v>
      </c>
      <c r="BH272" s="415" t="s">
        <v>337</v>
      </c>
      <c r="BM272" s="415" t="s">
        <v>337</v>
      </c>
      <c r="BP272" s="415" t="s">
        <v>337</v>
      </c>
      <c r="BS272" s="415"/>
      <c r="BV272" s="415" t="s">
        <v>337</v>
      </c>
      <c r="BY272" s="415" t="s">
        <v>337</v>
      </c>
      <c r="CB272" s="415" t="s">
        <v>337</v>
      </c>
      <c r="CE272" s="415" t="s">
        <v>337</v>
      </c>
      <c r="CH272" s="415" t="s">
        <v>337</v>
      </c>
      <c r="CK272" s="415" t="s">
        <v>337</v>
      </c>
      <c r="CN272" s="415" t="s">
        <v>337</v>
      </c>
      <c r="CQ272" s="415" t="s">
        <v>337</v>
      </c>
      <c r="CT272" s="415" t="s">
        <v>337</v>
      </c>
    </row>
    <row r="273" spans="1:98">
      <c r="A273" s="1" t="s">
        <v>920</v>
      </c>
      <c r="B273" s="416" t="s">
        <v>3728</v>
      </c>
      <c r="C273" s="415" t="s">
        <v>337</v>
      </c>
      <c r="F273" s="415" t="s">
        <v>337</v>
      </c>
      <c r="I273" s="415" t="s">
        <v>337</v>
      </c>
      <c r="L273" s="415" t="s">
        <v>337</v>
      </c>
      <c r="O273" s="415" t="s">
        <v>337</v>
      </c>
      <c r="R273" s="415" t="s">
        <v>337</v>
      </c>
      <c r="S273" s="213" t="s">
        <v>3729</v>
      </c>
      <c r="T273" s="416" t="s">
        <v>3730</v>
      </c>
      <c r="U273" s="415" t="s">
        <v>337</v>
      </c>
      <c r="X273" s="415"/>
      <c r="AA273" s="415"/>
      <c r="AD273" s="415"/>
      <c r="AE273" s="417" t="s">
        <v>3731</v>
      </c>
      <c r="AF273" s="416" t="s">
        <v>3732</v>
      </c>
      <c r="AG273" s="415"/>
      <c r="AJ273" s="415" t="s">
        <v>337</v>
      </c>
      <c r="AM273" s="415" t="s">
        <v>337</v>
      </c>
      <c r="AP273" s="415" t="s">
        <v>337</v>
      </c>
      <c r="AS273" s="415" t="s">
        <v>337</v>
      </c>
      <c r="AV273" s="415" t="s">
        <v>337</v>
      </c>
      <c r="AY273" s="415" t="s">
        <v>337</v>
      </c>
      <c r="AZ273" s="213">
        <v>422003</v>
      </c>
      <c r="BA273" s="416" t="s">
        <v>3733</v>
      </c>
      <c r="BB273" s="415" t="s">
        <v>337</v>
      </c>
      <c r="BE273" s="415" t="s">
        <v>337</v>
      </c>
      <c r="BH273" s="415" t="s">
        <v>337</v>
      </c>
      <c r="BM273" s="415" t="s">
        <v>337</v>
      </c>
      <c r="BP273" s="415" t="s">
        <v>337</v>
      </c>
      <c r="BS273" s="415"/>
      <c r="BV273" s="415" t="s">
        <v>337</v>
      </c>
      <c r="BY273" s="415" t="s">
        <v>337</v>
      </c>
      <c r="CB273" s="415" t="s">
        <v>337</v>
      </c>
      <c r="CE273" s="415" t="s">
        <v>337</v>
      </c>
      <c r="CH273" s="415" t="s">
        <v>337</v>
      </c>
      <c r="CK273" s="415" t="s">
        <v>337</v>
      </c>
      <c r="CN273" s="415" t="s">
        <v>337</v>
      </c>
      <c r="CQ273" s="415" t="s">
        <v>337</v>
      </c>
      <c r="CT273" s="415" t="s">
        <v>337</v>
      </c>
    </row>
    <row r="274" spans="1:98">
      <c r="A274" s="1" t="s">
        <v>920</v>
      </c>
      <c r="B274" s="416" t="s">
        <v>3734</v>
      </c>
      <c r="C274" s="415" t="s">
        <v>337</v>
      </c>
      <c r="F274" s="415" t="s">
        <v>337</v>
      </c>
      <c r="I274" s="415" t="s">
        <v>337</v>
      </c>
      <c r="L274" s="415" t="s">
        <v>337</v>
      </c>
      <c r="O274" s="415" t="s">
        <v>337</v>
      </c>
      <c r="R274" s="415" t="s">
        <v>337</v>
      </c>
      <c r="S274" s="213" t="s">
        <v>3735</v>
      </c>
      <c r="T274" s="416" t="s">
        <v>3736</v>
      </c>
      <c r="U274" s="415" t="s">
        <v>337</v>
      </c>
      <c r="X274" s="415"/>
      <c r="AA274" s="415"/>
      <c r="AD274" s="415"/>
      <c r="AE274" s="417" t="s">
        <v>3737</v>
      </c>
      <c r="AF274" s="416" t="s">
        <v>3738</v>
      </c>
      <c r="AG274" s="415"/>
      <c r="AJ274" s="415" t="s">
        <v>337</v>
      </c>
      <c r="AM274" s="415" t="s">
        <v>337</v>
      </c>
      <c r="AP274" s="415" t="s">
        <v>337</v>
      </c>
      <c r="AS274" s="415" t="s">
        <v>337</v>
      </c>
      <c r="AV274" s="415" t="s">
        <v>337</v>
      </c>
      <c r="AY274" s="415" t="s">
        <v>337</v>
      </c>
      <c r="AZ274" s="213">
        <v>422004</v>
      </c>
      <c r="BA274" s="416" t="s">
        <v>3739</v>
      </c>
      <c r="BB274" s="415" t="s">
        <v>337</v>
      </c>
      <c r="BE274" s="415" t="s">
        <v>337</v>
      </c>
      <c r="BH274" s="415" t="s">
        <v>337</v>
      </c>
      <c r="BM274" s="415" t="s">
        <v>337</v>
      </c>
      <c r="BP274" s="415" t="s">
        <v>337</v>
      </c>
      <c r="BS274" s="415"/>
      <c r="BV274" s="415" t="s">
        <v>337</v>
      </c>
      <c r="BY274" s="415" t="s">
        <v>337</v>
      </c>
      <c r="CB274" s="415" t="s">
        <v>337</v>
      </c>
      <c r="CE274" s="415" t="s">
        <v>337</v>
      </c>
      <c r="CH274" s="415" t="s">
        <v>337</v>
      </c>
      <c r="CK274" s="415" t="s">
        <v>337</v>
      </c>
      <c r="CN274" s="415" t="s">
        <v>337</v>
      </c>
      <c r="CQ274" s="415" t="s">
        <v>337</v>
      </c>
      <c r="CT274" s="415" t="s">
        <v>337</v>
      </c>
    </row>
    <row r="275" spans="1:98">
      <c r="A275" s="1" t="s">
        <v>920</v>
      </c>
      <c r="B275" s="416" t="s">
        <v>3740</v>
      </c>
      <c r="C275" s="415" t="s">
        <v>337</v>
      </c>
      <c r="F275" s="415" t="s">
        <v>337</v>
      </c>
      <c r="I275" s="415" t="s">
        <v>337</v>
      </c>
      <c r="L275" s="415" t="s">
        <v>337</v>
      </c>
      <c r="O275" s="415" t="s">
        <v>337</v>
      </c>
      <c r="R275" s="415" t="s">
        <v>337</v>
      </c>
      <c r="S275" s="213" t="s">
        <v>3741</v>
      </c>
      <c r="T275" s="416" t="s">
        <v>3742</v>
      </c>
      <c r="U275" s="415" t="s">
        <v>337</v>
      </c>
      <c r="X275" s="415"/>
      <c r="AA275" s="415"/>
      <c r="AD275" s="415"/>
      <c r="AE275" s="417" t="s">
        <v>3743</v>
      </c>
      <c r="AF275" s="416" t="s">
        <v>3744</v>
      </c>
      <c r="AG275" s="415"/>
      <c r="AJ275" s="415" t="s">
        <v>337</v>
      </c>
      <c r="AM275" s="415" t="s">
        <v>337</v>
      </c>
      <c r="AP275" s="415" t="s">
        <v>337</v>
      </c>
      <c r="AS275" s="415" t="s">
        <v>337</v>
      </c>
      <c r="AV275" s="415" t="s">
        <v>337</v>
      </c>
      <c r="AY275" s="415" t="s">
        <v>337</v>
      </c>
      <c r="AZ275" s="213">
        <v>422005</v>
      </c>
      <c r="BA275" s="416" t="s">
        <v>3745</v>
      </c>
      <c r="BB275" s="415" t="s">
        <v>337</v>
      </c>
      <c r="BE275" s="415" t="s">
        <v>337</v>
      </c>
      <c r="BH275" s="415" t="s">
        <v>337</v>
      </c>
      <c r="BM275" s="415" t="s">
        <v>337</v>
      </c>
      <c r="BP275" s="415" t="s">
        <v>337</v>
      </c>
      <c r="BS275" s="415"/>
      <c r="BV275" s="415" t="s">
        <v>337</v>
      </c>
      <c r="BY275" s="415" t="s">
        <v>337</v>
      </c>
      <c r="CB275" s="415" t="s">
        <v>337</v>
      </c>
      <c r="CE275" s="415" t="s">
        <v>337</v>
      </c>
      <c r="CH275" s="415" t="s">
        <v>337</v>
      </c>
      <c r="CK275" s="415" t="s">
        <v>337</v>
      </c>
      <c r="CN275" s="415" t="s">
        <v>337</v>
      </c>
      <c r="CQ275" s="415" t="s">
        <v>337</v>
      </c>
      <c r="CT275" s="415" t="s">
        <v>337</v>
      </c>
    </row>
    <row r="276" spans="1:98">
      <c r="A276" s="1" t="s">
        <v>920</v>
      </c>
      <c r="B276" s="416" t="s">
        <v>3746</v>
      </c>
      <c r="C276" s="415" t="s">
        <v>337</v>
      </c>
      <c r="F276" s="415" t="s">
        <v>337</v>
      </c>
      <c r="I276" s="415" t="s">
        <v>337</v>
      </c>
      <c r="L276" s="415" t="s">
        <v>337</v>
      </c>
      <c r="O276" s="415" t="s">
        <v>337</v>
      </c>
      <c r="R276" s="415" t="s">
        <v>337</v>
      </c>
      <c r="S276" s="213" t="s">
        <v>3747</v>
      </c>
      <c r="T276" s="416" t="s">
        <v>3748</v>
      </c>
      <c r="U276" s="415" t="s">
        <v>337</v>
      </c>
      <c r="X276" s="415"/>
      <c r="AA276" s="415"/>
      <c r="AD276" s="415"/>
      <c r="AE276" s="417" t="s">
        <v>3749</v>
      </c>
      <c r="AF276" s="416" t="s">
        <v>3750</v>
      </c>
      <c r="AG276" s="415"/>
      <c r="AJ276" s="415" t="s">
        <v>337</v>
      </c>
      <c r="AM276" s="415" t="s">
        <v>337</v>
      </c>
      <c r="AP276" s="415" t="s">
        <v>337</v>
      </c>
      <c r="AS276" s="415" t="s">
        <v>337</v>
      </c>
      <c r="AV276" s="415" t="s">
        <v>337</v>
      </c>
      <c r="AY276" s="415" t="s">
        <v>337</v>
      </c>
      <c r="AZ276" s="213">
        <v>422006</v>
      </c>
      <c r="BA276" s="416" t="s">
        <v>3751</v>
      </c>
      <c r="BB276" s="415" t="s">
        <v>337</v>
      </c>
      <c r="BE276" s="415" t="s">
        <v>337</v>
      </c>
      <c r="BH276" s="415" t="s">
        <v>337</v>
      </c>
      <c r="BM276" s="415" t="s">
        <v>337</v>
      </c>
      <c r="BP276" s="415" t="s">
        <v>337</v>
      </c>
      <c r="BS276" s="415"/>
      <c r="BV276" s="415" t="s">
        <v>337</v>
      </c>
      <c r="BY276" s="415" t="s">
        <v>337</v>
      </c>
      <c r="CB276" s="415" t="s">
        <v>337</v>
      </c>
      <c r="CE276" s="415" t="s">
        <v>337</v>
      </c>
      <c r="CH276" s="415" t="s">
        <v>337</v>
      </c>
      <c r="CK276" s="415" t="s">
        <v>337</v>
      </c>
      <c r="CN276" s="415" t="s">
        <v>337</v>
      </c>
      <c r="CQ276" s="415" t="s">
        <v>337</v>
      </c>
      <c r="CT276" s="415" t="s">
        <v>337</v>
      </c>
    </row>
    <row r="277" spans="1:98">
      <c r="A277" s="1" t="s">
        <v>920</v>
      </c>
      <c r="B277" s="416" t="s">
        <v>3752</v>
      </c>
      <c r="C277" s="415" t="s">
        <v>337</v>
      </c>
      <c r="F277" s="415" t="s">
        <v>337</v>
      </c>
      <c r="I277" s="415" t="s">
        <v>337</v>
      </c>
      <c r="L277" s="415" t="s">
        <v>337</v>
      </c>
      <c r="O277" s="415" t="s">
        <v>337</v>
      </c>
      <c r="R277" s="415" t="s">
        <v>337</v>
      </c>
      <c r="S277" s="213" t="s">
        <v>3753</v>
      </c>
      <c r="T277" s="416" t="s">
        <v>3754</v>
      </c>
      <c r="U277" s="415" t="s">
        <v>337</v>
      </c>
      <c r="X277" s="415"/>
      <c r="AA277" s="415"/>
      <c r="AD277" s="415"/>
      <c r="AE277" s="417" t="s">
        <v>3755</v>
      </c>
      <c r="AF277" s="416" t="s">
        <v>3756</v>
      </c>
      <c r="AG277" s="415"/>
      <c r="AJ277" s="415" t="s">
        <v>337</v>
      </c>
      <c r="AM277" s="415" t="s">
        <v>337</v>
      </c>
      <c r="AP277" s="415" t="s">
        <v>337</v>
      </c>
      <c r="AS277" s="415" t="s">
        <v>337</v>
      </c>
      <c r="AV277" s="415" t="s">
        <v>337</v>
      </c>
      <c r="AY277" s="415" t="s">
        <v>337</v>
      </c>
      <c r="AZ277" s="213">
        <v>422007</v>
      </c>
      <c r="BA277" s="416" t="s">
        <v>3757</v>
      </c>
      <c r="BB277" s="415" t="s">
        <v>337</v>
      </c>
      <c r="BE277" s="415" t="s">
        <v>337</v>
      </c>
      <c r="BH277" s="415" t="s">
        <v>337</v>
      </c>
      <c r="BM277" s="415" t="s">
        <v>337</v>
      </c>
      <c r="BP277" s="415" t="s">
        <v>337</v>
      </c>
      <c r="BS277" s="415"/>
      <c r="BV277" s="415" t="s">
        <v>337</v>
      </c>
      <c r="BY277" s="415" t="s">
        <v>337</v>
      </c>
      <c r="CB277" s="415" t="s">
        <v>337</v>
      </c>
      <c r="CE277" s="415" t="s">
        <v>337</v>
      </c>
      <c r="CH277" s="415" t="s">
        <v>337</v>
      </c>
      <c r="CK277" s="415" t="s">
        <v>337</v>
      </c>
      <c r="CN277" s="415" t="s">
        <v>337</v>
      </c>
      <c r="CQ277" s="415" t="s">
        <v>337</v>
      </c>
      <c r="CT277" s="415" t="s">
        <v>337</v>
      </c>
    </row>
    <row r="278" spans="1:98">
      <c r="A278" s="1" t="s">
        <v>920</v>
      </c>
      <c r="B278" s="416" t="s">
        <v>3758</v>
      </c>
      <c r="C278" s="415" t="s">
        <v>337</v>
      </c>
      <c r="F278" s="415" t="s">
        <v>337</v>
      </c>
      <c r="I278" s="415" t="s">
        <v>337</v>
      </c>
      <c r="L278" s="415" t="s">
        <v>337</v>
      </c>
      <c r="O278" s="415" t="s">
        <v>337</v>
      </c>
      <c r="R278" s="415" t="s">
        <v>337</v>
      </c>
      <c r="S278" s="213" t="s">
        <v>3759</v>
      </c>
      <c r="T278" s="416" t="s">
        <v>3760</v>
      </c>
      <c r="U278" s="415" t="s">
        <v>337</v>
      </c>
      <c r="X278" s="415"/>
      <c r="AA278" s="415"/>
      <c r="AD278" s="415"/>
      <c r="AE278" s="417" t="s">
        <v>3761</v>
      </c>
      <c r="AF278" s="416" t="s">
        <v>3762</v>
      </c>
      <c r="AG278" s="415"/>
      <c r="AJ278" s="415" t="s">
        <v>337</v>
      </c>
      <c r="AM278" s="415" t="s">
        <v>337</v>
      </c>
      <c r="AP278" s="415" t="s">
        <v>337</v>
      </c>
      <c r="AS278" s="415" t="s">
        <v>337</v>
      </c>
      <c r="AV278" s="415" t="s">
        <v>337</v>
      </c>
      <c r="AY278" s="415" t="s">
        <v>337</v>
      </c>
      <c r="AZ278" s="213">
        <v>423001</v>
      </c>
      <c r="BA278" s="416" t="s">
        <v>3763</v>
      </c>
      <c r="BB278" s="415" t="s">
        <v>337</v>
      </c>
      <c r="BE278" s="415" t="s">
        <v>337</v>
      </c>
      <c r="BH278" s="415" t="s">
        <v>337</v>
      </c>
      <c r="BM278" s="415" t="s">
        <v>337</v>
      </c>
      <c r="BP278" s="415" t="s">
        <v>337</v>
      </c>
      <c r="BS278" s="415"/>
      <c r="BV278" s="415" t="s">
        <v>337</v>
      </c>
      <c r="BY278" s="415" t="s">
        <v>337</v>
      </c>
      <c r="CB278" s="415" t="s">
        <v>337</v>
      </c>
      <c r="CE278" s="415" t="s">
        <v>337</v>
      </c>
      <c r="CH278" s="415" t="s">
        <v>337</v>
      </c>
      <c r="CK278" s="415" t="s">
        <v>337</v>
      </c>
      <c r="CN278" s="415" t="s">
        <v>337</v>
      </c>
      <c r="CQ278" s="415" t="s">
        <v>337</v>
      </c>
      <c r="CT278" s="415" t="s">
        <v>337</v>
      </c>
    </row>
    <row r="279" spans="1:98">
      <c r="A279" s="1" t="s">
        <v>920</v>
      </c>
      <c r="B279" s="416" t="s">
        <v>3764</v>
      </c>
      <c r="C279" s="415" t="s">
        <v>337</v>
      </c>
      <c r="F279" s="415" t="s">
        <v>337</v>
      </c>
      <c r="I279" s="415" t="s">
        <v>337</v>
      </c>
      <c r="L279" s="415" t="s">
        <v>337</v>
      </c>
      <c r="O279" s="415" t="s">
        <v>337</v>
      </c>
      <c r="R279" s="415" t="s">
        <v>337</v>
      </c>
      <c r="S279" s="213" t="s">
        <v>3765</v>
      </c>
      <c r="T279" s="416" t="s">
        <v>3766</v>
      </c>
      <c r="U279" s="415" t="s">
        <v>337</v>
      </c>
      <c r="X279" s="415"/>
      <c r="AA279" s="415"/>
      <c r="AD279" s="415"/>
      <c r="AE279" s="417" t="s">
        <v>3767</v>
      </c>
      <c r="AF279" s="416" t="s">
        <v>3768</v>
      </c>
      <c r="AG279" s="415"/>
      <c r="AJ279" s="415" t="s">
        <v>337</v>
      </c>
      <c r="AM279" s="415" t="s">
        <v>337</v>
      </c>
      <c r="AP279" s="415" t="s">
        <v>337</v>
      </c>
      <c r="AS279" s="415" t="s">
        <v>337</v>
      </c>
      <c r="AV279" s="415" t="s">
        <v>337</v>
      </c>
      <c r="AY279" s="415" t="s">
        <v>337</v>
      </c>
      <c r="AZ279" s="213">
        <v>423002</v>
      </c>
      <c r="BA279" s="416" t="s">
        <v>3769</v>
      </c>
      <c r="BB279" s="415" t="s">
        <v>337</v>
      </c>
      <c r="BE279" s="415" t="s">
        <v>337</v>
      </c>
      <c r="BH279" s="415" t="s">
        <v>337</v>
      </c>
      <c r="BM279" s="415" t="s">
        <v>337</v>
      </c>
      <c r="BP279" s="415" t="s">
        <v>337</v>
      </c>
      <c r="BS279" s="415"/>
      <c r="BV279" s="415" t="s">
        <v>337</v>
      </c>
      <c r="BY279" s="415" t="s">
        <v>337</v>
      </c>
      <c r="CB279" s="415" t="s">
        <v>337</v>
      </c>
      <c r="CE279" s="415" t="s">
        <v>337</v>
      </c>
      <c r="CH279" s="415" t="s">
        <v>337</v>
      </c>
      <c r="CK279" s="415" t="s">
        <v>337</v>
      </c>
      <c r="CN279" s="415" t="s">
        <v>337</v>
      </c>
      <c r="CQ279" s="415" t="s">
        <v>337</v>
      </c>
      <c r="CT279" s="415" t="s">
        <v>337</v>
      </c>
    </row>
    <row r="280" spans="1:98">
      <c r="A280" s="1" t="s">
        <v>920</v>
      </c>
      <c r="B280" s="416" t="s">
        <v>3770</v>
      </c>
      <c r="C280" s="415" t="s">
        <v>337</v>
      </c>
      <c r="F280" s="415" t="s">
        <v>337</v>
      </c>
      <c r="I280" s="415" t="s">
        <v>337</v>
      </c>
      <c r="L280" s="415" t="s">
        <v>337</v>
      </c>
      <c r="O280" s="415" t="s">
        <v>337</v>
      </c>
      <c r="R280" s="415" t="s">
        <v>337</v>
      </c>
      <c r="S280" s="213" t="s">
        <v>3771</v>
      </c>
      <c r="T280" s="416" t="s">
        <v>3772</v>
      </c>
      <c r="U280" s="415" t="s">
        <v>337</v>
      </c>
      <c r="X280" s="415"/>
      <c r="AA280" s="415"/>
      <c r="AD280" s="415"/>
      <c r="AE280" s="417" t="s">
        <v>3773</v>
      </c>
      <c r="AF280" s="416" t="s">
        <v>3774</v>
      </c>
      <c r="AG280" s="415"/>
      <c r="AJ280" s="415" t="s">
        <v>337</v>
      </c>
      <c r="AM280" s="415" t="s">
        <v>337</v>
      </c>
      <c r="AP280" s="415" t="s">
        <v>337</v>
      </c>
      <c r="AS280" s="415" t="s">
        <v>337</v>
      </c>
      <c r="AV280" s="415" t="s">
        <v>337</v>
      </c>
      <c r="AY280" s="415" t="s">
        <v>337</v>
      </c>
      <c r="AZ280" s="213">
        <v>423003</v>
      </c>
      <c r="BA280" s="416" t="s">
        <v>3775</v>
      </c>
      <c r="BB280" s="415" t="s">
        <v>337</v>
      </c>
      <c r="BE280" s="415" t="s">
        <v>337</v>
      </c>
      <c r="BH280" s="415" t="s">
        <v>337</v>
      </c>
      <c r="BM280" s="415" t="s">
        <v>337</v>
      </c>
      <c r="BP280" s="415" t="s">
        <v>337</v>
      </c>
      <c r="BS280" s="415"/>
      <c r="BV280" s="415" t="s">
        <v>337</v>
      </c>
      <c r="BY280" s="415" t="s">
        <v>337</v>
      </c>
      <c r="CB280" s="415" t="s">
        <v>337</v>
      </c>
      <c r="CE280" s="415" t="s">
        <v>337</v>
      </c>
      <c r="CH280" s="415" t="s">
        <v>337</v>
      </c>
      <c r="CK280" s="415" t="s">
        <v>337</v>
      </c>
      <c r="CN280" s="415" t="s">
        <v>337</v>
      </c>
      <c r="CQ280" s="415" t="s">
        <v>337</v>
      </c>
      <c r="CT280" s="415" t="s">
        <v>337</v>
      </c>
    </row>
    <row r="281" spans="1:98">
      <c r="A281" s="1" t="s">
        <v>920</v>
      </c>
      <c r="B281" s="416" t="s">
        <v>3776</v>
      </c>
      <c r="C281" s="415" t="s">
        <v>337</v>
      </c>
      <c r="F281" s="415" t="s">
        <v>337</v>
      </c>
      <c r="I281" s="415" t="s">
        <v>337</v>
      </c>
      <c r="L281" s="415" t="s">
        <v>337</v>
      </c>
      <c r="O281" s="415" t="s">
        <v>337</v>
      </c>
      <c r="R281" s="415" t="s">
        <v>337</v>
      </c>
      <c r="S281" s="213" t="s">
        <v>3777</v>
      </c>
      <c r="T281" s="416" t="s">
        <v>3778</v>
      </c>
      <c r="U281" s="415" t="s">
        <v>337</v>
      </c>
      <c r="X281" s="415"/>
      <c r="AA281" s="415"/>
      <c r="AD281" s="415"/>
      <c r="AE281" s="417" t="s">
        <v>3779</v>
      </c>
      <c r="AF281" s="416" t="s">
        <v>3780</v>
      </c>
      <c r="AG281" s="415"/>
      <c r="AJ281" s="415" t="s">
        <v>337</v>
      </c>
      <c r="AM281" s="415" t="s">
        <v>337</v>
      </c>
      <c r="AP281" s="415" t="s">
        <v>337</v>
      </c>
      <c r="AS281" s="415" t="s">
        <v>337</v>
      </c>
      <c r="AV281" s="415" t="s">
        <v>337</v>
      </c>
      <c r="AY281" s="415" t="s">
        <v>337</v>
      </c>
      <c r="AZ281" s="213">
        <v>423004</v>
      </c>
      <c r="BA281" s="416" t="s">
        <v>3781</v>
      </c>
      <c r="BB281" s="415" t="s">
        <v>337</v>
      </c>
      <c r="BE281" s="415" t="s">
        <v>337</v>
      </c>
      <c r="BH281" s="415" t="s">
        <v>337</v>
      </c>
      <c r="BM281" s="415" t="s">
        <v>337</v>
      </c>
      <c r="BP281" s="415" t="s">
        <v>337</v>
      </c>
      <c r="BS281" s="415"/>
      <c r="BV281" s="415" t="s">
        <v>337</v>
      </c>
      <c r="BY281" s="415" t="s">
        <v>337</v>
      </c>
      <c r="CB281" s="415" t="s">
        <v>337</v>
      </c>
      <c r="CE281" s="415" t="s">
        <v>337</v>
      </c>
      <c r="CH281" s="415" t="s">
        <v>337</v>
      </c>
      <c r="CK281" s="415" t="s">
        <v>337</v>
      </c>
      <c r="CN281" s="415" t="s">
        <v>337</v>
      </c>
      <c r="CQ281" s="415" t="s">
        <v>337</v>
      </c>
      <c r="CT281" s="415" t="s">
        <v>337</v>
      </c>
    </row>
    <row r="282" spans="1:98">
      <c r="A282" s="1" t="s">
        <v>920</v>
      </c>
      <c r="B282" s="416" t="s">
        <v>3782</v>
      </c>
      <c r="C282" s="415" t="s">
        <v>337</v>
      </c>
      <c r="F282" s="415" t="s">
        <v>337</v>
      </c>
      <c r="I282" s="415" t="s">
        <v>337</v>
      </c>
      <c r="L282" s="415" t="s">
        <v>337</v>
      </c>
      <c r="O282" s="415" t="s">
        <v>337</v>
      </c>
      <c r="R282" s="415" t="s">
        <v>337</v>
      </c>
      <c r="S282" s="213" t="s">
        <v>3783</v>
      </c>
      <c r="T282" s="416" t="s">
        <v>3784</v>
      </c>
      <c r="U282" s="415" t="s">
        <v>337</v>
      </c>
      <c r="X282" s="415"/>
      <c r="AA282" s="415"/>
      <c r="AD282" s="415"/>
      <c r="AE282" s="417" t="s">
        <v>3785</v>
      </c>
      <c r="AF282" s="416" t="s">
        <v>3786</v>
      </c>
      <c r="AG282" s="415"/>
      <c r="AJ282" s="415" t="s">
        <v>337</v>
      </c>
      <c r="AM282" s="415" t="s">
        <v>337</v>
      </c>
      <c r="AP282" s="415" t="s">
        <v>337</v>
      </c>
      <c r="AS282" s="415" t="s">
        <v>337</v>
      </c>
      <c r="AV282" s="415" t="s">
        <v>337</v>
      </c>
      <c r="AY282" s="415" t="s">
        <v>337</v>
      </c>
      <c r="AZ282" s="213">
        <v>423005</v>
      </c>
      <c r="BA282" s="416" t="s">
        <v>3787</v>
      </c>
      <c r="BB282" s="415" t="s">
        <v>337</v>
      </c>
      <c r="BE282" s="415" t="s">
        <v>337</v>
      </c>
      <c r="BH282" s="415" t="s">
        <v>337</v>
      </c>
      <c r="BM282" s="415" t="s">
        <v>337</v>
      </c>
      <c r="BP282" s="415" t="s">
        <v>337</v>
      </c>
      <c r="BS282" s="415"/>
      <c r="BV282" s="415" t="s">
        <v>337</v>
      </c>
      <c r="BY282" s="415" t="s">
        <v>337</v>
      </c>
      <c r="CB282" s="415" t="s">
        <v>337</v>
      </c>
      <c r="CE282" s="415" t="s">
        <v>337</v>
      </c>
      <c r="CH282" s="415" t="s">
        <v>337</v>
      </c>
      <c r="CK282" s="415" t="s">
        <v>337</v>
      </c>
      <c r="CN282" s="415" t="s">
        <v>337</v>
      </c>
      <c r="CQ282" s="415" t="s">
        <v>337</v>
      </c>
      <c r="CT282" s="415" t="s">
        <v>337</v>
      </c>
    </row>
    <row r="283" spans="1:98">
      <c r="A283" s="1" t="s">
        <v>920</v>
      </c>
      <c r="B283" s="416" t="s">
        <v>3788</v>
      </c>
      <c r="C283" s="415" t="s">
        <v>337</v>
      </c>
      <c r="F283" s="415" t="s">
        <v>337</v>
      </c>
      <c r="I283" s="415" t="s">
        <v>337</v>
      </c>
      <c r="L283" s="415" t="s">
        <v>337</v>
      </c>
      <c r="O283" s="415" t="s">
        <v>337</v>
      </c>
      <c r="R283" s="415" t="s">
        <v>337</v>
      </c>
      <c r="S283" s="213" t="s">
        <v>3789</v>
      </c>
      <c r="T283" s="416" t="s">
        <v>3790</v>
      </c>
      <c r="U283" s="415" t="s">
        <v>337</v>
      </c>
      <c r="X283" s="415"/>
      <c r="AA283" s="415"/>
      <c r="AD283" s="415"/>
      <c r="AE283" s="417" t="s">
        <v>3791</v>
      </c>
      <c r="AF283" s="416" t="s">
        <v>3792</v>
      </c>
      <c r="AG283" s="415"/>
      <c r="AJ283" s="415" t="s">
        <v>337</v>
      </c>
      <c r="AM283" s="415" t="s">
        <v>337</v>
      </c>
      <c r="AP283" s="415" t="s">
        <v>337</v>
      </c>
      <c r="AS283" s="415" t="s">
        <v>337</v>
      </c>
      <c r="AV283" s="415" t="s">
        <v>337</v>
      </c>
      <c r="AY283" s="415" t="s">
        <v>337</v>
      </c>
      <c r="AZ283" s="213">
        <v>424001</v>
      </c>
      <c r="BA283" s="416" t="s">
        <v>3793</v>
      </c>
      <c r="BB283" s="415" t="s">
        <v>337</v>
      </c>
      <c r="BE283" s="415" t="s">
        <v>337</v>
      </c>
      <c r="BH283" s="415" t="s">
        <v>337</v>
      </c>
      <c r="BM283" s="415" t="s">
        <v>337</v>
      </c>
      <c r="BP283" s="415" t="s">
        <v>337</v>
      </c>
      <c r="BS283" s="415"/>
      <c r="BV283" s="415" t="s">
        <v>337</v>
      </c>
      <c r="BY283" s="415" t="s">
        <v>337</v>
      </c>
      <c r="CB283" s="415" t="s">
        <v>337</v>
      </c>
      <c r="CE283" s="415" t="s">
        <v>337</v>
      </c>
      <c r="CH283" s="415" t="s">
        <v>337</v>
      </c>
      <c r="CK283" s="415" t="s">
        <v>337</v>
      </c>
      <c r="CN283" s="415" t="s">
        <v>337</v>
      </c>
      <c r="CQ283" s="415" t="s">
        <v>337</v>
      </c>
      <c r="CT283" s="415" t="s">
        <v>337</v>
      </c>
    </row>
    <row r="284" spans="1:98">
      <c r="A284" s="1" t="s">
        <v>939</v>
      </c>
      <c r="B284" s="416" t="s">
        <v>3794</v>
      </c>
      <c r="C284" s="415" t="s">
        <v>337</v>
      </c>
      <c r="F284" s="415" t="s">
        <v>337</v>
      </c>
      <c r="I284" s="415" t="s">
        <v>337</v>
      </c>
      <c r="L284" s="415" t="s">
        <v>337</v>
      </c>
      <c r="O284" s="415" t="s">
        <v>337</v>
      </c>
      <c r="R284" s="415" t="s">
        <v>337</v>
      </c>
      <c r="S284" s="213" t="s">
        <v>3795</v>
      </c>
      <c r="T284" s="416" t="s">
        <v>3796</v>
      </c>
      <c r="U284" s="415" t="s">
        <v>337</v>
      </c>
      <c r="X284" s="415"/>
      <c r="AA284" s="415"/>
      <c r="AD284" s="415"/>
      <c r="AE284" s="417" t="s">
        <v>3797</v>
      </c>
      <c r="AF284" s="416" t="s">
        <v>3798</v>
      </c>
      <c r="AG284" s="415"/>
      <c r="AJ284" s="415" t="s">
        <v>337</v>
      </c>
      <c r="AM284" s="415" t="s">
        <v>337</v>
      </c>
      <c r="AP284" s="415" t="s">
        <v>337</v>
      </c>
      <c r="AS284" s="415" t="s">
        <v>337</v>
      </c>
      <c r="AV284" s="415" t="s">
        <v>337</v>
      </c>
      <c r="AY284" s="415" t="s">
        <v>337</v>
      </c>
      <c r="AZ284" s="213">
        <v>424002</v>
      </c>
      <c r="BA284" s="416" t="s">
        <v>3799</v>
      </c>
      <c r="BB284" s="415" t="s">
        <v>337</v>
      </c>
      <c r="BE284" s="415" t="s">
        <v>337</v>
      </c>
      <c r="BH284" s="415" t="s">
        <v>337</v>
      </c>
      <c r="BM284" s="415" t="s">
        <v>337</v>
      </c>
      <c r="BP284" s="415" t="s">
        <v>337</v>
      </c>
      <c r="BS284" s="415"/>
      <c r="BV284" s="415" t="s">
        <v>337</v>
      </c>
      <c r="BY284" s="415" t="s">
        <v>337</v>
      </c>
      <c r="CB284" s="415" t="s">
        <v>337</v>
      </c>
      <c r="CE284" s="415" t="s">
        <v>337</v>
      </c>
      <c r="CH284" s="415" t="s">
        <v>337</v>
      </c>
      <c r="CK284" s="415" t="s">
        <v>337</v>
      </c>
      <c r="CN284" s="415" t="s">
        <v>337</v>
      </c>
      <c r="CQ284" s="415" t="s">
        <v>337</v>
      </c>
      <c r="CT284" s="415" t="s">
        <v>337</v>
      </c>
    </row>
    <row r="285" spans="1:98">
      <c r="A285" s="1" t="s">
        <v>939</v>
      </c>
      <c r="B285" s="416" t="s">
        <v>3800</v>
      </c>
      <c r="C285" s="415" t="s">
        <v>337</v>
      </c>
      <c r="F285" s="415" t="s">
        <v>337</v>
      </c>
      <c r="I285" s="415" t="s">
        <v>337</v>
      </c>
      <c r="L285" s="415" t="s">
        <v>337</v>
      </c>
      <c r="O285" s="415" t="s">
        <v>337</v>
      </c>
      <c r="R285" s="415" t="s">
        <v>337</v>
      </c>
      <c r="S285" s="213" t="s">
        <v>3801</v>
      </c>
      <c r="T285" s="416" t="s">
        <v>3802</v>
      </c>
      <c r="U285" s="415" t="s">
        <v>337</v>
      </c>
      <c r="X285" s="415"/>
      <c r="AA285" s="415"/>
      <c r="AD285" s="415"/>
      <c r="AE285" s="417" t="s">
        <v>3803</v>
      </c>
      <c r="AF285" s="416" t="s">
        <v>3804</v>
      </c>
      <c r="AG285" s="415"/>
      <c r="AJ285" s="415" t="s">
        <v>337</v>
      </c>
      <c r="AM285" s="415" t="s">
        <v>337</v>
      </c>
      <c r="AP285" s="415" t="s">
        <v>337</v>
      </c>
      <c r="AS285" s="415" t="s">
        <v>337</v>
      </c>
      <c r="AV285" s="415" t="s">
        <v>337</v>
      </c>
      <c r="AY285" s="415" t="s">
        <v>337</v>
      </c>
      <c r="AZ285" s="213">
        <v>424003</v>
      </c>
      <c r="BA285" s="416" t="s">
        <v>3805</v>
      </c>
      <c r="BB285" s="415" t="s">
        <v>337</v>
      </c>
      <c r="BE285" s="415" t="s">
        <v>337</v>
      </c>
      <c r="BH285" s="415" t="s">
        <v>337</v>
      </c>
      <c r="BM285" s="415" t="s">
        <v>337</v>
      </c>
      <c r="BP285" s="415" t="s">
        <v>337</v>
      </c>
      <c r="BS285" s="415"/>
      <c r="BV285" s="415" t="s">
        <v>337</v>
      </c>
      <c r="BY285" s="415" t="s">
        <v>337</v>
      </c>
      <c r="CB285" s="415" t="s">
        <v>337</v>
      </c>
      <c r="CE285" s="415" t="s">
        <v>337</v>
      </c>
      <c r="CH285" s="415" t="s">
        <v>337</v>
      </c>
      <c r="CK285" s="415" t="s">
        <v>337</v>
      </c>
      <c r="CN285" s="415" t="s">
        <v>337</v>
      </c>
      <c r="CQ285" s="415" t="s">
        <v>337</v>
      </c>
      <c r="CT285" s="415" t="s">
        <v>337</v>
      </c>
    </row>
    <row r="286" spans="1:98">
      <c r="A286" s="1" t="s">
        <v>939</v>
      </c>
      <c r="B286" s="416" t="s">
        <v>3806</v>
      </c>
      <c r="C286" s="415" t="s">
        <v>337</v>
      </c>
      <c r="F286" s="415" t="s">
        <v>337</v>
      </c>
      <c r="I286" s="415" t="s">
        <v>337</v>
      </c>
      <c r="L286" s="415" t="s">
        <v>337</v>
      </c>
      <c r="O286" s="415" t="s">
        <v>337</v>
      </c>
      <c r="R286" s="415" t="s">
        <v>337</v>
      </c>
      <c r="S286" s="213" t="s">
        <v>3807</v>
      </c>
      <c r="T286" s="416" t="s">
        <v>3770</v>
      </c>
      <c r="U286" s="415" t="s">
        <v>337</v>
      </c>
      <c r="X286" s="415"/>
      <c r="AA286" s="415"/>
      <c r="AD286" s="415"/>
      <c r="AE286" s="417" t="s">
        <v>3808</v>
      </c>
      <c r="AF286" s="416" t="s">
        <v>3809</v>
      </c>
      <c r="AG286" s="415"/>
      <c r="AJ286" s="415" t="s">
        <v>337</v>
      </c>
      <c r="AM286" s="415" t="s">
        <v>337</v>
      </c>
      <c r="AP286" s="415" t="s">
        <v>337</v>
      </c>
      <c r="AS286" s="415" t="s">
        <v>337</v>
      </c>
      <c r="AV286" s="415" t="s">
        <v>337</v>
      </c>
      <c r="AY286" s="415" t="s">
        <v>337</v>
      </c>
      <c r="AZ286" s="213">
        <v>429001</v>
      </c>
      <c r="BA286" s="416" t="s">
        <v>3810</v>
      </c>
      <c r="BB286" s="415" t="s">
        <v>337</v>
      </c>
      <c r="BE286" s="415" t="s">
        <v>337</v>
      </c>
      <c r="BH286" s="415" t="s">
        <v>337</v>
      </c>
      <c r="BM286" s="415" t="s">
        <v>337</v>
      </c>
      <c r="BP286" s="415" t="s">
        <v>337</v>
      </c>
      <c r="BS286" s="415"/>
      <c r="BV286" s="415" t="s">
        <v>337</v>
      </c>
      <c r="BY286" s="415" t="s">
        <v>337</v>
      </c>
      <c r="CB286" s="415" t="s">
        <v>337</v>
      </c>
      <c r="CE286" s="415" t="s">
        <v>337</v>
      </c>
      <c r="CH286" s="415" t="s">
        <v>337</v>
      </c>
      <c r="CK286" s="415" t="s">
        <v>337</v>
      </c>
      <c r="CN286" s="415" t="s">
        <v>337</v>
      </c>
      <c r="CQ286" s="415" t="s">
        <v>337</v>
      </c>
      <c r="CT286" s="415" t="s">
        <v>337</v>
      </c>
    </row>
    <row r="287" spans="1:98">
      <c r="A287" s="1" t="s">
        <v>939</v>
      </c>
      <c r="B287" s="416" t="s">
        <v>3811</v>
      </c>
      <c r="C287" s="415" t="s">
        <v>337</v>
      </c>
      <c r="F287" s="415" t="s">
        <v>337</v>
      </c>
      <c r="I287" s="415" t="s">
        <v>337</v>
      </c>
      <c r="L287" s="415" t="s">
        <v>337</v>
      </c>
      <c r="O287" s="415" t="s">
        <v>337</v>
      </c>
      <c r="R287" s="415" t="s">
        <v>337</v>
      </c>
      <c r="S287" s="213" t="s">
        <v>3812</v>
      </c>
      <c r="T287" s="416" t="s">
        <v>3813</v>
      </c>
      <c r="U287" s="415" t="s">
        <v>337</v>
      </c>
      <c r="X287" s="415"/>
      <c r="AA287" s="415"/>
      <c r="AD287" s="415"/>
      <c r="AE287" s="417" t="s">
        <v>3814</v>
      </c>
      <c r="AF287" s="416" t="s">
        <v>3815</v>
      </c>
      <c r="AG287" s="415"/>
      <c r="AJ287" s="415" t="s">
        <v>337</v>
      </c>
      <c r="AM287" s="415" t="s">
        <v>337</v>
      </c>
      <c r="AP287" s="415" t="s">
        <v>337</v>
      </c>
      <c r="AS287" s="415" t="s">
        <v>337</v>
      </c>
      <c r="AV287" s="415" t="s">
        <v>337</v>
      </c>
      <c r="AY287" s="415" t="s">
        <v>337</v>
      </c>
      <c r="AZ287" s="213">
        <v>429002</v>
      </c>
      <c r="BA287" s="416" t="s">
        <v>3816</v>
      </c>
      <c r="BB287" s="415" t="s">
        <v>337</v>
      </c>
      <c r="BE287" s="415" t="s">
        <v>337</v>
      </c>
      <c r="BH287" s="415" t="s">
        <v>337</v>
      </c>
      <c r="BM287" s="415" t="s">
        <v>337</v>
      </c>
      <c r="BP287" s="415" t="s">
        <v>337</v>
      </c>
      <c r="BS287" s="415"/>
      <c r="BV287" s="415" t="s">
        <v>337</v>
      </c>
      <c r="BY287" s="415" t="s">
        <v>337</v>
      </c>
      <c r="CB287" s="415" t="s">
        <v>337</v>
      </c>
      <c r="CE287" s="415" t="s">
        <v>337</v>
      </c>
      <c r="CH287" s="415" t="s">
        <v>337</v>
      </c>
      <c r="CK287" s="415" t="s">
        <v>337</v>
      </c>
      <c r="CN287" s="415" t="s">
        <v>337</v>
      </c>
      <c r="CQ287" s="415" t="s">
        <v>337</v>
      </c>
      <c r="CT287" s="415" t="s">
        <v>337</v>
      </c>
    </row>
    <row r="288" spans="1:98">
      <c r="A288" s="1" t="s">
        <v>939</v>
      </c>
      <c r="B288" s="416" t="s">
        <v>3817</v>
      </c>
      <c r="C288" s="415" t="s">
        <v>337</v>
      </c>
      <c r="F288" s="415" t="s">
        <v>337</v>
      </c>
      <c r="I288" s="415" t="s">
        <v>337</v>
      </c>
      <c r="L288" s="415" t="s">
        <v>337</v>
      </c>
      <c r="O288" s="415" t="s">
        <v>337</v>
      </c>
      <c r="R288" s="415" t="s">
        <v>337</v>
      </c>
      <c r="S288" s="213" t="s">
        <v>3818</v>
      </c>
      <c r="T288" s="416" t="s">
        <v>3819</v>
      </c>
      <c r="U288" s="415" t="s">
        <v>337</v>
      </c>
      <c r="X288" s="415"/>
      <c r="AA288" s="415"/>
      <c r="AD288" s="415"/>
      <c r="AE288" s="417" t="s">
        <v>3820</v>
      </c>
      <c r="AF288" s="416" t="s">
        <v>3821</v>
      </c>
      <c r="AG288" s="415"/>
      <c r="AJ288" s="415" t="s">
        <v>337</v>
      </c>
      <c r="AM288" s="415" t="s">
        <v>337</v>
      </c>
      <c r="AP288" s="415" t="s">
        <v>337</v>
      </c>
      <c r="AS288" s="415" t="s">
        <v>337</v>
      </c>
      <c r="AV288" s="415" t="s">
        <v>337</v>
      </c>
      <c r="AY288" s="415" t="s">
        <v>337</v>
      </c>
      <c r="AZ288" s="213">
        <v>429003</v>
      </c>
      <c r="BA288" s="416" t="s">
        <v>3822</v>
      </c>
      <c r="BB288" s="415" t="s">
        <v>337</v>
      </c>
      <c r="BE288" s="415" t="s">
        <v>337</v>
      </c>
      <c r="BH288" s="415" t="s">
        <v>337</v>
      </c>
      <c r="BM288" s="415" t="s">
        <v>337</v>
      </c>
      <c r="BP288" s="415" t="s">
        <v>337</v>
      </c>
      <c r="BS288" s="415"/>
      <c r="BV288" s="415" t="s">
        <v>337</v>
      </c>
      <c r="BY288" s="415" t="s">
        <v>337</v>
      </c>
      <c r="CB288" s="415" t="s">
        <v>337</v>
      </c>
      <c r="CE288" s="415" t="s">
        <v>337</v>
      </c>
      <c r="CH288" s="415" t="s">
        <v>337</v>
      </c>
      <c r="CK288" s="415" t="s">
        <v>337</v>
      </c>
      <c r="CN288" s="415" t="s">
        <v>337</v>
      </c>
      <c r="CQ288" s="415" t="s">
        <v>337</v>
      </c>
      <c r="CT288" s="415" t="s">
        <v>337</v>
      </c>
    </row>
    <row r="289" spans="1:98">
      <c r="A289" s="1" t="s">
        <v>939</v>
      </c>
      <c r="B289" s="416" t="s">
        <v>3823</v>
      </c>
      <c r="C289" s="415" t="s">
        <v>337</v>
      </c>
      <c r="F289" s="415" t="s">
        <v>337</v>
      </c>
      <c r="I289" s="415" t="s">
        <v>337</v>
      </c>
      <c r="L289" s="415" t="s">
        <v>337</v>
      </c>
      <c r="O289" s="415" t="s">
        <v>337</v>
      </c>
      <c r="R289" s="415" t="s">
        <v>337</v>
      </c>
      <c r="S289" s="213" t="s">
        <v>3824</v>
      </c>
      <c r="T289" s="416" t="s">
        <v>3825</v>
      </c>
      <c r="U289" s="415" t="s">
        <v>337</v>
      </c>
      <c r="X289" s="415"/>
      <c r="AA289" s="415"/>
      <c r="AD289" s="415"/>
      <c r="AE289" s="417" t="s">
        <v>3826</v>
      </c>
      <c r="AF289" s="416" t="s">
        <v>3827</v>
      </c>
      <c r="AG289" s="415"/>
      <c r="AJ289" s="415" t="s">
        <v>337</v>
      </c>
      <c r="AM289" s="415" t="s">
        <v>337</v>
      </c>
      <c r="AP289" s="415" t="s">
        <v>337</v>
      </c>
      <c r="AS289" s="415" t="s">
        <v>337</v>
      </c>
      <c r="AV289" s="415" t="s">
        <v>337</v>
      </c>
      <c r="AY289" s="415" t="s">
        <v>337</v>
      </c>
      <c r="AZ289" s="213">
        <v>429004</v>
      </c>
      <c r="BA289" s="416" t="s">
        <v>3828</v>
      </c>
      <c r="BB289" s="415" t="s">
        <v>337</v>
      </c>
      <c r="BE289" s="415" t="s">
        <v>337</v>
      </c>
      <c r="BH289" s="415" t="s">
        <v>337</v>
      </c>
      <c r="BM289" s="415" t="s">
        <v>337</v>
      </c>
      <c r="BP289" s="415" t="s">
        <v>337</v>
      </c>
      <c r="BS289" s="415"/>
      <c r="BV289" s="415" t="s">
        <v>337</v>
      </c>
      <c r="BY289" s="415" t="s">
        <v>337</v>
      </c>
      <c r="CB289" s="415" t="s">
        <v>337</v>
      </c>
      <c r="CE289" s="415" t="s">
        <v>337</v>
      </c>
      <c r="CH289" s="415" t="s">
        <v>337</v>
      </c>
      <c r="CK289" s="415" t="s">
        <v>337</v>
      </c>
      <c r="CN289" s="415" t="s">
        <v>337</v>
      </c>
      <c r="CQ289" s="415" t="s">
        <v>337</v>
      </c>
      <c r="CT289" s="415" t="s">
        <v>337</v>
      </c>
    </row>
    <row r="290" spans="1:98">
      <c r="A290" s="1" t="s">
        <v>939</v>
      </c>
      <c r="B290" s="416" t="s">
        <v>2313</v>
      </c>
      <c r="C290" s="415" t="s">
        <v>337</v>
      </c>
      <c r="F290" s="415" t="s">
        <v>337</v>
      </c>
      <c r="I290" s="415" t="s">
        <v>337</v>
      </c>
      <c r="L290" s="415" t="s">
        <v>337</v>
      </c>
      <c r="O290" s="415" t="s">
        <v>337</v>
      </c>
      <c r="R290" s="415" t="s">
        <v>337</v>
      </c>
      <c r="S290" s="213" t="s">
        <v>3829</v>
      </c>
      <c r="T290" s="416" t="s">
        <v>3830</v>
      </c>
      <c r="U290" s="415" t="s">
        <v>337</v>
      </c>
      <c r="X290" s="415"/>
      <c r="AA290" s="415"/>
      <c r="AD290" s="415"/>
      <c r="AE290" s="417" t="s">
        <v>3831</v>
      </c>
      <c r="AF290" s="416" t="s">
        <v>3832</v>
      </c>
      <c r="AG290" s="415"/>
      <c r="AJ290" s="415" t="s">
        <v>337</v>
      </c>
      <c r="AM290" s="415" t="s">
        <v>337</v>
      </c>
      <c r="AP290" s="415" t="s">
        <v>337</v>
      </c>
      <c r="AS290" s="415" t="s">
        <v>337</v>
      </c>
      <c r="AV290" s="415" t="s">
        <v>337</v>
      </c>
      <c r="AY290" s="415" t="s">
        <v>337</v>
      </c>
      <c r="AZ290" s="213">
        <v>429005</v>
      </c>
      <c r="BA290" s="416" t="s">
        <v>3833</v>
      </c>
      <c r="BB290" s="415" t="s">
        <v>337</v>
      </c>
      <c r="BE290" s="415" t="s">
        <v>337</v>
      </c>
      <c r="BH290" s="415" t="s">
        <v>337</v>
      </c>
      <c r="BM290" s="415" t="s">
        <v>337</v>
      </c>
      <c r="BP290" s="415" t="s">
        <v>337</v>
      </c>
      <c r="BS290" s="415"/>
      <c r="BV290" s="415" t="s">
        <v>337</v>
      </c>
      <c r="BY290" s="415" t="s">
        <v>337</v>
      </c>
      <c r="CB290" s="415" t="s">
        <v>337</v>
      </c>
      <c r="CE290" s="415" t="s">
        <v>337</v>
      </c>
      <c r="CH290" s="415" t="s">
        <v>337</v>
      </c>
      <c r="CK290" s="415" t="s">
        <v>337</v>
      </c>
      <c r="CN290" s="415" t="s">
        <v>337</v>
      </c>
      <c r="CQ290" s="415" t="s">
        <v>337</v>
      </c>
      <c r="CT290" s="415" t="s">
        <v>337</v>
      </c>
    </row>
    <row r="291" spans="1:98">
      <c r="A291" s="1" t="s">
        <v>939</v>
      </c>
      <c r="B291" s="416" t="s">
        <v>3834</v>
      </c>
      <c r="C291" s="415" t="s">
        <v>337</v>
      </c>
      <c r="F291" s="415" t="s">
        <v>337</v>
      </c>
      <c r="I291" s="415" t="s">
        <v>337</v>
      </c>
      <c r="L291" s="415" t="s">
        <v>337</v>
      </c>
      <c r="O291" s="415" t="s">
        <v>337</v>
      </c>
      <c r="R291" s="415" t="s">
        <v>337</v>
      </c>
      <c r="S291" s="213" t="s">
        <v>3835</v>
      </c>
      <c r="T291" s="416" t="s">
        <v>3836</v>
      </c>
      <c r="U291" s="415" t="s">
        <v>337</v>
      </c>
      <c r="X291" s="415"/>
      <c r="AA291" s="415"/>
      <c r="AD291" s="415"/>
      <c r="AE291" s="417" t="s">
        <v>3837</v>
      </c>
      <c r="AF291" s="416" t="s">
        <v>3838</v>
      </c>
      <c r="AG291" s="415"/>
      <c r="AJ291" s="415" t="s">
        <v>337</v>
      </c>
      <c r="AM291" s="415" t="s">
        <v>337</v>
      </c>
      <c r="AP291" s="415" t="s">
        <v>337</v>
      </c>
      <c r="AS291" s="415" t="s">
        <v>337</v>
      </c>
      <c r="AV291" s="415" t="s">
        <v>337</v>
      </c>
      <c r="AY291" s="415" t="s">
        <v>337</v>
      </c>
      <c r="AZ291" s="213">
        <v>429006</v>
      </c>
      <c r="BA291" s="416" t="s">
        <v>3839</v>
      </c>
      <c r="BB291" s="415" t="s">
        <v>337</v>
      </c>
      <c r="BE291" s="415" t="s">
        <v>337</v>
      </c>
      <c r="BH291" s="415" t="s">
        <v>337</v>
      </c>
      <c r="BM291" s="415" t="s">
        <v>337</v>
      </c>
      <c r="BP291" s="415" t="s">
        <v>337</v>
      </c>
      <c r="BS291" s="415"/>
      <c r="BV291" s="415" t="s">
        <v>337</v>
      </c>
      <c r="BY291" s="415" t="s">
        <v>337</v>
      </c>
      <c r="CB291" s="415" t="s">
        <v>337</v>
      </c>
      <c r="CE291" s="415" t="s">
        <v>337</v>
      </c>
      <c r="CH291" s="415" t="s">
        <v>337</v>
      </c>
      <c r="CK291" s="415" t="s">
        <v>337</v>
      </c>
      <c r="CN291" s="415" t="s">
        <v>337</v>
      </c>
      <c r="CQ291" s="415" t="s">
        <v>337</v>
      </c>
      <c r="CT291" s="415" t="s">
        <v>337</v>
      </c>
    </row>
    <row r="292" spans="1:98">
      <c r="A292" s="1" t="s">
        <v>939</v>
      </c>
      <c r="B292" s="416" t="s">
        <v>3840</v>
      </c>
      <c r="C292" s="415" t="s">
        <v>337</v>
      </c>
      <c r="F292" s="415" t="s">
        <v>337</v>
      </c>
      <c r="I292" s="415" t="s">
        <v>337</v>
      </c>
      <c r="L292" s="415" t="s">
        <v>337</v>
      </c>
      <c r="O292" s="415" t="s">
        <v>337</v>
      </c>
      <c r="R292" s="415" t="s">
        <v>337</v>
      </c>
      <c r="S292" s="213" t="s">
        <v>3841</v>
      </c>
      <c r="T292" s="416" t="s">
        <v>3842</v>
      </c>
      <c r="U292" s="415" t="s">
        <v>337</v>
      </c>
      <c r="X292" s="415"/>
      <c r="AA292" s="415"/>
      <c r="AD292" s="415"/>
      <c r="AE292" s="417" t="s">
        <v>3843</v>
      </c>
      <c r="AF292" s="416" t="s">
        <v>3844</v>
      </c>
      <c r="AG292" s="415"/>
      <c r="AJ292" s="415" t="s">
        <v>337</v>
      </c>
      <c r="AM292" s="415" t="s">
        <v>337</v>
      </c>
      <c r="AP292" s="415" t="s">
        <v>337</v>
      </c>
      <c r="AS292" s="415" t="s">
        <v>337</v>
      </c>
      <c r="AV292" s="415" t="s">
        <v>337</v>
      </c>
      <c r="AY292" s="415" t="s">
        <v>337</v>
      </c>
      <c r="AZ292" s="213">
        <v>429007</v>
      </c>
      <c r="BA292" s="416" t="s">
        <v>3845</v>
      </c>
      <c r="BB292" s="415" t="s">
        <v>337</v>
      </c>
      <c r="BE292" s="415" t="s">
        <v>337</v>
      </c>
      <c r="BH292" s="415" t="s">
        <v>337</v>
      </c>
      <c r="BM292" s="415" t="s">
        <v>337</v>
      </c>
      <c r="BP292" s="415" t="s">
        <v>337</v>
      </c>
      <c r="BS292" s="415"/>
      <c r="BV292" s="415" t="s">
        <v>337</v>
      </c>
      <c r="BY292" s="415" t="s">
        <v>337</v>
      </c>
      <c r="CB292" s="415" t="s">
        <v>337</v>
      </c>
      <c r="CE292" s="415" t="s">
        <v>337</v>
      </c>
      <c r="CH292" s="415" t="s">
        <v>337</v>
      </c>
      <c r="CK292" s="415" t="s">
        <v>337</v>
      </c>
      <c r="CN292" s="415" t="s">
        <v>337</v>
      </c>
      <c r="CQ292" s="415" t="s">
        <v>337</v>
      </c>
      <c r="CT292" s="415" t="s">
        <v>337</v>
      </c>
    </row>
    <row r="293" spans="1:98">
      <c r="A293" s="1" t="s">
        <v>939</v>
      </c>
      <c r="B293" s="416" t="s">
        <v>3846</v>
      </c>
      <c r="C293" s="415" t="s">
        <v>337</v>
      </c>
      <c r="F293" s="415" t="s">
        <v>337</v>
      </c>
      <c r="I293" s="415" t="s">
        <v>337</v>
      </c>
      <c r="L293" s="415" t="s">
        <v>337</v>
      </c>
      <c r="O293" s="415" t="s">
        <v>337</v>
      </c>
      <c r="R293" s="415" t="s">
        <v>337</v>
      </c>
      <c r="S293" s="213" t="s">
        <v>3847</v>
      </c>
      <c r="T293" s="416" t="s">
        <v>3848</v>
      </c>
      <c r="U293" s="415" t="s">
        <v>337</v>
      </c>
      <c r="X293" s="415"/>
      <c r="AA293" s="415"/>
      <c r="AD293" s="415"/>
      <c r="AE293" s="417" t="s">
        <v>3849</v>
      </c>
      <c r="AF293" s="416" t="s">
        <v>3850</v>
      </c>
      <c r="AG293" s="415"/>
      <c r="AJ293" s="415" t="s">
        <v>337</v>
      </c>
      <c r="AM293" s="415" t="s">
        <v>337</v>
      </c>
      <c r="AP293" s="415" t="s">
        <v>337</v>
      </c>
      <c r="AS293" s="415" t="s">
        <v>337</v>
      </c>
      <c r="AV293" s="415" t="s">
        <v>337</v>
      </c>
      <c r="AY293" s="415" t="s">
        <v>337</v>
      </c>
      <c r="AZ293" s="213">
        <v>429008</v>
      </c>
      <c r="BA293" s="416" t="s">
        <v>3851</v>
      </c>
      <c r="BB293" s="415" t="s">
        <v>337</v>
      </c>
      <c r="BE293" s="415" t="s">
        <v>337</v>
      </c>
      <c r="BH293" s="415" t="s">
        <v>337</v>
      </c>
      <c r="BM293" s="415" t="s">
        <v>337</v>
      </c>
      <c r="BP293" s="415" t="s">
        <v>337</v>
      </c>
      <c r="BS293" s="415"/>
      <c r="BV293" s="415" t="s">
        <v>337</v>
      </c>
      <c r="BY293" s="415" t="s">
        <v>337</v>
      </c>
      <c r="CB293" s="415" t="s">
        <v>337</v>
      </c>
      <c r="CE293" s="415" t="s">
        <v>337</v>
      </c>
      <c r="CH293" s="415" t="s">
        <v>337</v>
      </c>
      <c r="CK293" s="415" t="s">
        <v>337</v>
      </c>
      <c r="CN293" s="415" t="s">
        <v>337</v>
      </c>
      <c r="CQ293" s="415" t="s">
        <v>337</v>
      </c>
      <c r="CT293" s="415" t="s">
        <v>337</v>
      </c>
    </row>
    <row r="294" spans="1:98">
      <c r="A294" s="1" t="s">
        <v>939</v>
      </c>
      <c r="B294" s="416" t="s">
        <v>3852</v>
      </c>
      <c r="C294" s="415" t="s">
        <v>337</v>
      </c>
      <c r="F294" s="415" t="s">
        <v>337</v>
      </c>
      <c r="I294" s="415" t="s">
        <v>337</v>
      </c>
      <c r="L294" s="415" t="s">
        <v>337</v>
      </c>
      <c r="O294" s="415" t="s">
        <v>337</v>
      </c>
      <c r="R294" s="415" t="s">
        <v>337</v>
      </c>
      <c r="S294" s="213" t="s">
        <v>3853</v>
      </c>
      <c r="T294" s="416" t="s">
        <v>3854</v>
      </c>
      <c r="U294" s="415" t="s">
        <v>337</v>
      </c>
      <c r="X294" s="415"/>
      <c r="AA294" s="415"/>
      <c r="AD294" s="415"/>
      <c r="AE294" s="417" t="s">
        <v>3855</v>
      </c>
      <c r="AF294" s="416" t="s">
        <v>3856</v>
      </c>
      <c r="AG294" s="415"/>
      <c r="AJ294" s="415" t="s">
        <v>337</v>
      </c>
      <c r="AM294" s="415" t="s">
        <v>337</v>
      </c>
      <c r="AP294" s="415" t="s">
        <v>337</v>
      </c>
      <c r="AS294" s="415" t="s">
        <v>337</v>
      </c>
      <c r="AV294" s="415" t="s">
        <v>337</v>
      </c>
      <c r="AY294" s="415" t="s">
        <v>337</v>
      </c>
      <c r="AZ294" s="213">
        <v>429009</v>
      </c>
      <c r="BA294" s="416" t="s">
        <v>3857</v>
      </c>
      <c r="BB294" s="415" t="s">
        <v>337</v>
      </c>
      <c r="BE294" s="415" t="s">
        <v>337</v>
      </c>
      <c r="BH294" s="415" t="s">
        <v>337</v>
      </c>
      <c r="BM294" s="415" t="s">
        <v>337</v>
      </c>
      <c r="BP294" s="415" t="s">
        <v>337</v>
      </c>
      <c r="BS294" s="415"/>
      <c r="BV294" s="415" t="s">
        <v>337</v>
      </c>
      <c r="BY294" s="415" t="s">
        <v>337</v>
      </c>
      <c r="CB294" s="415" t="s">
        <v>337</v>
      </c>
      <c r="CE294" s="415" t="s">
        <v>337</v>
      </c>
      <c r="CH294" s="415" t="s">
        <v>337</v>
      </c>
      <c r="CK294" s="415" t="s">
        <v>337</v>
      </c>
      <c r="CN294" s="415" t="s">
        <v>337</v>
      </c>
      <c r="CQ294" s="415" t="s">
        <v>337</v>
      </c>
      <c r="CT294" s="415" t="s">
        <v>337</v>
      </c>
    </row>
    <row r="295" spans="1:98">
      <c r="A295" s="1" t="s">
        <v>939</v>
      </c>
      <c r="B295" s="416" t="s">
        <v>3858</v>
      </c>
      <c r="C295" s="415" t="s">
        <v>337</v>
      </c>
      <c r="F295" s="415" t="s">
        <v>337</v>
      </c>
      <c r="I295" s="415" t="s">
        <v>337</v>
      </c>
      <c r="L295" s="415" t="s">
        <v>337</v>
      </c>
      <c r="O295" s="415" t="s">
        <v>337</v>
      </c>
      <c r="R295" s="415" t="s">
        <v>337</v>
      </c>
      <c r="S295" s="213" t="s">
        <v>3859</v>
      </c>
      <c r="T295" s="416" t="s">
        <v>3860</v>
      </c>
      <c r="U295" s="415" t="s">
        <v>337</v>
      </c>
      <c r="X295" s="415"/>
      <c r="AA295" s="415"/>
      <c r="AD295" s="415"/>
      <c r="AE295" s="417" t="s">
        <v>3861</v>
      </c>
      <c r="AF295" s="416" t="s">
        <v>3862</v>
      </c>
      <c r="AG295" s="415"/>
      <c r="AJ295" s="415" t="s">
        <v>337</v>
      </c>
      <c r="AM295" s="415" t="s">
        <v>337</v>
      </c>
      <c r="AP295" s="415" t="s">
        <v>337</v>
      </c>
      <c r="AS295" s="415" t="s">
        <v>337</v>
      </c>
      <c r="AV295" s="415" t="s">
        <v>337</v>
      </c>
      <c r="AY295" s="415" t="s">
        <v>337</v>
      </c>
      <c r="AZ295" s="213">
        <v>511001</v>
      </c>
      <c r="BA295" s="416" t="s">
        <v>539</v>
      </c>
      <c r="BB295" s="415" t="s">
        <v>337</v>
      </c>
      <c r="BE295" s="415" t="s">
        <v>337</v>
      </c>
      <c r="BH295" s="415" t="s">
        <v>337</v>
      </c>
      <c r="BM295" s="415" t="s">
        <v>337</v>
      </c>
      <c r="BP295" s="415" t="s">
        <v>337</v>
      </c>
      <c r="BS295" s="415"/>
      <c r="BV295" s="415" t="s">
        <v>337</v>
      </c>
      <c r="BY295" s="415" t="s">
        <v>337</v>
      </c>
      <c r="CB295" s="415" t="s">
        <v>337</v>
      </c>
      <c r="CE295" s="415" t="s">
        <v>337</v>
      </c>
      <c r="CH295" s="415" t="s">
        <v>337</v>
      </c>
      <c r="CK295" s="415" t="s">
        <v>337</v>
      </c>
      <c r="CN295" s="415" t="s">
        <v>337</v>
      </c>
      <c r="CQ295" s="415" t="s">
        <v>337</v>
      </c>
      <c r="CT295" s="415" t="s">
        <v>337</v>
      </c>
    </row>
    <row r="296" spans="1:98">
      <c r="A296" s="1" t="s">
        <v>939</v>
      </c>
      <c r="B296" s="416" t="s">
        <v>3863</v>
      </c>
      <c r="C296" s="415" t="s">
        <v>337</v>
      </c>
      <c r="F296" s="415" t="s">
        <v>337</v>
      </c>
      <c r="I296" s="415" t="s">
        <v>337</v>
      </c>
      <c r="L296" s="415" t="s">
        <v>337</v>
      </c>
      <c r="O296" s="415" t="s">
        <v>337</v>
      </c>
      <c r="R296" s="415" t="s">
        <v>337</v>
      </c>
      <c r="S296" s="213" t="s">
        <v>3864</v>
      </c>
      <c r="T296" s="416" t="s">
        <v>3865</v>
      </c>
      <c r="U296" s="415" t="s">
        <v>337</v>
      </c>
      <c r="X296" s="415"/>
      <c r="AA296" s="415"/>
      <c r="AD296" s="415"/>
      <c r="AE296" s="417" t="s">
        <v>3866</v>
      </c>
      <c r="AF296" s="416" t="s">
        <v>3867</v>
      </c>
      <c r="AG296" s="415"/>
      <c r="AJ296" s="415" t="s">
        <v>337</v>
      </c>
      <c r="AM296" s="415" t="s">
        <v>337</v>
      </c>
      <c r="AP296" s="415" t="s">
        <v>337</v>
      </c>
      <c r="AS296" s="415" t="s">
        <v>337</v>
      </c>
      <c r="AV296" s="415" t="s">
        <v>337</v>
      </c>
      <c r="AY296" s="415" t="s">
        <v>337</v>
      </c>
      <c r="AZ296" s="213">
        <v>512001</v>
      </c>
      <c r="BA296" s="416" t="s">
        <v>2538</v>
      </c>
      <c r="BB296" s="415" t="s">
        <v>337</v>
      </c>
      <c r="BE296" s="415" t="s">
        <v>337</v>
      </c>
      <c r="BH296" s="415" t="s">
        <v>337</v>
      </c>
      <c r="BM296" s="415" t="s">
        <v>337</v>
      </c>
      <c r="BP296" s="415" t="s">
        <v>337</v>
      </c>
      <c r="BS296" s="415"/>
      <c r="BV296" s="415" t="s">
        <v>337</v>
      </c>
      <c r="BY296" s="415" t="s">
        <v>337</v>
      </c>
      <c r="CB296" s="415" t="s">
        <v>337</v>
      </c>
      <c r="CE296" s="415" t="s">
        <v>337</v>
      </c>
      <c r="CH296" s="415" t="s">
        <v>337</v>
      </c>
      <c r="CK296" s="415" t="s">
        <v>337</v>
      </c>
      <c r="CN296" s="415" t="s">
        <v>337</v>
      </c>
      <c r="CQ296" s="415" t="s">
        <v>337</v>
      </c>
      <c r="CT296" s="415" t="s">
        <v>337</v>
      </c>
    </row>
    <row r="297" spans="1:98">
      <c r="A297" s="1" t="s">
        <v>939</v>
      </c>
      <c r="B297" s="416" t="s">
        <v>3868</v>
      </c>
      <c r="C297" s="415" t="s">
        <v>337</v>
      </c>
      <c r="F297" s="415" t="s">
        <v>337</v>
      </c>
      <c r="I297" s="415" t="s">
        <v>337</v>
      </c>
      <c r="L297" s="415" t="s">
        <v>337</v>
      </c>
      <c r="O297" s="415" t="s">
        <v>337</v>
      </c>
      <c r="R297" s="415" t="s">
        <v>337</v>
      </c>
      <c r="S297" s="213" t="s">
        <v>3869</v>
      </c>
      <c r="T297" s="416" t="s">
        <v>3870</v>
      </c>
      <c r="U297" s="415" t="s">
        <v>337</v>
      </c>
      <c r="X297" s="415"/>
      <c r="AA297" s="415"/>
      <c r="AD297" s="415"/>
      <c r="AE297" s="417" t="s">
        <v>3871</v>
      </c>
      <c r="AF297" s="416" t="s">
        <v>3872</v>
      </c>
      <c r="AG297" s="415"/>
      <c r="AJ297" s="415" t="s">
        <v>337</v>
      </c>
      <c r="AM297" s="415" t="s">
        <v>337</v>
      </c>
      <c r="AP297" s="415" t="s">
        <v>337</v>
      </c>
      <c r="AS297" s="415" t="s">
        <v>337</v>
      </c>
      <c r="AV297" s="415" t="s">
        <v>337</v>
      </c>
      <c r="AY297" s="415" t="s">
        <v>337</v>
      </c>
      <c r="AZ297" s="213">
        <v>513001</v>
      </c>
      <c r="BA297" s="416" t="s">
        <v>3873</v>
      </c>
      <c r="BB297" s="415" t="s">
        <v>337</v>
      </c>
      <c r="BE297" s="415" t="s">
        <v>337</v>
      </c>
      <c r="BH297" s="415" t="s">
        <v>337</v>
      </c>
      <c r="BM297" s="415" t="s">
        <v>337</v>
      </c>
      <c r="BP297" s="415" t="s">
        <v>337</v>
      </c>
      <c r="BS297" s="415"/>
      <c r="BV297" s="415" t="s">
        <v>337</v>
      </c>
      <c r="BY297" s="415" t="s">
        <v>337</v>
      </c>
      <c r="CB297" s="415" t="s">
        <v>337</v>
      </c>
      <c r="CE297" s="415" t="s">
        <v>337</v>
      </c>
      <c r="CH297" s="415" t="s">
        <v>337</v>
      </c>
      <c r="CK297" s="415" t="s">
        <v>337</v>
      </c>
      <c r="CN297" s="415" t="s">
        <v>337</v>
      </c>
      <c r="CQ297" s="415" t="s">
        <v>337</v>
      </c>
      <c r="CT297" s="415" t="s">
        <v>337</v>
      </c>
    </row>
    <row r="298" spans="1:98">
      <c r="A298" s="1" t="s">
        <v>939</v>
      </c>
      <c r="B298" s="416" t="s">
        <v>3874</v>
      </c>
      <c r="C298" s="415" t="s">
        <v>337</v>
      </c>
      <c r="F298" s="415" t="s">
        <v>337</v>
      </c>
      <c r="I298" s="415" t="s">
        <v>337</v>
      </c>
      <c r="L298" s="415" t="s">
        <v>337</v>
      </c>
      <c r="O298" s="415" t="s">
        <v>337</v>
      </c>
      <c r="R298" s="415" t="s">
        <v>337</v>
      </c>
      <c r="S298" s="213" t="s">
        <v>3875</v>
      </c>
      <c r="T298" s="416" t="s">
        <v>3876</v>
      </c>
      <c r="U298" s="415" t="s">
        <v>337</v>
      </c>
      <c r="X298" s="415"/>
      <c r="AA298" s="415"/>
      <c r="AD298" s="415"/>
      <c r="AE298" s="417" t="s">
        <v>3877</v>
      </c>
      <c r="AF298" s="416" t="s">
        <v>3878</v>
      </c>
      <c r="AG298" s="415"/>
      <c r="AJ298" s="415" t="s">
        <v>337</v>
      </c>
      <c r="AM298" s="415" t="s">
        <v>337</v>
      </c>
      <c r="AP298" s="415" t="s">
        <v>337</v>
      </c>
      <c r="AS298" s="415" t="s">
        <v>337</v>
      </c>
      <c r="AV298" s="415" t="s">
        <v>337</v>
      </c>
      <c r="AY298" s="415" t="s">
        <v>337</v>
      </c>
      <c r="AZ298" s="213">
        <v>513002</v>
      </c>
      <c r="BA298" s="416" t="s">
        <v>3879</v>
      </c>
      <c r="BB298" s="415" t="s">
        <v>337</v>
      </c>
      <c r="BE298" s="415" t="s">
        <v>337</v>
      </c>
      <c r="BH298" s="415" t="s">
        <v>337</v>
      </c>
      <c r="BM298" s="415" t="s">
        <v>337</v>
      </c>
      <c r="BP298" s="415" t="s">
        <v>337</v>
      </c>
      <c r="BS298" s="415"/>
      <c r="BV298" s="415" t="s">
        <v>337</v>
      </c>
      <c r="BY298" s="415" t="s">
        <v>337</v>
      </c>
      <c r="CB298" s="415" t="s">
        <v>337</v>
      </c>
      <c r="CE298" s="415" t="s">
        <v>337</v>
      </c>
      <c r="CH298" s="415" t="s">
        <v>337</v>
      </c>
      <c r="CK298" s="415" t="s">
        <v>337</v>
      </c>
      <c r="CN298" s="415" t="s">
        <v>337</v>
      </c>
      <c r="CQ298" s="415" t="s">
        <v>337</v>
      </c>
      <c r="CT298" s="415" t="s">
        <v>337</v>
      </c>
    </row>
    <row r="299" spans="1:98">
      <c r="A299" s="1" t="s">
        <v>939</v>
      </c>
      <c r="B299" s="416" t="s">
        <v>3880</v>
      </c>
      <c r="C299" s="415" t="s">
        <v>337</v>
      </c>
      <c r="F299" s="415" t="s">
        <v>337</v>
      </c>
      <c r="I299" s="415" t="s">
        <v>337</v>
      </c>
      <c r="L299" s="415" t="s">
        <v>337</v>
      </c>
      <c r="O299" s="415" t="s">
        <v>337</v>
      </c>
      <c r="R299" s="415" t="s">
        <v>337</v>
      </c>
      <c r="S299" s="213" t="s">
        <v>3881</v>
      </c>
      <c r="T299" s="416" t="s">
        <v>3882</v>
      </c>
      <c r="U299" s="415" t="s">
        <v>337</v>
      </c>
      <c r="X299" s="415"/>
      <c r="AA299" s="415"/>
      <c r="AD299" s="415"/>
      <c r="AE299" s="417" t="s">
        <v>3883</v>
      </c>
      <c r="AF299" s="416" t="s">
        <v>3884</v>
      </c>
      <c r="AG299" s="415"/>
      <c r="AJ299" s="415" t="s">
        <v>337</v>
      </c>
      <c r="AM299" s="415" t="s">
        <v>337</v>
      </c>
      <c r="AP299" s="415" t="s">
        <v>337</v>
      </c>
      <c r="AS299" s="415" t="s">
        <v>337</v>
      </c>
      <c r="AV299" s="415" t="s">
        <v>337</v>
      </c>
      <c r="AY299" s="415" t="s">
        <v>337</v>
      </c>
      <c r="AZ299" s="213">
        <v>521001</v>
      </c>
      <c r="BA299" s="416" t="s">
        <v>2588</v>
      </c>
      <c r="BB299" s="415" t="s">
        <v>337</v>
      </c>
      <c r="BE299" s="415" t="s">
        <v>337</v>
      </c>
      <c r="BH299" s="415" t="s">
        <v>337</v>
      </c>
      <c r="BM299" s="415" t="s">
        <v>337</v>
      </c>
      <c r="BP299" s="415" t="s">
        <v>337</v>
      </c>
      <c r="BS299" s="415"/>
      <c r="BV299" s="415" t="s">
        <v>337</v>
      </c>
      <c r="BY299" s="415" t="s">
        <v>337</v>
      </c>
      <c r="CB299" s="415" t="s">
        <v>337</v>
      </c>
      <c r="CE299" s="415" t="s">
        <v>337</v>
      </c>
      <c r="CH299" s="415" t="s">
        <v>337</v>
      </c>
      <c r="CK299" s="415" t="s">
        <v>337</v>
      </c>
      <c r="CN299" s="415" t="s">
        <v>337</v>
      </c>
      <c r="CQ299" s="415" t="s">
        <v>337</v>
      </c>
      <c r="CT299" s="415" t="s">
        <v>337</v>
      </c>
    </row>
    <row r="300" spans="1:98">
      <c r="A300" s="1" t="s">
        <v>939</v>
      </c>
      <c r="B300" s="416" t="s">
        <v>3885</v>
      </c>
      <c r="S300" s="213" t="s">
        <v>3886</v>
      </c>
      <c r="T300" s="416" t="s">
        <v>3887</v>
      </c>
      <c r="U300" s="415" t="s">
        <v>337</v>
      </c>
      <c r="X300" s="415"/>
      <c r="AA300" s="415"/>
      <c r="AD300" s="415"/>
      <c r="AE300" s="417" t="s">
        <v>3888</v>
      </c>
      <c r="AF300" s="416" t="s">
        <v>3889</v>
      </c>
      <c r="AG300" s="415"/>
      <c r="AJ300" s="415" t="s">
        <v>337</v>
      </c>
      <c r="AM300" s="415" t="s">
        <v>337</v>
      </c>
      <c r="AP300" s="415" t="s">
        <v>337</v>
      </c>
      <c r="AS300" s="415" t="s">
        <v>337</v>
      </c>
      <c r="AV300" s="415" t="s">
        <v>337</v>
      </c>
      <c r="AY300" s="415" t="s">
        <v>337</v>
      </c>
      <c r="AZ300" s="213">
        <v>611001</v>
      </c>
      <c r="BA300" s="416" t="s">
        <v>636</v>
      </c>
      <c r="BB300" s="415" t="s">
        <v>337</v>
      </c>
      <c r="BE300" s="415" t="s">
        <v>337</v>
      </c>
      <c r="BH300" s="415" t="s">
        <v>337</v>
      </c>
      <c r="BM300" s="415" t="s">
        <v>337</v>
      </c>
      <c r="BP300" s="415" t="s">
        <v>337</v>
      </c>
      <c r="BS300" s="415"/>
      <c r="BV300" s="415" t="s">
        <v>337</v>
      </c>
      <c r="BY300" s="415" t="s">
        <v>337</v>
      </c>
      <c r="CB300" s="415" t="s">
        <v>337</v>
      </c>
      <c r="CE300" s="415" t="s">
        <v>337</v>
      </c>
      <c r="CH300" s="415" t="s">
        <v>337</v>
      </c>
      <c r="CK300" s="415" t="s">
        <v>337</v>
      </c>
      <c r="CN300" s="415" t="s">
        <v>337</v>
      </c>
      <c r="CQ300" s="415" t="s">
        <v>337</v>
      </c>
      <c r="CT300" s="415" t="s">
        <v>337</v>
      </c>
    </row>
    <row r="301" spans="1:98">
      <c r="A301" s="1" t="s">
        <v>939</v>
      </c>
      <c r="B301" s="416" t="s">
        <v>3890</v>
      </c>
      <c r="S301" s="213" t="s">
        <v>3891</v>
      </c>
      <c r="T301" s="416" t="s">
        <v>3892</v>
      </c>
      <c r="U301" s="415" t="s">
        <v>337</v>
      </c>
      <c r="X301" s="415"/>
      <c r="AA301" s="415"/>
      <c r="AD301" s="415"/>
      <c r="AE301" s="417" t="s">
        <v>3893</v>
      </c>
      <c r="AF301" s="416" t="s">
        <v>3894</v>
      </c>
      <c r="AG301" s="415"/>
      <c r="AJ301" s="415" t="s">
        <v>337</v>
      </c>
      <c r="AM301" s="415" t="s">
        <v>337</v>
      </c>
      <c r="AP301" s="415" t="s">
        <v>337</v>
      </c>
      <c r="AS301" s="415" t="s">
        <v>337</v>
      </c>
      <c r="AV301" s="415" t="s">
        <v>337</v>
      </c>
      <c r="AY301" s="415" t="s">
        <v>337</v>
      </c>
      <c r="AZ301" s="213" t="s">
        <v>3895</v>
      </c>
      <c r="BA301" s="416" t="s">
        <v>3896</v>
      </c>
      <c r="BB301" s="415" t="s">
        <v>337</v>
      </c>
      <c r="BE301" s="415" t="s">
        <v>337</v>
      </c>
      <c r="BH301" s="415" t="s">
        <v>337</v>
      </c>
      <c r="BM301" s="415" t="s">
        <v>337</v>
      </c>
      <c r="BP301" s="415" t="s">
        <v>337</v>
      </c>
      <c r="BS301" s="415"/>
      <c r="BV301" s="415" t="s">
        <v>337</v>
      </c>
      <c r="BY301" s="415" t="s">
        <v>337</v>
      </c>
      <c r="CB301" s="415" t="s">
        <v>337</v>
      </c>
      <c r="CE301" s="415" t="s">
        <v>337</v>
      </c>
      <c r="CH301" s="415" t="s">
        <v>337</v>
      </c>
      <c r="CK301" s="415" t="s">
        <v>337</v>
      </c>
      <c r="CN301" s="415" t="s">
        <v>337</v>
      </c>
      <c r="CQ301" s="415" t="s">
        <v>337</v>
      </c>
      <c r="CT301" s="415" t="s">
        <v>337</v>
      </c>
    </row>
    <row r="302" spans="1:98">
      <c r="A302" s="1" t="s">
        <v>939</v>
      </c>
      <c r="B302" s="416" t="s">
        <v>3897</v>
      </c>
      <c r="S302" s="213" t="s">
        <v>3898</v>
      </c>
      <c r="T302" s="416" t="s">
        <v>3899</v>
      </c>
      <c r="U302" s="415" t="s">
        <v>337</v>
      </c>
      <c r="X302" s="415"/>
      <c r="AA302" s="415"/>
      <c r="AD302" s="415"/>
      <c r="AE302" s="417" t="s">
        <v>3900</v>
      </c>
      <c r="AF302" s="416" t="s">
        <v>3901</v>
      </c>
      <c r="AG302" s="415"/>
      <c r="AJ302" s="415" t="s">
        <v>337</v>
      </c>
      <c r="AM302" s="415" t="s">
        <v>337</v>
      </c>
      <c r="AP302" s="415" t="s">
        <v>337</v>
      </c>
      <c r="AS302" s="415" t="s">
        <v>337</v>
      </c>
      <c r="AV302" s="415" t="s">
        <v>337</v>
      </c>
      <c r="AY302" s="415" t="s">
        <v>337</v>
      </c>
      <c r="AZ302" s="213" t="s">
        <v>3902</v>
      </c>
      <c r="BA302" s="416" t="s">
        <v>3903</v>
      </c>
      <c r="BB302" s="415" t="s">
        <v>337</v>
      </c>
      <c r="BE302" s="415" t="s">
        <v>337</v>
      </c>
      <c r="BH302" s="415" t="s">
        <v>337</v>
      </c>
      <c r="BM302" s="415" t="s">
        <v>337</v>
      </c>
      <c r="BP302" s="415" t="s">
        <v>337</v>
      </c>
      <c r="BS302" s="415"/>
      <c r="BV302" s="415" t="s">
        <v>337</v>
      </c>
      <c r="BY302" s="415" t="s">
        <v>337</v>
      </c>
      <c r="CB302" s="415" t="s">
        <v>337</v>
      </c>
      <c r="CE302" s="415" t="s">
        <v>337</v>
      </c>
      <c r="CH302" s="415" t="s">
        <v>337</v>
      </c>
      <c r="CK302" s="415" t="s">
        <v>337</v>
      </c>
      <c r="CN302" s="415" t="s">
        <v>337</v>
      </c>
      <c r="CQ302" s="415" t="s">
        <v>337</v>
      </c>
      <c r="CT302" s="415" t="s">
        <v>337</v>
      </c>
    </row>
    <row r="303" spans="1:98">
      <c r="A303" s="1" t="s">
        <v>939</v>
      </c>
      <c r="B303" s="416" t="s">
        <v>3904</v>
      </c>
      <c r="S303" s="213" t="s">
        <v>3905</v>
      </c>
      <c r="T303" s="416" t="s">
        <v>3906</v>
      </c>
      <c r="U303" s="415" t="s">
        <v>337</v>
      </c>
      <c r="X303" s="415"/>
      <c r="AA303" s="415"/>
      <c r="AD303" s="415"/>
      <c r="AE303" s="417" t="s">
        <v>3907</v>
      </c>
      <c r="AF303" s="416" t="s">
        <v>3908</v>
      </c>
      <c r="AG303" s="415"/>
      <c r="AJ303" s="415" t="s">
        <v>337</v>
      </c>
      <c r="AM303" s="415" t="s">
        <v>337</v>
      </c>
      <c r="AP303" s="415" t="s">
        <v>337</v>
      </c>
      <c r="AS303" s="415" t="s">
        <v>337</v>
      </c>
      <c r="AV303" s="415" t="s">
        <v>337</v>
      </c>
      <c r="AY303" s="415" t="s">
        <v>337</v>
      </c>
      <c r="AZ303" s="213" t="s">
        <v>3909</v>
      </c>
      <c r="BA303" s="416" t="s">
        <v>3910</v>
      </c>
      <c r="BB303" s="415" t="s">
        <v>337</v>
      </c>
      <c r="BE303" s="415" t="s">
        <v>337</v>
      </c>
      <c r="BH303" s="415" t="s">
        <v>337</v>
      </c>
      <c r="BM303" s="415" t="s">
        <v>337</v>
      </c>
      <c r="BP303" s="415" t="s">
        <v>337</v>
      </c>
      <c r="BS303" s="415"/>
      <c r="BV303" s="415" t="s">
        <v>337</v>
      </c>
      <c r="BY303" s="415" t="s">
        <v>337</v>
      </c>
      <c r="CB303" s="415" t="s">
        <v>337</v>
      </c>
      <c r="CE303" s="415" t="s">
        <v>337</v>
      </c>
      <c r="CH303" s="415" t="s">
        <v>337</v>
      </c>
      <c r="CK303" s="415" t="s">
        <v>337</v>
      </c>
      <c r="CN303" s="415" t="s">
        <v>337</v>
      </c>
      <c r="CQ303" s="415" t="s">
        <v>337</v>
      </c>
      <c r="CT303" s="415" t="s">
        <v>337</v>
      </c>
    </row>
    <row r="304" spans="1:98">
      <c r="A304" s="1" t="s">
        <v>939</v>
      </c>
      <c r="B304" s="416" t="s">
        <v>3911</v>
      </c>
      <c r="S304" s="213" t="s">
        <v>3912</v>
      </c>
      <c r="T304" s="416" t="s">
        <v>3913</v>
      </c>
      <c r="U304" s="415" t="s">
        <v>337</v>
      </c>
      <c r="X304" s="415"/>
      <c r="AA304" s="415"/>
      <c r="AD304" s="415"/>
      <c r="AE304" s="417" t="s">
        <v>3914</v>
      </c>
      <c r="AF304" s="416" t="s">
        <v>3915</v>
      </c>
      <c r="AG304" s="415"/>
      <c r="AJ304" s="415" t="s">
        <v>337</v>
      </c>
      <c r="AM304" s="415" t="s">
        <v>337</v>
      </c>
      <c r="AP304" s="415" t="s">
        <v>337</v>
      </c>
      <c r="AS304" s="415" t="s">
        <v>337</v>
      </c>
      <c r="AV304" s="415" t="s">
        <v>337</v>
      </c>
      <c r="AY304" s="415" t="s">
        <v>337</v>
      </c>
      <c r="AZ304" s="213" t="s">
        <v>3916</v>
      </c>
      <c r="BA304" s="416" t="s">
        <v>3917</v>
      </c>
      <c r="BB304" s="415" t="s">
        <v>337</v>
      </c>
      <c r="BE304" s="415" t="s">
        <v>337</v>
      </c>
      <c r="BH304" s="415" t="s">
        <v>337</v>
      </c>
      <c r="BM304" s="415" t="s">
        <v>337</v>
      </c>
      <c r="BP304" s="415" t="s">
        <v>337</v>
      </c>
      <c r="BS304" s="415"/>
      <c r="BV304" s="415" t="s">
        <v>337</v>
      </c>
      <c r="BY304" s="415" t="s">
        <v>337</v>
      </c>
      <c r="CB304" s="415" t="s">
        <v>337</v>
      </c>
      <c r="CE304" s="415" t="s">
        <v>337</v>
      </c>
      <c r="CH304" s="415" t="s">
        <v>337</v>
      </c>
      <c r="CK304" s="415" t="s">
        <v>337</v>
      </c>
      <c r="CN304" s="415" t="s">
        <v>337</v>
      </c>
      <c r="CQ304" s="415" t="s">
        <v>337</v>
      </c>
      <c r="CT304" s="415" t="s">
        <v>337</v>
      </c>
    </row>
    <row r="305" spans="1:98">
      <c r="A305" s="1" t="s">
        <v>939</v>
      </c>
      <c r="B305" s="416" t="s">
        <v>3918</v>
      </c>
      <c r="S305" s="213" t="s">
        <v>3919</v>
      </c>
      <c r="T305" s="416" t="s">
        <v>3920</v>
      </c>
      <c r="U305" s="415" t="s">
        <v>337</v>
      </c>
      <c r="X305" s="415"/>
      <c r="AA305" s="415"/>
      <c r="AD305" s="415"/>
      <c r="AE305" s="417" t="s">
        <v>3921</v>
      </c>
      <c r="AF305" s="416" t="s">
        <v>3922</v>
      </c>
      <c r="AG305" s="415"/>
      <c r="AJ305" s="415" t="s">
        <v>337</v>
      </c>
      <c r="AM305" s="415" t="s">
        <v>337</v>
      </c>
      <c r="AP305" s="415" t="s">
        <v>337</v>
      </c>
      <c r="AS305" s="415" t="s">
        <v>337</v>
      </c>
      <c r="AV305" s="415" t="s">
        <v>337</v>
      </c>
      <c r="AY305" s="415" t="s">
        <v>337</v>
      </c>
      <c r="AZ305" s="213" t="s">
        <v>3923</v>
      </c>
      <c r="BA305" s="416" t="s">
        <v>3924</v>
      </c>
      <c r="BB305" s="415" t="s">
        <v>337</v>
      </c>
      <c r="BE305" s="415" t="s">
        <v>337</v>
      </c>
      <c r="BH305" s="415" t="s">
        <v>337</v>
      </c>
      <c r="BM305" s="415" t="s">
        <v>337</v>
      </c>
      <c r="BP305" s="415" t="s">
        <v>337</v>
      </c>
      <c r="BS305" s="415"/>
      <c r="BV305" s="415" t="s">
        <v>337</v>
      </c>
      <c r="BY305" s="415" t="s">
        <v>337</v>
      </c>
      <c r="CB305" s="415" t="s">
        <v>337</v>
      </c>
      <c r="CE305" s="415" t="s">
        <v>337</v>
      </c>
      <c r="CH305" s="415" t="s">
        <v>337</v>
      </c>
      <c r="CK305" s="415" t="s">
        <v>337</v>
      </c>
      <c r="CN305" s="415" t="s">
        <v>337</v>
      </c>
      <c r="CQ305" s="415" t="s">
        <v>337</v>
      </c>
      <c r="CT305" s="415" t="s">
        <v>337</v>
      </c>
    </row>
    <row r="306" spans="1:98">
      <c r="A306" s="1" t="s">
        <v>939</v>
      </c>
      <c r="B306" s="416" t="s">
        <v>3700</v>
      </c>
      <c r="S306" s="213" t="s">
        <v>3925</v>
      </c>
      <c r="T306" s="416" t="s">
        <v>3926</v>
      </c>
      <c r="U306" s="415" t="s">
        <v>337</v>
      </c>
      <c r="X306" s="415"/>
      <c r="AA306" s="415"/>
      <c r="AD306" s="415"/>
      <c r="AE306" s="417" t="s">
        <v>3927</v>
      </c>
      <c r="AF306" s="416" t="s">
        <v>3928</v>
      </c>
      <c r="AG306" s="415"/>
      <c r="AJ306" s="415" t="s">
        <v>337</v>
      </c>
      <c r="AM306" s="415" t="s">
        <v>337</v>
      </c>
      <c r="AP306" s="415" t="s">
        <v>337</v>
      </c>
      <c r="AS306" s="415" t="s">
        <v>337</v>
      </c>
      <c r="AV306" s="415" t="s">
        <v>337</v>
      </c>
      <c r="AY306" s="415" t="s">
        <v>337</v>
      </c>
      <c r="AZ306" s="213" t="s">
        <v>3929</v>
      </c>
      <c r="BA306" s="416" t="s">
        <v>3930</v>
      </c>
      <c r="BB306" s="415" t="s">
        <v>337</v>
      </c>
      <c r="BE306" s="415" t="s">
        <v>337</v>
      </c>
      <c r="BH306" s="415" t="s">
        <v>337</v>
      </c>
      <c r="BM306" s="415" t="s">
        <v>337</v>
      </c>
      <c r="BP306" s="415" t="s">
        <v>337</v>
      </c>
      <c r="BS306" s="415"/>
      <c r="BV306" s="415" t="s">
        <v>337</v>
      </c>
      <c r="BY306" s="415" t="s">
        <v>337</v>
      </c>
      <c r="CB306" s="415" t="s">
        <v>337</v>
      </c>
      <c r="CE306" s="415" t="s">
        <v>337</v>
      </c>
      <c r="CH306" s="415" t="s">
        <v>337</v>
      </c>
      <c r="CK306" s="415" t="s">
        <v>337</v>
      </c>
      <c r="CN306" s="415" t="s">
        <v>337</v>
      </c>
      <c r="CQ306" s="415" t="s">
        <v>337</v>
      </c>
      <c r="CT306" s="415" t="s">
        <v>337</v>
      </c>
    </row>
    <row r="307" spans="1:98">
      <c r="A307" s="1" t="s">
        <v>939</v>
      </c>
      <c r="B307" s="416" t="s">
        <v>3931</v>
      </c>
      <c r="S307" s="213" t="s">
        <v>3932</v>
      </c>
      <c r="T307" s="416" t="s">
        <v>3933</v>
      </c>
      <c r="U307" s="415" t="s">
        <v>337</v>
      </c>
      <c r="X307" s="415"/>
      <c r="AA307" s="415"/>
      <c r="AD307" s="415"/>
      <c r="AE307" s="417" t="s">
        <v>3934</v>
      </c>
      <c r="AF307" s="416" t="s">
        <v>3935</v>
      </c>
      <c r="AG307" s="415"/>
      <c r="AJ307" s="415" t="s">
        <v>337</v>
      </c>
      <c r="AM307" s="415" t="s">
        <v>337</v>
      </c>
      <c r="AP307" s="415" t="s">
        <v>337</v>
      </c>
      <c r="AS307" s="415" t="s">
        <v>337</v>
      </c>
      <c r="AV307" s="415" t="s">
        <v>337</v>
      </c>
      <c r="AY307" s="415" t="s">
        <v>337</v>
      </c>
      <c r="AZ307" s="213" t="s">
        <v>3936</v>
      </c>
      <c r="BA307" s="416" t="s">
        <v>3937</v>
      </c>
      <c r="BB307" s="415" t="s">
        <v>337</v>
      </c>
      <c r="BE307" s="415" t="s">
        <v>337</v>
      </c>
      <c r="BH307" s="415" t="s">
        <v>337</v>
      </c>
      <c r="BM307" s="415" t="s">
        <v>337</v>
      </c>
      <c r="BP307" s="415" t="s">
        <v>337</v>
      </c>
      <c r="BS307" s="415"/>
      <c r="BV307" s="415" t="s">
        <v>337</v>
      </c>
      <c r="BY307" s="415" t="s">
        <v>337</v>
      </c>
      <c r="CB307" s="415" t="s">
        <v>337</v>
      </c>
      <c r="CE307" s="415" t="s">
        <v>337</v>
      </c>
      <c r="CH307" s="415" t="s">
        <v>337</v>
      </c>
      <c r="CK307" s="415" t="s">
        <v>337</v>
      </c>
      <c r="CN307" s="415" t="s">
        <v>337</v>
      </c>
      <c r="CQ307" s="415" t="s">
        <v>337</v>
      </c>
      <c r="CT307" s="415" t="s">
        <v>337</v>
      </c>
    </row>
    <row r="308" spans="1:98">
      <c r="A308" s="1" t="s">
        <v>939</v>
      </c>
      <c r="B308" s="416" t="s">
        <v>3938</v>
      </c>
      <c r="S308" s="213" t="s">
        <v>3939</v>
      </c>
      <c r="T308" s="416" t="s">
        <v>3940</v>
      </c>
      <c r="U308" s="415" t="s">
        <v>337</v>
      </c>
      <c r="X308" s="415"/>
      <c r="AA308" s="415"/>
      <c r="AD308" s="415"/>
      <c r="AE308" s="417" t="s">
        <v>3941</v>
      </c>
      <c r="AF308" s="416" t="s">
        <v>3942</v>
      </c>
      <c r="AG308" s="415"/>
      <c r="AJ308" s="415" t="s">
        <v>337</v>
      </c>
      <c r="AM308" s="415" t="s">
        <v>337</v>
      </c>
      <c r="AP308" s="415" t="s">
        <v>337</v>
      </c>
      <c r="AS308" s="415" t="s">
        <v>337</v>
      </c>
      <c r="AV308" s="415" t="s">
        <v>337</v>
      </c>
      <c r="AY308" s="415" t="s">
        <v>337</v>
      </c>
      <c r="AZ308" s="213" t="s">
        <v>3943</v>
      </c>
      <c r="BA308" s="416" t="s">
        <v>3944</v>
      </c>
      <c r="BB308" s="415" t="s">
        <v>337</v>
      </c>
      <c r="BE308" s="415" t="s">
        <v>337</v>
      </c>
      <c r="BH308" s="415" t="s">
        <v>337</v>
      </c>
      <c r="BM308" s="415" t="s">
        <v>337</v>
      </c>
      <c r="BP308" s="415" t="s">
        <v>337</v>
      </c>
      <c r="BS308" s="415"/>
      <c r="BV308" s="415" t="s">
        <v>337</v>
      </c>
      <c r="BY308" s="415" t="s">
        <v>337</v>
      </c>
      <c r="CB308" s="415" t="s">
        <v>337</v>
      </c>
      <c r="CE308" s="415" t="s">
        <v>337</v>
      </c>
      <c r="CH308" s="415" t="s">
        <v>337</v>
      </c>
      <c r="CK308" s="415" t="s">
        <v>337</v>
      </c>
      <c r="CN308" s="415" t="s">
        <v>337</v>
      </c>
      <c r="CQ308" s="415" t="s">
        <v>337</v>
      </c>
      <c r="CT308" s="415" t="s">
        <v>337</v>
      </c>
    </row>
    <row r="309" spans="1:98">
      <c r="A309" s="1" t="s">
        <v>939</v>
      </c>
      <c r="B309" s="416" t="s">
        <v>3945</v>
      </c>
      <c r="S309" s="213" t="s">
        <v>3946</v>
      </c>
      <c r="T309" s="416" t="s">
        <v>3947</v>
      </c>
      <c r="U309" s="415" t="s">
        <v>337</v>
      </c>
      <c r="X309" s="415"/>
      <c r="AA309" s="415"/>
      <c r="AD309" s="415"/>
      <c r="AE309" s="417" t="s">
        <v>3948</v>
      </c>
      <c r="AF309" s="416" t="s">
        <v>3949</v>
      </c>
      <c r="AG309" s="415"/>
      <c r="AJ309" s="415" t="s">
        <v>337</v>
      </c>
      <c r="AM309" s="415" t="s">
        <v>337</v>
      </c>
      <c r="AP309" s="415" t="s">
        <v>337</v>
      </c>
      <c r="AS309" s="415" t="s">
        <v>337</v>
      </c>
      <c r="AV309" s="415" t="s">
        <v>337</v>
      </c>
      <c r="AY309" s="415" t="s">
        <v>337</v>
      </c>
      <c r="AZ309" s="213" t="s">
        <v>3950</v>
      </c>
      <c r="BA309" s="416" t="s">
        <v>3951</v>
      </c>
      <c r="BB309" s="415" t="s">
        <v>337</v>
      </c>
      <c r="BE309" s="415" t="s">
        <v>337</v>
      </c>
      <c r="BH309" s="415" t="s">
        <v>337</v>
      </c>
      <c r="BM309" s="415" t="s">
        <v>337</v>
      </c>
      <c r="BP309" s="415" t="s">
        <v>337</v>
      </c>
      <c r="BS309" s="415"/>
      <c r="BV309" s="415" t="s">
        <v>337</v>
      </c>
      <c r="BY309" s="415" t="s">
        <v>337</v>
      </c>
      <c r="CB309" s="415" t="s">
        <v>337</v>
      </c>
      <c r="CE309" s="415" t="s">
        <v>337</v>
      </c>
      <c r="CH309" s="415" t="s">
        <v>337</v>
      </c>
      <c r="CK309" s="415" t="s">
        <v>337</v>
      </c>
      <c r="CN309" s="415" t="s">
        <v>337</v>
      </c>
      <c r="CQ309" s="415" t="s">
        <v>337</v>
      </c>
      <c r="CT309" s="415" t="s">
        <v>337</v>
      </c>
    </row>
    <row r="310" spans="1:98">
      <c r="A310" s="1" t="s">
        <v>939</v>
      </c>
      <c r="B310" s="416" t="s">
        <v>3952</v>
      </c>
      <c r="S310" s="213" t="s">
        <v>3953</v>
      </c>
      <c r="T310" s="416" t="s">
        <v>3954</v>
      </c>
      <c r="U310" s="415" t="s">
        <v>337</v>
      </c>
      <c r="X310" s="415"/>
      <c r="AA310" s="415"/>
      <c r="AD310" s="415"/>
      <c r="AE310" s="417" t="s">
        <v>3955</v>
      </c>
      <c r="AF310" s="416" t="s">
        <v>3956</v>
      </c>
      <c r="AG310" s="415"/>
      <c r="AJ310" s="415" t="s">
        <v>337</v>
      </c>
      <c r="AM310" s="415" t="s">
        <v>337</v>
      </c>
      <c r="AP310" s="415" t="s">
        <v>337</v>
      </c>
      <c r="AS310" s="415" t="s">
        <v>337</v>
      </c>
      <c r="AV310" s="415" t="s">
        <v>337</v>
      </c>
      <c r="AY310" s="415" t="s">
        <v>337</v>
      </c>
      <c r="AZ310" s="213" t="s">
        <v>3957</v>
      </c>
      <c r="BA310" s="416" t="s">
        <v>3958</v>
      </c>
      <c r="BB310" s="415" t="s">
        <v>337</v>
      </c>
      <c r="BE310" s="415" t="s">
        <v>337</v>
      </c>
      <c r="BH310" s="415" t="s">
        <v>337</v>
      </c>
      <c r="BM310" s="415" t="s">
        <v>337</v>
      </c>
      <c r="BP310" s="415" t="s">
        <v>337</v>
      </c>
      <c r="BS310" s="415"/>
      <c r="BV310" s="415" t="s">
        <v>337</v>
      </c>
      <c r="BY310" s="415" t="s">
        <v>337</v>
      </c>
      <c r="CB310" s="415" t="s">
        <v>337</v>
      </c>
      <c r="CE310" s="415" t="s">
        <v>337</v>
      </c>
      <c r="CH310" s="415" t="s">
        <v>337</v>
      </c>
      <c r="CK310" s="415" t="s">
        <v>337</v>
      </c>
      <c r="CN310" s="415" t="s">
        <v>337</v>
      </c>
      <c r="CQ310" s="415" t="s">
        <v>337</v>
      </c>
      <c r="CT310" s="415" t="s">
        <v>337</v>
      </c>
    </row>
    <row r="311" spans="1:98">
      <c r="A311" s="1" t="s">
        <v>939</v>
      </c>
      <c r="B311" s="416" t="s">
        <v>3959</v>
      </c>
      <c r="S311" s="213" t="s">
        <v>3960</v>
      </c>
      <c r="T311" s="416" t="s">
        <v>3961</v>
      </c>
      <c r="U311" s="415" t="s">
        <v>337</v>
      </c>
      <c r="X311" s="415"/>
      <c r="AA311" s="415"/>
      <c r="AD311" s="415"/>
      <c r="AE311" s="417" t="s">
        <v>3962</v>
      </c>
      <c r="AF311" s="416" t="s">
        <v>3963</v>
      </c>
      <c r="AG311" s="415"/>
      <c r="AJ311" s="415" t="s">
        <v>337</v>
      </c>
      <c r="AM311" s="415" t="s">
        <v>337</v>
      </c>
      <c r="AP311" s="415" t="s">
        <v>337</v>
      </c>
      <c r="AS311" s="415" t="s">
        <v>337</v>
      </c>
      <c r="AV311" s="415" t="s">
        <v>337</v>
      </c>
      <c r="AY311" s="415" t="s">
        <v>337</v>
      </c>
      <c r="AZ311" s="213" t="s">
        <v>3964</v>
      </c>
      <c r="BA311" s="416" t="s">
        <v>3965</v>
      </c>
      <c r="BB311" s="415" t="s">
        <v>337</v>
      </c>
      <c r="BE311" s="415" t="s">
        <v>337</v>
      </c>
      <c r="BH311" s="415" t="s">
        <v>337</v>
      </c>
      <c r="BM311" s="415" t="s">
        <v>337</v>
      </c>
      <c r="BP311" s="415" t="s">
        <v>337</v>
      </c>
      <c r="BS311" s="415"/>
      <c r="BV311" s="415" t="s">
        <v>337</v>
      </c>
      <c r="BY311" s="415" t="s">
        <v>337</v>
      </c>
      <c r="CB311" s="415" t="s">
        <v>337</v>
      </c>
      <c r="CE311" s="415" t="s">
        <v>337</v>
      </c>
      <c r="CH311" s="415" t="s">
        <v>337</v>
      </c>
      <c r="CK311" s="415" t="s">
        <v>337</v>
      </c>
      <c r="CN311" s="415" t="s">
        <v>337</v>
      </c>
      <c r="CQ311" s="415" t="s">
        <v>337</v>
      </c>
      <c r="CT311" s="415" t="s">
        <v>337</v>
      </c>
    </row>
    <row r="312" spans="1:98">
      <c r="A312" s="1" t="s">
        <v>939</v>
      </c>
      <c r="B312" s="416" t="s">
        <v>3966</v>
      </c>
      <c r="S312" s="213" t="s">
        <v>3967</v>
      </c>
      <c r="T312" s="416" t="s">
        <v>3968</v>
      </c>
      <c r="U312" s="415" t="s">
        <v>337</v>
      </c>
      <c r="X312" s="415"/>
      <c r="AA312" s="415"/>
      <c r="AD312" s="415"/>
      <c r="AE312" s="417" t="s">
        <v>3969</v>
      </c>
      <c r="AF312" s="416" t="s">
        <v>3970</v>
      </c>
      <c r="AG312" s="415"/>
      <c r="AJ312" s="415" t="s">
        <v>337</v>
      </c>
      <c r="AM312" s="415" t="s">
        <v>337</v>
      </c>
      <c r="AP312" s="415" t="s">
        <v>337</v>
      </c>
      <c r="AS312" s="415" t="s">
        <v>337</v>
      </c>
      <c r="AV312" s="415" t="s">
        <v>337</v>
      </c>
      <c r="AY312" s="415" t="s">
        <v>337</v>
      </c>
      <c r="AZ312" s="213" t="s">
        <v>3971</v>
      </c>
      <c r="BA312" s="416" t="s">
        <v>3972</v>
      </c>
      <c r="BB312" s="415" t="s">
        <v>337</v>
      </c>
      <c r="BE312" s="415" t="s">
        <v>337</v>
      </c>
      <c r="BH312" s="415" t="s">
        <v>337</v>
      </c>
      <c r="BM312" s="415" t="s">
        <v>337</v>
      </c>
      <c r="BP312" s="415" t="s">
        <v>337</v>
      </c>
      <c r="BS312" s="415"/>
      <c r="BV312" s="415" t="s">
        <v>337</v>
      </c>
      <c r="BY312" s="415" t="s">
        <v>337</v>
      </c>
      <c r="CB312" s="415" t="s">
        <v>337</v>
      </c>
      <c r="CE312" s="415" t="s">
        <v>337</v>
      </c>
      <c r="CH312" s="415" t="s">
        <v>337</v>
      </c>
      <c r="CK312" s="415" t="s">
        <v>337</v>
      </c>
      <c r="CN312" s="415" t="s">
        <v>337</v>
      </c>
      <c r="CQ312" s="415" t="s">
        <v>337</v>
      </c>
      <c r="CT312" s="415" t="s">
        <v>337</v>
      </c>
    </row>
    <row r="313" spans="1:98">
      <c r="A313" s="1" t="s">
        <v>939</v>
      </c>
      <c r="B313" s="416" t="s">
        <v>3973</v>
      </c>
      <c r="S313" s="213" t="s">
        <v>3974</v>
      </c>
      <c r="T313" s="416" t="s">
        <v>3975</v>
      </c>
      <c r="U313" s="415" t="s">
        <v>337</v>
      </c>
      <c r="X313" s="415"/>
      <c r="AA313" s="415"/>
      <c r="AD313" s="415"/>
      <c r="AE313" s="417" t="s">
        <v>3976</v>
      </c>
      <c r="AF313" s="416" t="s">
        <v>3977</v>
      </c>
      <c r="AG313" s="415"/>
      <c r="AJ313" s="415" t="s">
        <v>337</v>
      </c>
      <c r="AM313" s="415" t="s">
        <v>337</v>
      </c>
      <c r="AP313" s="415" t="s">
        <v>337</v>
      </c>
      <c r="AS313" s="415" t="s">
        <v>337</v>
      </c>
      <c r="AV313" s="415" t="s">
        <v>337</v>
      </c>
      <c r="AY313" s="415" t="s">
        <v>337</v>
      </c>
      <c r="AZ313" s="213" t="s">
        <v>3978</v>
      </c>
      <c r="BA313" s="416" t="s">
        <v>3979</v>
      </c>
      <c r="BB313" s="415" t="s">
        <v>337</v>
      </c>
      <c r="BE313" s="415" t="s">
        <v>337</v>
      </c>
      <c r="BH313" s="415" t="s">
        <v>337</v>
      </c>
      <c r="BM313" s="415" t="s">
        <v>337</v>
      </c>
      <c r="BP313" s="415" t="s">
        <v>337</v>
      </c>
      <c r="BS313" s="415"/>
      <c r="BV313" s="415" t="s">
        <v>337</v>
      </c>
      <c r="BY313" s="415" t="s">
        <v>337</v>
      </c>
      <c r="CB313" s="415" t="s">
        <v>337</v>
      </c>
      <c r="CE313" s="415" t="s">
        <v>337</v>
      </c>
      <c r="CH313" s="415" t="s">
        <v>337</v>
      </c>
      <c r="CK313" s="415" t="s">
        <v>337</v>
      </c>
      <c r="CN313" s="415" t="s">
        <v>337</v>
      </c>
      <c r="CQ313" s="415" t="s">
        <v>337</v>
      </c>
      <c r="CT313" s="415" t="s">
        <v>337</v>
      </c>
    </row>
    <row r="314" spans="1:98">
      <c r="A314" s="1" t="s">
        <v>939</v>
      </c>
      <c r="B314" s="416" t="s">
        <v>3980</v>
      </c>
      <c r="S314" s="213" t="s">
        <v>3981</v>
      </c>
      <c r="T314" s="416" t="s">
        <v>3982</v>
      </c>
      <c r="U314" s="415" t="s">
        <v>337</v>
      </c>
      <c r="X314" s="415"/>
      <c r="AA314" s="415"/>
      <c r="AD314" s="415"/>
      <c r="AE314" s="417" t="s">
        <v>3983</v>
      </c>
      <c r="AF314" s="416" t="s">
        <v>3984</v>
      </c>
      <c r="AG314" s="415"/>
      <c r="AJ314" s="415" t="s">
        <v>337</v>
      </c>
      <c r="AM314" s="415" t="s">
        <v>337</v>
      </c>
      <c r="AP314" s="415" t="s">
        <v>337</v>
      </c>
      <c r="AS314" s="415" t="s">
        <v>337</v>
      </c>
      <c r="AV314" s="415" t="s">
        <v>337</v>
      </c>
      <c r="AY314" s="415" t="s">
        <v>337</v>
      </c>
      <c r="AZ314" s="213" t="s">
        <v>3985</v>
      </c>
      <c r="BA314" s="416" t="s">
        <v>3986</v>
      </c>
      <c r="BB314" s="415" t="s">
        <v>337</v>
      </c>
      <c r="BE314" s="415" t="s">
        <v>337</v>
      </c>
      <c r="BH314" s="415" t="s">
        <v>337</v>
      </c>
      <c r="BM314" s="415" t="s">
        <v>337</v>
      </c>
      <c r="BP314" s="415" t="s">
        <v>337</v>
      </c>
      <c r="BS314" s="415"/>
      <c r="BV314" s="415" t="s">
        <v>337</v>
      </c>
      <c r="BY314" s="415" t="s">
        <v>337</v>
      </c>
      <c r="CB314" s="415" t="s">
        <v>337</v>
      </c>
      <c r="CE314" s="415" t="s">
        <v>337</v>
      </c>
      <c r="CH314" s="415" t="s">
        <v>337</v>
      </c>
      <c r="CK314" s="415" t="s">
        <v>337</v>
      </c>
      <c r="CN314" s="415" t="s">
        <v>337</v>
      </c>
      <c r="CQ314" s="415" t="s">
        <v>337</v>
      </c>
      <c r="CT314" s="415" t="s">
        <v>337</v>
      </c>
    </row>
    <row r="315" spans="1:98">
      <c r="A315" s="1" t="s">
        <v>939</v>
      </c>
      <c r="B315" s="416" t="s">
        <v>3987</v>
      </c>
      <c r="S315" s="213" t="s">
        <v>3988</v>
      </c>
      <c r="T315" s="416" t="s">
        <v>3989</v>
      </c>
      <c r="U315" s="415" t="s">
        <v>337</v>
      </c>
      <c r="X315" s="415"/>
      <c r="AA315" s="415"/>
      <c r="AD315" s="415"/>
      <c r="AE315" s="417" t="s">
        <v>3990</v>
      </c>
      <c r="AF315" s="416" t="s">
        <v>3991</v>
      </c>
      <c r="AG315" s="415"/>
      <c r="AJ315" s="415" t="s">
        <v>337</v>
      </c>
      <c r="AM315" s="415" t="s">
        <v>337</v>
      </c>
      <c r="AP315" s="415" t="s">
        <v>337</v>
      </c>
      <c r="AS315" s="415" t="s">
        <v>337</v>
      </c>
      <c r="AV315" s="415" t="s">
        <v>337</v>
      </c>
      <c r="AY315" s="415" t="s">
        <v>337</v>
      </c>
      <c r="AZ315" s="213" t="s">
        <v>3992</v>
      </c>
      <c r="BA315" s="416" t="s">
        <v>3993</v>
      </c>
      <c r="BB315" s="415" t="s">
        <v>337</v>
      </c>
      <c r="BE315" s="415" t="s">
        <v>337</v>
      </c>
      <c r="BH315" s="415" t="s">
        <v>337</v>
      </c>
      <c r="BM315" s="415" t="s">
        <v>337</v>
      </c>
      <c r="BP315" s="415" t="s">
        <v>337</v>
      </c>
      <c r="BS315" s="415"/>
      <c r="BV315" s="415" t="s">
        <v>337</v>
      </c>
      <c r="BY315" s="415" t="s">
        <v>337</v>
      </c>
      <c r="CB315" s="415" t="s">
        <v>337</v>
      </c>
      <c r="CE315" s="415" t="s">
        <v>337</v>
      </c>
      <c r="CH315" s="415" t="s">
        <v>337</v>
      </c>
      <c r="CK315" s="415" t="s">
        <v>337</v>
      </c>
      <c r="CN315" s="415" t="s">
        <v>337</v>
      </c>
      <c r="CQ315" s="415" t="s">
        <v>337</v>
      </c>
      <c r="CT315" s="415" t="s">
        <v>337</v>
      </c>
    </row>
    <row r="316" spans="1:98">
      <c r="A316" s="1" t="s">
        <v>959</v>
      </c>
      <c r="B316" s="416" t="s">
        <v>3994</v>
      </c>
      <c r="S316" s="213" t="s">
        <v>3995</v>
      </c>
      <c r="T316" s="416" t="s">
        <v>3996</v>
      </c>
      <c r="U316" s="415" t="s">
        <v>337</v>
      </c>
      <c r="X316" s="415"/>
      <c r="AA316" s="415"/>
      <c r="AD316" s="415"/>
      <c r="AE316" s="417" t="s">
        <v>3997</v>
      </c>
      <c r="AF316" s="416" t="s">
        <v>3998</v>
      </c>
      <c r="AG316" s="415"/>
      <c r="AJ316" s="415" t="s">
        <v>337</v>
      </c>
      <c r="AM316" s="415" t="s">
        <v>337</v>
      </c>
      <c r="AP316" s="415" t="s">
        <v>337</v>
      </c>
      <c r="AS316" s="415" t="s">
        <v>337</v>
      </c>
      <c r="AV316" s="415" t="s">
        <v>337</v>
      </c>
      <c r="AY316" s="415" t="s">
        <v>337</v>
      </c>
      <c r="AZ316" s="213" t="s">
        <v>3999</v>
      </c>
      <c r="BA316" s="416" t="s">
        <v>4000</v>
      </c>
      <c r="BB316" s="415" t="s">
        <v>337</v>
      </c>
      <c r="BE316" s="415" t="s">
        <v>337</v>
      </c>
      <c r="BH316" s="415" t="s">
        <v>337</v>
      </c>
      <c r="BM316" s="415" t="s">
        <v>337</v>
      </c>
      <c r="BP316" s="415" t="s">
        <v>337</v>
      </c>
      <c r="BS316" s="415"/>
      <c r="BV316" s="415" t="s">
        <v>337</v>
      </c>
      <c r="BY316" s="415" t="s">
        <v>337</v>
      </c>
      <c r="CB316" s="415" t="s">
        <v>337</v>
      </c>
      <c r="CE316" s="415" t="s">
        <v>337</v>
      </c>
      <c r="CH316" s="415" t="s">
        <v>337</v>
      </c>
      <c r="CK316" s="415" t="s">
        <v>337</v>
      </c>
      <c r="CN316" s="415" t="s">
        <v>337</v>
      </c>
      <c r="CQ316" s="415" t="s">
        <v>337</v>
      </c>
      <c r="CT316" s="415" t="s">
        <v>337</v>
      </c>
    </row>
    <row r="317" spans="1:98">
      <c r="A317" s="1" t="s">
        <v>959</v>
      </c>
      <c r="B317" s="416" t="s">
        <v>4001</v>
      </c>
      <c r="S317" s="213" t="s">
        <v>4002</v>
      </c>
      <c r="T317" s="416" t="s">
        <v>4003</v>
      </c>
      <c r="U317" s="415" t="s">
        <v>337</v>
      </c>
      <c r="X317" s="415"/>
      <c r="AA317" s="415"/>
      <c r="AD317" s="415"/>
      <c r="AE317" s="417" t="s">
        <v>4004</v>
      </c>
      <c r="AF317" s="416" t="s">
        <v>4005</v>
      </c>
      <c r="AG317" s="415"/>
      <c r="AJ317" s="415" t="s">
        <v>337</v>
      </c>
      <c r="AM317" s="415" t="s">
        <v>337</v>
      </c>
      <c r="AP317" s="415" t="s">
        <v>337</v>
      </c>
      <c r="AS317" s="415" t="s">
        <v>337</v>
      </c>
      <c r="AV317" s="415" t="s">
        <v>337</v>
      </c>
      <c r="AY317" s="415" t="s">
        <v>337</v>
      </c>
      <c r="AZ317" s="213" t="s">
        <v>4006</v>
      </c>
      <c r="BA317" s="416" t="s">
        <v>4007</v>
      </c>
      <c r="BB317" s="415" t="s">
        <v>337</v>
      </c>
      <c r="BE317" s="415" t="s">
        <v>337</v>
      </c>
      <c r="BH317" s="415" t="s">
        <v>337</v>
      </c>
      <c r="BM317" s="415" t="s">
        <v>337</v>
      </c>
      <c r="BP317" s="415" t="s">
        <v>337</v>
      </c>
      <c r="BS317" s="415"/>
      <c r="BV317" s="415" t="s">
        <v>337</v>
      </c>
      <c r="BY317" s="415" t="s">
        <v>337</v>
      </c>
      <c r="CB317" s="415" t="s">
        <v>337</v>
      </c>
      <c r="CE317" s="415" t="s">
        <v>337</v>
      </c>
      <c r="CH317" s="415" t="s">
        <v>337</v>
      </c>
      <c r="CK317" s="415" t="s">
        <v>337</v>
      </c>
      <c r="CN317" s="415" t="s">
        <v>337</v>
      </c>
      <c r="CQ317" s="415" t="s">
        <v>337</v>
      </c>
      <c r="CT317" s="415" t="s">
        <v>337</v>
      </c>
    </row>
    <row r="318" spans="1:98">
      <c r="A318" s="1" t="s">
        <v>959</v>
      </c>
      <c r="B318" s="416" t="s">
        <v>4008</v>
      </c>
      <c r="S318" s="213" t="s">
        <v>4009</v>
      </c>
      <c r="T318" s="416" t="s">
        <v>4010</v>
      </c>
      <c r="U318" s="415" t="s">
        <v>337</v>
      </c>
      <c r="X318" s="415"/>
      <c r="AA318" s="415"/>
      <c r="AD318" s="415"/>
      <c r="AE318" s="417" t="s">
        <v>4011</v>
      </c>
      <c r="AF318" s="416" t="s">
        <v>4012</v>
      </c>
      <c r="AG318" s="415"/>
      <c r="AJ318" s="415" t="s">
        <v>337</v>
      </c>
      <c r="AM318" s="415" t="s">
        <v>337</v>
      </c>
      <c r="AP318" s="415" t="s">
        <v>337</v>
      </c>
      <c r="AS318" s="415" t="s">
        <v>337</v>
      </c>
      <c r="AV318" s="415" t="s">
        <v>337</v>
      </c>
      <c r="AY318" s="415" t="s">
        <v>337</v>
      </c>
      <c r="AZ318" s="213" t="s">
        <v>4013</v>
      </c>
      <c r="BA318" s="416" t="s">
        <v>4014</v>
      </c>
      <c r="BB318" s="415" t="s">
        <v>337</v>
      </c>
      <c r="BE318" s="415" t="s">
        <v>337</v>
      </c>
      <c r="BH318" s="415" t="s">
        <v>337</v>
      </c>
      <c r="BM318" s="415" t="s">
        <v>337</v>
      </c>
      <c r="BP318" s="415" t="s">
        <v>337</v>
      </c>
      <c r="BS318" s="415"/>
      <c r="BV318" s="415" t="s">
        <v>337</v>
      </c>
      <c r="BY318" s="415" t="s">
        <v>337</v>
      </c>
      <c r="CB318" s="415" t="s">
        <v>337</v>
      </c>
      <c r="CE318" s="415" t="s">
        <v>337</v>
      </c>
      <c r="CH318" s="415" t="s">
        <v>337</v>
      </c>
      <c r="CK318" s="415" t="s">
        <v>337</v>
      </c>
      <c r="CN318" s="415" t="s">
        <v>337</v>
      </c>
      <c r="CQ318" s="415" t="s">
        <v>337</v>
      </c>
      <c r="CT318" s="415" t="s">
        <v>337</v>
      </c>
    </row>
    <row r="319" spans="1:98">
      <c r="A319" s="1" t="s">
        <v>959</v>
      </c>
      <c r="B319" s="416" t="s">
        <v>2313</v>
      </c>
      <c r="S319" s="213" t="s">
        <v>4015</v>
      </c>
      <c r="T319" s="416" t="s">
        <v>4016</v>
      </c>
      <c r="U319" s="415" t="s">
        <v>337</v>
      </c>
      <c r="X319" s="415"/>
      <c r="AA319" s="415"/>
      <c r="AD319" s="415"/>
      <c r="AE319" s="417" t="s">
        <v>4017</v>
      </c>
      <c r="AF319" s="416" t="s">
        <v>4018</v>
      </c>
      <c r="AG319" s="415"/>
      <c r="AJ319" s="415" t="s">
        <v>337</v>
      </c>
      <c r="AM319" s="415" t="s">
        <v>337</v>
      </c>
      <c r="AP319" s="415" t="s">
        <v>337</v>
      </c>
      <c r="AS319" s="415" t="s">
        <v>337</v>
      </c>
      <c r="AV319" s="415" t="s">
        <v>337</v>
      </c>
      <c r="AY319" s="415" t="s">
        <v>337</v>
      </c>
      <c r="AZ319" s="213" t="s">
        <v>4019</v>
      </c>
      <c r="BA319" s="416" t="s">
        <v>4020</v>
      </c>
      <c r="BB319" s="415" t="s">
        <v>337</v>
      </c>
      <c r="BE319" s="415" t="s">
        <v>337</v>
      </c>
      <c r="BH319" s="415" t="s">
        <v>337</v>
      </c>
      <c r="BM319" s="415" t="s">
        <v>337</v>
      </c>
      <c r="BP319" s="415" t="s">
        <v>337</v>
      </c>
      <c r="BS319" s="415"/>
      <c r="BV319" s="415" t="s">
        <v>337</v>
      </c>
      <c r="BY319" s="415" t="s">
        <v>337</v>
      </c>
      <c r="CB319" s="415" t="s">
        <v>337</v>
      </c>
      <c r="CE319" s="415" t="s">
        <v>337</v>
      </c>
      <c r="CH319" s="415" t="s">
        <v>337</v>
      </c>
      <c r="CK319" s="415" t="s">
        <v>337</v>
      </c>
      <c r="CN319" s="415" t="s">
        <v>337</v>
      </c>
      <c r="CQ319" s="415" t="s">
        <v>337</v>
      </c>
      <c r="CT319" s="415" t="s">
        <v>337</v>
      </c>
    </row>
    <row r="320" spans="1:98">
      <c r="A320" s="1" t="s">
        <v>959</v>
      </c>
      <c r="B320" s="416" t="s">
        <v>4021</v>
      </c>
      <c r="S320" s="213" t="s">
        <v>4022</v>
      </c>
      <c r="T320" s="416" t="s">
        <v>4023</v>
      </c>
      <c r="U320" s="415" t="s">
        <v>337</v>
      </c>
      <c r="X320" s="415"/>
      <c r="AA320" s="415"/>
      <c r="AD320" s="415"/>
      <c r="AE320" s="417" t="s">
        <v>4024</v>
      </c>
      <c r="AF320" s="416" t="s">
        <v>4025</v>
      </c>
      <c r="AG320" s="415"/>
      <c r="AJ320" s="415" t="s">
        <v>337</v>
      </c>
      <c r="AM320" s="415" t="s">
        <v>337</v>
      </c>
      <c r="AP320" s="415" t="s">
        <v>337</v>
      </c>
      <c r="AS320" s="415" t="s">
        <v>337</v>
      </c>
      <c r="AV320" s="415" t="s">
        <v>337</v>
      </c>
      <c r="AY320" s="415" t="s">
        <v>337</v>
      </c>
      <c r="AZ320" s="213" t="s">
        <v>4026</v>
      </c>
      <c r="BA320" s="416" t="s">
        <v>4027</v>
      </c>
      <c r="BB320" s="415" t="s">
        <v>337</v>
      </c>
      <c r="BE320" s="415" t="s">
        <v>337</v>
      </c>
      <c r="BH320" s="415" t="s">
        <v>337</v>
      </c>
      <c r="BM320" s="415" t="s">
        <v>337</v>
      </c>
      <c r="BP320" s="415" t="s">
        <v>337</v>
      </c>
      <c r="BS320" s="415"/>
      <c r="BV320" s="415" t="s">
        <v>337</v>
      </c>
      <c r="BY320" s="415" t="s">
        <v>337</v>
      </c>
      <c r="CB320" s="415" t="s">
        <v>337</v>
      </c>
      <c r="CE320" s="415" t="s">
        <v>337</v>
      </c>
      <c r="CH320" s="415" t="s">
        <v>337</v>
      </c>
      <c r="CK320" s="415" t="s">
        <v>337</v>
      </c>
      <c r="CN320" s="415" t="s">
        <v>337</v>
      </c>
      <c r="CQ320" s="415" t="s">
        <v>337</v>
      </c>
      <c r="CT320" s="415" t="s">
        <v>337</v>
      </c>
    </row>
    <row r="321" spans="1:98">
      <c r="A321" s="1" t="s">
        <v>959</v>
      </c>
      <c r="B321" s="416" t="s">
        <v>4028</v>
      </c>
      <c r="S321" s="213" t="s">
        <v>4029</v>
      </c>
      <c r="T321" s="416" t="s">
        <v>4030</v>
      </c>
      <c r="U321" s="415" t="s">
        <v>337</v>
      </c>
      <c r="X321" s="415"/>
      <c r="AA321" s="415"/>
      <c r="AD321" s="415"/>
      <c r="AE321" s="417" t="s">
        <v>4031</v>
      </c>
      <c r="AF321" s="416" t="s">
        <v>4032</v>
      </c>
      <c r="AG321" s="415"/>
      <c r="AJ321" s="415" t="s">
        <v>337</v>
      </c>
      <c r="AM321" s="415" t="s">
        <v>337</v>
      </c>
      <c r="AP321" s="415" t="s">
        <v>337</v>
      </c>
      <c r="AS321" s="415" t="s">
        <v>337</v>
      </c>
      <c r="AV321" s="415" t="s">
        <v>337</v>
      </c>
      <c r="AY321" s="415" t="s">
        <v>337</v>
      </c>
      <c r="AZ321" s="213" t="s">
        <v>4033</v>
      </c>
      <c r="BA321" s="416" t="s">
        <v>939</v>
      </c>
      <c r="BB321" s="415" t="s">
        <v>337</v>
      </c>
      <c r="BE321" s="415" t="s">
        <v>337</v>
      </c>
      <c r="BH321" s="415" t="s">
        <v>337</v>
      </c>
      <c r="BM321" s="415" t="s">
        <v>337</v>
      </c>
      <c r="BP321" s="415" t="s">
        <v>337</v>
      </c>
      <c r="BS321" s="415"/>
      <c r="BV321" s="415" t="s">
        <v>337</v>
      </c>
      <c r="BY321" s="415" t="s">
        <v>337</v>
      </c>
      <c r="CB321" s="415" t="s">
        <v>337</v>
      </c>
      <c r="CE321" s="415" t="s">
        <v>337</v>
      </c>
      <c r="CH321" s="415" t="s">
        <v>337</v>
      </c>
      <c r="CK321" s="415" t="s">
        <v>337</v>
      </c>
      <c r="CN321" s="415" t="s">
        <v>337</v>
      </c>
      <c r="CQ321" s="415" t="s">
        <v>337</v>
      </c>
      <c r="CT321" s="415" t="s">
        <v>337</v>
      </c>
    </row>
    <row r="322" spans="1:98">
      <c r="A322" s="1" t="s">
        <v>959</v>
      </c>
      <c r="B322" s="416" t="s">
        <v>4034</v>
      </c>
      <c r="S322" s="213" t="s">
        <v>4035</v>
      </c>
      <c r="T322" s="416" t="s">
        <v>4036</v>
      </c>
      <c r="U322" s="415" t="s">
        <v>337</v>
      </c>
      <c r="X322" s="415"/>
      <c r="AA322" s="415"/>
      <c r="AD322" s="415"/>
      <c r="AE322" s="417" t="s">
        <v>4037</v>
      </c>
      <c r="AF322" s="416" t="s">
        <v>4038</v>
      </c>
      <c r="AG322" s="415"/>
      <c r="AJ322" s="415" t="s">
        <v>337</v>
      </c>
      <c r="AM322" s="415" t="s">
        <v>337</v>
      </c>
      <c r="AP322" s="415" t="s">
        <v>337</v>
      </c>
      <c r="AS322" s="415" t="s">
        <v>337</v>
      </c>
      <c r="AV322" s="415" t="s">
        <v>337</v>
      </c>
      <c r="AY322" s="415" t="s">
        <v>337</v>
      </c>
      <c r="AZ322" s="213" t="s">
        <v>4039</v>
      </c>
      <c r="BA322" s="416" t="s">
        <v>4040</v>
      </c>
      <c r="BB322" s="415" t="s">
        <v>337</v>
      </c>
      <c r="BE322" s="415" t="s">
        <v>337</v>
      </c>
      <c r="BH322" s="415" t="s">
        <v>337</v>
      </c>
      <c r="BM322" s="415" t="s">
        <v>337</v>
      </c>
      <c r="BP322" s="415" t="s">
        <v>337</v>
      </c>
      <c r="BS322" s="415"/>
      <c r="BV322" s="415" t="s">
        <v>337</v>
      </c>
      <c r="BY322" s="415" t="s">
        <v>337</v>
      </c>
      <c r="CB322" s="415" t="s">
        <v>337</v>
      </c>
      <c r="CE322" s="415" t="s">
        <v>337</v>
      </c>
      <c r="CH322" s="415" t="s">
        <v>337</v>
      </c>
      <c r="CK322" s="415" t="s">
        <v>337</v>
      </c>
      <c r="CN322" s="415" t="s">
        <v>337</v>
      </c>
      <c r="CQ322" s="415" t="s">
        <v>337</v>
      </c>
      <c r="CT322" s="415" t="s">
        <v>337</v>
      </c>
    </row>
    <row r="323" spans="1:98">
      <c r="A323" s="1" t="s">
        <v>959</v>
      </c>
      <c r="B323" s="416" t="s">
        <v>4041</v>
      </c>
      <c r="S323" s="213" t="s">
        <v>4042</v>
      </c>
      <c r="T323" s="416" t="s">
        <v>4043</v>
      </c>
      <c r="U323" s="415" t="s">
        <v>337</v>
      </c>
      <c r="X323" s="415"/>
      <c r="AA323" s="415"/>
      <c r="AD323" s="415"/>
      <c r="AE323" s="417" t="s">
        <v>4044</v>
      </c>
      <c r="AF323" s="416" t="s">
        <v>4045</v>
      </c>
      <c r="AG323" s="415"/>
      <c r="AJ323" s="415" t="s">
        <v>337</v>
      </c>
      <c r="AM323" s="415" t="s">
        <v>337</v>
      </c>
      <c r="AP323" s="415" t="s">
        <v>337</v>
      </c>
      <c r="AS323" s="415" t="s">
        <v>337</v>
      </c>
      <c r="AV323" s="415" t="s">
        <v>337</v>
      </c>
      <c r="AY323" s="415" t="s">
        <v>337</v>
      </c>
      <c r="AZ323" s="213" t="s">
        <v>4046</v>
      </c>
      <c r="BA323" s="416" t="s">
        <v>4047</v>
      </c>
      <c r="BB323" s="415" t="s">
        <v>337</v>
      </c>
      <c r="BE323" s="415" t="s">
        <v>337</v>
      </c>
      <c r="BH323" s="415" t="s">
        <v>337</v>
      </c>
      <c r="BM323" s="415" t="s">
        <v>337</v>
      </c>
      <c r="BP323" s="415" t="s">
        <v>337</v>
      </c>
      <c r="BS323" s="415"/>
      <c r="BV323" s="415" t="s">
        <v>337</v>
      </c>
      <c r="BY323" s="415" t="s">
        <v>337</v>
      </c>
      <c r="CB323" s="415" t="s">
        <v>337</v>
      </c>
      <c r="CE323" s="415" t="s">
        <v>337</v>
      </c>
      <c r="CH323" s="415" t="s">
        <v>337</v>
      </c>
      <c r="CK323" s="415" t="s">
        <v>337</v>
      </c>
      <c r="CN323" s="415" t="s">
        <v>337</v>
      </c>
      <c r="CQ323" s="415" t="s">
        <v>337</v>
      </c>
      <c r="CT323" s="415" t="s">
        <v>337</v>
      </c>
    </row>
    <row r="324" spans="1:98">
      <c r="A324" s="1" t="s">
        <v>959</v>
      </c>
      <c r="B324" s="416" t="s">
        <v>4048</v>
      </c>
      <c r="S324" s="213" t="s">
        <v>4049</v>
      </c>
      <c r="T324" s="416" t="s">
        <v>4050</v>
      </c>
      <c r="U324" s="415" t="s">
        <v>337</v>
      </c>
      <c r="X324" s="415"/>
      <c r="AA324" s="415"/>
      <c r="AD324" s="415"/>
      <c r="AE324" s="417" t="s">
        <v>4051</v>
      </c>
      <c r="AF324" s="416" t="s">
        <v>4052</v>
      </c>
      <c r="AG324" s="415"/>
      <c r="AJ324" s="415" t="s">
        <v>337</v>
      </c>
      <c r="AM324" s="415" t="s">
        <v>337</v>
      </c>
      <c r="AP324" s="415" t="s">
        <v>337</v>
      </c>
      <c r="AS324" s="415" t="s">
        <v>337</v>
      </c>
      <c r="AV324" s="415" t="s">
        <v>337</v>
      </c>
      <c r="AY324" s="415" t="s">
        <v>337</v>
      </c>
      <c r="AZ324" s="213" t="s">
        <v>4053</v>
      </c>
      <c r="BA324" s="416" t="s">
        <v>4054</v>
      </c>
      <c r="BB324" s="415" t="s">
        <v>337</v>
      </c>
      <c r="BE324" s="415" t="s">
        <v>337</v>
      </c>
      <c r="BH324" s="415" t="s">
        <v>337</v>
      </c>
      <c r="BM324" s="415" t="s">
        <v>337</v>
      </c>
      <c r="BP324" s="415" t="s">
        <v>337</v>
      </c>
      <c r="BS324" s="415"/>
      <c r="BV324" s="415" t="s">
        <v>337</v>
      </c>
      <c r="BY324" s="415" t="s">
        <v>337</v>
      </c>
      <c r="CB324" s="415" t="s">
        <v>337</v>
      </c>
      <c r="CE324" s="415" t="s">
        <v>337</v>
      </c>
      <c r="CH324" s="415" t="s">
        <v>337</v>
      </c>
      <c r="CK324" s="415" t="s">
        <v>337</v>
      </c>
      <c r="CN324" s="415" t="s">
        <v>337</v>
      </c>
      <c r="CQ324" s="415" t="s">
        <v>337</v>
      </c>
      <c r="CT324" s="415" t="s">
        <v>337</v>
      </c>
    </row>
    <row r="325" spans="1:98">
      <c r="A325" s="1" t="s">
        <v>959</v>
      </c>
      <c r="B325" s="416" t="s">
        <v>4055</v>
      </c>
      <c r="S325" s="213" t="s">
        <v>4056</v>
      </c>
      <c r="T325" s="416" t="s">
        <v>4057</v>
      </c>
      <c r="U325" s="415" t="s">
        <v>337</v>
      </c>
      <c r="X325" s="415"/>
      <c r="AA325" s="415"/>
      <c r="AD325" s="415"/>
      <c r="AE325" s="417" t="s">
        <v>4058</v>
      </c>
      <c r="AF325" s="416" t="s">
        <v>4059</v>
      </c>
      <c r="AG325" s="415"/>
      <c r="AJ325" s="415" t="s">
        <v>337</v>
      </c>
      <c r="AM325" s="415" t="s">
        <v>337</v>
      </c>
      <c r="AP325" s="415" t="s">
        <v>337</v>
      </c>
      <c r="AS325" s="415" t="s">
        <v>337</v>
      </c>
      <c r="AV325" s="415" t="s">
        <v>337</v>
      </c>
      <c r="AY325" s="415" t="s">
        <v>337</v>
      </c>
      <c r="AZ325" s="213" t="s">
        <v>4060</v>
      </c>
      <c r="BA325" s="416" t="s">
        <v>757</v>
      </c>
      <c r="BB325" s="415" t="s">
        <v>337</v>
      </c>
      <c r="BE325" s="415" t="s">
        <v>337</v>
      </c>
      <c r="BH325" s="415" t="s">
        <v>337</v>
      </c>
      <c r="BM325" s="415" t="s">
        <v>337</v>
      </c>
      <c r="BP325" s="415" t="s">
        <v>337</v>
      </c>
      <c r="BS325" s="415"/>
      <c r="BV325" s="415" t="s">
        <v>337</v>
      </c>
      <c r="BY325" s="415" t="s">
        <v>337</v>
      </c>
      <c r="CB325" s="415" t="s">
        <v>337</v>
      </c>
      <c r="CE325" s="415" t="s">
        <v>337</v>
      </c>
      <c r="CH325" s="415" t="s">
        <v>337</v>
      </c>
      <c r="CK325" s="415" t="s">
        <v>337</v>
      </c>
      <c r="CN325" s="415" t="s">
        <v>337</v>
      </c>
      <c r="CQ325" s="415" t="s">
        <v>337</v>
      </c>
      <c r="CT325" s="415" t="s">
        <v>337</v>
      </c>
    </row>
    <row r="326" spans="1:98">
      <c r="A326" s="1" t="s">
        <v>959</v>
      </c>
      <c r="B326" s="416" t="s">
        <v>4061</v>
      </c>
      <c r="S326" s="213" t="s">
        <v>4062</v>
      </c>
      <c r="T326" s="416" t="s">
        <v>4063</v>
      </c>
      <c r="U326" s="415" t="s">
        <v>337</v>
      </c>
      <c r="X326" s="415"/>
      <c r="AA326" s="415"/>
      <c r="AD326" s="415"/>
      <c r="AE326" s="417" t="s">
        <v>4064</v>
      </c>
      <c r="AF326" s="416" t="s">
        <v>4065</v>
      </c>
      <c r="AG326" s="415"/>
      <c r="AJ326" s="415" t="s">
        <v>337</v>
      </c>
      <c r="AM326" s="415" t="s">
        <v>337</v>
      </c>
      <c r="AP326" s="415" t="s">
        <v>337</v>
      </c>
      <c r="AS326" s="415" t="s">
        <v>337</v>
      </c>
      <c r="AV326" s="415" t="s">
        <v>337</v>
      </c>
      <c r="AY326" s="415" t="s">
        <v>337</v>
      </c>
      <c r="AZ326" s="213" t="s">
        <v>4066</v>
      </c>
      <c r="BA326" s="416" t="s">
        <v>4067</v>
      </c>
      <c r="BB326" s="415" t="s">
        <v>337</v>
      </c>
      <c r="BE326" s="415" t="s">
        <v>337</v>
      </c>
      <c r="BH326" s="415" t="s">
        <v>337</v>
      </c>
      <c r="BM326" s="415" t="s">
        <v>337</v>
      </c>
      <c r="BP326" s="415" t="s">
        <v>337</v>
      </c>
      <c r="BS326" s="415"/>
      <c r="BV326" s="415" t="s">
        <v>337</v>
      </c>
      <c r="BY326" s="415" t="s">
        <v>337</v>
      </c>
      <c r="CB326" s="415" t="s">
        <v>337</v>
      </c>
      <c r="CE326" s="415" t="s">
        <v>337</v>
      </c>
      <c r="CH326" s="415" t="s">
        <v>337</v>
      </c>
      <c r="CK326" s="415" t="s">
        <v>337</v>
      </c>
      <c r="CN326" s="415" t="s">
        <v>337</v>
      </c>
      <c r="CQ326" s="415" t="s">
        <v>337</v>
      </c>
      <c r="CT326" s="415" t="s">
        <v>337</v>
      </c>
    </row>
    <row r="327" spans="1:98">
      <c r="A327" s="1" t="s">
        <v>959</v>
      </c>
      <c r="B327" s="416" t="s">
        <v>4068</v>
      </c>
      <c r="S327" s="213" t="s">
        <v>4069</v>
      </c>
      <c r="T327" s="416" t="s">
        <v>4070</v>
      </c>
      <c r="U327" s="415" t="s">
        <v>337</v>
      </c>
      <c r="X327" s="415"/>
      <c r="AA327" s="415"/>
      <c r="AD327" s="415"/>
      <c r="AE327" s="417" t="s">
        <v>4071</v>
      </c>
      <c r="AF327" s="416" t="s">
        <v>4072</v>
      </c>
      <c r="AG327" s="415"/>
      <c r="AJ327" s="415" t="s">
        <v>337</v>
      </c>
      <c r="AM327" s="415" t="s">
        <v>337</v>
      </c>
      <c r="AP327" s="415" t="s">
        <v>337</v>
      </c>
      <c r="AS327" s="415" t="s">
        <v>337</v>
      </c>
      <c r="AV327" s="415" t="s">
        <v>337</v>
      </c>
      <c r="AY327" s="415" t="s">
        <v>337</v>
      </c>
      <c r="AZ327" s="213" t="s">
        <v>4073</v>
      </c>
      <c r="BA327" s="416" t="s">
        <v>4074</v>
      </c>
      <c r="BB327" s="415" t="s">
        <v>337</v>
      </c>
      <c r="BE327" s="415" t="s">
        <v>337</v>
      </c>
      <c r="BH327" s="415" t="s">
        <v>337</v>
      </c>
      <c r="BM327" s="415" t="s">
        <v>337</v>
      </c>
      <c r="BP327" s="415" t="s">
        <v>337</v>
      </c>
      <c r="BS327" s="415"/>
      <c r="BV327" s="415" t="s">
        <v>337</v>
      </c>
      <c r="BY327" s="415" t="s">
        <v>337</v>
      </c>
      <c r="CB327" s="415" t="s">
        <v>337</v>
      </c>
      <c r="CE327" s="415" t="s">
        <v>337</v>
      </c>
      <c r="CH327" s="415" t="s">
        <v>337</v>
      </c>
      <c r="CK327" s="415" t="s">
        <v>337</v>
      </c>
      <c r="CN327" s="415" t="s">
        <v>337</v>
      </c>
      <c r="CQ327" s="415" t="s">
        <v>337</v>
      </c>
      <c r="CT327" s="415" t="s">
        <v>337</v>
      </c>
    </row>
    <row r="328" spans="1:98">
      <c r="A328" s="1" t="s">
        <v>959</v>
      </c>
      <c r="B328" s="416" t="s">
        <v>4068</v>
      </c>
      <c r="S328" s="213" t="s">
        <v>4075</v>
      </c>
      <c r="T328" s="416" t="s">
        <v>4076</v>
      </c>
      <c r="U328" s="415" t="s">
        <v>337</v>
      </c>
      <c r="X328" s="415"/>
      <c r="AA328" s="415"/>
      <c r="AD328" s="415"/>
      <c r="AE328" s="417" t="s">
        <v>4077</v>
      </c>
      <c r="AF328" s="416" t="s">
        <v>4078</v>
      </c>
      <c r="AG328" s="415"/>
      <c r="AJ328" s="415" t="s">
        <v>337</v>
      </c>
      <c r="AM328" s="415" t="s">
        <v>337</v>
      </c>
      <c r="AP328" s="415" t="s">
        <v>337</v>
      </c>
      <c r="AS328" s="415" t="s">
        <v>337</v>
      </c>
      <c r="AV328" s="415" t="s">
        <v>337</v>
      </c>
      <c r="AY328" s="415" t="s">
        <v>337</v>
      </c>
      <c r="AZ328" s="213" t="s">
        <v>4079</v>
      </c>
      <c r="BA328" s="416" t="s">
        <v>781</v>
      </c>
      <c r="BB328" s="415" t="s">
        <v>337</v>
      </c>
      <c r="BE328" s="415" t="s">
        <v>337</v>
      </c>
      <c r="BH328" s="415" t="s">
        <v>337</v>
      </c>
      <c r="BM328" s="415" t="s">
        <v>337</v>
      </c>
      <c r="BP328" s="415" t="s">
        <v>337</v>
      </c>
      <c r="BS328" s="415"/>
      <c r="BV328" s="415" t="s">
        <v>337</v>
      </c>
      <c r="BY328" s="415" t="s">
        <v>337</v>
      </c>
      <c r="CB328" s="415" t="s">
        <v>337</v>
      </c>
      <c r="CE328" s="415" t="s">
        <v>337</v>
      </c>
      <c r="CH328" s="415" t="s">
        <v>337</v>
      </c>
      <c r="CK328" s="415" t="s">
        <v>337</v>
      </c>
      <c r="CN328" s="415" t="s">
        <v>337</v>
      </c>
      <c r="CQ328" s="415" t="s">
        <v>337</v>
      </c>
      <c r="CT328" s="415" t="s">
        <v>337</v>
      </c>
    </row>
    <row r="329" spans="1:98">
      <c r="A329" s="1" t="s">
        <v>959</v>
      </c>
      <c r="B329" s="416" t="s">
        <v>4080</v>
      </c>
      <c r="S329" s="213" t="s">
        <v>4081</v>
      </c>
      <c r="T329" s="416" t="s">
        <v>4082</v>
      </c>
      <c r="U329" s="415" t="s">
        <v>337</v>
      </c>
      <c r="X329" s="415"/>
      <c r="AA329" s="415"/>
      <c r="AD329" s="415"/>
      <c r="AE329" s="417" t="s">
        <v>4083</v>
      </c>
      <c r="AF329" s="416" t="s">
        <v>4084</v>
      </c>
      <c r="AG329" s="415"/>
      <c r="AJ329" s="415" t="s">
        <v>337</v>
      </c>
      <c r="AM329" s="415" t="s">
        <v>337</v>
      </c>
      <c r="AP329" s="415" t="s">
        <v>337</v>
      </c>
      <c r="AS329" s="415" t="s">
        <v>337</v>
      </c>
      <c r="AV329" s="415" t="s">
        <v>337</v>
      </c>
      <c r="AY329" s="415" t="s">
        <v>337</v>
      </c>
      <c r="AZ329" s="213" t="s">
        <v>4085</v>
      </c>
      <c r="BA329" s="416" t="s">
        <v>4086</v>
      </c>
      <c r="BB329" s="415" t="s">
        <v>337</v>
      </c>
      <c r="BE329" s="415" t="s">
        <v>337</v>
      </c>
      <c r="BH329" s="415" t="s">
        <v>337</v>
      </c>
      <c r="BM329" s="415" t="s">
        <v>337</v>
      </c>
      <c r="BP329" s="415" t="s">
        <v>337</v>
      </c>
      <c r="BS329" s="415"/>
      <c r="BV329" s="415" t="s">
        <v>337</v>
      </c>
      <c r="BY329" s="415" t="s">
        <v>337</v>
      </c>
      <c r="CB329" s="415" t="s">
        <v>337</v>
      </c>
      <c r="CE329" s="415" t="s">
        <v>337</v>
      </c>
      <c r="CH329" s="415" t="s">
        <v>337</v>
      </c>
      <c r="CK329" s="415" t="s">
        <v>337</v>
      </c>
      <c r="CN329" s="415" t="s">
        <v>337</v>
      </c>
      <c r="CQ329" s="415" t="s">
        <v>337</v>
      </c>
      <c r="CT329" s="415" t="s">
        <v>337</v>
      </c>
    </row>
    <row r="330" spans="1:98">
      <c r="A330" s="1" t="s">
        <v>959</v>
      </c>
      <c r="B330" s="416" t="s">
        <v>4087</v>
      </c>
      <c r="S330" s="213" t="s">
        <v>4088</v>
      </c>
      <c r="T330" s="416" t="s">
        <v>4089</v>
      </c>
      <c r="U330" s="415" t="s">
        <v>337</v>
      </c>
      <c r="X330" s="415"/>
      <c r="AA330" s="415"/>
      <c r="AD330" s="415"/>
      <c r="AE330" s="417" t="s">
        <v>4090</v>
      </c>
      <c r="AF330" s="416" t="s">
        <v>4091</v>
      </c>
      <c r="AG330" s="415"/>
      <c r="AJ330" s="415" t="s">
        <v>337</v>
      </c>
      <c r="AM330" s="415" t="s">
        <v>337</v>
      </c>
      <c r="AP330" s="415" t="s">
        <v>337</v>
      </c>
      <c r="AS330" s="415" t="s">
        <v>337</v>
      </c>
      <c r="AV330" s="415" t="s">
        <v>337</v>
      </c>
      <c r="AY330" s="415" t="s">
        <v>337</v>
      </c>
      <c r="AZ330" s="213" t="s">
        <v>4092</v>
      </c>
      <c r="BA330" s="416" t="s">
        <v>4093</v>
      </c>
      <c r="BB330" s="415" t="s">
        <v>337</v>
      </c>
      <c r="BE330" s="415" t="s">
        <v>337</v>
      </c>
      <c r="BH330" s="415" t="s">
        <v>337</v>
      </c>
      <c r="BM330" s="415" t="s">
        <v>337</v>
      </c>
      <c r="BP330" s="415" t="s">
        <v>337</v>
      </c>
      <c r="BS330" s="415"/>
      <c r="BV330" s="415" t="s">
        <v>337</v>
      </c>
      <c r="BY330" s="415" t="s">
        <v>337</v>
      </c>
      <c r="CB330" s="415" t="s">
        <v>337</v>
      </c>
      <c r="CE330" s="415" t="s">
        <v>337</v>
      </c>
      <c r="CH330" s="415" t="s">
        <v>337</v>
      </c>
      <c r="CK330" s="415" t="s">
        <v>337</v>
      </c>
      <c r="CN330" s="415" t="s">
        <v>337</v>
      </c>
      <c r="CQ330" s="415" t="s">
        <v>337</v>
      </c>
      <c r="CT330" s="415" t="s">
        <v>337</v>
      </c>
    </row>
    <row r="331" spans="1:98">
      <c r="A331" s="1" t="s">
        <v>959</v>
      </c>
      <c r="B331" s="416" t="s">
        <v>4094</v>
      </c>
      <c r="S331" s="213" t="s">
        <v>4095</v>
      </c>
      <c r="T331" s="416" t="s">
        <v>4096</v>
      </c>
      <c r="U331" s="415" t="s">
        <v>337</v>
      </c>
      <c r="X331" s="415"/>
      <c r="AA331" s="415"/>
      <c r="AD331" s="415"/>
      <c r="AE331" s="417" t="s">
        <v>4097</v>
      </c>
      <c r="AF331" s="416" t="s">
        <v>4098</v>
      </c>
      <c r="AG331" s="415"/>
      <c r="AJ331" s="415" t="s">
        <v>337</v>
      </c>
      <c r="AM331" s="415" t="s">
        <v>337</v>
      </c>
      <c r="AP331" s="415" t="s">
        <v>337</v>
      </c>
      <c r="AS331" s="415" t="s">
        <v>337</v>
      </c>
      <c r="AV331" s="415" t="s">
        <v>337</v>
      </c>
      <c r="AY331" s="415" t="s">
        <v>337</v>
      </c>
      <c r="AZ331" s="213" t="s">
        <v>4099</v>
      </c>
      <c r="BA331" s="416" t="s">
        <v>4100</v>
      </c>
      <c r="BB331" s="415" t="s">
        <v>337</v>
      </c>
      <c r="BE331" s="415" t="s">
        <v>337</v>
      </c>
      <c r="BH331" s="415" t="s">
        <v>337</v>
      </c>
      <c r="BM331" s="415" t="s">
        <v>337</v>
      </c>
      <c r="BP331" s="415" t="s">
        <v>337</v>
      </c>
      <c r="BS331" s="415"/>
      <c r="BV331" s="415" t="s">
        <v>337</v>
      </c>
      <c r="BY331" s="415" t="s">
        <v>337</v>
      </c>
      <c r="CB331" s="415" t="s">
        <v>337</v>
      </c>
      <c r="CE331" s="415" t="s">
        <v>337</v>
      </c>
      <c r="CH331" s="415" t="s">
        <v>337</v>
      </c>
      <c r="CK331" s="415" t="s">
        <v>337</v>
      </c>
      <c r="CN331" s="415" t="s">
        <v>337</v>
      </c>
      <c r="CQ331" s="415" t="s">
        <v>337</v>
      </c>
      <c r="CT331" s="415" t="s">
        <v>337</v>
      </c>
    </row>
    <row r="332" spans="1:98">
      <c r="A332" s="1" t="s">
        <v>959</v>
      </c>
      <c r="B332" s="416" t="s">
        <v>4101</v>
      </c>
      <c r="S332" s="213" t="s">
        <v>4102</v>
      </c>
      <c r="T332" s="416" t="s">
        <v>4103</v>
      </c>
      <c r="U332" s="415" t="s">
        <v>337</v>
      </c>
      <c r="X332" s="415"/>
      <c r="AA332" s="415"/>
      <c r="AD332" s="415"/>
      <c r="AE332" s="417" t="s">
        <v>4104</v>
      </c>
      <c r="AF332" s="416" t="s">
        <v>4105</v>
      </c>
      <c r="AG332" s="415"/>
      <c r="AJ332" s="415" t="s">
        <v>337</v>
      </c>
      <c r="AM332" s="415" t="s">
        <v>337</v>
      </c>
      <c r="AP332" s="415" t="s">
        <v>337</v>
      </c>
      <c r="AS332" s="415" t="s">
        <v>337</v>
      </c>
      <c r="AV332" s="415" t="s">
        <v>337</v>
      </c>
      <c r="AY332" s="415" t="s">
        <v>337</v>
      </c>
      <c r="AZ332" s="213" t="s">
        <v>4106</v>
      </c>
      <c r="BA332" s="416" t="s">
        <v>4107</v>
      </c>
      <c r="BB332" s="415" t="s">
        <v>337</v>
      </c>
      <c r="BE332" s="415" t="s">
        <v>337</v>
      </c>
      <c r="BH332" s="415" t="s">
        <v>337</v>
      </c>
      <c r="BM332" s="415" t="s">
        <v>337</v>
      </c>
      <c r="BP332" s="415" t="s">
        <v>337</v>
      </c>
      <c r="BS332" s="415"/>
      <c r="BV332" s="415" t="s">
        <v>337</v>
      </c>
      <c r="BY332" s="415" t="s">
        <v>337</v>
      </c>
      <c r="CB332" s="415" t="s">
        <v>337</v>
      </c>
      <c r="CE332" s="415" t="s">
        <v>337</v>
      </c>
      <c r="CH332" s="415" t="s">
        <v>337</v>
      </c>
      <c r="CK332" s="415" t="s">
        <v>337</v>
      </c>
      <c r="CN332" s="415" t="s">
        <v>337</v>
      </c>
      <c r="CQ332" s="415" t="s">
        <v>337</v>
      </c>
      <c r="CT332" s="415" t="s">
        <v>337</v>
      </c>
    </row>
    <row r="333" spans="1:98">
      <c r="A333" s="1" t="s">
        <v>959</v>
      </c>
      <c r="B333" s="416" t="s">
        <v>4108</v>
      </c>
      <c r="S333" s="213" t="s">
        <v>4109</v>
      </c>
      <c r="T333" s="416" t="s">
        <v>4110</v>
      </c>
      <c r="U333" s="415" t="s">
        <v>337</v>
      </c>
      <c r="X333" s="415"/>
      <c r="AA333" s="415"/>
      <c r="AD333" s="415"/>
      <c r="AE333" s="417" t="s">
        <v>4111</v>
      </c>
      <c r="AF333" s="416" t="s">
        <v>4112</v>
      </c>
      <c r="AG333" s="415"/>
      <c r="AJ333" s="415" t="s">
        <v>337</v>
      </c>
      <c r="AM333" s="415" t="s">
        <v>337</v>
      </c>
      <c r="AP333" s="415" t="s">
        <v>337</v>
      </c>
      <c r="AS333" s="415" t="s">
        <v>337</v>
      </c>
      <c r="AV333" s="415" t="s">
        <v>337</v>
      </c>
      <c r="AY333" s="415" t="s">
        <v>337</v>
      </c>
      <c r="AZ333" s="213" t="s">
        <v>4113</v>
      </c>
      <c r="BA333" s="416" t="s">
        <v>4114</v>
      </c>
      <c r="BB333" s="415" t="s">
        <v>337</v>
      </c>
      <c r="BE333" s="415" t="s">
        <v>337</v>
      </c>
      <c r="BH333" s="415" t="s">
        <v>337</v>
      </c>
      <c r="BM333" s="415" t="s">
        <v>337</v>
      </c>
      <c r="BP333" s="415" t="s">
        <v>337</v>
      </c>
      <c r="BS333" s="415"/>
      <c r="BV333" s="415" t="s">
        <v>337</v>
      </c>
      <c r="BY333" s="415" t="s">
        <v>337</v>
      </c>
      <c r="CB333" s="415" t="s">
        <v>337</v>
      </c>
      <c r="CE333" s="415" t="s">
        <v>337</v>
      </c>
      <c r="CH333" s="415" t="s">
        <v>337</v>
      </c>
      <c r="CK333" s="415" t="s">
        <v>337</v>
      </c>
      <c r="CN333" s="415" t="s">
        <v>337</v>
      </c>
      <c r="CQ333" s="415" t="s">
        <v>337</v>
      </c>
      <c r="CT333" s="415" t="s">
        <v>337</v>
      </c>
    </row>
    <row r="334" spans="1:98">
      <c r="A334" s="1" t="s">
        <v>959</v>
      </c>
      <c r="B334" s="416" t="s">
        <v>4115</v>
      </c>
      <c r="S334" s="213" t="s">
        <v>4116</v>
      </c>
      <c r="T334" s="416" t="s">
        <v>4117</v>
      </c>
      <c r="U334" s="415" t="s">
        <v>337</v>
      </c>
      <c r="X334" s="415"/>
      <c r="AA334" s="415"/>
      <c r="AD334" s="415"/>
      <c r="AE334" s="417" t="s">
        <v>4118</v>
      </c>
      <c r="AF334" s="416" t="s">
        <v>4119</v>
      </c>
      <c r="AG334" s="415"/>
      <c r="AJ334" s="415" t="s">
        <v>337</v>
      </c>
      <c r="AM334" s="415" t="s">
        <v>337</v>
      </c>
      <c r="AP334" s="415" t="s">
        <v>337</v>
      </c>
      <c r="AS334" s="415" t="s">
        <v>337</v>
      </c>
      <c r="AV334" s="415" t="s">
        <v>337</v>
      </c>
      <c r="AY334" s="415" t="s">
        <v>337</v>
      </c>
      <c r="AZ334" s="213" t="s">
        <v>4120</v>
      </c>
      <c r="BA334" s="416" t="s">
        <v>1283</v>
      </c>
      <c r="BB334" s="415" t="s">
        <v>337</v>
      </c>
      <c r="BE334" s="415" t="s">
        <v>337</v>
      </c>
      <c r="BH334" s="415" t="s">
        <v>337</v>
      </c>
      <c r="BM334" s="415" t="s">
        <v>337</v>
      </c>
      <c r="BP334" s="415" t="s">
        <v>337</v>
      </c>
      <c r="BS334" s="415"/>
      <c r="BV334" s="415" t="s">
        <v>337</v>
      </c>
      <c r="BY334" s="415" t="s">
        <v>337</v>
      </c>
      <c r="CB334" s="415" t="s">
        <v>337</v>
      </c>
      <c r="CE334" s="415" t="s">
        <v>337</v>
      </c>
      <c r="CH334" s="415" t="s">
        <v>337</v>
      </c>
      <c r="CK334" s="415" t="s">
        <v>337</v>
      </c>
      <c r="CN334" s="415" t="s">
        <v>337</v>
      </c>
      <c r="CQ334" s="415" t="s">
        <v>337</v>
      </c>
      <c r="CT334" s="415" t="s">
        <v>337</v>
      </c>
    </row>
    <row r="335" spans="1:98">
      <c r="A335" s="1" t="s">
        <v>959</v>
      </c>
      <c r="B335" s="416" t="s">
        <v>4121</v>
      </c>
      <c r="S335" s="213" t="s">
        <v>4122</v>
      </c>
      <c r="T335" s="416" t="s">
        <v>4123</v>
      </c>
      <c r="U335" s="415" t="s">
        <v>337</v>
      </c>
      <c r="X335" s="415"/>
      <c r="AA335" s="415"/>
      <c r="AD335" s="415"/>
      <c r="AE335" s="417" t="s">
        <v>4124</v>
      </c>
      <c r="AF335" s="416" t="s">
        <v>4125</v>
      </c>
      <c r="AG335" s="415"/>
      <c r="AJ335" s="415" t="s">
        <v>337</v>
      </c>
      <c r="AM335" s="415" t="s">
        <v>337</v>
      </c>
      <c r="AP335" s="415" t="s">
        <v>337</v>
      </c>
      <c r="AS335" s="415" t="s">
        <v>337</v>
      </c>
      <c r="AV335" s="415" t="s">
        <v>337</v>
      </c>
      <c r="AY335" s="415" t="s">
        <v>337</v>
      </c>
      <c r="AZ335" s="213" t="s">
        <v>4126</v>
      </c>
      <c r="BA335" s="416" t="s">
        <v>959</v>
      </c>
      <c r="BB335" s="415" t="s">
        <v>337</v>
      </c>
      <c r="BE335" s="415" t="s">
        <v>337</v>
      </c>
      <c r="BH335" s="415" t="s">
        <v>337</v>
      </c>
      <c r="BM335" s="415" t="s">
        <v>337</v>
      </c>
      <c r="BP335" s="415" t="s">
        <v>337</v>
      </c>
      <c r="BS335" s="415"/>
      <c r="BV335" s="415" t="s">
        <v>337</v>
      </c>
      <c r="BY335" s="415" t="s">
        <v>337</v>
      </c>
      <c r="CB335" s="415" t="s">
        <v>337</v>
      </c>
      <c r="CE335" s="415" t="s">
        <v>337</v>
      </c>
      <c r="CH335" s="415" t="s">
        <v>337</v>
      </c>
      <c r="CK335" s="415" t="s">
        <v>337</v>
      </c>
      <c r="CN335" s="415" t="s">
        <v>337</v>
      </c>
      <c r="CQ335" s="415" t="s">
        <v>337</v>
      </c>
      <c r="CT335" s="415" t="s">
        <v>337</v>
      </c>
    </row>
    <row r="336" spans="1:98">
      <c r="A336" s="1" t="s">
        <v>959</v>
      </c>
      <c r="B336" s="416" t="s">
        <v>4127</v>
      </c>
      <c r="S336" s="213" t="s">
        <v>4128</v>
      </c>
      <c r="T336" s="416" t="s">
        <v>4129</v>
      </c>
      <c r="U336" s="415" t="s">
        <v>337</v>
      </c>
      <c r="X336" s="415"/>
      <c r="AA336" s="415"/>
      <c r="AD336" s="415"/>
      <c r="AE336" s="417" t="s">
        <v>4130</v>
      </c>
      <c r="AF336" s="416" t="s">
        <v>4131</v>
      </c>
      <c r="AG336" s="415"/>
      <c r="AJ336" s="415" t="s">
        <v>337</v>
      </c>
      <c r="AM336" s="415" t="s">
        <v>337</v>
      </c>
      <c r="AP336" s="415" t="s">
        <v>337</v>
      </c>
      <c r="AS336" s="415" t="s">
        <v>337</v>
      </c>
      <c r="AV336" s="415" t="s">
        <v>337</v>
      </c>
      <c r="AY336" s="415" t="s">
        <v>337</v>
      </c>
      <c r="AZ336" s="213" t="s">
        <v>4132</v>
      </c>
      <c r="BA336" s="416" t="s">
        <v>4133</v>
      </c>
      <c r="BB336" s="415" t="s">
        <v>337</v>
      </c>
      <c r="BE336" s="415" t="s">
        <v>337</v>
      </c>
      <c r="BH336" s="415" t="s">
        <v>337</v>
      </c>
      <c r="BM336" s="415" t="s">
        <v>337</v>
      </c>
      <c r="BP336" s="415" t="s">
        <v>337</v>
      </c>
      <c r="BS336" s="415"/>
      <c r="BV336" s="415" t="s">
        <v>337</v>
      </c>
      <c r="BY336" s="415" t="s">
        <v>337</v>
      </c>
      <c r="CB336" s="415" t="s">
        <v>337</v>
      </c>
      <c r="CE336" s="415" t="s">
        <v>337</v>
      </c>
      <c r="CH336" s="415" t="s">
        <v>337</v>
      </c>
      <c r="CK336" s="415" t="s">
        <v>337</v>
      </c>
      <c r="CN336" s="415" t="s">
        <v>337</v>
      </c>
      <c r="CQ336" s="415" t="s">
        <v>337</v>
      </c>
      <c r="CT336" s="415" t="s">
        <v>337</v>
      </c>
    </row>
    <row r="337" spans="1:98">
      <c r="A337" s="1" t="s">
        <v>959</v>
      </c>
      <c r="B337" s="416" t="s">
        <v>4134</v>
      </c>
      <c r="S337" s="213" t="s">
        <v>4135</v>
      </c>
      <c r="T337" s="416" t="s">
        <v>4136</v>
      </c>
      <c r="U337" s="415" t="s">
        <v>337</v>
      </c>
      <c r="X337" s="415"/>
      <c r="AA337" s="415"/>
      <c r="AD337" s="415"/>
      <c r="AE337" s="417" t="s">
        <v>4137</v>
      </c>
      <c r="AF337" s="416" t="s">
        <v>4138</v>
      </c>
      <c r="AG337" s="415"/>
      <c r="AJ337" s="415" t="s">
        <v>337</v>
      </c>
      <c r="AM337" s="415" t="s">
        <v>337</v>
      </c>
      <c r="AP337" s="415" t="s">
        <v>337</v>
      </c>
      <c r="AS337" s="415" t="s">
        <v>337</v>
      </c>
      <c r="AV337" s="415" t="s">
        <v>337</v>
      </c>
      <c r="AY337" s="415" t="s">
        <v>337</v>
      </c>
      <c r="AZ337" s="213" t="s">
        <v>4139</v>
      </c>
      <c r="BA337" s="416" t="s">
        <v>4140</v>
      </c>
      <c r="BB337" s="415" t="s">
        <v>337</v>
      </c>
      <c r="BE337" s="415" t="s">
        <v>337</v>
      </c>
      <c r="BH337" s="415" t="s">
        <v>337</v>
      </c>
      <c r="BM337" s="415" t="s">
        <v>337</v>
      </c>
      <c r="BP337" s="415" t="s">
        <v>337</v>
      </c>
      <c r="BS337" s="415"/>
      <c r="BV337" s="415" t="s">
        <v>337</v>
      </c>
      <c r="BY337" s="415" t="s">
        <v>337</v>
      </c>
      <c r="CB337" s="415" t="s">
        <v>337</v>
      </c>
      <c r="CE337" s="415" t="s">
        <v>337</v>
      </c>
      <c r="CH337" s="415" t="s">
        <v>337</v>
      </c>
      <c r="CK337" s="415" t="s">
        <v>337</v>
      </c>
      <c r="CN337" s="415" t="s">
        <v>337</v>
      </c>
      <c r="CQ337" s="415" t="s">
        <v>337</v>
      </c>
      <c r="CT337" s="415" t="s">
        <v>337</v>
      </c>
    </row>
    <row r="338" spans="1:98">
      <c r="A338" s="1" t="s">
        <v>959</v>
      </c>
      <c r="B338" s="416" t="s">
        <v>4141</v>
      </c>
      <c r="S338" s="213" t="s">
        <v>4142</v>
      </c>
      <c r="T338" s="416" t="s">
        <v>4143</v>
      </c>
      <c r="U338" s="415" t="s">
        <v>337</v>
      </c>
      <c r="X338" s="415"/>
      <c r="AA338" s="415"/>
      <c r="AD338" s="415"/>
      <c r="AE338" s="417" t="s">
        <v>4144</v>
      </c>
      <c r="AF338" s="416" t="s">
        <v>4145</v>
      </c>
      <c r="AG338" s="415"/>
      <c r="AJ338" s="415" t="s">
        <v>337</v>
      </c>
      <c r="AM338" s="415" t="s">
        <v>337</v>
      </c>
      <c r="AP338" s="415" t="s">
        <v>337</v>
      </c>
      <c r="AS338" s="415" t="s">
        <v>337</v>
      </c>
      <c r="AV338" s="415" t="s">
        <v>337</v>
      </c>
      <c r="AY338" s="415" t="s">
        <v>337</v>
      </c>
      <c r="AZ338" s="213" t="s">
        <v>4146</v>
      </c>
      <c r="BA338" s="416" t="s">
        <v>4147</v>
      </c>
      <c r="BB338" s="415" t="s">
        <v>337</v>
      </c>
      <c r="BE338" s="415" t="s">
        <v>337</v>
      </c>
      <c r="BH338" s="415" t="s">
        <v>337</v>
      </c>
      <c r="BM338" s="415" t="s">
        <v>337</v>
      </c>
      <c r="BP338" s="415" t="s">
        <v>337</v>
      </c>
      <c r="BS338" s="415"/>
      <c r="BV338" s="415" t="s">
        <v>337</v>
      </c>
      <c r="BY338" s="415" t="s">
        <v>337</v>
      </c>
      <c r="CB338" s="415" t="s">
        <v>337</v>
      </c>
      <c r="CE338" s="415" t="s">
        <v>337</v>
      </c>
      <c r="CH338" s="415" t="s">
        <v>337</v>
      </c>
      <c r="CK338" s="415" t="s">
        <v>337</v>
      </c>
      <c r="CN338" s="415" t="s">
        <v>337</v>
      </c>
      <c r="CQ338" s="415" t="s">
        <v>337</v>
      </c>
      <c r="CT338" s="415" t="s">
        <v>337</v>
      </c>
    </row>
    <row r="339" spans="1:98">
      <c r="A339" s="1" t="s">
        <v>959</v>
      </c>
      <c r="B339" s="416" t="s">
        <v>4148</v>
      </c>
      <c r="S339" s="213" t="s">
        <v>4149</v>
      </c>
      <c r="T339" s="416" t="s">
        <v>4150</v>
      </c>
      <c r="U339" s="415" t="s">
        <v>337</v>
      </c>
      <c r="X339" s="415"/>
      <c r="AA339" s="415"/>
      <c r="AD339" s="415"/>
      <c r="AE339" s="417" t="s">
        <v>4151</v>
      </c>
      <c r="AF339" s="416" t="s">
        <v>4152</v>
      </c>
      <c r="AG339" s="415"/>
      <c r="AJ339" s="415" t="s">
        <v>337</v>
      </c>
      <c r="AM339" s="415" t="s">
        <v>337</v>
      </c>
      <c r="AP339" s="415" t="s">
        <v>337</v>
      </c>
      <c r="AS339" s="415" t="s">
        <v>337</v>
      </c>
      <c r="AV339" s="415" t="s">
        <v>337</v>
      </c>
      <c r="AY339" s="415" t="s">
        <v>337</v>
      </c>
      <c r="AZ339" s="213" t="s">
        <v>4153</v>
      </c>
      <c r="BA339" s="416" t="s">
        <v>4154</v>
      </c>
      <c r="BB339" s="415" t="s">
        <v>337</v>
      </c>
      <c r="BE339" s="415" t="s">
        <v>337</v>
      </c>
      <c r="BH339" s="415" t="s">
        <v>337</v>
      </c>
      <c r="BM339" s="415" t="s">
        <v>337</v>
      </c>
      <c r="BP339" s="415" t="s">
        <v>337</v>
      </c>
      <c r="BS339" s="415"/>
      <c r="BV339" s="415" t="s">
        <v>337</v>
      </c>
      <c r="BY339" s="415" t="s">
        <v>337</v>
      </c>
      <c r="CB339" s="415" t="s">
        <v>337</v>
      </c>
      <c r="CE339" s="415" t="s">
        <v>337</v>
      </c>
      <c r="CH339" s="415" t="s">
        <v>337</v>
      </c>
      <c r="CK339" s="415" t="s">
        <v>337</v>
      </c>
      <c r="CN339" s="415" t="s">
        <v>337</v>
      </c>
      <c r="CQ339" s="415" t="s">
        <v>337</v>
      </c>
      <c r="CT339" s="415" t="s">
        <v>337</v>
      </c>
    </row>
    <row r="340" spans="1:98">
      <c r="A340" s="1" t="s">
        <v>976</v>
      </c>
      <c r="B340" s="416" t="s">
        <v>4155</v>
      </c>
      <c r="S340" s="213" t="s">
        <v>4156</v>
      </c>
      <c r="T340" s="416" t="s">
        <v>4157</v>
      </c>
      <c r="U340" s="415" t="s">
        <v>337</v>
      </c>
      <c r="X340" s="415"/>
      <c r="AA340" s="415"/>
      <c r="AD340" s="415"/>
      <c r="AE340" s="417" t="s">
        <v>4158</v>
      </c>
      <c r="AF340" s="416" t="s">
        <v>4159</v>
      </c>
      <c r="AG340" s="415"/>
      <c r="AJ340" s="415" t="s">
        <v>337</v>
      </c>
      <c r="AM340" s="415" t="s">
        <v>337</v>
      </c>
      <c r="AP340" s="415" t="s">
        <v>337</v>
      </c>
      <c r="AS340" s="415" t="s">
        <v>337</v>
      </c>
      <c r="AV340" s="415" t="s">
        <v>337</v>
      </c>
      <c r="AY340" s="415" t="s">
        <v>337</v>
      </c>
      <c r="AZ340" s="213" t="s">
        <v>4160</v>
      </c>
      <c r="BA340" s="416" t="s">
        <v>4161</v>
      </c>
      <c r="BB340" s="415" t="s">
        <v>337</v>
      </c>
      <c r="BE340" s="415" t="s">
        <v>337</v>
      </c>
      <c r="BH340" s="415" t="s">
        <v>337</v>
      </c>
      <c r="BM340" s="415" t="s">
        <v>337</v>
      </c>
      <c r="BP340" s="415" t="s">
        <v>337</v>
      </c>
      <c r="BS340" s="415"/>
      <c r="BV340" s="415" t="s">
        <v>337</v>
      </c>
      <c r="BY340" s="415" t="s">
        <v>337</v>
      </c>
      <c r="CB340" s="415" t="s">
        <v>337</v>
      </c>
      <c r="CE340" s="415" t="s">
        <v>337</v>
      </c>
      <c r="CH340" s="415" t="s">
        <v>337</v>
      </c>
      <c r="CK340" s="415" t="s">
        <v>337</v>
      </c>
      <c r="CN340" s="415" t="s">
        <v>337</v>
      </c>
      <c r="CQ340" s="415" t="s">
        <v>337</v>
      </c>
      <c r="CT340" s="415" t="s">
        <v>337</v>
      </c>
    </row>
    <row r="341" spans="1:98">
      <c r="A341" s="1" t="s">
        <v>976</v>
      </c>
      <c r="B341" s="416" t="s">
        <v>4162</v>
      </c>
      <c r="S341" s="213" t="s">
        <v>4163</v>
      </c>
      <c r="T341" s="416" t="s">
        <v>4164</v>
      </c>
      <c r="U341" s="415" t="s">
        <v>337</v>
      </c>
      <c r="X341" s="415"/>
      <c r="AA341" s="415"/>
      <c r="AD341" s="415"/>
      <c r="AE341" s="417" t="s">
        <v>4165</v>
      </c>
      <c r="AF341" s="416" t="s">
        <v>4166</v>
      </c>
      <c r="AG341" s="415"/>
      <c r="AJ341" s="415" t="s">
        <v>337</v>
      </c>
      <c r="AM341" s="415" t="s">
        <v>337</v>
      </c>
      <c r="AP341" s="415" t="s">
        <v>337</v>
      </c>
      <c r="AS341" s="415" t="s">
        <v>337</v>
      </c>
      <c r="AV341" s="415" t="s">
        <v>337</v>
      </c>
      <c r="AY341" s="415" t="s">
        <v>337</v>
      </c>
      <c r="AZ341" s="213" t="s">
        <v>4167</v>
      </c>
      <c r="BA341" s="416" t="s">
        <v>4168</v>
      </c>
      <c r="BB341" s="415" t="s">
        <v>337</v>
      </c>
      <c r="BE341" s="415" t="s">
        <v>337</v>
      </c>
      <c r="BH341" s="415" t="s">
        <v>337</v>
      </c>
      <c r="BM341" s="415" t="s">
        <v>337</v>
      </c>
      <c r="BP341" s="415" t="s">
        <v>337</v>
      </c>
      <c r="BS341" s="415"/>
      <c r="BV341" s="415" t="s">
        <v>337</v>
      </c>
      <c r="BY341" s="415" t="s">
        <v>337</v>
      </c>
      <c r="CB341" s="415" t="s">
        <v>337</v>
      </c>
      <c r="CE341" s="415" t="s">
        <v>337</v>
      </c>
      <c r="CH341" s="415" t="s">
        <v>337</v>
      </c>
      <c r="CK341" s="415" t="s">
        <v>337</v>
      </c>
      <c r="CN341" s="415" t="s">
        <v>337</v>
      </c>
      <c r="CQ341" s="415" t="s">
        <v>337</v>
      </c>
      <c r="CT341" s="415" t="s">
        <v>337</v>
      </c>
    </row>
    <row r="342" spans="1:98">
      <c r="A342" s="1" t="s">
        <v>976</v>
      </c>
      <c r="B342" s="416" t="s">
        <v>4169</v>
      </c>
      <c r="S342" s="213" t="s">
        <v>4170</v>
      </c>
      <c r="T342" s="416" t="s">
        <v>4171</v>
      </c>
      <c r="U342" s="415" t="s">
        <v>337</v>
      </c>
      <c r="X342" s="415"/>
      <c r="AA342" s="415"/>
      <c r="AD342" s="415"/>
      <c r="AE342" s="417" t="s">
        <v>4172</v>
      </c>
      <c r="AF342" s="416" t="s">
        <v>4173</v>
      </c>
      <c r="AG342" s="415"/>
      <c r="AJ342" s="415" t="s">
        <v>337</v>
      </c>
      <c r="AM342" s="415" t="s">
        <v>337</v>
      </c>
      <c r="AP342" s="415" t="s">
        <v>337</v>
      </c>
      <c r="AS342" s="415" t="s">
        <v>337</v>
      </c>
      <c r="AV342" s="415" t="s">
        <v>337</v>
      </c>
      <c r="AY342" s="415" t="s">
        <v>337</v>
      </c>
      <c r="AZ342" s="213" t="s">
        <v>4174</v>
      </c>
      <c r="BA342" s="416" t="s">
        <v>4175</v>
      </c>
      <c r="BB342" s="415" t="s">
        <v>337</v>
      </c>
      <c r="BE342" s="415" t="s">
        <v>337</v>
      </c>
      <c r="BH342" s="415" t="s">
        <v>337</v>
      </c>
      <c r="BM342" s="415" t="s">
        <v>337</v>
      </c>
      <c r="BP342" s="415" t="s">
        <v>337</v>
      </c>
      <c r="BS342" s="415"/>
      <c r="BV342" s="415" t="s">
        <v>337</v>
      </c>
      <c r="BY342" s="415" t="s">
        <v>337</v>
      </c>
      <c r="CB342" s="415" t="s">
        <v>337</v>
      </c>
      <c r="CE342" s="415" t="s">
        <v>337</v>
      </c>
      <c r="CH342" s="415" t="s">
        <v>337</v>
      </c>
      <c r="CK342" s="415" t="s">
        <v>337</v>
      </c>
      <c r="CN342" s="415" t="s">
        <v>337</v>
      </c>
      <c r="CQ342" s="415" t="s">
        <v>337</v>
      </c>
      <c r="CT342" s="415" t="s">
        <v>337</v>
      </c>
    </row>
    <row r="343" spans="1:98">
      <c r="A343" s="1" t="s">
        <v>976</v>
      </c>
      <c r="B343" s="416" t="s">
        <v>4176</v>
      </c>
      <c r="S343" s="213" t="s">
        <v>4177</v>
      </c>
      <c r="T343" s="416" t="s">
        <v>4178</v>
      </c>
      <c r="U343" s="415" t="s">
        <v>337</v>
      </c>
      <c r="X343" s="415"/>
      <c r="AA343" s="415"/>
      <c r="AD343" s="415"/>
      <c r="AE343" s="417" t="s">
        <v>4179</v>
      </c>
      <c r="AF343" s="416" t="s">
        <v>4180</v>
      </c>
      <c r="AG343" s="415"/>
      <c r="AJ343" s="415" t="s">
        <v>337</v>
      </c>
      <c r="AM343" s="415" t="s">
        <v>337</v>
      </c>
      <c r="AP343" s="415" t="s">
        <v>337</v>
      </c>
      <c r="AS343" s="415" t="s">
        <v>337</v>
      </c>
      <c r="AV343" s="415" t="s">
        <v>337</v>
      </c>
      <c r="AY343" s="415" t="s">
        <v>337</v>
      </c>
      <c r="AZ343" s="213" t="s">
        <v>4181</v>
      </c>
      <c r="BA343" s="416" t="s">
        <v>4182</v>
      </c>
      <c r="BB343" s="415" t="s">
        <v>337</v>
      </c>
      <c r="BE343" s="415" t="s">
        <v>337</v>
      </c>
      <c r="BH343" s="415" t="s">
        <v>337</v>
      </c>
      <c r="BM343" s="415" t="s">
        <v>337</v>
      </c>
      <c r="BP343" s="415" t="s">
        <v>337</v>
      </c>
      <c r="BS343" s="415"/>
      <c r="BV343" s="415" t="s">
        <v>337</v>
      </c>
      <c r="BY343" s="415" t="s">
        <v>337</v>
      </c>
      <c r="CB343" s="415" t="s">
        <v>337</v>
      </c>
      <c r="CE343" s="415" t="s">
        <v>337</v>
      </c>
      <c r="CH343" s="415" t="s">
        <v>337</v>
      </c>
      <c r="CK343" s="415" t="s">
        <v>337</v>
      </c>
      <c r="CN343" s="415" t="s">
        <v>337</v>
      </c>
      <c r="CQ343" s="415" t="s">
        <v>337</v>
      </c>
      <c r="CT343" s="415" t="s">
        <v>337</v>
      </c>
    </row>
    <row r="344" spans="1:98">
      <c r="A344" s="1" t="s">
        <v>976</v>
      </c>
      <c r="B344" s="416" t="s">
        <v>4183</v>
      </c>
      <c r="S344" s="213" t="s">
        <v>4184</v>
      </c>
      <c r="T344" s="416" t="s">
        <v>4185</v>
      </c>
      <c r="U344" s="415" t="s">
        <v>337</v>
      </c>
      <c r="X344" s="415"/>
      <c r="AA344" s="415"/>
      <c r="AD344" s="415"/>
      <c r="AE344" s="417" t="s">
        <v>4186</v>
      </c>
      <c r="AF344" s="416" t="s">
        <v>4187</v>
      </c>
      <c r="AG344" s="415"/>
      <c r="AJ344" s="415" t="s">
        <v>337</v>
      </c>
      <c r="AM344" s="415" t="s">
        <v>337</v>
      </c>
      <c r="AP344" s="415" t="s">
        <v>337</v>
      </c>
      <c r="AS344" s="415" t="s">
        <v>337</v>
      </c>
      <c r="AV344" s="415" t="s">
        <v>337</v>
      </c>
      <c r="AY344" s="415" t="s">
        <v>337</v>
      </c>
      <c r="AZ344" s="213" t="s">
        <v>4188</v>
      </c>
      <c r="BA344" s="416" t="s">
        <v>4189</v>
      </c>
      <c r="BB344" s="415" t="s">
        <v>337</v>
      </c>
      <c r="BE344" s="415" t="s">
        <v>337</v>
      </c>
      <c r="BH344" s="415" t="s">
        <v>337</v>
      </c>
      <c r="BM344" s="415" t="s">
        <v>337</v>
      </c>
      <c r="BP344" s="415" t="s">
        <v>337</v>
      </c>
      <c r="BS344" s="415"/>
      <c r="BV344" s="415" t="s">
        <v>337</v>
      </c>
      <c r="BY344" s="415" t="s">
        <v>337</v>
      </c>
      <c r="CB344" s="415" t="s">
        <v>337</v>
      </c>
      <c r="CE344" s="415" t="s">
        <v>337</v>
      </c>
      <c r="CH344" s="415" t="s">
        <v>337</v>
      </c>
      <c r="CK344" s="415" t="s">
        <v>337</v>
      </c>
      <c r="CN344" s="415" t="s">
        <v>337</v>
      </c>
      <c r="CQ344" s="415" t="s">
        <v>337</v>
      </c>
      <c r="CT344" s="415" t="s">
        <v>337</v>
      </c>
    </row>
    <row r="345" spans="1:98">
      <c r="A345" s="1" t="s">
        <v>976</v>
      </c>
      <c r="B345" s="416" t="s">
        <v>4190</v>
      </c>
      <c r="S345" s="213" t="s">
        <v>4191</v>
      </c>
      <c r="T345" s="416" t="s">
        <v>4192</v>
      </c>
      <c r="U345" s="415" t="s">
        <v>337</v>
      </c>
      <c r="X345" s="415"/>
      <c r="AA345" s="415"/>
      <c r="AD345" s="415"/>
      <c r="AE345" s="417" t="s">
        <v>4193</v>
      </c>
      <c r="AF345" s="416" t="s">
        <v>4194</v>
      </c>
      <c r="AG345" s="415"/>
      <c r="AJ345" s="415" t="s">
        <v>337</v>
      </c>
      <c r="AM345" s="415" t="s">
        <v>337</v>
      </c>
      <c r="AP345" s="415" t="s">
        <v>337</v>
      </c>
      <c r="AS345" s="415" t="s">
        <v>337</v>
      </c>
      <c r="AV345" s="415" t="s">
        <v>337</v>
      </c>
      <c r="AY345" s="415" t="s">
        <v>337</v>
      </c>
      <c r="AZ345" s="213" t="s">
        <v>4195</v>
      </c>
      <c r="BA345" s="416" t="s">
        <v>4196</v>
      </c>
      <c r="BB345" s="415" t="s">
        <v>337</v>
      </c>
      <c r="BE345" s="415" t="s">
        <v>337</v>
      </c>
      <c r="BH345" s="415" t="s">
        <v>337</v>
      </c>
      <c r="BM345" s="415" t="s">
        <v>337</v>
      </c>
      <c r="BP345" s="415" t="s">
        <v>337</v>
      </c>
      <c r="BS345" s="415"/>
      <c r="BV345" s="415" t="s">
        <v>337</v>
      </c>
      <c r="BY345" s="415" t="s">
        <v>337</v>
      </c>
      <c r="CB345" s="415" t="s">
        <v>337</v>
      </c>
      <c r="CE345" s="415" t="s">
        <v>337</v>
      </c>
      <c r="CH345" s="415" t="s">
        <v>337</v>
      </c>
      <c r="CK345" s="415" t="s">
        <v>337</v>
      </c>
      <c r="CN345" s="415" t="s">
        <v>337</v>
      </c>
      <c r="CQ345" s="415" t="s">
        <v>337</v>
      </c>
      <c r="CT345" s="415" t="s">
        <v>337</v>
      </c>
    </row>
    <row r="346" spans="1:98">
      <c r="A346" s="1" t="s">
        <v>976</v>
      </c>
      <c r="B346" s="416" t="s">
        <v>4197</v>
      </c>
      <c r="S346" s="213" t="s">
        <v>4198</v>
      </c>
      <c r="T346" s="416" t="s">
        <v>4199</v>
      </c>
      <c r="U346" s="415" t="s">
        <v>337</v>
      </c>
      <c r="X346" s="415"/>
      <c r="AA346" s="415"/>
      <c r="AD346" s="415"/>
      <c r="AE346" s="417" t="s">
        <v>4200</v>
      </c>
      <c r="AF346" s="416" t="s">
        <v>4201</v>
      </c>
      <c r="AG346" s="415"/>
      <c r="AJ346" s="415" t="s">
        <v>337</v>
      </c>
      <c r="AM346" s="415" t="s">
        <v>337</v>
      </c>
      <c r="AP346" s="415" t="s">
        <v>337</v>
      </c>
      <c r="AS346" s="415" t="s">
        <v>337</v>
      </c>
      <c r="AV346" s="415" t="s">
        <v>337</v>
      </c>
      <c r="AY346" s="415" t="s">
        <v>337</v>
      </c>
      <c r="AZ346" s="213" t="s">
        <v>4202</v>
      </c>
      <c r="BA346" s="416" t="s">
        <v>4203</v>
      </c>
      <c r="BB346" s="415" t="s">
        <v>337</v>
      </c>
      <c r="BE346" s="415" t="s">
        <v>337</v>
      </c>
      <c r="BH346" s="415" t="s">
        <v>337</v>
      </c>
      <c r="BM346" s="415" t="s">
        <v>337</v>
      </c>
      <c r="BP346" s="415" t="s">
        <v>337</v>
      </c>
      <c r="BS346" s="415"/>
      <c r="BV346" s="415" t="s">
        <v>337</v>
      </c>
      <c r="BY346" s="415" t="s">
        <v>337</v>
      </c>
      <c r="CB346" s="415" t="s">
        <v>337</v>
      </c>
      <c r="CE346" s="415" t="s">
        <v>337</v>
      </c>
      <c r="CH346" s="415" t="s">
        <v>337</v>
      </c>
      <c r="CK346" s="415" t="s">
        <v>337</v>
      </c>
      <c r="CN346" s="415" t="s">
        <v>337</v>
      </c>
      <c r="CQ346" s="415" t="s">
        <v>337</v>
      </c>
      <c r="CT346" s="415" t="s">
        <v>337</v>
      </c>
    </row>
    <row r="347" spans="1:98">
      <c r="A347" s="1" t="s">
        <v>976</v>
      </c>
      <c r="B347" s="416" t="s">
        <v>4204</v>
      </c>
      <c r="S347" s="213" t="s">
        <v>4205</v>
      </c>
      <c r="T347" s="416" t="s">
        <v>4206</v>
      </c>
      <c r="U347" s="415" t="s">
        <v>337</v>
      </c>
      <c r="X347" s="415"/>
      <c r="AA347" s="415"/>
      <c r="AD347" s="415"/>
      <c r="AE347" s="417" t="s">
        <v>4207</v>
      </c>
      <c r="AF347" s="416" t="s">
        <v>4208</v>
      </c>
      <c r="AG347" s="415"/>
      <c r="AJ347" s="415" t="s">
        <v>337</v>
      </c>
      <c r="AM347" s="415" t="s">
        <v>337</v>
      </c>
      <c r="AP347" s="415" t="s">
        <v>337</v>
      </c>
      <c r="AS347" s="415" t="s">
        <v>337</v>
      </c>
      <c r="AV347" s="415" t="s">
        <v>337</v>
      </c>
      <c r="AY347" s="415" t="s">
        <v>337</v>
      </c>
      <c r="AZ347" s="213" t="s">
        <v>4209</v>
      </c>
      <c r="BA347" s="416" t="s">
        <v>4210</v>
      </c>
      <c r="BB347" s="415" t="s">
        <v>337</v>
      </c>
      <c r="BE347" s="415" t="s">
        <v>337</v>
      </c>
      <c r="BH347" s="415" t="s">
        <v>337</v>
      </c>
      <c r="BM347" s="415" t="s">
        <v>337</v>
      </c>
      <c r="BP347" s="415" t="s">
        <v>337</v>
      </c>
      <c r="BS347" s="415"/>
      <c r="BV347" s="415" t="s">
        <v>337</v>
      </c>
      <c r="BY347" s="415" t="s">
        <v>337</v>
      </c>
      <c r="CB347" s="415" t="s">
        <v>337</v>
      </c>
      <c r="CE347" s="415" t="s">
        <v>337</v>
      </c>
      <c r="CH347" s="415" t="s">
        <v>337</v>
      </c>
      <c r="CK347" s="415" t="s">
        <v>337</v>
      </c>
      <c r="CN347" s="415" t="s">
        <v>337</v>
      </c>
      <c r="CQ347" s="415" t="s">
        <v>337</v>
      </c>
      <c r="CT347" s="415" t="s">
        <v>337</v>
      </c>
    </row>
    <row r="348" spans="1:98">
      <c r="A348" s="1" t="s">
        <v>976</v>
      </c>
      <c r="B348" s="416" t="s">
        <v>4211</v>
      </c>
      <c r="S348" s="213" t="s">
        <v>4212</v>
      </c>
      <c r="T348" s="416" t="s">
        <v>4213</v>
      </c>
      <c r="U348" s="415" t="s">
        <v>337</v>
      </c>
      <c r="X348" s="415"/>
      <c r="AA348" s="415"/>
      <c r="AD348" s="415"/>
      <c r="AE348" s="417" t="s">
        <v>4214</v>
      </c>
      <c r="AF348" s="416" t="s">
        <v>4215</v>
      </c>
      <c r="AG348" s="415"/>
      <c r="AJ348" s="415" t="s">
        <v>337</v>
      </c>
      <c r="AM348" s="415" t="s">
        <v>337</v>
      </c>
      <c r="AP348" s="415" t="s">
        <v>337</v>
      </c>
      <c r="AS348" s="415" t="s">
        <v>337</v>
      </c>
      <c r="AV348" s="415" t="s">
        <v>337</v>
      </c>
      <c r="AY348" s="415" t="s">
        <v>337</v>
      </c>
      <c r="AZ348" s="213" t="s">
        <v>4216</v>
      </c>
      <c r="BA348" s="416" t="s">
        <v>4217</v>
      </c>
      <c r="BB348" s="415" t="s">
        <v>337</v>
      </c>
      <c r="BE348" s="415" t="s">
        <v>337</v>
      </c>
      <c r="BH348" s="415" t="s">
        <v>337</v>
      </c>
      <c r="BM348" s="415" t="s">
        <v>337</v>
      </c>
      <c r="BP348" s="415" t="s">
        <v>337</v>
      </c>
      <c r="BS348" s="415"/>
      <c r="BV348" s="415" t="s">
        <v>337</v>
      </c>
      <c r="BY348" s="415" t="s">
        <v>337</v>
      </c>
      <c r="CB348" s="415" t="s">
        <v>337</v>
      </c>
      <c r="CE348" s="415" t="s">
        <v>337</v>
      </c>
      <c r="CH348" s="415" t="s">
        <v>337</v>
      </c>
      <c r="CK348" s="415" t="s">
        <v>337</v>
      </c>
      <c r="CN348" s="415" t="s">
        <v>337</v>
      </c>
      <c r="CQ348" s="415" t="s">
        <v>337</v>
      </c>
      <c r="CT348" s="415" t="s">
        <v>337</v>
      </c>
    </row>
    <row r="349" spans="1:98">
      <c r="A349" s="1" t="s">
        <v>976</v>
      </c>
      <c r="B349" s="416" t="s">
        <v>4218</v>
      </c>
      <c r="S349" s="213" t="s">
        <v>4219</v>
      </c>
      <c r="T349" s="416" t="s">
        <v>4220</v>
      </c>
      <c r="U349" s="415" t="s">
        <v>337</v>
      </c>
      <c r="X349" s="415"/>
      <c r="AA349" s="415"/>
      <c r="AD349" s="415"/>
      <c r="AE349" s="417" t="s">
        <v>4221</v>
      </c>
      <c r="AF349" s="416" t="s">
        <v>4222</v>
      </c>
      <c r="AG349" s="415"/>
      <c r="AJ349" s="415" t="s">
        <v>337</v>
      </c>
      <c r="AM349" s="415" t="s">
        <v>337</v>
      </c>
      <c r="AP349" s="415" t="s">
        <v>337</v>
      </c>
      <c r="AS349" s="415" t="s">
        <v>337</v>
      </c>
      <c r="AV349" s="415" t="s">
        <v>337</v>
      </c>
      <c r="AY349" s="415" t="s">
        <v>337</v>
      </c>
      <c r="AZ349" s="213" t="s">
        <v>4223</v>
      </c>
      <c r="BA349" s="416" t="s">
        <v>4224</v>
      </c>
      <c r="BB349" s="415" t="s">
        <v>337</v>
      </c>
      <c r="BE349" s="415" t="s">
        <v>337</v>
      </c>
      <c r="BH349" s="415" t="s">
        <v>337</v>
      </c>
      <c r="BM349" s="415" t="s">
        <v>337</v>
      </c>
      <c r="BP349" s="415" t="s">
        <v>337</v>
      </c>
      <c r="BS349" s="415"/>
      <c r="BV349" s="415" t="s">
        <v>337</v>
      </c>
      <c r="BY349" s="415" t="s">
        <v>337</v>
      </c>
      <c r="CB349" s="415" t="s">
        <v>337</v>
      </c>
      <c r="CE349" s="415" t="s">
        <v>337</v>
      </c>
      <c r="CH349" s="415" t="s">
        <v>337</v>
      </c>
      <c r="CK349" s="415" t="s">
        <v>337</v>
      </c>
      <c r="CN349" s="415" t="s">
        <v>337</v>
      </c>
      <c r="CQ349" s="415" t="s">
        <v>337</v>
      </c>
      <c r="CT349" s="415" t="s">
        <v>337</v>
      </c>
    </row>
    <row r="350" spans="1:98">
      <c r="A350" s="1" t="s">
        <v>976</v>
      </c>
      <c r="B350" s="416" t="s">
        <v>4225</v>
      </c>
      <c r="S350" s="213" t="s">
        <v>4226</v>
      </c>
      <c r="T350" s="416" t="s">
        <v>4227</v>
      </c>
      <c r="U350" s="415" t="s">
        <v>337</v>
      </c>
      <c r="X350" s="415"/>
      <c r="AA350" s="415"/>
      <c r="AD350" s="415"/>
      <c r="AE350" s="417" t="s">
        <v>4228</v>
      </c>
      <c r="AF350" s="416" t="s">
        <v>4229</v>
      </c>
      <c r="AG350" s="415"/>
      <c r="AJ350" s="415" t="s">
        <v>337</v>
      </c>
      <c r="AM350" s="415" t="s">
        <v>337</v>
      </c>
      <c r="AP350" s="415" t="s">
        <v>337</v>
      </c>
      <c r="AS350" s="415" t="s">
        <v>337</v>
      </c>
      <c r="AV350" s="415" t="s">
        <v>337</v>
      </c>
      <c r="AY350" s="415" t="s">
        <v>337</v>
      </c>
      <c r="AZ350" s="213" t="s">
        <v>4230</v>
      </c>
      <c r="BA350" s="416" t="s">
        <v>4231</v>
      </c>
      <c r="BB350" s="415" t="s">
        <v>337</v>
      </c>
      <c r="BE350" s="415" t="s">
        <v>337</v>
      </c>
      <c r="BH350" s="415" t="s">
        <v>337</v>
      </c>
      <c r="BM350" s="415" t="s">
        <v>337</v>
      </c>
      <c r="BP350" s="415" t="s">
        <v>337</v>
      </c>
      <c r="BS350" s="415"/>
      <c r="BV350" s="415" t="s">
        <v>337</v>
      </c>
      <c r="BY350" s="415" t="s">
        <v>337</v>
      </c>
      <c r="CB350" s="415" t="s">
        <v>337</v>
      </c>
      <c r="CE350" s="415" t="s">
        <v>337</v>
      </c>
      <c r="CH350" s="415" t="s">
        <v>337</v>
      </c>
      <c r="CK350" s="415" t="s">
        <v>337</v>
      </c>
      <c r="CN350" s="415" t="s">
        <v>337</v>
      </c>
      <c r="CQ350" s="415" t="s">
        <v>337</v>
      </c>
      <c r="CT350" s="415" t="s">
        <v>337</v>
      </c>
    </row>
    <row r="351" spans="1:98">
      <c r="A351" s="1" t="s">
        <v>976</v>
      </c>
      <c r="B351" s="416" t="s">
        <v>4232</v>
      </c>
      <c r="S351" s="213" t="s">
        <v>4233</v>
      </c>
      <c r="T351" s="416" t="s">
        <v>4234</v>
      </c>
      <c r="U351" s="415" t="s">
        <v>337</v>
      </c>
      <c r="X351" s="415"/>
      <c r="AA351" s="415"/>
      <c r="AD351" s="415"/>
      <c r="AE351" s="417" t="s">
        <v>4235</v>
      </c>
      <c r="AF351" s="416" t="s">
        <v>4236</v>
      </c>
      <c r="AG351" s="415"/>
      <c r="AJ351" s="415" t="s">
        <v>337</v>
      </c>
      <c r="AM351" s="415" t="s">
        <v>337</v>
      </c>
      <c r="AP351" s="415" t="s">
        <v>337</v>
      </c>
      <c r="AS351" s="415" t="s">
        <v>337</v>
      </c>
      <c r="AV351" s="415" t="s">
        <v>337</v>
      </c>
      <c r="AY351" s="415" t="s">
        <v>337</v>
      </c>
      <c r="AZ351" s="213" t="s">
        <v>4237</v>
      </c>
      <c r="BA351" s="416" t="s">
        <v>4238</v>
      </c>
      <c r="BB351" s="415" t="s">
        <v>337</v>
      </c>
      <c r="BE351" s="415" t="s">
        <v>337</v>
      </c>
      <c r="BH351" s="415" t="s">
        <v>337</v>
      </c>
      <c r="BM351" s="415" t="s">
        <v>337</v>
      </c>
      <c r="BP351" s="415" t="s">
        <v>337</v>
      </c>
      <c r="BS351" s="415"/>
      <c r="BV351" s="415" t="s">
        <v>337</v>
      </c>
      <c r="BY351" s="415" t="s">
        <v>337</v>
      </c>
      <c r="CB351" s="415" t="s">
        <v>337</v>
      </c>
      <c r="CE351" s="415" t="s">
        <v>337</v>
      </c>
      <c r="CH351" s="415" t="s">
        <v>337</v>
      </c>
      <c r="CK351" s="415" t="s">
        <v>337</v>
      </c>
      <c r="CN351" s="415" t="s">
        <v>337</v>
      </c>
      <c r="CQ351" s="415" t="s">
        <v>337</v>
      </c>
      <c r="CT351" s="415" t="s">
        <v>337</v>
      </c>
    </row>
    <row r="352" spans="1:98">
      <c r="A352" s="1" t="s">
        <v>976</v>
      </c>
      <c r="B352" s="416" t="s">
        <v>4239</v>
      </c>
      <c r="S352" s="213" t="s">
        <v>4240</v>
      </c>
      <c r="T352" s="416" t="s">
        <v>4241</v>
      </c>
      <c r="U352" s="415" t="s">
        <v>337</v>
      </c>
      <c r="X352" s="415"/>
      <c r="AA352" s="415"/>
      <c r="AD352" s="415"/>
      <c r="AE352" s="417" t="s">
        <v>4242</v>
      </c>
      <c r="AF352" s="416" t="s">
        <v>4243</v>
      </c>
      <c r="AG352" s="415"/>
      <c r="AJ352" s="415" t="s">
        <v>337</v>
      </c>
      <c r="AM352" s="415" t="s">
        <v>337</v>
      </c>
      <c r="AP352" s="415" t="s">
        <v>337</v>
      </c>
      <c r="AS352" s="415" t="s">
        <v>337</v>
      </c>
      <c r="AV352" s="415" t="s">
        <v>337</v>
      </c>
      <c r="AY352" s="415" t="s">
        <v>337</v>
      </c>
      <c r="AZ352" s="213" t="s">
        <v>4244</v>
      </c>
      <c r="BA352" s="416" t="s">
        <v>4245</v>
      </c>
      <c r="BB352" s="415" t="s">
        <v>337</v>
      </c>
      <c r="BE352" s="415" t="s">
        <v>337</v>
      </c>
      <c r="BH352" s="415" t="s">
        <v>337</v>
      </c>
      <c r="BM352" s="415" t="s">
        <v>337</v>
      </c>
      <c r="BP352" s="415" t="s">
        <v>337</v>
      </c>
      <c r="BS352" s="415"/>
      <c r="BV352" s="415" t="s">
        <v>337</v>
      </c>
      <c r="BY352" s="415" t="s">
        <v>337</v>
      </c>
      <c r="CB352" s="415" t="s">
        <v>337</v>
      </c>
      <c r="CE352" s="415" t="s">
        <v>337</v>
      </c>
      <c r="CH352" s="415" t="s">
        <v>337</v>
      </c>
      <c r="CK352" s="415" t="s">
        <v>337</v>
      </c>
      <c r="CN352" s="415" t="s">
        <v>337</v>
      </c>
      <c r="CQ352" s="415" t="s">
        <v>337</v>
      </c>
      <c r="CT352" s="415" t="s">
        <v>337</v>
      </c>
    </row>
    <row r="353" spans="1:98">
      <c r="A353" s="1" t="s">
        <v>976</v>
      </c>
      <c r="B353" s="416" t="s">
        <v>4246</v>
      </c>
      <c r="S353" s="213" t="s">
        <v>4247</v>
      </c>
      <c r="T353" s="416" t="s">
        <v>4248</v>
      </c>
      <c r="U353" s="415" t="s">
        <v>337</v>
      </c>
      <c r="X353" s="415"/>
      <c r="AA353" s="415"/>
      <c r="AD353" s="415"/>
      <c r="AE353" s="417" t="s">
        <v>4249</v>
      </c>
      <c r="AF353" s="416" t="s">
        <v>4250</v>
      </c>
      <c r="AG353" s="415"/>
      <c r="AJ353" s="415" t="s">
        <v>337</v>
      </c>
      <c r="AM353" s="415" t="s">
        <v>337</v>
      </c>
      <c r="AP353" s="415" t="s">
        <v>337</v>
      </c>
      <c r="AS353" s="415" t="s">
        <v>337</v>
      </c>
      <c r="AV353" s="415" t="s">
        <v>337</v>
      </c>
      <c r="AY353" s="415" t="s">
        <v>337</v>
      </c>
      <c r="AZ353" s="213" t="s">
        <v>4251</v>
      </c>
      <c r="BA353" s="416" t="s">
        <v>4252</v>
      </c>
      <c r="BB353" s="415" t="s">
        <v>337</v>
      </c>
      <c r="BE353" s="415" t="s">
        <v>337</v>
      </c>
      <c r="BH353" s="415" t="s">
        <v>337</v>
      </c>
      <c r="BM353" s="415" t="s">
        <v>337</v>
      </c>
      <c r="BP353" s="415" t="s">
        <v>337</v>
      </c>
      <c r="BS353" s="415"/>
      <c r="BV353" s="415" t="s">
        <v>337</v>
      </c>
      <c r="BY353" s="415" t="s">
        <v>337</v>
      </c>
      <c r="CB353" s="415" t="s">
        <v>337</v>
      </c>
      <c r="CE353" s="415" t="s">
        <v>337</v>
      </c>
      <c r="CH353" s="415" t="s">
        <v>337</v>
      </c>
      <c r="CK353" s="415" t="s">
        <v>337</v>
      </c>
      <c r="CN353" s="415" t="s">
        <v>337</v>
      </c>
      <c r="CQ353" s="415" t="s">
        <v>337</v>
      </c>
      <c r="CT353" s="415" t="s">
        <v>337</v>
      </c>
    </row>
    <row r="354" spans="1:98">
      <c r="A354" s="1" t="s">
        <v>976</v>
      </c>
      <c r="B354" s="416" t="s">
        <v>4253</v>
      </c>
      <c r="S354" s="213" t="s">
        <v>4254</v>
      </c>
      <c r="T354" s="416" t="s">
        <v>4255</v>
      </c>
      <c r="U354" s="415" t="s">
        <v>337</v>
      </c>
      <c r="X354" s="415"/>
      <c r="AA354" s="415"/>
      <c r="AD354" s="415"/>
      <c r="AE354" s="417" t="s">
        <v>4256</v>
      </c>
      <c r="AF354" s="416" t="s">
        <v>4257</v>
      </c>
      <c r="AG354" s="415"/>
      <c r="AJ354" s="415" t="s">
        <v>337</v>
      </c>
      <c r="AM354" s="415" t="s">
        <v>337</v>
      </c>
      <c r="AP354" s="415" t="s">
        <v>337</v>
      </c>
      <c r="AS354" s="415" t="s">
        <v>337</v>
      </c>
      <c r="AV354" s="415" t="s">
        <v>337</v>
      </c>
      <c r="AY354" s="415" t="s">
        <v>337</v>
      </c>
      <c r="AZ354" s="213" t="s">
        <v>4258</v>
      </c>
      <c r="BA354" s="416" t="s">
        <v>4259</v>
      </c>
      <c r="BB354" s="415" t="s">
        <v>337</v>
      </c>
      <c r="BE354" s="415" t="s">
        <v>337</v>
      </c>
      <c r="BH354" s="415" t="s">
        <v>337</v>
      </c>
      <c r="BM354" s="415" t="s">
        <v>337</v>
      </c>
      <c r="BP354" s="415" t="s">
        <v>337</v>
      </c>
      <c r="BS354" s="415"/>
      <c r="BV354" s="415" t="s">
        <v>337</v>
      </c>
      <c r="BY354" s="415" t="s">
        <v>337</v>
      </c>
      <c r="CB354" s="415" t="s">
        <v>337</v>
      </c>
      <c r="CE354" s="415" t="s">
        <v>337</v>
      </c>
      <c r="CH354" s="415" t="s">
        <v>337</v>
      </c>
      <c r="CK354" s="415" t="s">
        <v>337</v>
      </c>
      <c r="CN354" s="415" t="s">
        <v>337</v>
      </c>
      <c r="CQ354" s="415" t="s">
        <v>337</v>
      </c>
      <c r="CT354" s="415" t="s">
        <v>337</v>
      </c>
    </row>
    <row r="355" spans="1:98">
      <c r="A355" s="1" t="s">
        <v>994</v>
      </c>
      <c r="B355" s="416" t="s">
        <v>4260</v>
      </c>
      <c r="S355" s="213" t="s">
        <v>4261</v>
      </c>
      <c r="T355" s="416" t="s">
        <v>4262</v>
      </c>
      <c r="U355" s="415" t="s">
        <v>337</v>
      </c>
      <c r="X355" s="415"/>
      <c r="AA355" s="415"/>
      <c r="AD355" s="415"/>
      <c r="AE355" s="417" t="s">
        <v>4263</v>
      </c>
      <c r="AF355" s="416" t="s">
        <v>4264</v>
      </c>
      <c r="AG355" s="415"/>
      <c r="AJ355" s="415" t="s">
        <v>337</v>
      </c>
      <c r="AM355" s="415" t="s">
        <v>337</v>
      </c>
      <c r="AP355" s="415" t="s">
        <v>337</v>
      </c>
      <c r="AS355" s="415" t="s">
        <v>337</v>
      </c>
      <c r="AV355" s="415" t="s">
        <v>337</v>
      </c>
      <c r="AY355" s="415" t="s">
        <v>337</v>
      </c>
      <c r="AZ355" s="213" t="s">
        <v>4265</v>
      </c>
      <c r="BA355" s="416" t="s">
        <v>4266</v>
      </c>
      <c r="BB355" s="415" t="s">
        <v>337</v>
      </c>
      <c r="BE355" s="415" t="s">
        <v>337</v>
      </c>
      <c r="BH355" s="415" t="s">
        <v>337</v>
      </c>
      <c r="BM355" s="415" t="s">
        <v>337</v>
      </c>
      <c r="BP355" s="415" t="s">
        <v>337</v>
      </c>
      <c r="BS355" s="415"/>
      <c r="BV355" s="415" t="s">
        <v>337</v>
      </c>
      <c r="BY355" s="415" t="s">
        <v>337</v>
      </c>
      <c r="CB355" s="415" t="s">
        <v>337</v>
      </c>
      <c r="CE355" s="415" t="s">
        <v>337</v>
      </c>
      <c r="CH355" s="415" t="s">
        <v>337</v>
      </c>
      <c r="CK355" s="415" t="s">
        <v>337</v>
      </c>
      <c r="CN355" s="415" t="s">
        <v>337</v>
      </c>
      <c r="CQ355" s="415" t="s">
        <v>337</v>
      </c>
      <c r="CT355" s="415" t="s">
        <v>337</v>
      </c>
    </row>
    <row r="356" spans="1:98">
      <c r="A356" s="1" t="s">
        <v>994</v>
      </c>
      <c r="B356" s="416" t="s">
        <v>4267</v>
      </c>
      <c r="S356" s="213" t="s">
        <v>4268</v>
      </c>
      <c r="T356" s="416" t="s">
        <v>4269</v>
      </c>
      <c r="U356" s="415" t="s">
        <v>337</v>
      </c>
      <c r="X356" s="415"/>
      <c r="AA356" s="415"/>
      <c r="AD356" s="415"/>
      <c r="AE356" s="417" t="s">
        <v>4270</v>
      </c>
      <c r="AF356" s="416" t="s">
        <v>4271</v>
      </c>
      <c r="AG356" s="415"/>
      <c r="AJ356" s="415" t="s">
        <v>337</v>
      </c>
      <c r="AM356" s="415" t="s">
        <v>337</v>
      </c>
      <c r="AP356" s="415" t="s">
        <v>337</v>
      </c>
      <c r="AS356" s="415" t="s">
        <v>337</v>
      </c>
      <c r="AV356" s="415" t="s">
        <v>337</v>
      </c>
      <c r="AY356" s="415" t="s">
        <v>337</v>
      </c>
      <c r="AZ356" s="213" t="s">
        <v>4272</v>
      </c>
      <c r="BA356" s="416" t="s">
        <v>4273</v>
      </c>
      <c r="BB356" s="415" t="s">
        <v>337</v>
      </c>
      <c r="BE356" s="415" t="s">
        <v>337</v>
      </c>
      <c r="BH356" s="415" t="s">
        <v>337</v>
      </c>
      <c r="BM356" s="415" t="s">
        <v>337</v>
      </c>
      <c r="BP356" s="415" t="s">
        <v>337</v>
      </c>
      <c r="BS356" s="415"/>
      <c r="BV356" s="415" t="s">
        <v>337</v>
      </c>
      <c r="BY356" s="415" t="s">
        <v>337</v>
      </c>
      <c r="CB356" s="415" t="s">
        <v>337</v>
      </c>
      <c r="CE356" s="415" t="s">
        <v>337</v>
      </c>
      <c r="CH356" s="415" t="s">
        <v>337</v>
      </c>
      <c r="CK356" s="415" t="s">
        <v>337</v>
      </c>
      <c r="CN356" s="415" t="s">
        <v>337</v>
      </c>
      <c r="CQ356" s="415" t="s">
        <v>337</v>
      </c>
      <c r="CT356" s="415" t="s">
        <v>337</v>
      </c>
    </row>
    <row r="357" spans="1:98">
      <c r="A357" s="1" t="s">
        <v>994</v>
      </c>
      <c r="B357" s="416" t="s">
        <v>4274</v>
      </c>
      <c r="S357" s="213" t="s">
        <v>4275</v>
      </c>
      <c r="T357" s="416" t="s">
        <v>4276</v>
      </c>
      <c r="U357" s="415" t="s">
        <v>337</v>
      </c>
      <c r="X357" s="415"/>
      <c r="AA357" s="415"/>
      <c r="AD357" s="415"/>
      <c r="AE357" s="417" t="s">
        <v>4277</v>
      </c>
      <c r="AF357" s="416" t="s">
        <v>4278</v>
      </c>
      <c r="AG357" s="415"/>
      <c r="AJ357" s="415" t="s">
        <v>337</v>
      </c>
      <c r="AM357" s="415" t="s">
        <v>337</v>
      </c>
      <c r="AP357" s="415" t="s">
        <v>337</v>
      </c>
      <c r="AS357" s="415" t="s">
        <v>337</v>
      </c>
      <c r="AV357" s="415" t="s">
        <v>337</v>
      </c>
      <c r="AY357" s="415" t="s">
        <v>337</v>
      </c>
      <c r="AZ357" s="213" t="s">
        <v>4279</v>
      </c>
      <c r="BA357" s="416" t="s">
        <v>4280</v>
      </c>
      <c r="BB357" s="415" t="s">
        <v>337</v>
      </c>
      <c r="BE357" s="415" t="s">
        <v>337</v>
      </c>
      <c r="BH357" s="415" t="s">
        <v>337</v>
      </c>
      <c r="BM357" s="415" t="s">
        <v>337</v>
      </c>
      <c r="BP357" s="415" t="s">
        <v>337</v>
      </c>
      <c r="BS357" s="415"/>
      <c r="BV357" s="415" t="s">
        <v>337</v>
      </c>
      <c r="BY357" s="415" t="s">
        <v>337</v>
      </c>
      <c r="CB357" s="415" t="s">
        <v>337</v>
      </c>
      <c r="CE357" s="415" t="s">
        <v>337</v>
      </c>
      <c r="CH357" s="415" t="s">
        <v>337</v>
      </c>
      <c r="CK357" s="415" t="s">
        <v>337</v>
      </c>
      <c r="CN357" s="415" t="s">
        <v>337</v>
      </c>
      <c r="CQ357" s="415" t="s">
        <v>337</v>
      </c>
      <c r="CT357" s="415" t="s">
        <v>337</v>
      </c>
    </row>
    <row r="358" spans="1:98">
      <c r="A358" s="1" t="s">
        <v>994</v>
      </c>
      <c r="B358" s="416" t="s">
        <v>4281</v>
      </c>
      <c r="S358" s="213" t="s">
        <v>4282</v>
      </c>
      <c r="T358" s="416" t="s">
        <v>4283</v>
      </c>
      <c r="U358" s="415" t="s">
        <v>337</v>
      </c>
      <c r="X358" s="415"/>
      <c r="AA358" s="415"/>
      <c r="AD358" s="415"/>
      <c r="AE358" s="417" t="s">
        <v>4284</v>
      </c>
      <c r="AF358" s="416" t="s">
        <v>4285</v>
      </c>
      <c r="AG358" s="415"/>
      <c r="AJ358" s="415" t="s">
        <v>337</v>
      </c>
      <c r="AM358" s="415" t="s">
        <v>337</v>
      </c>
      <c r="AP358" s="415" t="s">
        <v>337</v>
      </c>
      <c r="AS358" s="415" t="s">
        <v>337</v>
      </c>
      <c r="AV358" s="415" t="s">
        <v>337</v>
      </c>
      <c r="AY358" s="415" t="s">
        <v>337</v>
      </c>
      <c r="AZ358" s="213" t="s">
        <v>4286</v>
      </c>
      <c r="BA358" s="416" t="s">
        <v>4287</v>
      </c>
      <c r="BB358" s="415" t="s">
        <v>337</v>
      </c>
      <c r="BE358" s="415" t="s">
        <v>337</v>
      </c>
      <c r="BH358" s="415" t="s">
        <v>337</v>
      </c>
      <c r="BM358" s="415" t="s">
        <v>337</v>
      </c>
      <c r="BP358" s="415" t="s">
        <v>337</v>
      </c>
      <c r="BS358" s="415"/>
      <c r="BV358" s="415" t="s">
        <v>337</v>
      </c>
      <c r="BY358" s="415" t="s">
        <v>337</v>
      </c>
      <c r="CB358" s="415" t="s">
        <v>337</v>
      </c>
      <c r="CE358" s="415" t="s">
        <v>337</v>
      </c>
      <c r="CH358" s="415" t="s">
        <v>337</v>
      </c>
      <c r="CK358" s="415" t="s">
        <v>337</v>
      </c>
      <c r="CN358" s="415" t="s">
        <v>337</v>
      </c>
      <c r="CQ358" s="415" t="s">
        <v>337</v>
      </c>
      <c r="CT358" s="415" t="s">
        <v>337</v>
      </c>
    </row>
    <row r="359" spans="1:98">
      <c r="A359" s="1" t="s">
        <v>994</v>
      </c>
      <c r="B359" s="416" t="s">
        <v>4288</v>
      </c>
      <c r="S359" s="213" t="s">
        <v>4289</v>
      </c>
      <c r="T359" s="416" t="s">
        <v>4290</v>
      </c>
      <c r="U359" s="415" t="s">
        <v>337</v>
      </c>
      <c r="X359" s="415"/>
      <c r="AA359" s="415"/>
      <c r="AD359" s="415"/>
      <c r="AE359" s="417" t="s">
        <v>4291</v>
      </c>
      <c r="AF359" s="416" t="s">
        <v>4292</v>
      </c>
      <c r="AG359" s="415"/>
      <c r="AJ359" s="415" t="s">
        <v>337</v>
      </c>
      <c r="AM359" s="415" t="s">
        <v>337</v>
      </c>
      <c r="AP359" s="415" t="s">
        <v>337</v>
      </c>
      <c r="AS359" s="415" t="s">
        <v>337</v>
      </c>
      <c r="AV359" s="415" t="s">
        <v>337</v>
      </c>
      <c r="AY359" s="415" t="s">
        <v>337</v>
      </c>
      <c r="AZ359" s="213" t="s">
        <v>4293</v>
      </c>
      <c r="BA359" s="416" t="s">
        <v>4294</v>
      </c>
      <c r="BB359" s="415" t="s">
        <v>337</v>
      </c>
      <c r="BE359" s="415" t="s">
        <v>337</v>
      </c>
      <c r="BH359" s="415" t="s">
        <v>337</v>
      </c>
      <c r="BM359" s="415" t="s">
        <v>337</v>
      </c>
      <c r="BP359" s="415" t="s">
        <v>337</v>
      </c>
      <c r="BS359" s="415"/>
      <c r="BV359" s="415" t="s">
        <v>337</v>
      </c>
      <c r="BY359" s="415" t="s">
        <v>337</v>
      </c>
      <c r="CB359" s="415" t="s">
        <v>337</v>
      </c>
      <c r="CE359" s="415" t="s">
        <v>337</v>
      </c>
      <c r="CH359" s="415" t="s">
        <v>337</v>
      </c>
      <c r="CK359" s="415" t="s">
        <v>337</v>
      </c>
      <c r="CN359" s="415" t="s">
        <v>337</v>
      </c>
      <c r="CQ359" s="415" t="s">
        <v>337</v>
      </c>
      <c r="CT359" s="415" t="s">
        <v>337</v>
      </c>
    </row>
    <row r="360" spans="1:98">
      <c r="A360" s="1" t="s">
        <v>994</v>
      </c>
      <c r="B360" s="416" t="s">
        <v>4295</v>
      </c>
      <c r="S360" s="213" t="s">
        <v>4296</v>
      </c>
      <c r="T360" s="416" t="s">
        <v>4297</v>
      </c>
      <c r="U360" s="415" t="s">
        <v>337</v>
      </c>
      <c r="X360" s="415"/>
      <c r="AA360" s="415"/>
      <c r="AD360" s="415"/>
      <c r="AE360" s="417" t="s">
        <v>4298</v>
      </c>
      <c r="AF360" s="416" t="s">
        <v>4299</v>
      </c>
      <c r="AG360" s="415"/>
      <c r="AJ360" s="415" t="s">
        <v>337</v>
      </c>
      <c r="AM360" s="415" t="s">
        <v>337</v>
      </c>
      <c r="AP360" s="415" t="s">
        <v>337</v>
      </c>
      <c r="AS360" s="415" t="s">
        <v>337</v>
      </c>
      <c r="AV360" s="415" t="s">
        <v>337</v>
      </c>
      <c r="AY360" s="415" t="s">
        <v>337</v>
      </c>
      <c r="AZ360" s="213" t="s">
        <v>4300</v>
      </c>
      <c r="BA360" s="416" t="s">
        <v>2373</v>
      </c>
      <c r="BB360" s="415" t="s">
        <v>337</v>
      </c>
      <c r="BE360" s="415" t="s">
        <v>337</v>
      </c>
      <c r="BH360" s="415" t="s">
        <v>337</v>
      </c>
      <c r="BM360" s="415" t="s">
        <v>337</v>
      </c>
      <c r="BP360" s="415" t="s">
        <v>337</v>
      </c>
      <c r="BS360" s="415"/>
      <c r="BV360" s="415" t="s">
        <v>337</v>
      </c>
      <c r="BY360" s="415" t="s">
        <v>337</v>
      </c>
      <c r="CB360" s="415" t="s">
        <v>337</v>
      </c>
      <c r="CE360" s="415" t="s">
        <v>337</v>
      </c>
      <c r="CH360" s="415" t="s">
        <v>337</v>
      </c>
      <c r="CK360" s="415" t="s">
        <v>337</v>
      </c>
      <c r="CN360" s="415" t="s">
        <v>337</v>
      </c>
      <c r="CQ360" s="415" t="s">
        <v>337</v>
      </c>
      <c r="CT360" s="415" t="s">
        <v>337</v>
      </c>
    </row>
    <row r="361" spans="1:98">
      <c r="A361" s="1" t="s">
        <v>1012</v>
      </c>
      <c r="B361" s="416" t="s">
        <v>4301</v>
      </c>
      <c r="S361" s="213" t="s">
        <v>4302</v>
      </c>
      <c r="T361" s="416" t="s">
        <v>4303</v>
      </c>
      <c r="U361" s="415" t="s">
        <v>337</v>
      </c>
      <c r="X361" s="415"/>
      <c r="AA361" s="415"/>
      <c r="AD361" s="415"/>
      <c r="AE361" s="417" t="s">
        <v>4304</v>
      </c>
      <c r="AF361" s="416" t="s">
        <v>4305</v>
      </c>
      <c r="AG361" s="415"/>
      <c r="AJ361" s="415" t="s">
        <v>337</v>
      </c>
      <c r="AM361" s="415" t="s">
        <v>337</v>
      </c>
      <c r="AP361" s="415" t="s">
        <v>337</v>
      </c>
      <c r="AS361" s="415" t="s">
        <v>337</v>
      </c>
      <c r="AV361" s="415" t="s">
        <v>337</v>
      </c>
      <c r="AY361" s="415" t="s">
        <v>337</v>
      </c>
      <c r="AZ361" s="213" t="s">
        <v>4306</v>
      </c>
      <c r="BA361" s="416" t="s">
        <v>2588</v>
      </c>
      <c r="BB361" s="415" t="s">
        <v>337</v>
      </c>
      <c r="BE361" s="415" t="s">
        <v>337</v>
      </c>
      <c r="BH361" s="415" t="s">
        <v>337</v>
      </c>
      <c r="BM361" s="415" t="s">
        <v>337</v>
      </c>
      <c r="BP361" s="415" t="s">
        <v>337</v>
      </c>
      <c r="BS361" s="415"/>
      <c r="BV361" s="415" t="s">
        <v>337</v>
      </c>
      <c r="BY361" s="415" t="s">
        <v>337</v>
      </c>
      <c r="CB361" s="415" t="s">
        <v>337</v>
      </c>
      <c r="CE361" s="415" t="s">
        <v>337</v>
      </c>
      <c r="CH361" s="415" t="s">
        <v>337</v>
      </c>
      <c r="CK361" s="415" t="s">
        <v>337</v>
      </c>
      <c r="CN361" s="415" t="s">
        <v>337</v>
      </c>
      <c r="CQ361" s="415" t="s">
        <v>337</v>
      </c>
      <c r="CT361" s="415" t="s">
        <v>337</v>
      </c>
    </row>
    <row r="362" spans="1:98">
      <c r="A362" s="1" t="s">
        <v>1012</v>
      </c>
      <c r="B362" s="416" t="s">
        <v>4307</v>
      </c>
      <c r="S362" s="213" t="s">
        <v>4308</v>
      </c>
      <c r="T362" s="416" t="s">
        <v>4309</v>
      </c>
      <c r="U362" s="415" t="s">
        <v>337</v>
      </c>
      <c r="X362" s="415"/>
      <c r="AA362" s="415"/>
      <c r="AD362" s="415"/>
      <c r="AE362" s="417" t="s">
        <v>4310</v>
      </c>
      <c r="AF362" s="416" t="s">
        <v>4311</v>
      </c>
      <c r="AG362" s="415"/>
      <c r="AJ362" s="415" t="s">
        <v>337</v>
      </c>
      <c r="AM362" s="415" t="s">
        <v>337</v>
      </c>
      <c r="AP362" s="415" t="s">
        <v>337</v>
      </c>
      <c r="AS362" s="415" t="s">
        <v>337</v>
      </c>
      <c r="AV362" s="415" t="s">
        <v>337</v>
      </c>
      <c r="AY362" s="415" t="s">
        <v>337</v>
      </c>
      <c r="AZ362" s="213" t="s">
        <v>4312</v>
      </c>
      <c r="BA362" s="416" t="s">
        <v>636</v>
      </c>
      <c r="BB362" s="415" t="s">
        <v>337</v>
      </c>
      <c r="BE362" s="415" t="s">
        <v>337</v>
      </c>
      <c r="BH362" s="415" t="s">
        <v>337</v>
      </c>
      <c r="BM362" s="415" t="s">
        <v>337</v>
      </c>
      <c r="BP362" s="415" t="s">
        <v>337</v>
      </c>
      <c r="BS362" s="415"/>
      <c r="BV362" s="415" t="s">
        <v>337</v>
      </c>
      <c r="BY362" s="415" t="s">
        <v>337</v>
      </c>
      <c r="CB362" s="415" t="s">
        <v>337</v>
      </c>
      <c r="CE362" s="415" t="s">
        <v>337</v>
      </c>
      <c r="CH362" s="415" t="s">
        <v>337</v>
      </c>
      <c r="CK362" s="415" t="s">
        <v>337</v>
      </c>
      <c r="CN362" s="415" t="s">
        <v>337</v>
      </c>
      <c r="CQ362" s="415" t="s">
        <v>337</v>
      </c>
      <c r="CT362" s="415" t="s">
        <v>337</v>
      </c>
    </row>
    <row r="363" spans="1:98">
      <c r="A363" s="1" t="s">
        <v>1012</v>
      </c>
      <c r="B363" s="416" t="s">
        <v>4313</v>
      </c>
      <c r="S363" s="213" t="s">
        <v>4314</v>
      </c>
      <c r="T363" s="416" t="s">
        <v>4315</v>
      </c>
      <c r="U363" s="415" t="s">
        <v>337</v>
      </c>
      <c r="X363" s="415"/>
      <c r="AA363" s="415"/>
      <c r="AD363" s="415"/>
      <c r="AE363" s="417" t="s">
        <v>4316</v>
      </c>
      <c r="AF363" s="416" t="s">
        <v>4317</v>
      </c>
      <c r="AG363" s="415"/>
      <c r="AJ363" s="415" t="s">
        <v>337</v>
      </c>
      <c r="AM363" s="415" t="s">
        <v>337</v>
      </c>
      <c r="AP363" s="415" t="s">
        <v>337</v>
      </c>
      <c r="AS363" s="415" t="s">
        <v>337</v>
      </c>
      <c r="AV363" s="415" t="s">
        <v>337</v>
      </c>
      <c r="AY363" s="415" t="s">
        <v>337</v>
      </c>
      <c r="AZ363" s="213" t="s">
        <v>4318</v>
      </c>
      <c r="BA363" s="416" t="s">
        <v>1455</v>
      </c>
      <c r="BB363" s="415" t="s">
        <v>337</v>
      </c>
      <c r="BE363" s="415" t="s">
        <v>337</v>
      </c>
      <c r="BH363" s="415" t="s">
        <v>337</v>
      </c>
      <c r="BM363" s="415" t="s">
        <v>337</v>
      </c>
      <c r="BP363" s="415" t="s">
        <v>337</v>
      </c>
      <c r="BS363" s="415"/>
      <c r="BV363" s="415" t="s">
        <v>337</v>
      </c>
      <c r="BY363" s="415" t="s">
        <v>337</v>
      </c>
      <c r="CB363" s="415" t="s">
        <v>337</v>
      </c>
      <c r="CE363" s="415" t="s">
        <v>337</v>
      </c>
      <c r="CH363" s="415" t="s">
        <v>337</v>
      </c>
      <c r="CK363" s="415" t="s">
        <v>337</v>
      </c>
      <c r="CN363" s="415" t="s">
        <v>337</v>
      </c>
      <c r="CQ363" s="415" t="s">
        <v>337</v>
      </c>
      <c r="CT363" s="415" t="s">
        <v>337</v>
      </c>
    </row>
    <row r="364" spans="1:98">
      <c r="A364" s="1" t="s">
        <v>1012</v>
      </c>
      <c r="B364" s="416" t="s">
        <v>4319</v>
      </c>
      <c r="S364" s="213" t="s">
        <v>4320</v>
      </c>
      <c r="T364" s="416" t="s">
        <v>4321</v>
      </c>
      <c r="U364" s="415" t="s">
        <v>337</v>
      </c>
      <c r="X364" s="415"/>
      <c r="AA364" s="415"/>
      <c r="AD364" s="415"/>
      <c r="AE364" s="417" t="s">
        <v>4322</v>
      </c>
      <c r="AF364" s="416" t="s">
        <v>4323</v>
      </c>
      <c r="AG364" s="415"/>
      <c r="AJ364" s="415" t="s">
        <v>337</v>
      </c>
      <c r="AM364" s="415" t="s">
        <v>337</v>
      </c>
      <c r="AP364" s="415" t="s">
        <v>337</v>
      </c>
      <c r="AS364" s="415" t="s">
        <v>337</v>
      </c>
      <c r="AV364" s="415" t="s">
        <v>337</v>
      </c>
      <c r="AY364" s="415" t="s">
        <v>337</v>
      </c>
      <c r="AZ364" s="213" t="s">
        <v>4324</v>
      </c>
      <c r="BA364" s="416" t="s">
        <v>4325</v>
      </c>
      <c r="BB364" s="415" t="s">
        <v>337</v>
      </c>
      <c r="BE364" s="415" t="s">
        <v>337</v>
      </c>
      <c r="BH364" s="415" t="s">
        <v>337</v>
      </c>
      <c r="BM364" s="415" t="s">
        <v>337</v>
      </c>
      <c r="BP364" s="415" t="s">
        <v>337</v>
      </c>
      <c r="BS364" s="415"/>
      <c r="BV364" s="415" t="s">
        <v>337</v>
      </c>
      <c r="BY364" s="415" t="s">
        <v>337</v>
      </c>
      <c r="CB364" s="415" t="s">
        <v>337</v>
      </c>
      <c r="CE364" s="415" t="s">
        <v>337</v>
      </c>
      <c r="CH364" s="415" t="s">
        <v>337</v>
      </c>
      <c r="CK364" s="415" t="s">
        <v>337</v>
      </c>
      <c r="CN364" s="415" t="s">
        <v>337</v>
      </c>
      <c r="CQ364" s="415" t="s">
        <v>337</v>
      </c>
      <c r="CT364" s="415" t="s">
        <v>337</v>
      </c>
    </row>
    <row r="365" spans="1:98">
      <c r="A365" s="1" t="s">
        <v>1012</v>
      </c>
      <c r="B365" s="416" t="s">
        <v>4326</v>
      </c>
      <c r="S365" s="213" t="s">
        <v>4327</v>
      </c>
      <c r="T365" s="416" t="s">
        <v>4328</v>
      </c>
      <c r="U365" s="415" t="s">
        <v>337</v>
      </c>
      <c r="X365" s="415"/>
      <c r="AA365" s="415"/>
      <c r="AD365" s="415"/>
      <c r="AE365" s="417" t="s">
        <v>4329</v>
      </c>
      <c r="AF365" s="416" t="s">
        <v>4330</v>
      </c>
      <c r="AG365" s="415"/>
      <c r="AJ365" s="415" t="s">
        <v>337</v>
      </c>
      <c r="AM365" s="415" t="s">
        <v>337</v>
      </c>
      <c r="AP365" s="415" t="s">
        <v>337</v>
      </c>
      <c r="AS365" s="415" t="s">
        <v>337</v>
      </c>
      <c r="AV365" s="415" t="s">
        <v>337</v>
      </c>
      <c r="AY365" s="415" t="s">
        <v>337</v>
      </c>
      <c r="AZ365" s="213" t="s">
        <v>4331</v>
      </c>
      <c r="BA365" s="416" t="s">
        <v>4332</v>
      </c>
      <c r="BB365" s="415" t="s">
        <v>337</v>
      </c>
      <c r="BE365" s="415" t="s">
        <v>337</v>
      </c>
      <c r="BH365" s="415" t="s">
        <v>337</v>
      </c>
      <c r="BM365" s="415" t="s">
        <v>337</v>
      </c>
      <c r="BP365" s="415" t="s">
        <v>337</v>
      </c>
      <c r="BS365" s="415"/>
      <c r="BV365" s="415" t="s">
        <v>337</v>
      </c>
      <c r="BY365" s="415" t="s">
        <v>337</v>
      </c>
      <c r="CB365" s="415" t="s">
        <v>337</v>
      </c>
      <c r="CE365" s="415" t="s">
        <v>337</v>
      </c>
      <c r="CH365" s="415" t="s">
        <v>337</v>
      </c>
      <c r="CK365" s="415" t="s">
        <v>337</v>
      </c>
      <c r="CN365" s="415" t="s">
        <v>337</v>
      </c>
      <c r="CQ365" s="415" t="s">
        <v>337</v>
      </c>
      <c r="CT365" s="415" t="s">
        <v>337</v>
      </c>
    </row>
    <row r="366" spans="1:98">
      <c r="A366" s="1" t="s">
        <v>1012</v>
      </c>
      <c r="B366" s="416" t="s">
        <v>4333</v>
      </c>
      <c r="S366" s="213" t="s">
        <v>4334</v>
      </c>
      <c r="T366" s="416" t="s">
        <v>4335</v>
      </c>
      <c r="U366" s="415" t="s">
        <v>337</v>
      </c>
      <c r="X366" s="415"/>
      <c r="AA366" s="415"/>
      <c r="AD366" s="415"/>
      <c r="AE366" s="417" t="s">
        <v>4336</v>
      </c>
      <c r="AF366" s="416" t="s">
        <v>4337</v>
      </c>
      <c r="AG366" s="415"/>
      <c r="AJ366" s="415" t="s">
        <v>337</v>
      </c>
      <c r="AM366" s="415" t="s">
        <v>337</v>
      </c>
      <c r="AP366" s="415" t="s">
        <v>337</v>
      </c>
      <c r="AS366" s="415" t="s">
        <v>337</v>
      </c>
      <c r="AV366" s="415" t="s">
        <v>337</v>
      </c>
      <c r="AY366" s="415" t="s">
        <v>337</v>
      </c>
      <c r="AZ366" s="213" t="s">
        <v>4338</v>
      </c>
      <c r="BA366" s="416" t="s">
        <v>4339</v>
      </c>
      <c r="BB366" s="415" t="s">
        <v>337</v>
      </c>
      <c r="BE366" s="415" t="s">
        <v>337</v>
      </c>
      <c r="BH366" s="415" t="s">
        <v>337</v>
      </c>
      <c r="BM366" s="415" t="s">
        <v>337</v>
      </c>
      <c r="BP366" s="415" t="s">
        <v>337</v>
      </c>
      <c r="BS366" s="415"/>
      <c r="BV366" s="415" t="s">
        <v>337</v>
      </c>
      <c r="BY366" s="415" t="s">
        <v>337</v>
      </c>
      <c r="CB366" s="415" t="s">
        <v>337</v>
      </c>
      <c r="CE366" s="415" t="s">
        <v>337</v>
      </c>
      <c r="CH366" s="415" t="s">
        <v>337</v>
      </c>
      <c r="CK366" s="415" t="s">
        <v>337</v>
      </c>
      <c r="CN366" s="415" t="s">
        <v>337</v>
      </c>
      <c r="CQ366" s="415" t="s">
        <v>337</v>
      </c>
      <c r="CT366" s="415" t="s">
        <v>337</v>
      </c>
    </row>
    <row r="367" spans="1:98">
      <c r="A367" s="1" t="s">
        <v>1012</v>
      </c>
      <c r="B367" s="416" t="s">
        <v>4333</v>
      </c>
      <c r="S367" s="213" t="s">
        <v>4340</v>
      </c>
      <c r="T367" s="416" t="s">
        <v>4341</v>
      </c>
      <c r="U367" s="415" t="s">
        <v>337</v>
      </c>
      <c r="X367" s="415"/>
      <c r="AA367" s="415"/>
      <c r="AD367" s="415"/>
      <c r="AE367" s="417" t="s">
        <v>4342</v>
      </c>
      <c r="AF367" s="416" t="s">
        <v>4343</v>
      </c>
      <c r="AG367" s="415"/>
      <c r="AJ367" s="415" t="s">
        <v>337</v>
      </c>
      <c r="AM367" s="415" t="s">
        <v>337</v>
      </c>
      <c r="AP367" s="415" t="s">
        <v>337</v>
      </c>
      <c r="AS367" s="415" t="s">
        <v>337</v>
      </c>
      <c r="AV367" s="415" t="s">
        <v>337</v>
      </c>
      <c r="AY367" s="415" t="s">
        <v>337</v>
      </c>
      <c r="AZ367" s="213" t="s">
        <v>4344</v>
      </c>
      <c r="BA367" s="416" t="s">
        <v>4345</v>
      </c>
      <c r="BB367" s="415" t="s">
        <v>337</v>
      </c>
      <c r="BE367" s="415" t="s">
        <v>337</v>
      </c>
      <c r="BH367" s="415" t="s">
        <v>337</v>
      </c>
      <c r="BM367" s="415" t="s">
        <v>337</v>
      </c>
      <c r="BP367" s="415" t="s">
        <v>337</v>
      </c>
      <c r="BS367" s="415"/>
      <c r="BV367" s="415" t="s">
        <v>337</v>
      </c>
      <c r="BY367" s="415" t="s">
        <v>337</v>
      </c>
      <c r="CB367" s="415" t="s">
        <v>337</v>
      </c>
      <c r="CE367" s="415" t="s">
        <v>337</v>
      </c>
      <c r="CH367" s="415" t="s">
        <v>337</v>
      </c>
      <c r="CK367" s="415" t="s">
        <v>337</v>
      </c>
      <c r="CN367" s="415" t="s">
        <v>337</v>
      </c>
      <c r="CQ367" s="415" t="s">
        <v>337</v>
      </c>
      <c r="CT367" s="415" t="s">
        <v>337</v>
      </c>
    </row>
    <row r="368" spans="1:98">
      <c r="A368" s="1" t="s">
        <v>1012</v>
      </c>
      <c r="B368" s="416" t="s">
        <v>4346</v>
      </c>
      <c r="S368" s="213" t="s">
        <v>4347</v>
      </c>
      <c r="T368" s="416" t="s">
        <v>4348</v>
      </c>
      <c r="U368" s="415" t="s">
        <v>337</v>
      </c>
      <c r="X368" s="415"/>
      <c r="AA368" s="415"/>
      <c r="AD368" s="415"/>
      <c r="AE368" s="417" t="s">
        <v>4349</v>
      </c>
      <c r="AF368" s="416" t="s">
        <v>4350</v>
      </c>
      <c r="AG368" s="415"/>
      <c r="AJ368" s="415" t="s">
        <v>337</v>
      </c>
      <c r="AM368" s="415" t="s">
        <v>337</v>
      </c>
      <c r="AP368" s="415" t="s">
        <v>337</v>
      </c>
      <c r="AS368" s="415" t="s">
        <v>337</v>
      </c>
      <c r="AV368" s="415" t="s">
        <v>337</v>
      </c>
      <c r="AY368" s="415" t="s">
        <v>337</v>
      </c>
      <c r="AZ368" s="213" t="s">
        <v>4351</v>
      </c>
      <c r="BA368" s="416" t="s">
        <v>4352</v>
      </c>
      <c r="BB368" s="415" t="s">
        <v>337</v>
      </c>
      <c r="BE368" s="415" t="s">
        <v>337</v>
      </c>
      <c r="BH368" s="415" t="s">
        <v>337</v>
      </c>
      <c r="BM368" s="415" t="s">
        <v>337</v>
      </c>
      <c r="BP368" s="415" t="s">
        <v>337</v>
      </c>
      <c r="BS368" s="415"/>
      <c r="BV368" s="415" t="s">
        <v>337</v>
      </c>
      <c r="BY368" s="415" t="s">
        <v>337</v>
      </c>
      <c r="CB368" s="415" t="s">
        <v>337</v>
      </c>
      <c r="CE368" s="415" t="s">
        <v>337</v>
      </c>
      <c r="CH368" s="415" t="s">
        <v>337</v>
      </c>
      <c r="CK368" s="415" t="s">
        <v>337</v>
      </c>
      <c r="CN368" s="415" t="s">
        <v>337</v>
      </c>
      <c r="CQ368" s="415" t="s">
        <v>337</v>
      </c>
      <c r="CT368" s="415" t="s">
        <v>337</v>
      </c>
    </row>
    <row r="369" spans="1:98">
      <c r="A369" s="1" t="s">
        <v>1012</v>
      </c>
      <c r="B369" s="416" t="s">
        <v>4353</v>
      </c>
      <c r="S369" s="213" t="s">
        <v>4354</v>
      </c>
      <c r="T369" s="416" t="s">
        <v>4355</v>
      </c>
      <c r="U369" s="415" t="s">
        <v>337</v>
      </c>
      <c r="X369" s="415"/>
      <c r="AA369" s="415"/>
      <c r="AD369" s="415"/>
      <c r="AE369" s="417" t="s">
        <v>4356</v>
      </c>
      <c r="AF369" s="416" t="s">
        <v>4357</v>
      </c>
      <c r="AG369" s="415"/>
      <c r="AJ369" s="415" t="s">
        <v>337</v>
      </c>
      <c r="AM369" s="415" t="s">
        <v>337</v>
      </c>
      <c r="AP369" s="415" t="s">
        <v>337</v>
      </c>
      <c r="AS369" s="415" t="s">
        <v>337</v>
      </c>
      <c r="AV369" s="415" t="s">
        <v>337</v>
      </c>
      <c r="AY369" s="415" t="s">
        <v>337</v>
      </c>
      <c r="AZ369" s="213" t="s">
        <v>4358</v>
      </c>
      <c r="BA369" s="416" t="s">
        <v>4359</v>
      </c>
      <c r="BB369" s="415" t="s">
        <v>337</v>
      </c>
      <c r="BE369" s="415" t="s">
        <v>337</v>
      </c>
      <c r="BH369" s="415" t="s">
        <v>337</v>
      </c>
      <c r="BM369" s="415" t="s">
        <v>337</v>
      </c>
      <c r="BP369" s="415" t="s">
        <v>337</v>
      </c>
      <c r="BS369" s="415"/>
      <c r="BV369" s="415" t="s">
        <v>337</v>
      </c>
      <c r="BY369" s="415" t="s">
        <v>337</v>
      </c>
      <c r="CB369" s="415" t="s">
        <v>337</v>
      </c>
      <c r="CE369" s="415" t="s">
        <v>337</v>
      </c>
      <c r="CH369" s="415" t="s">
        <v>337</v>
      </c>
      <c r="CK369" s="415" t="s">
        <v>337</v>
      </c>
      <c r="CN369" s="415" t="s">
        <v>337</v>
      </c>
      <c r="CQ369" s="415" t="s">
        <v>337</v>
      </c>
      <c r="CT369" s="415" t="s">
        <v>337</v>
      </c>
    </row>
    <row r="370" spans="1:98">
      <c r="A370" s="1" t="s">
        <v>1012</v>
      </c>
      <c r="B370" s="416" t="s">
        <v>4360</v>
      </c>
      <c r="S370" s="213" t="s">
        <v>4361</v>
      </c>
      <c r="T370" s="416" t="s">
        <v>4362</v>
      </c>
      <c r="U370" s="415" t="s">
        <v>337</v>
      </c>
      <c r="X370" s="415"/>
      <c r="AA370" s="415"/>
      <c r="AD370" s="415"/>
      <c r="AE370" s="417" t="s">
        <v>4363</v>
      </c>
      <c r="AF370" s="416" t="s">
        <v>4364</v>
      </c>
      <c r="AG370" s="415"/>
      <c r="AJ370" s="415" t="s">
        <v>337</v>
      </c>
      <c r="AM370" s="415" t="s">
        <v>337</v>
      </c>
      <c r="AP370" s="415" t="s">
        <v>337</v>
      </c>
      <c r="AS370" s="415" t="s">
        <v>337</v>
      </c>
      <c r="AV370" s="415" t="s">
        <v>337</v>
      </c>
      <c r="AY370" s="415" t="s">
        <v>337</v>
      </c>
      <c r="AZ370" s="213" t="s">
        <v>4365</v>
      </c>
      <c r="BA370" s="416" t="s">
        <v>4366</v>
      </c>
      <c r="BB370" s="415" t="s">
        <v>337</v>
      </c>
      <c r="BE370" s="415" t="s">
        <v>337</v>
      </c>
      <c r="BH370" s="415" t="s">
        <v>337</v>
      </c>
      <c r="BM370" s="415" t="s">
        <v>337</v>
      </c>
      <c r="BP370" s="415" t="s">
        <v>337</v>
      </c>
      <c r="BS370" s="415"/>
      <c r="BV370" s="415" t="s">
        <v>337</v>
      </c>
      <c r="BY370" s="415" t="s">
        <v>337</v>
      </c>
      <c r="CB370" s="415" t="s">
        <v>337</v>
      </c>
      <c r="CE370" s="415" t="s">
        <v>337</v>
      </c>
      <c r="CH370" s="415" t="s">
        <v>337</v>
      </c>
      <c r="CK370" s="415" t="s">
        <v>337</v>
      </c>
      <c r="CN370" s="415" t="s">
        <v>337</v>
      </c>
      <c r="CQ370" s="415" t="s">
        <v>337</v>
      </c>
      <c r="CT370" s="415" t="s">
        <v>337</v>
      </c>
    </row>
    <row r="371" spans="1:98">
      <c r="A371" s="1" t="s">
        <v>1012</v>
      </c>
      <c r="B371" s="416" t="s">
        <v>4360</v>
      </c>
      <c r="S371" s="213" t="s">
        <v>4367</v>
      </c>
      <c r="T371" s="416" t="s">
        <v>4368</v>
      </c>
      <c r="U371" s="415" t="s">
        <v>337</v>
      </c>
      <c r="X371" s="415"/>
      <c r="AA371" s="415"/>
      <c r="AD371" s="415"/>
      <c r="AE371" s="417" t="s">
        <v>4369</v>
      </c>
      <c r="AF371" s="416" t="s">
        <v>4370</v>
      </c>
      <c r="AG371" s="415"/>
      <c r="AJ371" s="415" t="s">
        <v>337</v>
      </c>
      <c r="AM371" s="415" t="s">
        <v>337</v>
      </c>
      <c r="AP371" s="415" t="s">
        <v>337</v>
      </c>
      <c r="AS371" s="415" t="s">
        <v>337</v>
      </c>
      <c r="AV371" s="415" t="s">
        <v>337</v>
      </c>
      <c r="AY371" s="415" t="s">
        <v>337</v>
      </c>
      <c r="AZ371" s="213" t="s">
        <v>4371</v>
      </c>
      <c r="BA371" s="416" t="s">
        <v>4372</v>
      </c>
      <c r="BB371" s="415" t="s">
        <v>337</v>
      </c>
      <c r="BE371" s="415" t="s">
        <v>337</v>
      </c>
      <c r="BH371" s="415" t="s">
        <v>337</v>
      </c>
      <c r="BM371" s="415" t="s">
        <v>337</v>
      </c>
      <c r="BP371" s="415" t="s">
        <v>337</v>
      </c>
      <c r="BS371" s="415"/>
      <c r="BV371" s="415" t="s">
        <v>337</v>
      </c>
      <c r="BY371" s="415" t="s">
        <v>337</v>
      </c>
      <c r="CB371" s="415" t="s">
        <v>337</v>
      </c>
      <c r="CE371" s="415" t="s">
        <v>337</v>
      </c>
      <c r="CH371" s="415" t="s">
        <v>337</v>
      </c>
      <c r="CK371" s="415" t="s">
        <v>337</v>
      </c>
      <c r="CN371" s="415" t="s">
        <v>337</v>
      </c>
      <c r="CQ371" s="415" t="s">
        <v>337</v>
      </c>
      <c r="CT371" s="415" t="s">
        <v>337</v>
      </c>
    </row>
    <row r="372" spans="1:98">
      <c r="A372" s="1" t="s">
        <v>1012</v>
      </c>
      <c r="B372" s="416" t="s">
        <v>4373</v>
      </c>
      <c r="S372" s="213" t="s">
        <v>4374</v>
      </c>
      <c r="T372" s="416" t="s">
        <v>4375</v>
      </c>
      <c r="U372" s="415" t="s">
        <v>337</v>
      </c>
      <c r="X372" s="415"/>
      <c r="AA372" s="415"/>
      <c r="AD372" s="415"/>
      <c r="AE372" s="417" t="s">
        <v>4376</v>
      </c>
      <c r="AF372" s="416" t="s">
        <v>4377</v>
      </c>
      <c r="AG372" s="415"/>
      <c r="AJ372" s="415" t="s">
        <v>337</v>
      </c>
      <c r="AM372" s="415" t="s">
        <v>337</v>
      </c>
      <c r="AP372" s="415" t="s">
        <v>337</v>
      </c>
      <c r="AS372" s="415" t="s">
        <v>337</v>
      </c>
      <c r="AV372" s="415" t="s">
        <v>337</v>
      </c>
      <c r="AY372" s="415" t="s">
        <v>337</v>
      </c>
      <c r="AZ372" s="213" t="s">
        <v>4378</v>
      </c>
      <c r="BA372" s="416" t="s">
        <v>4379</v>
      </c>
      <c r="BB372" s="415" t="s">
        <v>337</v>
      </c>
      <c r="BE372" s="415" t="s">
        <v>337</v>
      </c>
      <c r="BH372" s="415" t="s">
        <v>337</v>
      </c>
      <c r="BM372" s="415" t="s">
        <v>337</v>
      </c>
      <c r="BP372" s="415" t="s">
        <v>337</v>
      </c>
      <c r="BS372" s="415"/>
      <c r="BV372" s="415" t="s">
        <v>337</v>
      </c>
      <c r="BY372" s="415" t="s">
        <v>337</v>
      </c>
      <c r="CB372" s="415" t="s">
        <v>337</v>
      </c>
      <c r="CE372" s="415" t="s">
        <v>337</v>
      </c>
      <c r="CH372" s="415" t="s">
        <v>337</v>
      </c>
      <c r="CK372" s="415" t="s">
        <v>337</v>
      </c>
      <c r="CN372" s="415" t="s">
        <v>337</v>
      </c>
      <c r="CQ372" s="415" t="s">
        <v>337</v>
      </c>
      <c r="CT372" s="415" t="s">
        <v>337</v>
      </c>
    </row>
    <row r="373" spans="1:98">
      <c r="A373" s="1" t="s">
        <v>1012</v>
      </c>
      <c r="B373" s="416" t="s">
        <v>4380</v>
      </c>
      <c r="S373" s="213" t="s">
        <v>4381</v>
      </c>
      <c r="T373" s="416" t="s">
        <v>4382</v>
      </c>
      <c r="U373" s="415" t="s">
        <v>337</v>
      </c>
      <c r="X373" s="415"/>
      <c r="AA373" s="415"/>
      <c r="AD373" s="415"/>
      <c r="AE373" s="417" t="s">
        <v>4383</v>
      </c>
      <c r="AF373" s="416" t="s">
        <v>4384</v>
      </c>
      <c r="AG373" s="415"/>
      <c r="AJ373" s="415" t="s">
        <v>337</v>
      </c>
      <c r="AM373" s="415" t="s">
        <v>337</v>
      </c>
      <c r="AP373" s="415" t="s">
        <v>337</v>
      </c>
      <c r="AS373" s="415" t="s">
        <v>337</v>
      </c>
      <c r="AV373" s="415" t="s">
        <v>337</v>
      </c>
      <c r="AY373" s="415" t="s">
        <v>337</v>
      </c>
      <c r="AZ373" s="213" t="s">
        <v>4385</v>
      </c>
      <c r="BA373" s="416" t="s">
        <v>4386</v>
      </c>
      <c r="BB373" s="415" t="s">
        <v>337</v>
      </c>
      <c r="BE373" s="415" t="s">
        <v>337</v>
      </c>
      <c r="BH373" s="415" t="s">
        <v>337</v>
      </c>
      <c r="BM373" s="415" t="s">
        <v>337</v>
      </c>
      <c r="BP373" s="415" t="s">
        <v>337</v>
      </c>
      <c r="BS373" s="415"/>
      <c r="BV373" s="415" t="s">
        <v>337</v>
      </c>
      <c r="BY373" s="415" t="s">
        <v>337</v>
      </c>
      <c r="CB373" s="415" t="s">
        <v>337</v>
      </c>
      <c r="CE373" s="415" t="s">
        <v>337</v>
      </c>
      <c r="CH373" s="415" t="s">
        <v>337</v>
      </c>
      <c r="CK373" s="415" t="s">
        <v>337</v>
      </c>
      <c r="CN373" s="415" t="s">
        <v>337</v>
      </c>
      <c r="CQ373" s="415" t="s">
        <v>337</v>
      </c>
      <c r="CT373" s="415" t="s">
        <v>337</v>
      </c>
    </row>
    <row r="374" spans="1:98">
      <c r="A374" s="1" t="s">
        <v>1012</v>
      </c>
      <c r="B374" s="416" t="s">
        <v>4387</v>
      </c>
      <c r="S374" s="213" t="s">
        <v>4388</v>
      </c>
      <c r="T374" s="416" t="s">
        <v>4389</v>
      </c>
      <c r="U374" s="415" t="s">
        <v>337</v>
      </c>
      <c r="X374" s="415"/>
      <c r="AA374" s="415"/>
      <c r="AD374" s="415"/>
      <c r="AE374" s="417" t="s">
        <v>4390</v>
      </c>
      <c r="AF374" s="416" t="s">
        <v>4391</v>
      </c>
      <c r="AG374" s="415"/>
      <c r="AJ374" s="415" t="s">
        <v>337</v>
      </c>
      <c r="AM374" s="415" t="s">
        <v>337</v>
      </c>
      <c r="AP374" s="415" t="s">
        <v>337</v>
      </c>
      <c r="AS374" s="415" t="s">
        <v>337</v>
      </c>
      <c r="AV374" s="415" t="s">
        <v>337</v>
      </c>
      <c r="AY374" s="415" t="s">
        <v>337</v>
      </c>
      <c r="AZ374" s="213" t="s">
        <v>4392</v>
      </c>
      <c r="BA374" s="416" t="s">
        <v>4393</v>
      </c>
      <c r="BB374" s="415" t="s">
        <v>337</v>
      </c>
      <c r="BE374" s="415" t="s">
        <v>337</v>
      </c>
      <c r="BH374" s="415" t="s">
        <v>337</v>
      </c>
      <c r="BM374" s="415" t="s">
        <v>337</v>
      </c>
      <c r="BP374" s="415" t="s">
        <v>337</v>
      </c>
      <c r="BS374" s="415"/>
      <c r="BV374" s="415" t="s">
        <v>337</v>
      </c>
      <c r="BY374" s="415" t="s">
        <v>337</v>
      </c>
      <c r="CB374" s="415" t="s">
        <v>337</v>
      </c>
      <c r="CE374" s="415" t="s">
        <v>337</v>
      </c>
      <c r="CH374" s="415" t="s">
        <v>337</v>
      </c>
      <c r="CK374" s="415" t="s">
        <v>337</v>
      </c>
      <c r="CN374" s="415" t="s">
        <v>337</v>
      </c>
      <c r="CQ374" s="415" t="s">
        <v>337</v>
      </c>
      <c r="CT374" s="415" t="s">
        <v>337</v>
      </c>
    </row>
    <row r="375" spans="1:98">
      <c r="A375" s="1" t="s">
        <v>1012</v>
      </c>
      <c r="B375" s="416" t="s">
        <v>4394</v>
      </c>
      <c r="S375" s="213" t="s">
        <v>4395</v>
      </c>
      <c r="T375" s="416" t="s">
        <v>4396</v>
      </c>
      <c r="U375" s="415" t="s">
        <v>337</v>
      </c>
      <c r="X375" s="415"/>
      <c r="AA375" s="415"/>
      <c r="AD375" s="415"/>
      <c r="AE375" s="417" t="s">
        <v>4397</v>
      </c>
      <c r="AF375" s="416" t="s">
        <v>4398</v>
      </c>
      <c r="AG375" s="415"/>
      <c r="AJ375" s="415" t="s">
        <v>337</v>
      </c>
      <c r="AM375" s="415" t="s">
        <v>337</v>
      </c>
      <c r="AP375" s="415" t="s">
        <v>337</v>
      </c>
      <c r="AS375" s="415" t="s">
        <v>337</v>
      </c>
      <c r="AV375" s="415" t="s">
        <v>337</v>
      </c>
      <c r="AY375" s="415" t="s">
        <v>337</v>
      </c>
      <c r="AZ375" s="213" t="s">
        <v>4399</v>
      </c>
      <c r="BA375" s="416" t="s">
        <v>4400</v>
      </c>
      <c r="BB375" s="415" t="s">
        <v>337</v>
      </c>
      <c r="BE375" s="415" t="s">
        <v>337</v>
      </c>
      <c r="BH375" s="415" t="s">
        <v>337</v>
      </c>
      <c r="BM375" s="415" t="s">
        <v>337</v>
      </c>
      <c r="BP375" s="415" t="s">
        <v>337</v>
      </c>
      <c r="BS375" s="415"/>
      <c r="BV375" s="415" t="s">
        <v>337</v>
      </c>
      <c r="BY375" s="415" t="s">
        <v>337</v>
      </c>
      <c r="CB375" s="415" t="s">
        <v>337</v>
      </c>
      <c r="CE375" s="415" t="s">
        <v>337</v>
      </c>
      <c r="CH375" s="415" t="s">
        <v>337</v>
      </c>
      <c r="CK375" s="415" t="s">
        <v>337</v>
      </c>
      <c r="CN375" s="415" t="s">
        <v>337</v>
      </c>
      <c r="CQ375" s="415" t="s">
        <v>337</v>
      </c>
      <c r="CT375" s="415" t="s">
        <v>337</v>
      </c>
    </row>
    <row r="376" spans="1:98">
      <c r="A376" s="1" t="s">
        <v>1029</v>
      </c>
      <c r="B376" s="416" t="s">
        <v>4401</v>
      </c>
      <c r="S376" s="213" t="s">
        <v>4402</v>
      </c>
      <c r="T376" s="416" t="s">
        <v>4403</v>
      </c>
      <c r="U376" s="415" t="s">
        <v>337</v>
      </c>
      <c r="X376" s="415"/>
      <c r="AA376" s="415"/>
      <c r="AD376" s="415"/>
      <c r="AE376" s="417" t="s">
        <v>4404</v>
      </c>
      <c r="AF376" s="416" t="s">
        <v>4405</v>
      </c>
      <c r="AG376" s="415"/>
      <c r="AJ376" s="415" t="s">
        <v>337</v>
      </c>
      <c r="AM376" s="415" t="s">
        <v>337</v>
      </c>
      <c r="AP376" s="415" t="s">
        <v>337</v>
      </c>
      <c r="AS376" s="415" t="s">
        <v>337</v>
      </c>
      <c r="AV376" s="415" t="s">
        <v>337</v>
      </c>
      <c r="AY376" s="415" t="s">
        <v>337</v>
      </c>
      <c r="AZ376" s="213" t="s">
        <v>4406</v>
      </c>
      <c r="BA376" s="416" t="s">
        <v>4407</v>
      </c>
      <c r="BB376" s="415" t="s">
        <v>337</v>
      </c>
      <c r="BE376" s="415" t="s">
        <v>337</v>
      </c>
      <c r="BH376" s="415" t="s">
        <v>337</v>
      </c>
      <c r="BM376" s="415" t="s">
        <v>337</v>
      </c>
      <c r="BP376" s="415" t="s">
        <v>337</v>
      </c>
      <c r="BS376" s="415"/>
      <c r="BV376" s="415" t="s">
        <v>337</v>
      </c>
      <c r="BY376" s="415" t="s">
        <v>337</v>
      </c>
      <c r="CB376" s="415" t="s">
        <v>337</v>
      </c>
      <c r="CE376" s="415" t="s">
        <v>337</v>
      </c>
      <c r="CH376" s="415" t="s">
        <v>337</v>
      </c>
      <c r="CK376" s="415" t="s">
        <v>337</v>
      </c>
      <c r="CN376" s="415" t="s">
        <v>337</v>
      </c>
      <c r="CQ376" s="415" t="s">
        <v>337</v>
      </c>
      <c r="CT376" s="415" t="s">
        <v>337</v>
      </c>
    </row>
    <row r="377" spans="1:98">
      <c r="A377" s="1" t="s">
        <v>1029</v>
      </c>
      <c r="B377" s="416" t="s">
        <v>4408</v>
      </c>
      <c r="S377" s="213" t="s">
        <v>4409</v>
      </c>
      <c r="T377" s="416" t="s">
        <v>4410</v>
      </c>
      <c r="U377" s="415" t="s">
        <v>337</v>
      </c>
      <c r="X377" s="415"/>
      <c r="AA377" s="415"/>
      <c r="AD377" s="415"/>
      <c r="AE377" s="417" t="s">
        <v>4411</v>
      </c>
      <c r="AF377" s="416" t="s">
        <v>4412</v>
      </c>
      <c r="AG377" s="415"/>
      <c r="AJ377" s="415" t="s">
        <v>337</v>
      </c>
      <c r="AM377" s="415" t="s">
        <v>337</v>
      </c>
      <c r="AP377" s="415" t="s">
        <v>337</v>
      </c>
      <c r="AS377" s="415" t="s">
        <v>337</v>
      </c>
      <c r="AV377" s="415" t="s">
        <v>337</v>
      </c>
      <c r="AY377" s="415" t="s">
        <v>337</v>
      </c>
      <c r="AZ377" s="213" t="s">
        <v>4413</v>
      </c>
      <c r="BA377" s="416" t="s">
        <v>4414</v>
      </c>
      <c r="BB377" s="415" t="s">
        <v>337</v>
      </c>
      <c r="BE377" s="415" t="s">
        <v>337</v>
      </c>
      <c r="BH377" s="415" t="s">
        <v>337</v>
      </c>
      <c r="BM377" s="415" t="s">
        <v>337</v>
      </c>
      <c r="BP377" s="415" t="s">
        <v>337</v>
      </c>
      <c r="BS377" s="415"/>
      <c r="BV377" s="415" t="s">
        <v>337</v>
      </c>
      <c r="BY377" s="415" t="s">
        <v>337</v>
      </c>
      <c r="CB377" s="415" t="s">
        <v>337</v>
      </c>
      <c r="CE377" s="415" t="s">
        <v>337</v>
      </c>
      <c r="CH377" s="415" t="s">
        <v>337</v>
      </c>
      <c r="CK377" s="415" t="s">
        <v>337</v>
      </c>
      <c r="CN377" s="415" t="s">
        <v>337</v>
      </c>
      <c r="CQ377" s="415" t="s">
        <v>337</v>
      </c>
      <c r="CT377" s="415" t="s">
        <v>337</v>
      </c>
    </row>
    <row r="378" spans="1:98">
      <c r="A378" s="1" t="s">
        <v>1029</v>
      </c>
      <c r="B378" s="416" t="s">
        <v>4415</v>
      </c>
      <c r="S378" s="213" t="s">
        <v>4416</v>
      </c>
      <c r="T378" s="416" t="s">
        <v>4417</v>
      </c>
      <c r="U378" s="415" t="s">
        <v>337</v>
      </c>
      <c r="X378" s="415"/>
      <c r="AA378" s="415"/>
      <c r="AD378" s="415"/>
      <c r="AE378" s="417" t="s">
        <v>4418</v>
      </c>
      <c r="AF378" s="416" t="s">
        <v>4419</v>
      </c>
      <c r="AG378" s="415"/>
      <c r="AJ378" s="415" t="s">
        <v>337</v>
      </c>
      <c r="AM378" s="415" t="s">
        <v>337</v>
      </c>
      <c r="AP378" s="415" t="s">
        <v>337</v>
      </c>
      <c r="AS378" s="415" t="s">
        <v>337</v>
      </c>
      <c r="AV378" s="415" t="s">
        <v>337</v>
      </c>
      <c r="AY378" s="415" t="s">
        <v>337</v>
      </c>
      <c r="AZ378" s="213" t="s">
        <v>4420</v>
      </c>
      <c r="BA378" s="416" t="s">
        <v>4421</v>
      </c>
      <c r="BB378" s="415" t="s">
        <v>337</v>
      </c>
      <c r="BE378" s="415" t="s">
        <v>337</v>
      </c>
      <c r="BH378" s="415" t="s">
        <v>337</v>
      </c>
      <c r="BM378" s="415" t="s">
        <v>337</v>
      </c>
      <c r="BP378" s="415" t="s">
        <v>337</v>
      </c>
      <c r="BS378" s="415"/>
      <c r="BV378" s="415" t="s">
        <v>337</v>
      </c>
      <c r="BY378" s="415" t="s">
        <v>337</v>
      </c>
      <c r="CB378" s="415" t="s">
        <v>337</v>
      </c>
      <c r="CE378" s="415" t="s">
        <v>337</v>
      </c>
      <c r="CH378" s="415" t="s">
        <v>337</v>
      </c>
      <c r="CK378" s="415" t="s">
        <v>337</v>
      </c>
      <c r="CN378" s="415" t="s">
        <v>337</v>
      </c>
      <c r="CQ378" s="415" t="s">
        <v>337</v>
      </c>
      <c r="CT378" s="415" t="s">
        <v>337</v>
      </c>
    </row>
    <row r="379" spans="1:98">
      <c r="A379" s="1" t="s">
        <v>1029</v>
      </c>
      <c r="B379" s="416" t="s">
        <v>4422</v>
      </c>
      <c r="S379" s="213" t="s">
        <v>4423</v>
      </c>
      <c r="T379" s="416" t="s">
        <v>4424</v>
      </c>
      <c r="U379" s="415" t="s">
        <v>337</v>
      </c>
      <c r="X379" s="415"/>
      <c r="AA379" s="415"/>
      <c r="AD379" s="415"/>
      <c r="AE379" s="417" t="s">
        <v>4425</v>
      </c>
      <c r="AF379" s="416" t="s">
        <v>4426</v>
      </c>
      <c r="AG379" s="415"/>
      <c r="AJ379" s="415" t="s">
        <v>337</v>
      </c>
      <c r="AM379" s="415" t="s">
        <v>337</v>
      </c>
      <c r="AP379" s="415" t="s">
        <v>337</v>
      </c>
      <c r="AS379" s="415" t="s">
        <v>337</v>
      </c>
      <c r="AV379" s="415" t="s">
        <v>337</v>
      </c>
      <c r="AY379" s="415" t="s">
        <v>337</v>
      </c>
      <c r="AZ379" s="213" t="s">
        <v>4427</v>
      </c>
      <c r="BA379" s="416" t="s">
        <v>4428</v>
      </c>
      <c r="BB379" s="415" t="s">
        <v>337</v>
      </c>
      <c r="BE379" s="415" t="s">
        <v>337</v>
      </c>
      <c r="BH379" s="415" t="s">
        <v>337</v>
      </c>
      <c r="BM379" s="415" t="s">
        <v>337</v>
      </c>
      <c r="BP379" s="415" t="s">
        <v>337</v>
      </c>
      <c r="BS379" s="415"/>
      <c r="BV379" s="415" t="s">
        <v>337</v>
      </c>
      <c r="BY379" s="415" t="s">
        <v>337</v>
      </c>
      <c r="CB379" s="415" t="s">
        <v>337</v>
      </c>
      <c r="CE379" s="415" t="s">
        <v>337</v>
      </c>
      <c r="CH379" s="415" t="s">
        <v>337</v>
      </c>
      <c r="CK379" s="415" t="s">
        <v>337</v>
      </c>
      <c r="CN379" s="415" t="s">
        <v>337</v>
      </c>
      <c r="CQ379" s="415" t="s">
        <v>337</v>
      </c>
      <c r="CT379" s="415" t="s">
        <v>337</v>
      </c>
    </row>
    <row r="380" spans="1:98">
      <c r="A380" s="1" t="s">
        <v>1029</v>
      </c>
      <c r="B380" s="416" t="s">
        <v>4429</v>
      </c>
      <c r="S380" s="213" t="s">
        <v>4430</v>
      </c>
      <c r="T380" s="416" t="s">
        <v>4431</v>
      </c>
      <c r="U380" s="415" t="s">
        <v>337</v>
      </c>
      <c r="X380" s="415"/>
      <c r="AA380" s="415"/>
      <c r="AD380" s="415"/>
      <c r="AE380" s="417" t="s">
        <v>4432</v>
      </c>
      <c r="AF380" s="416" t="s">
        <v>4433</v>
      </c>
      <c r="AG380" s="415"/>
      <c r="AJ380" s="415" t="s">
        <v>337</v>
      </c>
      <c r="AM380" s="415" t="s">
        <v>337</v>
      </c>
      <c r="AP380" s="415" t="s">
        <v>337</v>
      </c>
      <c r="AS380" s="415" t="s">
        <v>337</v>
      </c>
      <c r="AV380" s="415" t="s">
        <v>337</v>
      </c>
      <c r="AY380" s="415" t="s">
        <v>337</v>
      </c>
      <c r="AZ380" s="213" t="s">
        <v>4434</v>
      </c>
      <c r="BA380" s="416" t="s">
        <v>822</v>
      </c>
      <c r="BB380" s="415" t="s">
        <v>337</v>
      </c>
      <c r="BE380" s="415" t="s">
        <v>337</v>
      </c>
      <c r="BH380" s="415" t="s">
        <v>337</v>
      </c>
      <c r="BM380" s="415" t="s">
        <v>337</v>
      </c>
      <c r="BP380" s="415" t="s">
        <v>337</v>
      </c>
      <c r="BS380" s="415"/>
      <c r="BV380" s="415" t="s">
        <v>337</v>
      </c>
      <c r="BY380" s="415" t="s">
        <v>337</v>
      </c>
      <c r="CB380" s="415" t="s">
        <v>337</v>
      </c>
      <c r="CE380" s="415" t="s">
        <v>337</v>
      </c>
      <c r="CH380" s="415" t="s">
        <v>337</v>
      </c>
      <c r="CK380" s="415" t="s">
        <v>337</v>
      </c>
      <c r="CN380" s="415" t="s">
        <v>337</v>
      </c>
      <c r="CQ380" s="415" t="s">
        <v>337</v>
      </c>
      <c r="CT380" s="415" t="s">
        <v>337</v>
      </c>
    </row>
    <row r="381" spans="1:98">
      <c r="A381" s="1" t="s">
        <v>1029</v>
      </c>
      <c r="B381" s="416" t="s">
        <v>4435</v>
      </c>
      <c r="S381" s="213" t="s">
        <v>4436</v>
      </c>
      <c r="T381" s="416" t="s">
        <v>4437</v>
      </c>
      <c r="U381" s="415" t="s">
        <v>337</v>
      </c>
      <c r="X381" s="415"/>
      <c r="AA381" s="415"/>
      <c r="AD381" s="415"/>
      <c r="AE381" s="417" t="s">
        <v>4438</v>
      </c>
      <c r="AF381" s="416" t="s">
        <v>4439</v>
      </c>
      <c r="AG381" s="415"/>
      <c r="AJ381" s="415" t="s">
        <v>337</v>
      </c>
      <c r="AM381" s="415" t="s">
        <v>337</v>
      </c>
      <c r="AP381" s="415" t="s">
        <v>337</v>
      </c>
      <c r="AS381" s="415" t="s">
        <v>337</v>
      </c>
      <c r="AV381" s="415" t="s">
        <v>337</v>
      </c>
      <c r="AY381" s="415" t="s">
        <v>337</v>
      </c>
      <c r="AZ381" s="213" t="s">
        <v>4440</v>
      </c>
      <c r="BA381" s="416" t="s">
        <v>496</v>
      </c>
      <c r="BB381" s="415" t="s">
        <v>337</v>
      </c>
      <c r="BE381" s="415" t="s">
        <v>337</v>
      </c>
      <c r="BH381" s="415" t="s">
        <v>337</v>
      </c>
      <c r="BM381" s="415" t="s">
        <v>337</v>
      </c>
      <c r="BP381" s="415" t="s">
        <v>337</v>
      </c>
      <c r="BS381" s="415"/>
      <c r="BV381" s="415" t="s">
        <v>337</v>
      </c>
      <c r="BY381" s="415" t="s">
        <v>337</v>
      </c>
      <c r="CB381" s="415" t="s">
        <v>337</v>
      </c>
      <c r="CE381" s="415" t="s">
        <v>337</v>
      </c>
      <c r="CH381" s="415" t="s">
        <v>337</v>
      </c>
      <c r="CK381" s="415" t="s">
        <v>337</v>
      </c>
      <c r="CN381" s="415" t="s">
        <v>337</v>
      </c>
      <c r="CQ381" s="415" t="s">
        <v>337</v>
      </c>
      <c r="CT381" s="415" t="s">
        <v>337</v>
      </c>
    </row>
    <row r="382" spans="1:98">
      <c r="A382" s="1" t="s">
        <v>1029</v>
      </c>
      <c r="B382" s="416" t="s">
        <v>4441</v>
      </c>
      <c r="S382" s="213" t="s">
        <v>4442</v>
      </c>
      <c r="T382" s="416" t="s">
        <v>4443</v>
      </c>
      <c r="U382" s="415" t="s">
        <v>337</v>
      </c>
      <c r="X382" s="415"/>
      <c r="AA382" s="415"/>
      <c r="AD382" s="415"/>
      <c r="AE382" s="417" t="s">
        <v>4444</v>
      </c>
      <c r="AF382" s="416" t="s">
        <v>4445</v>
      </c>
      <c r="AG382" s="415"/>
      <c r="AJ382" s="415" t="s">
        <v>337</v>
      </c>
      <c r="AM382" s="415" t="s">
        <v>337</v>
      </c>
      <c r="AP382" s="415" t="s">
        <v>337</v>
      </c>
      <c r="AS382" s="415" t="s">
        <v>337</v>
      </c>
      <c r="AV382" s="415" t="s">
        <v>337</v>
      </c>
      <c r="AY382" s="415" t="s">
        <v>337</v>
      </c>
      <c r="AZ382" s="213" t="s">
        <v>4446</v>
      </c>
      <c r="BA382" s="416" t="s">
        <v>4447</v>
      </c>
      <c r="BB382" s="415" t="s">
        <v>337</v>
      </c>
      <c r="BE382" s="415" t="s">
        <v>337</v>
      </c>
      <c r="BH382" s="415" t="s">
        <v>337</v>
      </c>
      <c r="BM382" s="415" t="s">
        <v>337</v>
      </c>
      <c r="BP382" s="415" t="s">
        <v>337</v>
      </c>
      <c r="BS382" s="415"/>
      <c r="BV382" s="415" t="s">
        <v>337</v>
      </c>
      <c r="BY382" s="415" t="s">
        <v>337</v>
      </c>
      <c r="CB382" s="415" t="s">
        <v>337</v>
      </c>
      <c r="CE382" s="415" t="s">
        <v>337</v>
      </c>
      <c r="CH382" s="415" t="s">
        <v>337</v>
      </c>
      <c r="CK382" s="415" t="s">
        <v>337</v>
      </c>
      <c r="CN382" s="415" t="s">
        <v>337</v>
      </c>
      <c r="CQ382" s="415" t="s">
        <v>337</v>
      </c>
      <c r="CT382" s="415" t="s">
        <v>337</v>
      </c>
    </row>
    <row r="383" spans="1:98">
      <c r="A383" s="1" t="s">
        <v>1029</v>
      </c>
      <c r="B383" s="416" t="s">
        <v>4448</v>
      </c>
      <c r="S383" s="213" t="s">
        <v>4449</v>
      </c>
      <c r="T383" s="416" t="s">
        <v>4450</v>
      </c>
      <c r="U383" s="415" t="s">
        <v>337</v>
      </c>
      <c r="X383" s="415"/>
      <c r="AA383" s="415"/>
      <c r="AD383" s="415"/>
      <c r="AE383" s="417" t="s">
        <v>4451</v>
      </c>
      <c r="AF383" s="416" t="s">
        <v>4452</v>
      </c>
      <c r="AG383" s="415"/>
      <c r="AJ383" s="415" t="s">
        <v>337</v>
      </c>
      <c r="AM383" s="415" t="s">
        <v>337</v>
      </c>
      <c r="AP383" s="415" t="s">
        <v>337</v>
      </c>
      <c r="AS383" s="415" t="s">
        <v>337</v>
      </c>
      <c r="AV383" s="415" t="s">
        <v>337</v>
      </c>
      <c r="AY383" s="415" t="s">
        <v>337</v>
      </c>
      <c r="AZ383" s="213" t="s">
        <v>4453</v>
      </c>
      <c r="BA383" s="416" t="s">
        <v>4454</v>
      </c>
      <c r="BB383" s="415" t="s">
        <v>337</v>
      </c>
      <c r="BE383" s="415" t="s">
        <v>337</v>
      </c>
      <c r="BH383" s="415" t="s">
        <v>337</v>
      </c>
      <c r="BM383" s="415" t="s">
        <v>337</v>
      </c>
      <c r="BP383" s="415" t="s">
        <v>337</v>
      </c>
      <c r="BS383" s="415"/>
      <c r="BV383" s="415" t="s">
        <v>337</v>
      </c>
      <c r="BY383" s="415" t="s">
        <v>337</v>
      </c>
      <c r="CB383" s="415" t="s">
        <v>337</v>
      </c>
      <c r="CE383" s="415" t="s">
        <v>337</v>
      </c>
      <c r="CH383" s="415" t="s">
        <v>337</v>
      </c>
      <c r="CK383" s="415" t="s">
        <v>337</v>
      </c>
      <c r="CN383" s="415" t="s">
        <v>337</v>
      </c>
      <c r="CQ383" s="415" t="s">
        <v>337</v>
      </c>
      <c r="CT383" s="415" t="s">
        <v>337</v>
      </c>
    </row>
    <row r="384" spans="1:98">
      <c r="A384" s="1" t="s">
        <v>1029</v>
      </c>
      <c r="B384" s="416" t="s">
        <v>4455</v>
      </c>
      <c r="S384" s="213" t="s">
        <v>4456</v>
      </c>
      <c r="T384" s="416" t="s">
        <v>4457</v>
      </c>
      <c r="U384" s="415" t="s">
        <v>337</v>
      </c>
      <c r="X384" s="415"/>
      <c r="AA384" s="415"/>
      <c r="AD384" s="415"/>
      <c r="AE384" s="417" t="s">
        <v>4458</v>
      </c>
      <c r="AF384" s="416" t="s">
        <v>4459</v>
      </c>
      <c r="AG384" s="415"/>
      <c r="AJ384" s="415" t="s">
        <v>337</v>
      </c>
      <c r="AM384" s="415" t="s">
        <v>337</v>
      </c>
      <c r="AP384" s="415" t="s">
        <v>337</v>
      </c>
      <c r="AS384" s="415" t="s">
        <v>337</v>
      </c>
      <c r="AV384" s="415" t="s">
        <v>337</v>
      </c>
      <c r="AY384" s="415" t="s">
        <v>337</v>
      </c>
      <c r="AZ384" s="213" t="s">
        <v>4460</v>
      </c>
      <c r="BA384" s="416" t="s">
        <v>4461</v>
      </c>
      <c r="BB384" s="415" t="s">
        <v>337</v>
      </c>
      <c r="BE384" s="415" t="s">
        <v>337</v>
      </c>
      <c r="BH384" s="415" t="s">
        <v>337</v>
      </c>
      <c r="BM384" s="415" t="s">
        <v>337</v>
      </c>
      <c r="BP384" s="415" t="s">
        <v>337</v>
      </c>
      <c r="BS384" s="415"/>
      <c r="BV384" s="415" t="s">
        <v>337</v>
      </c>
      <c r="BY384" s="415" t="s">
        <v>337</v>
      </c>
      <c r="CB384" s="415" t="s">
        <v>337</v>
      </c>
      <c r="CE384" s="415" t="s">
        <v>337</v>
      </c>
      <c r="CH384" s="415" t="s">
        <v>337</v>
      </c>
      <c r="CK384" s="415" t="s">
        <v>337</v>
      </c>
      <c r="CN384" s="415" t="s">
        <v>337</v>
      </c>
      <c r="CQ384" s="415" t="s">
        <v>337</v>
      </c>
      <c r="CT384" s="415" t="s">
        <v>337</v>
      </c>
    </row>
    <row r="385" spans="1:98">
      <c r="A385" s="1" t="s">
        <v>1029</v>
      </c>
      <c r="B385" s="416" t="s">
        <v>4462</v>
      </c>
      <c r="S385" s="213" t="s">
        <v>4463</v>
      </c>
      <c r="T385" s="416" t="s">
        <v>4464</v>
      </c>
      <c r="U385" s="415" t="s">
        <v>337</v>
      </c>
      <c r="X385" s="415"/>
      <c r="AA385" s="415"/>
      <c r="AD385" s="415"/>
      <c r="AE385" s="417" t="s">
        <v>4465</v>
      </c>
      <c r="AF385" s="416" t="s">
        <v>4466</v>
      </c>
      <c r="AG385" s="415"/>
      <c r="AJ385" s="415" t="s">
        <v>337</v>
      </c>
      <c r="AM385" s="415" t="s">
        <v>337</v>
      </c>
      <c r="AP385" s="415" t="s">
        <v>337</v>
      </c>
      <c r="AS385" s="415" t="s">
        <v>337</v>
      </c>
      <c r="AV385" s="415" t="s">
        <v>337</v>
      </c>
      <c r="AY385" s="415" t="s">
        <v>337</v>
      </c>
      <c r="AZ385" s="213" t="s">
        <v>4467</v>
      </c>
      <c r="BA385" s="416" t="s">
        <v>4468</v>
      </c>
      <c r="BB385" s="415" t="s">
        <v>337</v>
      </c>
      <c r="BE385" s="415" t="s">
        <v>337</v>
      </c>
      <c r="BH385" s="415" t="s">
        <v>337</v>
      </c>
      <c r="BM385" s="415" t="s">
        <v>337</v>
      </c>
      <c r="BP385" s="415" t="s">
        <v>337</v>
      </c>
      <c r="BS385" s="415"/>
      <c r="BV385" s="415" t="s">
        <v>337</v>
      </c>
      <c r="BY385" s="415" t="s">
        <v>337</v>
      </c>
      <c r="CB385" s="415" t="s">
        <v>337</v>
      </c>
      <c r="CE385" s="415" t="s">
        <v>337</v>
      </c>
      <c r="CH385" s="415" t="s">
        <v>337</v>
      </c>
      <c r="CK385" s="415" t="s">
        <v>337</v>
      </c>
      <c r="CN385" s="415" t="s">
        <v>337</v>
      </c>
      <c r="CQ385" s="415" t="s">
        <v>337</v>
      </c>
      <c r="CT385" s="415" t="s">
        <v>337</v>
      </c>
    </row>
    <row r="386" spans="1:98">
      <c r="A386" s="1" t="s">
        <v>1029</v>
      </c>
      <c r="B386" s="416" t="s">
        <v>4469</v>
      </c>
      <c r="S386" s="213" t="s">
        <v>4470</v>
      </c>
      <c r="T386" s="416" t="s">
        <v>4471</v>
      </c>
      <c r="U386" s="415" t="s">
        <v>337</v>
      </c>
      <c r="X386" s="415"/>
      <c r="AA386" s="415"/>
      <c r="AD386" s="415"/>
      <c r="AE386" s="417" t="s">
        <v>4472</v>
      </c>
      <c r="AF386" s="416" t="s">
        <v>4473</v>
      </c>
      <c r="AG386" s="415"/>
      <c r="AJ386" s="415" t="s">
        <v>337</v>
      </c>
      <c r="AM386" s="415" t="s">
        <v>337</v>
      </c>
      <c r="AP386" s="415" t="s">
        <v>337</v>
      </c>
      <c r="AS386" s="415" t="s">
        <v>337</v>
      </c>
      <c r="AV386" s="415" t="s">
        <v>337</v>
      </c>
      <c r="AY386" s="415" t="s">
        <v>337</v>
      </c>
      <c r="AZ386" s="213" t="s">
        <v>4474</v>
      </c>
      <c r="BA386" s="416" t="s">
        <v>4475</v>
      </c>
      <c r="BB386" s="415" t="s">
        <v>337</v>
      </c>
      <c r="BE386" s="415" t="s">
        <v>337</v>
      </c>
      <c r="BH386" s="415" t="s">
        <v>337</v>
      </c>
      <c r="BM386" s="415" t="s">
        <v>337</v>
      </c>
      <c r="BP386" s="415" t="s">
        <v>337</v>
      </c>
      <c r="BS386" s="415"/>
      <c r="BV386" s="415" t="s">
        <v>337</v>
      </c>
      <c r="BY386" s="415" t="s">
        <v>337</v>
      </c>
      <c r="CB386" s="415" t="s">
        <v>337</v>
      </c>
      <c r="CE386" s="415" t="s">
        <v>337</v>
      </c>
      <c r="CH386" s="415" t="s">
        <v>337</v>
      </c>
      <c r="CK386" s="415" t="s">
        <v>337</v>
      </c>
      <c r="CN386" s="415" t="s">
        <v>337</v>
      </c>
      <c r="CQ386" s="415" t="s">
        <v>337</v>
      </c>
      <c r="CT386" s="415" t="s">
        <v>337</v>
      </c>
    </row>
    <row r="387" spans="1:98">
      <c r="A387" s="1" t="s">
        <v>1029</v>
      </c>
      <c r="B387" s="416" t="s">
        <v>4476</v>
      </c>
      <c r="S387" s="213" t="s">
        <v>4477</v>
      </c>
      <c r="T387" s="416" t="s">
        <v>4478</v>
      </c>
      <c r="U387" s="415" t="s">
        <v>337</v>
      </c>
      <c r="X387" s="415"/>
      <c r="AA387" s="415"/>
      <c r="AD387" s="415"/>
      <c r="AE387" s="417" t="s">
        <v>4479</v>
      </c>
      <c r="AF387" s="416" t="s">
        <v>4480</v>
      </c>
      <c r="AG387" s="415"/>
      <c r="AJ387" s="415" t="s">
        <v>337</v>
      </c>
      <c r="AM387" s="415" t="s">
        <v>337</v>
      </c>
      <c r="AP387" s="415" t="s">
        <v>337</v>
      </c>
      <c r="AS387" s="415" t="s">
        <v>337</v>
      </c>
      <c r="AV387" s="415" t="s">
        <v>337</v>
      </c>
      <c r="AY387" s="415" t="s">
        <v>337</v>
      </c>
      <c r="AZ387" s="213" t="s">
        <v>4481</v>
      </c>
      <c r="BA387" s="416" t="s">
        <v>4482</v>
      </c>
      <c r="BB387" s="415" t="s">
        <v>337</v>
      </c>
      <c r="BE387" s="415" t="s">
        <v>337</v>
      </c>
      <c r="BH387" s="415" t="s">
        <v>337</v>
      </c>
      <c r="BM387" s="415" t="s">
        <v>337</v>
      </c>
      <c r="BP387" s="415" t="s">
        <v>337</v>
      </c>
      <c r="BS387" s="415"/>
      <c r="BV387" s="415" t="s">
        <v>337</v>
      </c>
      <c r="BY387" s="415" t="s">
        <v>337</v>
      </c>
      <c r="CB387" s="415" t="s">
        <v>337</v>
      </c>
      <c r="CE387" s="415" t="s">
        <v>337</v>
      </c>
      <c r="CH387" s="415" t="s">
        <v>337</v>
      </c>
      <c r="CK387" s="415" t="s">
        <v>337</v>
      </c>
      <c r="CN387" s="415" t="s">
        <v>337</v>
      </c>
      <c r="CQ387" s="415" t="s">
        <v>337</v>
      </c>
      <c r="CT387" s="415" t="s">
        <v>337</v>
      </c>
    </row>
    <row r="388" spans="1:98">
      <c r="A388" s="1" t="s">
        <v>1029</v>
      </c>
      <c r="B388" s="416" t="s">
        <v>4483</v>
      </c>
      <c r="S388" s="213" t="s">
        <v>4484</v>
      </c>
      <c r="T388" s="416" t="s">
        <v>4485</v>
      </c>
      <c r="U388" s="415" t="s">
        <v>337</v>
      </c>
      <c r="X388" s="415"/>
      <c r="AA388" s="415"/>
      <c r="AD388" s="415"/>
      <c r="AE388" s="417" t="s">
        <v>4486</v>
      </c>
      <c r="AF388" s="416" t="s">
        <v>4487</v>
      </c>
      <c r="AG388" s="415"/>
      <c r="AJ388" s="415" t="s">
        <v>337</v>
      </c>
      <c r="AM388" s="415" t="s">
        <v>337</v>
      </c>
      <c r="AP388" s="415" t="s">
        <v>337</v>
      </c>
      <c r="AS388" s="415" t="s">
        <v>337</v>
      </c>
      <c r="AV388" s="415" t="s">
        <v>337</v>
      </c>
      <c r="AY388" s="415" t="s">
        <v>337</v>
      </c>
      <c r="AZ388" s="213" t="s">
        <v>4488</v>
      </c>
      <c r="BA388" s="416" t="s">
        <v>4489</v>
      </c>
      <c r="BB388" s="415" t="s">
        <v>337</v>
      </c>
      <c r="BE388" s="415" t="s">
        <v>337</v>
      </c>
      <c r="BH388" s="415" t="s">
        <v>337</v>
      </c>
      <c r="BM388" s="415" t="s">
        <v>337</v>
      </c>
      <c r="BP388" s="415" t="s">
        <v>337</v>
      </c>
      <c r="BS388" s="415"/>
      <c r="BV388" s="415" t="s">
        <v>337</v>
      </c>
      <c r="BY388" s="415" t="s">
        <v>337</v>
      </c>
      <c r="CB388" s="415" t="s">
        <v>337</v>
      </c>
      <c r="CE388" s="415" t="s">
        <v>337</v>
      </c>
      <c r="CH388" s="415" t="s">
        <v>337</v>
      </c>
      <c r="CK388" s="415" t="s">
        <v>337</v>
      </c>
      <c r="CN388" s="415" t="s">
        <v>337</v>
      </c>
      <c r="CQ388" s="415" t="s">
        <v>337</v>
      </c>
      <c r="CT388" s="415" t="s">
        <v>337</v>
      </c>
    </row>
    <row r="389" spans="1:98">
      <c r="A389" s="1" t="s">
        <v>1029</v>
      </c>
      <c r="B389" s="416" t="s">
        <v>4490</v>
      </c>
      <c r="S389" s="213" t="s">
        <v>4491</v>
      </c>
      <c r="T389" s="416" t="s">
        <v>4492</v>
      </c>
      <c r="U389" s="415" t="s">
        <v>337</v>
      </c>
      <c r="X389" s="415"/>
      <c r="AA389" s="415"/>
      <c r="AD389" s="415"/>
      <c r="AE389" s="417" t="s">
        <v>4493</v>
      </c>
      <c r="AF389" s="416" t="s">
        <v>4494</v>
      </c>
      <c r="AG389" s="415"/>
      <c r="AJ389" s="415" t="s">
        <v>337</v>
      </c>
      <c r="AM389" s="415" t="s">
        <v>337</v>
      </c>
      <c r="AP389" s="415" t="s">
        <v>337</v>
      </c>
      <c r="AS389" s="415" t="s">
        <v>337</v>
      </c>
      <c r="AV389" s="415" t="s">
        <v>337</v>
      </c>
      <c r="AY389" s="415" t="s">
        <v>337</v>
      </c>
      <c r="AZ389" s="213" t="s">
        <v>4495</v>
      </c>
      <c r="BA389" s="416" t="s">
        <v>4496</v>
      </c>
      <c r="BB389" s="415" t="s">
        <v>337</v>
      </c>
      <c r="BE389" s="415" t="s">
        <v>337</v>
      </c>
      <c r="BH389" s="415" t="s">
        <v>337</v>
      </c>
      <c r="BM389" s="415" t="s">
        <v>337</v>
      </c>
      <c r="BP389" s="415" t="s">
        <v>337</v>
      </c>
      <c r="BS389" s="415"/>
      <c r="BV389" s="415" t="s">
        <v>337</v>
      </c>
      <c r="BY389" s="415" t="s">
        <v>337</v>
      </c>
      <c r="CB389" s="415" t="s">
        <v>337</v>
      </c>
      <c r="CE389" s="415" t="s">
        <v>337</v>
      </c>
      <c r="CH389" s="415" t="s">
        <v>337</v>
      </c>
      <c r="CK389" s="415" t="s">
        <v>337</v>
      </c>
      <c r="CN389" s="415" t="s">
        <v>337</v>
      </c>
      <c r="CQ389" s="415" t="s">
        <v>337</v>
      </c>
      <c r="CT389" s="415" t="s">
        <v>337</v>
      </c>
    </row>
    <row r="390" spans="1:98">
      <c r="A390" s="1" t="s">
        <v>1044</v>
      </c>
      <c r="B390" s="416" t="s">
        <v>4497</v>
      </c>
      <c r="S390" s="213" t="s">
        <v>4498</v>
      </c>
      <c r="T390" s="416" t="s">
        <v>4499</v>
      </c>
      <c r="U390" s="415" t="s">
        <v>337</v>
      </c>
      <c r="X390" s="415"/>
      <c r="AA390" s="415"/>
      <c r="AD390" s="415"/>
      <c r="AE390" s="417" t="s">
        <v>4500</v>
      </c>
      <c r="AF390" s="416" t="s">
        <v>4501</v>
      </c>
      <c r="AG390" s="415"/>
      <c r="AJ390" s="415" t="s">
        <v>337</v>
      </c>
      <c r="AM390" s="415" t="s">
        <v>337</v>
      </c>
      <c r="AP390" s="415" t="s">
        <v>337</v>
      </c>
      <c r="AS390" s="415" t="s">
        <v>337</v>
      </c>
      <c r="AV390" s="415" t="s">
        <v>337</v>
      </c>
      <c r="AY390" s="415" t="s">
        <v>337</v>
      </c>
      <c r="AZ390" s="213" t="s">
        <v>4502</v>
      </c>
      <c r="BA390" s="416" t="s">
        <v>4503</v>
      </c>
      <c r="BB390" s="415" t="s">
        <v>337</v>
      </c>
      <c r="BE390" s="415" t="s">
        <v>337</v>
      </c>
      <c r="BH390" s="415" t="s">
        <v>337</v>
      </c>
      <c r="BM390" s="415" t="s">
        <v>337</v>
      </c>
      <c r="BP390" s="415" t="s">
        <v>337</v>
      </c>
      <c r="BS390" s="415"/>
      <c r="BV390" s="415" t="s">
        <v>337</v>
      </c>
      <c r="BY390" s="415" t="s">
        <v>337</v>
      </c>
      <c r="CB390" s="415" t="s">
        <v>337</v>
      </c>
      <c r="CE390" s="415" t="s">
        <v>337</v>
      </c>
      <c r="CH390" s="415" t="s">
        <v>337</v>
      </c>
      <c r="CK390" s="415" t="s">
        <v>337</v>
      </c>
      <c r="CN390" s="415" t="s">
        <v>337</v>
      </c>
      <c r="CQ390" s="415" t="s">
        <v>337</v>
      </c>
      <c r="CT390" s="415" t="s">
        <v>337</v>
      </c>
    </row>
    <row r="391" spans="1:98">
      <c r="A391" s="1" t="s">
        <v>1044</v>
      </c>
      <c r="B391" s="416" t="s">
        <v>4504</v>
      </c>
      <c r="S391" s="213" t="s">
        <v>4505</v>
      </c>
      <c r="T391" s="416" t="s">
        <v>4506</v>
      </c>
      <c r="U391" s="415" t="s">
        <v>337</v>
      </c>
      <c r="X391" s="415"/>
      <c r="AA391" s="415"/>
      <c r="AD391" s="415"/>
      <c r="AE391" s="417" t="s">
        <v>4507</v>
      </c>
      <c r="AF391" s="416" t="s">
        <v>4508</v>
      </c>
      <c r="AG391" s="415"/>
      <c r="AJ391" s="415" t="s">
        <v>337</v>
      </c>
      <c r="AM391" s="415" t="s">
        <v>337</v>
      </c>
      <c r="AP391" s="415" t="s">
        <v>337</v>
      </c>
      <c r="AS391" s="415" t="s">
        <v>337</v>
      </c>
      <c r="AV391" s="415" t="s">
        <v>337</v>
      </c>
      <c r="AY391" s="415" t="s">
        <v>337</v>
      </c>
      <c r="AZ391" s="213" t="s">
        <v>4509</v>
      </c>
      <c r="BA391" s="416" t="s">
        <v>4510</v>
      </c>
      <c r="BB391" s="415" t="s">
        <v>337</v>
      </c>
      <c r="BE391" s="415" t="s">
        <v>337</v>
      </c>
      <c r="BH391" s="415" t="s">
        <v>337</v>
      </c>
      <c r="BM391" s="415" t="s">
        <v>337</v>
      </c>
      <c r="BP391" s="415" t="s">
        <v>337</v>
      </c>
      <c r="BS391" s="415"/>
      <c r="BV391" s="415" t="s">
        <v>337</v>
      </c>
      <c r="BY391" s="415" t="s">
        <v>337</v>
      </c>
      <c r="CB391" s="415" t="s">
        <v>337</v>
      </c>
      <c r="CE391" s="415" t="s">
        <v>337</v>
      </c>
      <c r="CH391" s="415" t="s">
        <v>337</v>
      </c>
      <c r="CK391" s="415" t="s">
        <v>337</v>
      </c>
      <c r="CN391" s="415" t="s">
        <v>337</v>
      </c>
      <c r="CQ391" s="415" t="s">
        <v>337</v>
      </c>
      <c r="CT391" s="415" t="s">
        <v>337</v>
      </c>
    </row>
    <row r="392" spans="1:98">
      <c r="A392" s="1" t="s">
        <v>1044</v>
      </c>
      <c r="B392" s="416" t="s">
        <v>4511</v>
      </c>
      <c r="S392" s="213" t="s">
        <v>4512</v>
      </c>
      <c r="T392" s="416" t="s">
        <v>4513</v>
      </c>
      <c r="U392" s="415" t="s">
        <v>337</v>
      </c>
      <c r="X392" s="415"/>
      <c r="AA392" s="415"/>
      <c r="AD392" s="415"/>
      <c r="AE392" s="417" t="s">
        <v>4514</v>
      </c>
      <c r="AF392" s="416" t="s">
        <v>4515</v>
      </c>
      <c r="AG392" s="415"/>
      <c r="AJ392" s="415" t="s">
        <v>337</v>
      </c>
      <c r="AM392" s="415" t="s">
        <v>337</v>
      </c>
      <c r="AP392" s="415" t="s">
        <v>337</v>
      </c>
      <c r="AS392" s="415" t="s">
        <v>337</v>
      </c>
      <c r="AV392" s="415" t="s">
        <v>337</v>
      </c>
      <c r="AY392" s="415" t="s">
        <v>337</v>
      </c>
      <c r="AZ392" s="213" t="s">
        <v>4516</v>
      </c>
      <c r="BA392" s="416" t="s">
        <v>4517</v>
      </c>
      <c r="BB392" s="415" t="s">
        <v>337</v>
      </c>
      <c r="BE392" s="415" t="s">
        <v>337</v>
      </c>
      <c r="BH392" s="415" t="s">
        <v>337</v>
      </c>
      <c r="BM392" s="415" t="s">
        <v>337</v>
      </c>
      <c r="BP392" s="415" t="s">
        <v>337</v>
      </c>
      <c r="BS392" s="415"/>
      <c r="BV392" s="415" t="s">
        <v>337</v>
      </c>
      <c r="BY392" s="415" t="s">
        <v>337</v>
      </c>
      <c r="CB392" s="415" t="s">
        <v>337</v>
      </c>
      <c r="CE392" s="415" t="s">
        <v>337</v>
      </c>
      <c r="CH392" s="415" t="s">
        <v>337</v>
      </c>
      <c r="CK392" s="415" t="s">
        <v>337</v>
      </c>
      <c r="CN392" s="415" t="s">
        <v>337</v>
      </c>
      <c r="CQ392" s="415" t="s">
        <v>337</v>
      </c>
      <c r="CT392" s="415" t="s">
        <v>337</v>
      </c>
    </row>
    <row r="393" spans="1:98">
      <c r="A393" s="1" t="s">
        <v>1044</v>
      </c>
      <c r="B393" s="416" t="s">
        <v>4518</v>
      </c>
      <c r="S393" s="213" t="s">
        <v>4519</v>
      </c>
      <c r="T393" s="416" t="s">
        <v>4520</v>
      </c>
      <c r="U393" s="415" t="s">
        <v>337</v>
      </c>
      <c r="X393" s="415"/>
      <c r="AA393" s="415"/>
      <c r="AD393" s="415"/>
      <c r="AE393" s="417" t="s">
        <v>4521</v>
      </c>
      <c r="AF393" s="416" t="s">
        <v>4522</v>
      </c>
      <c r="AG393" s="415"/>
      <c r="AJ393" s="415" t="s">
        <v>337</v>
      </c>
      <c r="AM393" s="415" t="s">
        <v>337</v>
      </c>
      <c r="AP393" s="415" t="s">
        <v>337</v>
      </c>
      <c r="AS393" s="415" t="s">
        <v>337</v>
      </c>
      <c r="AV393" s="415" t="s">
        <v>337</v>
      </c>
      <c r="AY393" s="415" t="s">
        <v>337</v>
      </c>
      <c r="AZ393" s="213" t="s">
        <v>4523</v>
      </c>
      <c r="BA393" s="416" t="s">
        <v>4524</v>
      </c>
      <c r="BB393" s="415" t="s">
        <v>337</v>
      </c>
      <c r="BE393" s="415" t="s">
        <v>337</v>
      </c>
      <c r="BH393" s="415" t="s">
        <v>337</v>
      </c>
      <c r="BM393" s="415" t="s">
        <v>337</v>
      </c>
      <c r="BP393" s="415" t="s">
        <v>337</v>
      </c>
      <c r="BS393" s="415"/>
      <c r="BV393" s="415" t="s">
        <v>337</v>
      </c>
      <c r="BY393" s="415" t="s">
        <v>337</v>
      </c>
      <c r="CB393" s="415" t="s">
        <v>337</v>
      </c>
      <c r="CE393" s="415" t="s">
        <v>337</v>
      </c>
      <c r="CH393" s="415" t="s">
        <v>337</v>
      </c>
      <c r="CK393" s="415" t="s">
        <v>337</v>
      </c>
      <c r="CN393" s="415" t="s">
        <v>337</v>
      </c>
      <c r="CQ393" s="415" t="s">
        <v>337</v>
      </c>
      <c r="CT393" s="415" t="s">
        <v>337</v>
      </c>
    </row>
    <row r="394" spans="1:98">
      <c r="A394" s="1" t="s">
        <v>1044</v>
      </c>
      <c r="B394" s="416" t="s">
        <v>4525</v>
      </c>
      <c r="S394" s="213" t="s">
        <v>4526</v>
      </c>
      <c r="T394" s="416" t="s">
        <v>4527</v>
      </c>
      <c r="U394" s="415" t="s">
        <v>337</v>
      </c>
      <c r="X394" s="415"/>
      <c r="AA394" s="415"/>
      <c r="AD394" s="415"/>
      <c r="AE394" s="417" t="s">
        <v>4528</v>
      </c>
      <c r="AF394" s="416" t="s">
        <v>4529</v>
      </c>
      <c r="AG394" s="415"/>
      <c r="AJ394" s="415" t="s">
        <v>337</v>
      </c>
      <c r="AM394" s="415" t="s">
        <v>337</v>
      </c>
      <c r="AP394" s="415" t="s">
        <v>337</v>
      </c>
      <c r="AS394" s="415" t="s">
        <v>337</v>
      </c>
      <c r="AV394" s="415" t="s">
        <v>337</v>
      </c>
      <c r="AY394" s="415" t="s">
        <v>337</v>
      </c>
      <c r="AZ394" s="213" t="s">
        <v>4530</v>
      </c>
      <c r="BA394" s="416" t="s">
        <v>4531</v>
      </c>
      <c r="BB394" s="415" t="s">
        <v>337</v>
      </c>
      <c r="BE394" s="415" t="s">
        <v>337</v>
      </c>
      <c r="BH394" s="415" t="s">
        <v>337</v>
      </c>
      <c r="BM394" s="415" t="s">
        <v>337</v>
      </c>
      <c r="BP394" s="415" t="s">
        <v>337</v>
      </c>
      <c r="BS394" s="415"/>
      <c r="BV394" s="415" t="s">
        <v>337</v>
      </c>
      <c r="BY394" s="415" t="s">
        <v>337</v>
      </c>
      <c r="CB394" s="415" t="s">
        <v>337</v>
      </c>
      <c r="CE394" s="415" t="s">
        <v>337</v>
      </c>
      <c r="CH394" s="415" t="s">
        <v>337</v>
      </c>
      <c r="CK394" s="415" t="s">
        <v>337</v>
      </c>
      <c r="CN394" s="415" t="s">
        <v>337</v>
      </c>
      <c r="CQ394" s="415" t="s">
        <v>337</v>
      </c>
      <c r="CT394" s="415" t="s">
        <v>337</v>
      </c>
    </row>
    <row r="395" spans="1:98">
      <c r="A395" s="1" t="s">
        <v>1044</v>
      </c>
      <c r="B395" s="416" t="s">
        <v>4532</v>
      </c>
      <c r="S395" s="213" t="s">
        <v>4533</v>
      </c>
      <c r="T395" s="416" t="s">
        <v>4534</v>
      </c>
      <c r="U395" s="415" t="s">
        <v>337</v>
      </c>
      <c r="X395" s="415"/>
      <c r="AA395" s="415"/>
      <c r="AD395" s="415"/>
      <c r="AE395" s="417" t="s">
        <v>4535</v>
      </c>
      <c r="AF395" s="416" t="s">
        <v>4536</v>
      </c>
      <c r="AG395" s="415"/>
      <c r="AJ395" s="415" t="s">
        <v>337</v>
      </c>
      <c r="AM395" s="415" t="s">
        <v>337</v>
      </c>
      <c r="AP395" s="415" t="s">
        <v>337</v>
      </c>
      <c r="AS395" s="415" t="s">
        <v>337</v>
      </c>
      <c r="AV395" s="415" t="s">
        <v>337</v>
      </c>
      <c r="AY395" s="415" t="s">
        <v>337</v>
      </c>
      <c r="AZ395" s="213" t="s">
        <v>4537</v>
      </c>
      <c r="BA395" s="416" t="s">
        <v>4538</v>
      </c>
      <c r="BB395" s="415" t="s">
        <v>337</v>
      </c>
      <c r="BE395" s="415" t="s">
        <v>337</v>
      </c>
      <c r="BH395" s="415" t="s">
        <v>337</v>
      </c>
      <c r="BM395" s="415" t="s">
        <v>337</v>
      </c>
      <c r="BP395" s="415" t="s">
        <v>337</v>
      </c>
      <c r="BS395" s="415"/>
      <c r="BV395" s="415" t="s">
        <v>337</v>
      </c>
      <c r="BY395" s="415" t="s">
        <v>337</v>
      </c>
      <c r="CB395" s="415" t="s">
        <v>337</v>
      </c>
      <c r="CE395" s="415" t="s">
        <v>337</v>
      </c>
      <c r="CH395" s="415" t="s">
        <v>337</v>
      </c>
      <c r="CK395" s="415" t="s">
        <v>337</v>
      </c>
      <c r="CN395" s="415" t="s">
        <v>337</v>
      </c>
      <c r="CQ395" s="415" t="s">
        <v>337</v>
      </c>
      <c r="CT395" s="415" t="s">
        <v>337</v>
      </c>
    </row>
    <row r="396" spans="1:98">
      <c r="A396" s="1" t="s">
        <v>1044</v>
      </c>
      <c r="B396" s="416" t="s">
        <v>4539</v>
      </c>
      <c r="S396" s="213" t="s">
        <v>4540</v>
      </c>
      <c r="T396" s="416" t="s">
        <v>4541</v>
      </c>
      <c r="U396" s="415" t="s">
        <v>337</v>
      </c>
      <c r="X396" s="415"/>
      <c r="AA396" s="415"/>
      <c r="AD396" s="415"/>
      <c r="AE396" s="417" t="s">
        <v>4542</v>
      </c>
      <c r="AF396" s="416" t="s">
        <v>4543</v>
      </c>
      <c r="AG396" s="415"/>
      <c r="AJ396" s="415" t="s">
        <v>337</v>
      </c>
      <c r="AM396" s="415" t="s">
        <v>337</v>
      </c>
      <c r="AP396" s="415" t="s">
        <v>337</v>
      </c>
      <c r="AS396" s="415" t="s">
        <v>337</v>
      </c>
      <c r="AV396" s="415" t="s">
        <v>337</v>
      </c>
      <c r="AY396" s="415" t="s">
        <v>337</v>
      </c>
      <c r="AZ396" s="213" t="s">
        <v>4544</v>
      </c>
      <c r="BA396" s="416" t="s">
        <v>4545</v>
      </c>
      <c r="BB396" s="415" t="s">
        <v>337</v>
      </c>
      <c r="BE396" s="415" t="s">
        <v>337</v>
      </c>
      <c r="BH396" s="415" t="s">
        <v>337</v>
      </c>
      <c r="BM396" s="415" t="s">
        <v>337</v>
      </c>
      <c r="BP396" s="415" t="s">
        <v>337</v>
      </c>
      <c r="BS396" s="415"/>
      <c r="BV396" s="415" t="s">
        <v>337</v>
      </c>
      <c r="BY396" s="415" t="s">
        <v>337</v>
      </c>
      <c r="CB396" s="415" t="s">
        <v>337</v>
      </c>
      <c r="CE396" s="415" t="s">
        <v>337</v>
      </c>
      <c r="CH396" s="415" t="s">
        <v>337</v>
      </c>
      <c r="CK396" s="415" t="s">
        <v>337</v>
      </c>
      <c r="CN396" s="415" t="s">
        <v>337</v>
      </c>
      <c r="CQ396" s="415" t="s">
        <v>337</v>
      </c>
      <c r="CT396" s="415" t="s">
        <v>337</v>
      </c>
    </row>
    <row r="397" spans="1:98">
      <c r="A397" s="1" t="s">
        <v>1044</v>
      </c>
      <c r="B397" s="416" t="s">
        <v>4539</v>
      </c>
      <c r="S397" s="213" t="s">
        <v>4546</v>
      </c>
      <c r="T397" s="416" t="s">
        <v>4547</v>
      </c>
      <c r="U397" s="415" t="s">
        <v>337</v>
      </c>
      <c r="X397" s="415"/>
      <c r="AA397" s="415"/>
      <c r="AD397" s="415"/>
      <c r="AE397" s="417" t="s">
        <v>4548</v>
      </c>
      <c r="AF397" s="416" t="s">
        <v>4549</v>
      </c>
      <c r="AG397" s="415"/>
      <c r="AJ397" s="415" t="s">
        <v>337</v>
      </c>
      <c r="AM397" s="415" t="s">
        <v>337</v>
      </c>
      <c r="AP397" s="415" t="s">
        <v>337</v>
      </c>
      <c r="AS397" s="415" t="s">
        <v>337</v>
      </c>
      <c r="AV397" s="415" t="s">
        <v>337</v>
      </c>
      <c r="AY397" s="415" t="s">
        <v>337</v>
      </c>
      <c r="AZ397" s="213" t="s">
        <v>4550</v>
      </c>
      <c r="BA397" s="416" t="s">
        <v>4551</v>
      </c>
      <c r="BB397" s="415" t="s">
        <v>337</v>
      </c>
      <c r="BE397" s="415" t="s">
        <v>337</v>
      </c>
      <c r="BH397" s="415" t="s">
        <v>337</v>
      </c>
      <c r="BM397" s="415" t="s">
        <v>337</v>
      </c>
      <c r="BP397" s="415" t="s">
        <v>337</v>
      </c>
      <c r="BS397" s="415"/>
      <c r="BV397" s="415" t="s">
        <v>337</v>
      </c>
      <c r="BY397" s="415" t="s">
        <v>337</v>
      </c>
      <c r="CB397" s="415" t="s">
        <v>337</v>
      </c>
      <c r="CE397" s="415" t="s">
        <v>337</v>
      </c>
      <c r="CH397" s="415" t="s">
        <v>337</v>
      </c>
      <c r="CK397" s="415" t="s">
        <v>337</v>
      </c>
      <c r="CN397" s="415" t="s">
        <v>337</v>
      </c>
      <c r="CQ397" s="415" t="s">
        <v>337</v>
      </c>
      <c r="CT397" s="415" t="s">
        <v>337</v>
      </c>
    </row>
    <row r="398" spans="1:98">
      <c r="A398" s="1" t="s">
        <v>1044</v>
      </c>
      <c r="B398" s="416" t="s">
        <v>4552</v>
      </c>
      <c r="S398" s="213" t="s">
        <v>4553</v>
      </c>
      <c r="T398" s="416" t="s">
        <v>4554</v>
      </c>
      <c r="U398" s="415" t="s">
        <v>337</v>
      </c>
      <c r="X398" s="415"/>
      <c r="AA398" s="415"/>
      <c r="AD398" s="415"/>
      <c r="AE398" s="417" t="s">
        <v>4555</v>
      </c>
      <c r="AF398" s="416" t="s">
        <v>4556</v>
      </c>
      <c r="AG398" s="415"/>
      <c r="AJ398" s="415" t="s">
        <v>337</v>
      </c>
      <c r="AM398" s="415" t="s">
        <v>337</v>
      </c>
      <c r="AP398" s="415" t="s">
        <v>337</v>
      </c>
      <c r="AS398" s="415" t="s">
        <v>337</v>
      </c>
      <c r="AV398" s="415" t="s">
        <v>337</v>
      </c>
      <c r="AY398" s="415" t="s">
        <v>337</v>
      </c>
      <c r="AZ398" s="213" t="s">
        <v>4557</v>
      </c>
      <c r="BA398" s="416" t="s">
        <v>4558</v>
      </c>
      <c r="BB398" s="415" t="s">
        <v>337</v>
      </c>
      <c r="BE398" s="415" t="s">
        <v>337</v>
      </c>
      <c r="BH398" s="415" t="s">
        <v>337</v>
      </c>
      <c r="BM398" s="415" t="s">
        <v>337</v>
      </c>
      <c r="BP398" s="415" t="s">
        <v>337</v>
      </c>
      <c r="BS398" s="415"/>
      <c r="BV398" s="415" t="s">
        <v>337</v>
      </c>
      <c r="BY398" s="415" t="s">
        <v>337</v>
      </c>
      <c r="CB398" s="415" t="s">
        <v>337</v>
      </c>
      <c r="CE398" s="415" t="s">
        <v>337</v>
      </c>
      <c r="CH398" s="415" t="s">
        <v>337</v>
      </c>
      <c r="CK398" s="415" t="s">
        <v>337</v>
      </c>
      <c r="CN398" s="415" t="s">
        <v>337</v>
      </c>
      <c r="CQ398" s="415" t="s">
        <v>337</v>
      </c>
      <c r="CT398" s="415" t="s">
        <v>337</v>
      </c>
    </row>
    <row r="399" spans="1:98">
      <c r="A399" s="1" t="s">
        <v>1061</v>
      </c>
      <c r="B399" s="416" t="s">
        <v>4559</v>
      </c>
      <c r="S399" s="213" t="s">
        <v>4560</v>
      </c>
      <c r="T399" s="416" t="s">
        <v>4561</v>
      </c>
      <c r="U399" s="415" t="s">
        <v>337</v>
      </c>
      <c r="X399" s="415"/>
      <c r="AA399" s="415"/>
      <c r="AD399" s="415"/>
      <c r="AE399" s="417" t="s">
        <v>4562</v>
      </c>
      <c r="AF399" s="416" t="s">
        <v>4563</v>
      </c>
      <c r="AG399" s="415"/>
      <c r="AJ399" s="415" t="s">
        <v>337</v>
      </c>
      <c r="AM399" s="415" t="s">
        <v>337</v>
      </c>
      <c r="AP399" s="415" t="s">
        <v>337</v>
      </c>
      <c r="AS399" s="415" t="s">
        <v>337</v>
      </c>
      <c r="AV399" s="415" t="s">
        <v>337</v>
      </c>
      <c r="AY399" s="415" t="s">
        <v>337</v>
      </c>
      <c r="AZ399" s="213" t="s">
        <v>4564</v>
      </c>
      <c r="BA399" s="416" t="s">
        <v>4565</v>
      </c>
      <c r="BB399" s="415" t="s">
        <v>337</v>
      </c>
      <c r="BE399" s="415" t="s">
        <v>337</v>
      </c>
      <c r="BH399" s="415" t="s">
        <v>337</v>
      </c>
      <c r="BM399" s="415" t="s">
        <v>337</v>
      </c>
      <c r="BP399" s="415" t="s">
        <v>337</v>
      </c>
      <c r="BS399" s="415"/>
      <c r="BV399" s="415" t="s">
        <v>337</v>
      </c>
      <c r="BY399" s="415" t="s">
        <v>337</v>
      </c>
      <c r="CB399" s="415" t="s">
        <v>337</v>
      </c>
      <c r="CE399" s="415" t="s">
        <v>337</v>
      </c>
      <c r="CH399" s="415" t="s">
        <v>337</v>
      </c>
      <c r="CK399" s="415" t="s">
        <v>337</v>
      </c>
      <c r="CN399" s="415" t="s">
        <v>337</v>
      </c>
      <c r="CQ399" s="415" t="s">
        <v>337</v>
      </c>
      <c r="CT399" s="415" t="s">
        <v>337</v>
      </c>
    </row>
    <row r="400" spans="1:98">
      <c r="A400" s="1" t="s">
        <v>1061</v>
      </c>
      <c r="B400" s="416" t="s">
        <v>4566</v>
      </c>
      <c r="S400" s="213" t="s">
        <v>4567</v>
      </c>
      <c r="T400" s="416" t="s">
        <v>4568</v>
      </c>
      <c r="U400" s="415" t="s">
        <v>337</v>
      </c>
      <c r="X400" s="415"/>
      <c r="AA400" s="415"/>
      <c r="AD400" s="415"/>
      <c r="AE400" s="417" t="s">
        <v>4569</v>
      </c>
      <c r="AF400" s="416" t="s">
        <v>4570</v>
      </c>
      <c r="AG400" s="415"/>
      <c r="AJ400" s="415" t="s">
        <v>337</v>
      </c>
      <c r="AM400" s="415" t="s">
        <v>337</v>
      </c>
      <c r="AP400" s="415" t="s">
        <v>337</v>
      </c>
      <c r="AS400" s="415" t="s">
        <v>337</v>
      </c>
      <c r="AV400" s="415" t="s">
        <v>337</v>
      </c>
      <c r="AY400" s="415" t="s">
        <v>337</v>
      </c>
      <c r="AZ400" s="213" t="s">
        <v>4571</v>
      </c>
      <c r="BA400" s="416" t="s">
        <v>4572</v>
      </c>
      <c r="BB400" s="415" t="s">
        <v>337</v>
      </c>
      <c r="BE400" s="415" t="s">
        <v>337</v>
      </c>
      <c r="BH400" s="415" t="s">
        <v>337</v>
      </c>
      <c r="BM400" s="415" t="s">
        <v>337</v>
      </c>
      <c r="BP400" s="415" t="s">
        <v>337</v>
      </c>
      <c r="BS400" s="415"/>
      <c r="BV400" s="415" t="s">
        <v>337</v>
      </c>
      <c r="BY400" s="415" t="s">
        <v>337</v>
      </c>
      <c r="CB400" s="415" t="s">
        <v>337</v>
      </c>
      <c r="CE400" s="415" t="s">
        <v>337</v>
      </c>
      <c r="CH400" s="415" t="s">
        <v>337</v>
      </c>
      <c r="CK400" s="415" t="s">
        <v>337</v>
      </c>
      <c r="CN400" s="415" t="s">
        <v>337</v>
      </c>
      <c r="CQ400" s="415" t="s">
        <v>337</v>
      </c>
      <c r="CT400" s="415" t="s">
        <v>337</v>
      </c>
    </row>
    <row r="401" spans="1:98">
      <c r="A401" s="1" t="s">
        <v>1061</v>
      </c>
      <c r="B401" s="416" t="s">
        <v>4573</v>
      </c>
      <c r="S401" s="213" t="s">
        <v>4574</v>
      </c>
      <c r="T401" s="416" t="s">
        <v>4575</v>
      </c>
      <c r="U401" s="415" t="s">
        <v>337</v>
      </c>
      <c r="X401" s="415"/>
      <c r="AA401" s="415"/>
      <c r="AD401" s="415"/>
      <c r="AE401" s="417" t="s">
        <v>4576</v>
      </c>
      <c r="AF401" s="416" t="s">
        <v>4577</v>
      </c>
      <c r="AG401" s="415"/>
      <c r="AJ401" s="415" t="s">
        <v>337</v>
      </c>
      <c r="AM401" s="415" t="s">
        <v>337</v>
      </c>
      <c r="AP401" s="415" t="s">
        <v>337</v>
      </c>
      <c r="AS401" s="415" t="s">
        <v>337</v>
      </c>
      <c r="AV401" s="415" t="s">
        <v>337</v>
      </c>
      <c r="AY401" s="415" t="s">
        <v>337</v>
      </c>
      <c r="AZ401" s="213" t="s">
        <v>4578</v>
      </c>
      <c r="BA401" s="416" t="s">
        <v>4579</v>
      </c>
      <c r="BB401" s="415" t="s">
        <v>337</v>
      </c>
      <c r="BE401" s="415" t="s">
        <v>337</v>
      </c>
      <c r="BH401" s="415" t="s">
        <v>337</v>
      </c>
      <c r="BM401" s="415" t="s">
        <v>337</v>
      </c>
      <c r="BP401" s="415" t="s">
        <v>337</v>
      </c>
      <c r="BS401" s="415"/>
      <c r="BV401" s="415" t="s">
        <v>337</v>
      </c>
      <c r="BY401" s="415" t="s">
        <v>337</v>
      </c>
      <c r="CB401" s="415" t="s">
        <v>337</v>
      </c>
      <c r="CE401" s="415" t="s">
        <v>337</v>
      </c>
      <c r="CH401" s="415" t="s">
        <v>337</v>
      </c>
      <c r="CK401" s="415" t="s">
        <v>337</v>
      </c>
      <c r="CN401" s="415" t="s">
        <v>337</v>
      </c>
      <c r="CQ401" s="415" t="s">
        <v>337</v>
      </c>
      <c r="CT401" s="415" t="s">
        <v>337</v>
      </c>
    </row>
    <row r="402" spans="1:98">
      <c r="A402" s="1" t="s">
        <v>1061</v>
      </c>
      <c r="B402" s="416" t="s">
        <v>2313</v>
      </c>
      <c r="S402" s="213" t="s">
        <v>4580</v>
      </c>
      <c r="T402" s="416" t="s">
        <v>4581</v>
      </c>
      <c r="U402" s="415" t="s">
        <v>337</v>
      </c>
      <c r="X402" s="415"/>
      <c r="AA402" s="415"/>
      <c r="AD402" s="415"/>
      <c r="AE402" s="417" t="s">
        <v>4582</v>
      </c>
      <c r="AF402" s="416" t="s">
        <v>4583</v>
      </c>
      <c r="AG402" s="415"/>
      <c r="AJ402" s="415" t="s">
        <v>337</v>
      </c>
      <c r="AM402" s="415" t="s">
        <v>337</v>
      </c>
      <c r="AP402" s="415" t="s">
        <v>337</v>
      </c>
      <c r="AS402" s="415" t="s">
        <v>337</v>
      </c>
      <c r="AV402" s="415" t="s">
        <v>337</v>
      </c>
      <c r="AY402" s="415" t="s">
        <v>337</v>
      </c>
      <c r="AZ402" s="213" t="s">
        <v>4584</v>
      </c>
      <c r="BA402" s="416" t="s">
        <v>4585</v>
      </c>
      <c r="BB402" s="415" t="s">
        <v>337</v>
      </c>
      <c r="BE402" s="415" t="s">
        <v>337</v>
      </c>
      <c r="BH402" s="415" t="s">
        <v>337</v>
      </c>
      <c r="BM402" s="415" t="s">
        <v>337</v>
      </c>
      <c r="BP402" s="415" t="s">
        <v>337</v>
      </c>
      <c r="BS402" s="415"/>
      <c r="BV402" s="415" t="s">
        <v>337</v>
      </c>
      <c r="BY402" s="415" t="s">
        <v>337</v>
      </c>
      <c r="CB402" s="415" t="s">
        <v>337</v>
      </c>
      <c r="CE402" s="415" t="s">
        <v>337</v>
      </c>
      <c r="CH402" s="415" t="s">
        <v>337</v>
      </c>
      <c r="CK402" s="415" t="s">
        <v>337</v>
      </c>
      <c r="CN402" s="415" t="s">
        <v>337</v>
      </c>
      <c r="CQ402" s="415" t="s">
        <v>337</v>
      </c>
      <c r="CT402" s="415" t="s">
        <v>337</v>
      </c>
    </row>
    <row r="403" spans="1:98">
      <c r="A403" s="1" t="s">
        <v>1061</v>
      </c>
      <c r="B403" s="416" t="s">
        <v>4586</v>
      </c>
      <c r="S403" s="213" t="s">
        <v>4587</v>
      </c>
      <c r="T403" s="416" t="s">
        <v>4588</v>
      </c>
      <c r="U403" s="415" t="s">
        <v>337</v>
      </c>
      <c r="X403" s="415"/>
      <c r="AA403" s="415"/>
      <c r="AD403" s="415"/>
      <c r="AE403" s="417" t="s">
        <v>4589</v>
      </c>
      <c r="AF403" s="416" t="s">
        <v>4590</v>
      </c>
      <c r="AG403" s="415"/>
      <c r="AJ403" s="415" t="s">
        <v>337</v>
      </c>
      <c r="AM403" s="415" t="s">
        <v>337</v>
      </c>
      <c r="AP403" s="415" t="s">
        <v>337</v>
      </c>
      <c r="AS403" s="415" t="s">
        <v>337</v>
      </c>
      <c r="AV403" s="415" t="s">
        <v>337</v>
      </c>
      <c r="AY403" s="415" t="s">
        <v>337</v>
      </c>
      <c r="AZ403" s="213" t="s">
        <v>4591</v>
      </c>
      <c r="BA403" s="416" t="s">
        <v>4592</v>
      </c>
      <c r="BB403" s="415" t="s">
        <v>337</v>
      </c>
      <c r="BE403" s="415" t="s">
        <v>337</v>
      </c>
      <c r="BH403" s="415" t="s">
        <v>337</v>
      </c>
      <c r="BM403" s="415" t="s">
        <v>337</v>
      </c>
      <c r="BP403" s="415" t="s">
        <v>337</v>
      </c>
      <c r="BS403" s="415"/>
      <c r="BV403" s="415" t="s">
        <v>337</v>
      </c>
      <c r="BY403" s="415" t="s">
        <v>337</v>
      </c>
      <c r="CB403" s="415" t="s">
        <v>337</v>
      </c>
      <c r="CE403" s="415" t="s">
        <v>337</v>
      </c>
      <c r="CH403" s="415" t="s">
        <v>337</v>
      </c>
      <c r="CK403" s="415" t="s">
        <v>337</v>
      </c>
      <c r="CN403" s="415" t="s">
        <v>337</v>
      </c>
      <c r="CQ403" s="415" t="s">
        <v>337</v>
      </c>
      <c r="CT403" s="415" t="s">
        <v>337</v>
      </c>
    </row>
    <row r="404" spans="1:98">
      <c r="A404" s="1" t="s">
        <v>1061</v>
      </c>
      <c r="B404" s="416" t="s">
        <v>4593</v>
      </c>
      <c r="S404" s="213" t="s">
        <v>4594</v>
      </c>
      <c r="T404" s="416" t="s">
        <v>4595</v>
      </c>
      <c r="U404" s="415" t="s">
        <v>337</v>
      </c>
      <c r="X404" s="415"/>
      <c r="AA404" s="415"/>
      <c r="AD404" s="415"/>
      <c r="AE404" s="417" t="s">
        <v>4596</v>
      </c>
      <c r="AF404" s="416" t="s">
        <v>4597</v>
      </c>
      <c r="AG404" s="415"/>
      <c r="AJ404" s="415" t="s">
        <v>337</v>
      </c>
      <c r="AM404" s="415" t="s">
        <v>337</v>
      </c>
      <c r="AP404" s="415" t="s">
        <v>337</v>
      </c>
      <c r="AS404" s="415" t="s">
        <v>337</v>
      </c>
      <c r="AV404" s="415" t="s">
        <v>337</v>
      </c>
      <c r="AY404" s="415" t="s">
        <v>337</v>
      </c>
      <c r="AZ404" s="213" t="s">
        <v>4598</v>
      </c>
      <c r="BA404" s="416" t="s">
        <v>4599</v>
      </c>
      <c r="BB404" s="415" t="s">
        <v>337</v>
      </c>
      <c r="BE404" s="415" t="s">
        <v>337</v>
      </c>
      <c r="BH404" s="415" t="s">
        <v>337</v>
      </c>
      <c r="BM404" s="415" t="s">
        <v>337</v>
      </c>
      <c r="BP404" s="415" t="s">
        <v>337</v>
      </c>
      <c r="BS404" s="415"/>
      <c r="BV404" s="415" t="s">
        <v>337</v>
      </c>
      <c r="BY404" s="415" t="s">
        <v>337</v>
      </c>
      <c r="CB404" s="415" t="s">
        <v>337</v>
      </c>
      <c r="CE404" s="415" t="s">
        <v>337</v>
      </c>
      <c r="CH404" s="415" t="s">
        <v>337</v>
      </c>
      <c r="CK404" s="415" t="s">
        <v>337</v>
      </c>
      <c r="CN404" s="415" t="s">
        <v>337</v>
      </c>
      <c r="CQ404" s="415" t="s">
        <v>337</v>
      </c>
      <c r="CT404" s="415" t="s">
        <v>337</v>
      </c>
    </row>
    <row r="405" spans="1:98">
      <c r="A405" s="1" t="s">
        <v>1061</v>
      </c>
      <c r="B405" s="416" t="s">
        <v>4600</v>
      </c>
      <c r="S405" s="213" t="s">
        <v>4601</v>
      </c>
      <c r="T405" s="416" t="s">
        <v>4602</v>
      </c>
      <c r="U405" s="415" t="s">
        <v>337</v>
      </c>
      <c r="X405" s="415"/>
      <c r="AA405" s="415"/>
      <c r="AD405" s="415"/>
      <c r="AE405" s="417" t="s">
        <v>4603</v>
      </c>
      <c r="AF405" s="416" t="s">
        <v>4604</v>
      </c>
      <c r="AG405" s="415"/>
      <c r="AJ405" s="415" t="s">
        <v>337</v>
      </c>
      <c r="AM405" s="415" t="s">
        <v>337</v>
      </c>
      <c r="AP405" s="415" t="s">
        <v>337</v>
      </c>
      <c r="AS405" s="415" t="s">
        <v>337</v>
      </c>
      <c r="AV405" s="415" t="s">
        <v>337</v>
      </c>
      <c r="AY405" s="415" t="s">
        <v>337</v>
      </c>
      <c r="AZ405" s="213" t="s">
        <v>4605</v>
      </c>
      <c r="BA405" s="416" t="s">
        <v>4606</v>
      </c>
      <c r="BB405" s="415" t="s">
        <v>337</v>
      </c>
      <c r="BE405" s="415" t="s">
        <v>337</v>
      </c>
      <c r="BH405" s="415" t="s">
        <v>337</v>
      </c>
      <c r="BM405" s="415" t="s">
        <v>337</v>
      </c>
      <c r="BP405" s="415" t="s">
        <v>337</v>
      </c>
      <c r="BS405" s="415"/>
      <c r="BV405" s="415" t="s">
        <v>337</v>
      </c>
      <c r="BY405" s="415" t="s">
        <v>337</v>
      </c>
      <c r="CB405" s="415" t="s">
        <v>337</v>
      </c>
      <c r="CE405" s="415" t="s">
        <v>337</v>
      </c>
      <c r="CH405" s="415" t="s">
        <v>337</v>
      </c>
      <c r="CK405" s="415" t="s">
        <v>337</v>
      </c>
      <c r="CN405" s="415" t="s">
        <v>337</v>
      </c>
      <c r="CQ405" s="415" t="s">
        <v>337</v>
      </c>
      <c r="CT405" s="415" t="s">
        <v>337</v>
      </c>
    </row>
    <row r="406" spans="1:98">
      <c r="A406" s="1" t="s">
        <v>1061</v>
      </c>
      <c r="B406" s="416" t="s">
        <v>4607</v>
      </c>
      <c r="S406" s="213" t="s">
        <v>4608</v>
      </c>
      <c r="T406" s="416" t="s">
        <v>4609</v>
      </c>
      <c r="U406" s="415" t="s">
        <v>337</v>
      </c>
      <c r="X406" s="415"/>
      <c r="AA406" s="415"/>
      <c r="AD406" s="415"/>
      <c r="AE406" s="417" t="s">
        <v>4610</v>
      </c>
      <c r="AF406" s="416" t="s">
        <v>4611</v>
      </c>
      <c r="AG406" s="415"/>
      <c r="AJ406" s="415" t="s">
        <v>337</v>
      </c>
      <c r="AM406" s="415" t="s">
        <v>337</v>
      </c>
      <c r="AP406" s="415" t="s">
        <v>337</v>
      </c>
      <c r="AS406" s="415" t="s">
        <v>337</v>
      </c>
      <c r="AV406" s="415" t="s">
        <v>337</v>
      </c>
      <c r="AY406" s="415" t="s">
        <v>337</v>
      </c>
      <c r="AZ406" s="213" t="s">
        <v>4612</v>
      </c>
      <c r="BA406" s="416" t="s">
        <v>1108</v>
      </c>
      <c r="BB406" s="415" t="s">
        <v>337</v>
      </c>
      <c r="BE406" s="415" t="s">
        <v>337</v>
      </c>
      <c r="BH406" s="415" t="s">
        <v>337</v>
      </c>
      <c r="BM406" s="415" t="s">
        <v>337</v>
      </c>
      <c r="BP406" s="415" t="s">
        <v>337</v>
      </c>
      <c r="BS406" s="415"/>
      <c r="BV406" s="415" t="s">
        <v>337</v>
      </c>
      <c r="BY406" s="415" t="s">
        <v>337</v>
      </c>
      <c r="CB406" s="415" t="s">
        <v>337</v>
      </c>
      <c r="CE406" s="415" t="s">
        <v>337</v>
      </c>
      <c r="CH406" s="415" t="s">
        <v>337</v>
      </c>
      <c r="CK406" s="415" t="s">
        <v>337</v>
      </c>
      <c r="CN406" s="415" t="s">
        <v>337</v>
      </c>
      <c r="CQ406" s="415" t="s">
        <v>337</v>
      </c>
      <c r="CT406" s="415" t="s">
        <v>337</v>
      </c>
    </row>
    <row r="407" spans="1:98">
      <c r="A407" s="1" t="s">
        <v>1061</v>
      </c>
      <c r="B407" s="416" t="s">
        <v>4613</v>
      </c>
      <c r="S407" s="213" t="s">
        <v>4614</v>
      </c>
      <c r="T407" s="416" t="s">
        <v>4615</v>
      </c>
      <c r="U407" s="415" t="s">
        <v>337</v>
      </c>
      <c r="X407" s="415"/>
      <c r="AA407" s="415"/>
      <c r="AD407" s="415"/>
      <c r="AE407" s="417" t="s">
        <v>4616</v>
      </c>
      <c r="AF407" s="416" t="s">
        <v>4617</v>
      </c>
      <c r="AG407" s="415"/>
      <c r="AJ407" s="415" t="s">
        <v>337</v>
      </c>
      <c r="AM407" s="415" t="s">
        <v>337</v>
      </c>
      <c r="AP407" s="415" t="s">
        <v>337</v>
      </c>
      <c r="AS407" s="415" t="s">
        <v>337</v>
      </c>
      <c r="AV407" s="415" t="s">
        <v>337</v>
      </c>
      <c r="AY407" s="415" t="s">
        <v>337</v>
      </c>
      <c r="AZ407" s="213" t="s">
        <v>4618</v>
      </c>
      <c r="BA407" s="416" t="s">
        <v>4619</v>
      </c>
      <c r="BB407" s="415" t="s">
        <v>337</v>
      </c>
      <c r="BE407" s="415" t="s">
        <v>337</v>
      </c>
      <c r="BH407" s="415" t="s">
        <v>337</v>
      </c>
      <c r="BM407" s="415" t="s">
        <v>337</v>
      </c>
      <c r="BP407" s="415" t="s">
        <v>337</v>
      </c>
      <c r="BS407" s="415"/>
      <c r="BV407" s="415" t="s">
        <v>337</v>
      </c>
      <c r="BY407" s="415" t="s">
        <v>337</v>
      </c>
      <c r="CB407" s="415" t="s">
        <v>337</v>
      </c>
      <c r="CE407" s="415" t="s">
        <v>337</v>
      </c>
      <c r="CH407" s="415" t="s">
        <v>337</v>
      </c>
      <c r="CK407" s="415" t="s">
        <v>337</v>
      </c>
      <c r="CN407" s="415" t="s">
        <v>337</v>
      </c>
      <c r="CQ407" s="415" t="s">
        <v>337</v>
      </c>
      <c r="CT407" s="415" t="s">
        <v>337</v>
      </c>
    </row>
    <row r="408" spans="1:98">
      <c r="A408" s="1" t="s">
        <v>1061</v>
      </c>
      <c r="B408" s="416" t="s">
        <v>4620</v>
      </c>
      <c r="S408" s="213" t="s">
        <v>4621</v>
      </c>
      <c r="T408" s="416" t="s">
        <v>4622</v>
      </c>
      <c r="U408" s="415" t="s">
        <v>337</v>
      </c>
      <c r="X408" s="415"/>
      <c r="AA408" s="415"/>
      <c r="AD408" s="415"/>
      <c r="AE408" s="417" t="s">
        <v>4623</v>
      </c>
      <c r="AF408" s="416" t="s">
        <v>4624</v>
      </c>
      <c r="AG408" s="415"/>
      <c r="AJ408" s="415" t="s">
        <v>337</v>
      </c>
      <c r="AM408" s="415" t="s">
        <v>337</v>
      </c>
      <c r="AP408" s="415" t="s">
        <v>337</v>
      </c>
      <c r="AS408" s="415" t="s">
        <v>337</v>
      </c>
      <c r="AV408" s="415" t="s">
        <v>337</v>
      </c>
      <c r="AY408" s="415" t="s">
        <v>337</v>
      </c>
      <c r="AZ408" s="213" t="s">
        <v>4625</v>
      </c>
      <c r="BA408" s="416" t="s">
        <v>4626</v>
      </c>
      <c r="BB408" s="415" t="s">
        <v>337</v>
      </c>
      <c r="BE408" s="415" t="s">
        <v>337</v>
      </c>
      <c r="BH408" s="415" t="s">
        <v>337</v>
      </c>
      <c r="BM408" s="415" t="s">
        <v>337</v>
      </c>
      <c r="BP408" s="415" t="s">
        <v>337</v>
      </c>
      <c r="BS408" s="415"/>
      <c r="BV408" s="415" t="s">
        <v>337</v>
      </c>
      <c r="BY408" s="415" t="s">
        <v>337</v>
      </c>
      <c r="CB408" s="415" t="s">
        <v>337</v>
      </c>
      <c r="CE408" s="415" t="s">
        <v>337</v>
      </c>
      <c r="CH408" s="415" t="s">
        <v>337</v>
      </c>
      <c r="CK408" s="415" t="s">
        <v>337</v>
      </c>
      <c r="CN408" s="415" t="s">
        <v>337</v>
      </c>
      <c r="CQ408" s="415" t="s">
        <v>337</v>
      </c>
      <c r="CT408" s="415" t="s">
        <v>337</v>
      </c>
    </row>
    <row r="409" spans="1:98">
      <c r="A409" s="1" t="s">
        <v>1061</v>
      </c>
      <c r="B409" s="416" t="s">
        <v>4627</v>
      </c>
      <c r="S409" s="213" t="s">
        <v>4628</v>
      </c>
      <c r="T409" s="416" t="s">
        <v>4629</v>
      </c>
      <c r="U409" s="415" t="s">
        <v>337</v>
      </c>
      <c r="X409" s="415"/>
      <c r="AA409" s="415"/>
      <c r="AD409" s="415"/>
      <c r="AE409" s="417" t="s">
        <v>4630</v>
      </c>
      <c r="AF409" s="416" t="s">
        <v>4631</v>
      </c>
      <c r="AG409" s="415"/>
      <c r="AJ409" s="415" t="s">
        <v>337</v>
      </c>
      <c r="AM409" s="415" t="s">
        <v>337</v>
      </c>
      <c r="AP409" s="415" t="s">
        <v>337</v>
      </c>
      <c r="AS409" s="415" t="s">
        <v>337</v>
      </c>
      <c r="AV409" s="415" t="s">
        <v>337</v>
      </c>
      <c r="AY409" s="415" t="s">
        <v>337</v>
      </c>
      <c r="AZ409" s="213" t="s">
        <v>4632</v>
      </c>
      <c r="BA409" s="416" t="s">
        <v>4633</v>
      </c>
      <c r="BB409" s="415" t="s">
        <v>337</v>
      </c>
      <c r="BE409" s="415" t="s">
        <v>337</v>
      </c>
      <c r="BH409" s="415" t="s">
        <v>337</v>
      </c>
      <c r="BM409" s="415" t="s">
        <v>337</v>
      </c>
      <c r="BP409" s="415" t="s">
        <v>337</v>
      </c>
      <c r="BS409" s="415"/>
      <c r="BV409" s="415" t="s">
        <v>337</v>
      </c>
      <c r="BY409" s="415" t="s">
        <v>337</v>
      </c>
      <c r="CB409" s="415" t="s">
        <v>337</v>
      </c>
      <c r="CE409" s="415" t="s">
        <v>337</v>
      </c>
      <c r="CH409" s="415" t="s">
        <v>337</v>
      </c>
      <c r="CK409" s="415" t="s">
        <v>337</v>
      </c>
      <c r="CN409" s="415" t="s">
        <v>337</v>
      </c>
      <c r="CQ409" s="415" t="s">
        <v>337</v>
      </c>
      <c r="CT409" s="415" t="s">
        <v>337</v>
      </c>
    </row>
    <row r="410" spans="1:98">
      <c r="A410" s="1" t="s">
        <v>1061</v>
      </c>
      <c r="B410" s="416" t="s">
        <v>2303</v>
      </c>
      <c r="S410" s="213" t="s">
        <v>4634</v>
      </c>
      <c r="T410" s="416" t="s">
        <v>4635</v>
      </c>
      <c r="U410" s="415" t="s">
        <v>337</v>
      </c>
      <c r="X410" s="415"/>
      <c r="AA410" s="415"/>
      <c r="AD410" s="415"/>
      <c r="AE410" s="417" t="s">
        <v>4636</v>
      </c>
      <c r="AF410" s="416" t="s">
        <v>4637</v>
      </c>
      <c r="AG410" s="415"/>
      <c r="AJ410" s="415" t="s">
        <v>337</v>
      </c>
      <c r="AM410" s="415" t="s">
        <v>337</v>
      </c>
      <c r="AP410" s="415" t="s">
        <v>337</v>
      </c>
      <c r="AS410" s="415" t="s">
        <v>337</v>
      </c>
      <c r="AV410" s="415" t="s">
        <v>337</v>
      </c>
      <c r="AY410" s="415" t="s">
        <v>337</v>
      </c>
      <c r="AZ410" s="213" t="s">
        <v>4638</v>
      </c>
      <c r="BA410" s="416" t="s">
        <v>4639</v>
      </c>
      <c r="BB410" s="415" t="s">
        <v>337</v>
      </c>
      <c r="BE410" s="415" t="s">
        <v>337</v>
      </c>
      <c r="BH410" s="415" t="s">
        <v>337</v>
      </c>
      <c r="BM410" s="415" t="s">
        <v>337</v>
      </c>
      <c r="BP410" s="415" t="s">
        <v>337</v>
      </c>
      <c r="BS410" s="415"/>
      <c r="BV410" s="415" t="s">
        <v>337</v>
      </c>
      <c r="BY410" s="415" t="s">
        <v>337</v>
      </c>
      <c r="CB410" s="415" t="s">
        <v>337</v>
      </c>
      <c r="CE410" s="415" t="s">
        <v>337</v>
      </c>
      <c r="CH410" s="415" t="s">
        <v>337</v>
      </c>
      <c r="CK410" s="415" t="s">
        <v>337</v>
      </c>
      <c r="CN410" s="415" t="s">
        <v>337</v>
      </c>
      <c r="CQ410" s="415" t="s">
        <v>337</v>
      </c>
      <c r="CT410" s="415" t="s">
        <v>337</v>
      </c>
    </row>
    <row r="411" spans="1:98">
      <c r="A411" s="1" t="s">
        <v>1061</v>
      </c>
      <c r="B411" s="416" t="s">
        <v>4640</v>
      </c>
      <c r="S411" s="213" t="s">
        <v>4641</v>
      </c>
      <c r="T411" s="416" t="s">
        <v>4642</v>
      </c>
      <c r="U411" s="415" t="s">
        <v>337</v>
      </c>
      <c r="X411" s="415"/>
      <c r="AA411" s="415"/>
      <c r="AD411" s="415"/>
      <c r="AE411" s="417" t="s">
        <v>4643</v>
      </c>
      <c r="AF411" s="416" t="s">
        <v>4644</v>
      </c>
      <c r="AG411" s="415"/>
      <c r="AJ411" s="415" t="s">
        <v>337</v>
      </c>
      <c r="AM411" s="415" t="s">
        <v>337</v>
      </c>
      <c r="AP411" s="415" t="s">
        <v>337</v>
      </c>
      <c r="AS411" s="415" t="s">
        <v>337</v>
      </c>
      <c r="AV411" s="415" t="s">
        <v>337</v>
      </c>
      <c r="AY411" s="415" t="s">
        <v>337</v>
      </c>
      <c r="AZ411" s="213" t="s">
        <v>4645</v>
      </c>
      <c r="BA411" s="416" t="s">
        <v>4646</v>
      </c>
      <c r="BB411" s="415" t="s">
        <v>337</v>
      </c>
      <c r="BE411" s="415" t="s">
        <v>337</v>
      </c>
      <c r="BH411" s="415" t="s">
        <v>337</v>
      </c>
      <c r="BM411" s="415" t="s">
        <v>337</v>
      </c>
      <c r="BP411" s="415" t="s">
        <v>337</v>
      </c>
      <c r="BS411" s="415"/>
      <c r="BV411" s="415" t="s">
        <v>337</v>
      </c>
      <c r="BY411" s="415" t="s">
        <v>337</v>
      </c>
      <c r="CB411" s="415" t="s">
        <v>337</v>
      </c>
      <c r="CE411" s="415" t="s">
        <v>337</v>
      </c>
      <c r="CH411" s="415" t="s">
        <v>337</v>
      </c>
      <c r="CK411" s="415" t="s">
        <v>337</v>
      </c>
      <c r="CN411" s="415" t="s">
        <v>337</v>
      </c>
      <c r="CQ411" s="415" t="s">
        <v>337</v>
      </c>
      <c r="CT411" s="415" t="s">
        <v>337</v>
      </c>
    </row>
    <row r="412" spans="1:98">
      <c r="A412" s="1" t="s">
        <v>1061</v>
      </c>
      <c r="B412" s="416" t="s">
        <v>4647</v>
      </c>
      <c r="S412" s="213" t="s">
        <v>4648</v>
      </c>
      <c r="T412" s="416" t="s">
        <v>4649</v>
      </c>
      <c r="U412" s="415" t="s">
        <v>337</v>
      </c>
      <c r="X412" s="415"/>
      <c r="AA412" s="415"/>
      <c r="AD412" s="415"/>
      <c r="AE412" s="417" t="s">
        <v>4650</v>
      </c>
      <c r="AF412" s="416" t="s">
        <v>4651</v>
      </c>
      <c r="AG412" s="415"/>
      <c r="AJ412" s="415" t="s">
        <v>337</v>
      </c>
      <c r="AM412" s="415" t="s">
        <v>337</v>
      </c>
      <c r="AP412" s="415" t="s">
        <v>337</v>
      </c>
      <c r="AS412" s="415" t="s">
        <v>337</v>
      </c>
      <c r="AV412" s="415" t="s">
        <v>337</v>
      </c>
      <c r="AY412" s="415" t="s">
        <v>337</v>
      </c>
      <c r="AZ412" s="213" t="s">
        <v>4652</v>
      </c>
      <c r="BA412" s="416" t="s">
        <v>4653</v>
      </c>
      <c r="BB412" s="415" t="s">
        <v>337</v>
      </c>
      <c r="BE412" s="415" t="s">
        <v>337</v>
      </c>
      <c r="BH412" s="415" t="s">
        <v>337</v>
      </c>
      <c r="BM412" s="415" t="s">
        <v>337</v>
      </c>
      <c r="BP412" s="415" t="s">
        <v>337</v>
      </c>
      <c r="BS412" s="415"/>
      <c r="BV412" s="415" t="s">
        <v>337</v>
      </c>
      <c r="BY412" s="415" t="s">
        <v>337</v>
      </c>
      <c r="CB412" s="415" t="s">
        <v>337</v>
      </c>
      <c r="CE412" s="415" t="s">
        <v>337</v>
      </c>
      <c r="CH412" s="415" t="s">
        <v>337</v>
      </c>
      <c r="CK412" s="415" t="s">
        <v>337</v>
      </c>
      <c r="CN412" s="415" t="s">
        <v>337</v>
      </c>
      <c r="CQ412" s="415" t="s">
        <v>337</v>
      </c>
      <c r="CT412" s="415" t="s">
        <v>337</v>
      </c>
    </row>
    <row r="413" spans="1:98">
      <c r="A413" s="1" t="s">
        <v>1061</v>
      </c>
      <c r="B413" s="416" t="s">
        <v>4654</v>
      </c>
      <c r="S413" s="213" t="s">
        <v>4655</v>
      </c>
      <c r="T413" s="416" t="s">
        <v>4656</v>
      </c>
      <c r="U413" s="415" t="s">
        <v>337</v>
      </c>
      <c r="X413" s="415"/>
      <c r="AA413" s="415"/>
      <c r="AD413" s="415"/>
      <c r="AE413" s="417" t="s">
        <v>4657</v>
      </c>
      <c r="AF413" s="416" t="s">
        <v>4658</v>
      </c>
      <c r="AG413" s="415"/>
      <c r="AJ413" s="415" t="s">
        <v>337</v>
      </c>
      <c r="AM413" s="415" t="s">
        <v>337</v>
      </c>
      <c r="AP413" s="415" t="s">
        <v>337</v>
      </c>
      <c r="AS413" s="415" t="s">
        <v>337</v>
      </c>
      <c r="AV413" s="415" t="s">
        <v>337</v>
      </c>
      <c r="AY413" s="415" t="s">
        <v>337</v>
      </c>
      <c r="AZ413" s="213" t="s">
        <v>4659</v>
      </c>
      <c r="BA413" s="416" t="s">
        <v>4660</v>
      </c>
      <c r="BB413" s="415" t="s">
        <v>337</v>
      </c>
      <c r="BE413" s="415" t="s">
        <v>337</v>
      </c>
      <c r="BH413" s="415" t="s">
        <v>337</v>
      </c>
      <c r="BM413" s="415" t="s">
        <v>337</v>
      </c>
      <c r="BP413" s="415" t="s">
        <v>337</v>
      </c>
      <c r="BS413" s="415"/>
      <c r="BV413" s="415" t="s">
        <v>337</v>
      </c>
      <c r="BY413" s="415" t="s">
        <v>337</v>
      </c>
      <c r="CB413" s="415" t="s">
        <v>337</v>
      </c>
      <c r="CE413" s="415" t="s">
        <v>337</v>
      </c>
      <c r="CH413" s="415" t="s">
        <v>337</v>
      </c>
      <c r="CK413" s="415" t="s">
        <v>337</v>
      </c>
      <c r="CN413" s="415" t="s">
        <v>337</v>
      </c>
      <c r="CQ413" s="415" t="s">
        <v>337</v>
      </c>
      <c r="CT413" s="415" t="s">
        <v>337</v>
      </c>
    </row>
    <row r="414" spans="1:98">
      <c r="A414" s="1" t="s">
        <v>1061</v>
      </c>
      <c r="B414" s="416" t="s">
        <v>4661</v>
      </c>
      <c r="S414" s="213" t="s">
        <v>4662</v>
      </c>
      <c r="T414" s="416" t="s">
        <v>4663</v>
      </c>
      <c r="U414" s="415" t="s">
        <v>337</v>
      </c>
      <c r="X414" s="415"/>
      <c r="AA414" s="415"/>
      <c r="AD414" s="415"/>
      <c r="AE414" s="417" t="s">
        <v>4664</v>
      </c>
      <c r="AF414" s="416" t="s">
        <v>4665</v>
      </c>
      <c r="AG414" s="415"/>
      <c r="AJ414" s="415" t="s">
        <v>337</v>
      </c>
      <c r="AM414" s="415" t="s">
        <v>337</v>
      </c>
      <c r="AP414" s="415" t="s">
        <v>337</v>
      </c>
      <c r="AS414" s="415" t="s">
        <v>337</v>
      </c>
      <c r="AV414" s="415" t="s">
        <v>337</v>
      </c>
      <c r="AY414" s="415" t="s">
        <v>337</v>
      </c>
      <c r="AZ414" s="213" t="s">
        <v>4666</v>
      </c>
      <c r="BA414" s="416" t="s">
        <v>4667</v>
      </c>
      <c r="BB414" s="415" t="s">
        <v>337</v>
      </c>
      <c r="BE414" s="415" t="s">
        <v>337</v>
      </c>
      <c r="BH414" s="415" t="s">
        <v>337</v>
      </c>
      <c r="BM414" s="415" t="s">
        <v>337</v>
      </c>
      <c r="BP414" s="415" t="s">
        <v>337</v>
      </c>
      <c r="BS414" s="415"/>
      <c r="BV414" s="415" t="s">
        <v>337</v>
      </c>
      <c r="BY414" s="415" t="s">
        <v>337</v>
      </c>
      <c r="CB414" s="415" t="s">
        <v>337</v>
      </c>
      <c r="CE414" s="415" t="s">
        <v>337</v>
      </c>
      <c r="CH414" s="415" t="s">
        <v>337</v>
      </c>
      <c r="CK414" s="415" t="s">
        <v>337</v>
      </c>
      <c r="CN414" s="415" t="s">
        <v>337</v>
      </c>
      <c r="CQ414" s="415" t="s">
        <v>337</v>
      </c>
      <c r="CT414" s="415" t="s">
        <v>337</v>
      </c>
    </row>
    <row r="415" spans="1:98">
      <c r="A415" s="1" t="s">
        <v>1061</v>
      </c>
      <c r="B415" s="416" t="s">
        <v>2413</v>
      </c>
      <c r="S415" s="213" t="s">
        <v>4668</v>
      </c>
      <c r="T415" s="416" t="s">
        <v>4669</v>
      </c>
      <c r="U415" s="415" t="s">
        <v>337</v>
      </c>
      <c r="X415" s="415"/>
      <c r="AA415" s="415"/>
      <c r="AD415" s="415"/>
      <c r="AE415" s="417" t="s">
        <v>4670</v>
      </c>
      <c r="AF415" s="416" t="s">
        <v>4671</v>
      </c>
      <c r="AG415" s="415"/>
      <c r="AJ415" s="415" t="s">
        <v>337</v>
      </c>
      <c r="AM415" s="415" t="s">
        <v>337</v>
      </c>
      <c r="AP415" s="415" t="s">
        <v>337</v>
      </c>
      <c r="AS415" s="415" t="s">
        <v>337</v>
      </c>
      <c r="AV415" s="415" t="s">
        <v>337</v>
      </c>
      <c r="AY415" s="415" t="s">
        <v>337</v>
      </c>
      <c r="AZ415" s="213" t="s">
        <v>4672</v>
      </c>
      <c r="BA415" s="416" t="s">
        <v>4673</v>
      </c>
      <c r="BB415" s="415" t="s">
        <v>337</v>
      </c>
      <c r="BE415" s="415" t="s">
        <v>337</v>
      </c>
      <c r="BH415" s="415" t="s">
        <v>337</v>
      </c>
      <c r="BM415" s="415" t="s">
        <v>337</v>
      </c>
      <c r="BP415" s="415" t="s">
        <v>337</v>
      </c>
      <c r="BS415" s="415"/>
      <c r="BV415" s="415" t="s">
        <v>337</v>
      </c>
      <c r="BY415" s="415" t="s">
        <v>337</v>
      </c>
      <c r="CB415" s="415" t="s">
        <v>337</v>
      </c>
      <c r="CE415" s="415" t="s">
        <v>337</v>
      </c>
      <c r="CH415" s="415" t="s">
        <v>337</v>
      </c>
      <c r="CK415" s="415" t="s">
        <v>337</v>
      </c>
      <c r="CN415" s="415" t="s">
        <v>337</v>
      </c>
      <c r="CQ415" s="415" t="s">
        <v>337</v>
      </c>
      <c r="CT415" s="415" t="s">
        <v>337</v>
      </c>
    </row>
    <row r="416" spans="1:98">
      <c r="A416" s="1" t="s">
        <v>1061</v>
      </c>
      <c r="B416" s="416" t="s">
        <v>4674</v>
      </c>
      <c r="S416" s="213" t="s">
        <v>4675</v>
      </c>
      <c r="T416" s="416" t="s">
        <v>4676</v>
      </c>
      <c r="U416" s="415" t="s">
        <v>337</v>
      </c>
      <c r="X416" s="415"/>
      <c r="AA416" s="415"/>
      <c r="AD416" s="415"/>
      <c r="AE416" s="417" t="s">
        <v>4677</v>
      </c>
      <c r="AF416" s="416" t="s">
        <v>4678</v>
      </c>
      <c r="AG416" s="415"/>
      <c r="AJ416" s="415" t="s">
        <v>337</v>
      </c>
      <c r="AM416" s="415" t="s">
        <v>337</v>
      </c>
      <c r="AP416" s="415" t="s">
        <v>337</v>
      </c>
      <c r="AS416" s="415" t="s">
        <v>337</v>
      </c>
      <c r="AV416" s="415" t="s">
        <v>337</v>
      </c>
      <c r="AY416" s="415" t="s">
        <v>337</v>
      </c>
      <c r="AZ416" s="213" t="s">
        <v>4679</v>
      </c>
      <c r="BA416" s="416" t="s">
        <v>4680</v>
      </c>
      <c r="BB416" s="415" t="s">
        <v>337</v>
      </c>
      <c r="BE416" s="415" t="s">
        <v>337</v>
      </c>
      <c r="BH416" s="415" t="s">
        <v>337</v>
      </c>
      <c r="BM416" s="415" t="s">
        <v>337</v>
      </c>
      <c r="BP416" s="415" t="s">
        <v>337</v>
      </c>
      <c r="BS416" s="415"/>
      <c r="BV416" s="415" t="s">
        <v>337</v>
      </c>
      <c r="BY416" s="415" t="s">
        <v>337</v>
      </c>
      <c r="CB416" s="415" t="s">
        <v>337</v>
      </c>
      <c r="CE416" s="415" t="s">
        <v>337</v>
      </c>
      <c r="CH416" s="415" t="s">
        <v>337</v>
      </c>
      <c r="CK416" s="415" t="s">
        <v>337</v>
      </c>
      <c r="CN416" s="415" t="s">
        <v>337</v>
      </c>
      <c r="CQ416" s="415" t="s">
        <v>337</v>
      </c>
      <c r="CT416" s="415" t="s">
        <v>337</v>
      </c>
    </row>
    <row r="417" spans="1:98">
      <c r="A417" s="1" t="s">
        <v>1061</v>
      </c>
      <c r="B417" s="416" t="s">
        <v>4681</v>
      </c>
      <c r="S417" s="213" t="s">
        <v>4682</v>
      </c>
      <c r="T417" s="416" t="s">
        <v>4683</v>
      </c>
      <c r="U417" s="415" t="s">
        <v>337</v>
      </c>
      <c r="X417" s="415"/>
      <c r="AA417" s="415"/>
      <c r="AD417" s="415"/>
      <c r="AE417" s="417" t="s">
        <v>4684</v>
      </c>
      <c r="AF417" s="416" t="s">
        <v>4685</v>
      </c>
      <c r="AG417" s="415"/>
      <c r="AJ417" s="415" t="s">
        <v>337</v>
      </c>
      <c r="AM417" s="415" t="s">
        <v>337</v>
      </c>
      <c r="AP417" s="415" t="s">
        <v>337</v>
      </c>
      <c r="AS417" s="415" t="s">
        <v>337</v>
      </c>
      <c r="AV417" s="415" t="s">
        <v>337</v>
      </c>
      <c r="AY417" s="415" t="s">
        <v>337</v>
      </c>
      <c r="AZ417" s="213" t="s">
        <v>4686</v>
      </c>
      <c r="BA417" s="416" t="s">
        <v>4687</v>
      </c>
      <c r="BB417" s="415" t="s">
        <v>337</v>
      </c>
      <c r="BE417" s="415" t="s">
        <v>337</v>
      </c>
      <c r="BH417" s="415" t="s">
        <v>337</v>
      </c>
      <c r="BM417" s="415" t="s">
        <v>337</v>
      </c>
      <c r="BP417" s="415" t="s">
        <v>337</v>
      </c>
      <c r="BS417" s="415"/>
      <c r="BV417" s="415" t="s">
        <v>337</v>
      </c>
      <c r="BY417" s="415" t="s">
        <v>337</v>
      </c>
      <c r="CB417" s="415" t="s">
        <v>337</v>
      </c>
      <c r="CE417" s="415" t="s">
        <v>337</v>
      </c>
      <c r="CH417" s="415" t="s">
        <v>337</v>
      </c>
      <c r="CK417" s="415" t="s">
        <v>337</v>
      </c>
      <c r="CN417" s="415" t="s">
        <v>337</v>
      </c>
      <c r="CQ417" s="415" t="s">
        <v>337</v>
      </c>
      <c r="CT417" s="415" t="s">
        <v>337</v>
      </c>
    </row>
    <row r="418" spans="1:98">
      <c r="A418" s="1" t="s">
        <v>1061</v>
      </c>
      <c r="B418" s="416" t="s">
        <v>4688</v>
      </c>
      <c r="S418" s="213" t="s">
        <v>4689</v>
      </c>
      <c r="T418" s="416" t="s">
        <v>4690</v>
      </c>
      <c r="U418" s="415" t="s">
        <v>337</v>
      </c>
      <c r="X418" s="415"/>
      <c r="AA418" s="415"/>
      <c r="AD418" s="415"/>
      <c r="AE418" s="417" t="s">
        <v>4691</v>
      </c>
      <c r="AF418" s="416" t="s">
        <v>4692</v>
      </c>
      <c r="AG418" s="415"/>
      <c r="AJ418" s="415" t="s">
        <v>337</v>
      </c>
      <c r="AM418" s="415" t="s">
        <v>337</v>
      </c>
      <c r="AP418" s="415" t="s">
        <v>337</v>
      </c>
      <c r="AS418" s="415" t="s">
        <v>337</v>
      </c>
      <c r="AV418" s="415" t="s">
        <v>337</v>
      </c>
      <c r="AY418" s="415" t="s">
        <v>337</v>
      </c>
      <c r="AZ418" s="213" t="s">
        <v>4693</v>
      </c>
      <c r="BA418" s="416" t="s">
        <v>4694</v>
      </c>
      <c r="BB418" s="415" t="s">
        <v>337</v>
      </c>
      <c r="BE418" s="415" t="s">
        <v>337</v>
      </c>
      <c r="BH418" s="415" t="s">
        <v>337</v>
      </c>
      <c r="BM418" s="415" t="s">
        <v>337</v>
      </c>
      <c r="BP418" s="415" t="s">
        <v>337</v>
      </c>
      <c r="BS418" s="415"/>
      <c r="BV418" s="415" t="s">
        <v>337</v>
      </c>
      <c r="BY418" s="415" t="s">
        <v>337</v>
      </c>
      <c r="CB418" s="415" t="s">
        <v>337</v>
      </c>
      <c r="CE418" s="415" t="s">
        <v>337</v>
      </c>
      <c r="CH418" s="415" t="s">
        <v>337</v>
      </c>
      <c r="CK418" s="415" t="s">
        <v>337</v>
      </c>
      <c r="CN418" s="415" t="s">
        <v>337</v>
      </c>
      <c r="CQ418" s="415" t="s">
        <v>337</v>
      </c>
      <c r="CT418" s="415" t="s">
        <v>337</v>
      </c>
    </row>
    <row r="419" spans="1:98">
      <c r="A419" s="1" t="s">
        <v>1061</v>
      </c>
      <c r="B419" s="416" t="s">
        <v>4695</v>
      </c>
      <c r="S419" s="213" t="s">
        <v>4696</v>
      </c>
      <c r="T419" s="416" t="s">
        <v>4697</v>
      </c>
      <c r="U419" s="415" t="s">
        <v>337</v>
      </c>
      <c r="X419" s="415"/>
      <c r="AA419" s="415"/>
      <c r="AD419" s="415"/>
      <c r="AE419" s="417" t="s">
        <v>4698</v>
      </c>
      <c r="AF419" s="416" t="s">
        <v>4699</v>
      </c>
      <c r="AG419" s="415"/>
      <c r="AJ419" s="415" t="s">
        <v>337</v>
      </c>
      <c r="AM419" s="415" t="s">
        <v>337</v>
      </c>
      <c r="AP419" s="415" t="s">
        <v>337</v>
      </c>
      <c r="AS419" s="415" t="s">
        <v>337</v>
      </c>
      <c r="AV419" s="415" t="s">
        <v>337</v>
      </c>
      <c r="AY419" s="415" t="s">
        <v>337</v>
      </c>
      <c r="AZ419" s="213" t="s">
        <v>4700</v>
      </c>
      <c r="BA419" s="416" t="s">
        <v>4701</v>
      </c>
      <c r="BB419" s="415" t="s">
        <v>337</v>
      </c>
      <c r="BE419" s="415" t="s">
        <v>337</v>
      </c>
      <c r="BH419" s="415" t="s">
        <v>337</v>
      </c>
      <c r="BM419" s="415" t="s">
        <v>337</v>
      </c>
      <c r="BP419" s="415" t="s">
        <v>337</v>
      </c>
      <c r="BS419" s="415"/>
      <c r="BV419" s="415" t="s">
        <v>337</v>
      </c>
      <c r="BY419" s="415" t="s">
        <v>337</v>
      </c>
      <c r="CB419" s="415" t="s">
        <v>337</v>
      </c>
      <c r="CE419" s="415" t="s">
        <v>337</v>
      </c>
      <c r="CH419" s="415" t="s">
        <v>337</v>
      </c>
      <c r="CK419" s="415" t="s">
        <v>337</v>
      </c>
      <c r="CN419" s="415" t="s">
        <v>337</v>
      </c>
      <c r="CQ419" s="415" t="s">
        <v>337</v>
      </c>
      <c r="CT419" s="415" t="s">
        <v>337</v>
      </c>
    </row>
    <row r="420" spans="1:98">
      <c r="A420" s="1" t="s">
        <v>1061</v>
      </c>
      <c r="B420" s="416" t="s">
        <v>4702</v>
      </c>
      <c r="S420" s="213" t="s">
        <v>4703</v>
      </c>
      <c r="T420" s="416" t="s">
        <v>4704</v>
      </c>
      <c r="U420" s="415" t="s">
        <v>337</v>
      </c>
      <c r="X420" s="415"/>
      <c r="AA420" s="415"/>
      <c r="AD420" s="415"/>
      <c r="AE420" s="417" t="s">
        <v>4705</v>
      </c>
      <c r="AF420" s="416" t="s">
        <v>4706</v>
      </c>
      <c r="AG420" s="415"/>
      <c r="AJ420" s="415" t="s">
        <v>337</v>
      </c>
      <c r="AM420" s="415" t="s">
        <v>337</v>
      </c>
      <c r="AP420" s="415" t="s">
        <v>337</v>
      </c>
      <c r="AS420" s="415" t="s">
        <v>337</v>
      </c>
      <c r="AV420" s="415" t="s">
        <v>337</v>
      </c>
      <c r="AY420" s="415" t="s">
        <v>337</v>
      </c>
      <c r="AZ420" s="213" t="s">
        <v>4707</v>
      </c>
      <c r="BA420" s="416" t="s">
        <v>4708</v>
      </c>
      <c r="BB420" s="415" t="s">
        <v>337</v>
      </c>
      <c r="BE420" s="415" t="s">
        <v>337</v>
      </c>
      <c r="BH420" s="415" t="s">
        <v>337</v>
      </c>
      <c r="BM420" s="415" t="s">
        <v>337</v>
      </c>
      <c r="BP420" s="415" t="s">
        <v>337</v>
      </c>
      <c r="BS420" s="415"/>
      <c r="BV420" s="415" t="s">
        <v>337</v>
      </c>
      <c r="BY420" s="415" t="s">
        <v>337</v>
      </c>
      <c r="CB420" s="415" t="s">
        <v>337</v>
      </c>
      <c r="CE420" s="415" t="s">
        <v>337</v>
      </c>
      <c r="CH420" s="415" t="s">
        <v>337</v>
      </c>
      <c r="CK420" s="415" t="s">
        <v>337</v>
      </c>
      <c r="CN420" s="415" t="s">
        <v>337</v>
      </c>
      <c r="CQ420" s="415" t="s">
        <v>337</v>
      </c>
      <c r="CT420" s="415" t="s">
        <v>337</v>
      </c>
    </row>
    <row r="421" spans="1:98">
      <c r="A421" s="1" t="s">
        <v>1061</v>
      </c>
      <c r="B421" s="416" t="s">
        <v>4709</v>
      </c>
      <c r="S421" s="213" t="s">
        <v>4710</v>
      </c>
      <c r="T421" s="416" t="s">
        <v>4711</v>
      </c>
      <c r="U421" s="415" t="s">
        <v>337</v>
      </c>
      <c r="X421" s="415"/>
      <c r="AA421" s="415"/>
      <c r="AD421" s="415"/>
      <c r="AE421" s="417" t="s">
        <v>4712</v>
      </c>
      <c r="AF421" s="416" t="s">
        <v>4713</v>
      </c>
      <c r="AG421" s="415"/>
      <c r="AJ421" s="415" t="s">
        <v>337</v>
      </c>
      <c r="AM421" s="415" t="s">
        <v>337</v>
      </c>
      <c r="AP421" s="415" t="s">
        <v>337</v>
      </c>
      <c r="AS421" s="415" t="s">
        <v>337</v>
      </c>
      <c r="AV421" s="415" t="s">
        <v>337</v>
      </c>
      <c r="AY421" s="415" t="s">
        <v>337</v>
      </c>
      <c r="AZ421" s="213" t="s">
        <v>4714</v>
      </c>
      <c r="BA421" s="416" t="s">
        <v>4715</v>
      </c>
      <c r="BB421" s="415" t="s">
        <v>337</v>
      </c>
      <c r="BE421" s="415" t="s">
        <v>337</v>
      </c>
      <c r="BH421" s="415" t="s">
        <v>337</v>
      </c>
      <c r="BM421" s="415" t="s">
        <v>337</v>
      </c>
      <c r="BP421" s="415" t="s">
        <v>337</v>
      </c>
      <c r="BS421" s="415"/>
      <c r="BV421" s="415" t="s">
        <v>337</v>
      </c>
      <c r="BY421" s="415" t="s">
        <v>337</v>
      </c>
      <c r="CB421" s="415" t="s">
        <v>337</v>
      </c>
      <c r="CE421" s="415" t="s">
        <v>337</v>
      </c>
      <c r="CH421" s="415" t="s">
        <v>337</v>
      </c>
      <c r="CK421" s="415" t="s">
        <v>337</v>
      </c>
      <c r="CN421" s="415" t="s">
        <v>337</v>
      </c>
      <c r="CQ421" s="415" t="s">
        <v>337</v>
      </c>
      <c r="CT421" s="415" t="s">
        <v>337</v>
      </c>
    </row>
    <row r="422" spans="1:98">
      <c r="A422" s="1" t="s">
        <v>1078</v>
      </c>
      <c r="B422" s="416" t="s">
        <v>4716</v>
      </c>
      <c r="S422" s="213" t="s">
        <v>4717</v>
      </c>
      <c r="T422" s="416" t="s">
        <v>4718</v>
      </c>
      <c r="U422" s="415" t="s">
        <v>337</v>
      </c>
      <c r="X422" s="415"/>
      <c r="AA422" s="415"/>
      <c r="AD422" s="415"/>
      <c r="AE422" s="417" t="s">
        <v>4719</v>
      </c>
      <c r="AF422" s="416" t="s">
        <v>4720</v>
      </c>
      <c r="AG422" s="415"/>
      <c r="AJ422" s="415" t="s">
        <v>337</v>
      </c>
      <c r="AM422" s="415" t="s">
        <v>337</v>
      </c>
      <c r="AP422" s="415" t="s">
        <v>337</v>
      </c>
      <c r="AS422" s="415" t="s">
        <v>337</v>
      </c>
      <c r="AV422" s="415" t="s">
        <v>337</v>
      </c>
      <c r="AY422" s="415" t="s">
        <v>337</v>
      </c>
      <c r="AZ422" s="213" t="s">
        <v>4721</v>
      </c>
      <c r="BA422" s="416" t="s">
        <v>4722</v>
      </c>
      <c r="BB422" s="415" t="s">
        <v>337</v>
      </c>
      <c r="BE422" s="415" t="s">
        <v>337</v>
      </c>
      <c r="BH422" s="415" t="s">
        <v>337</v>
      </c>
      <c r="BM422" s="415" t="s">
        <v>337</v>
      </c>
      <c r="BP422" s="415" t="s">
        <v>337</v>
      </c>
      <c r="BS422" s="415"/>
      <c r="BV422" s="415" t="s">
        <v>337</v>
      </c>
      <c r="BY422" s="415" t="s">
        <v>337</v>
      </c>
      <c r="CB422" s="415" t="s">
        <v>337</v>
      </c>
      <c r="CE422" s="415" t="s">
        <v>337</v>
      </c>
      <c r="CH422" s="415" t="s">
        <v>337</v>
      </c>
      <c r="CK422" s="415" t="s">
        <v>337</v>
      </c>
      <c r="CN422" s="415" t="s">
        <v>337</v>
      </c>
      <c r="CQ422" s="415" t="s">
        <v>337</v>
      </c>
      <c r="CT422" s="415" t="s">
        <v>337</v>
      </c>
    </row>
    <row r="423" spans="1:98">
      <c r="A423" s="1" t="s">
        <v>1078</v>
      </c>
      <c r="B423" s="416" t="s">
        <v>4723</v>
      </c>
      <c r="S423" s="213" t="s">
        <v>4724</v>
      </c>
      <c r="T423" s="416" t="s">
        <v>4725</v>
      </c>
      <c r="U423" s="415" t="s">
        <v>337</v>
      </c>
      <c r="X423" s="415"/>
      <c r="AA423" s="415"/>
      <c r="AD423" s="415"/>
      <c r="AE423" s="417" t="s">
        <v>4726</v>
      </c>
      <c r="AF423" s="416" t="s">
        <v>4727</v>
      </c>
      <c r="AG423" s="415"/>
      <c r="AJ423" s="415" t="s">
        <v>337</v>
      </c>
      <c r="AM423" s="415" t="s">
        <v>337</v>
      </c>
      <c r="AP423" s="415" t="s">
        <v>337</v>
      </c>
      <c r="AS423" s="415" t="s">
        <v>337</v>
      </c>
      <c r="AV423" s="415" t="s">
        <v>337</v>
      </c>
      <c r="AY423" s="415" t="s">
        <v>337</v>
      </c>
      <c r="AZ423" s="213" t="s">
        <v>4728</v>
      </c>
      <c r="BA423" s="416" t="s">
        <v>4729</v>
      </c>
      <c r="BB423" s="415" t="s">
        <v>337</v>
      </c>
      <c r="BE423" s="415" t="s">
        <v>337</v>
      </c>
      <c r="BH423" s="415" t="s">
        <v>337</v>
      </c>
      <c r="BM423" s="415" t="s">
        <v>337</v>
      </c>
      <c r="BP423" s="415" t="s">
        <v>337</v>
      </c>
      <c r="BS423" s="415"/>
      <c r="BV423" s="415" t="s">
        <v>337</v>
      </c>
      <c r="BY423" s="415" t="s">
        <v>337</v>
      </c>
      <c r="CB423" s="415" t="s">
        <v>337</v>
      </c>
      <c r="CE423" s="415" t="s">
        <v>337</v>
      </c>
      <c r="CH423" s="415" t="s">
        <v>337</v>
      </c>
      <c r="CK423" s="415" t="s">
        <v>337</v>
      </c>
      <c r="CN423" s="415" t="s">
        <v>337</v>
      </c>
      <c r="CQ423" s="415" t="s">
        <v>337</v>
      </c>
      <c r="CT423" s="415" t="s">
        <v>337</v>
      </c>
    </row>
    <row r="424" spans="1:98">
      <c r="A424" s="1" t="s">
        <v>1078</v>
      </c>
      <c r="B424" s="416" t="s">
        <v>4730</v>
      </c>
      <c r="S424" s="213" t="s">
        <v>4731</v>
      </c>
      <c r="T424" s="416" t="s">
        <v>4732</v>
      </c>
      <c r="U424" s="415" t="s">
        <v>337</v>
      </c>
      <c r="X424" s="415"/>
      <c r="AA424" s="415"/>
      <c r="AD424" s="415"/>
      <c r="AE424" s="417" t="s">
        <v>4733</v>
      </c>
      <c r="AF424" s="416" t="s">
        <v>4734</v>
      </c>
      <c r="AG424" s="415"/>
      <c r="AJ424" s="415" t="s">
        <v>337</v>
      </c>
      <c r="AM424" s="415" t="s">
        <v>337</v>
      </c>
      <c r="AP424" s="415" t="s">
        <v>337</v>
      </c>
      <c r="AS424" s="415" t="s">
        <v>337</v>
      </c>
      <c r="AV424" s="415" t="s">
        <v>337</v>
      </c>
      <c r="AY424" s="415" t="s">
        <v>337</v>
      </c>
      <c r="AZ424" s="213" t="s">
        <v>4735</v>
      </c>
      <c r="BA424" s="416" t="s">
        <v>4736</v>
      </c>
      <c r="BB424" s="415" t="s">
        <v>337</v>
      </c>
      <c r="BE424" s="415" t="s">
        <v>337</v>
      </c>
      <c r="BH424" s="415" t="s">
        <v>337</v>
      </c>
      <c r="BM424" s="415" t="s">
        <v>337</v>
      </c>
      <c r="BP424" s="415" t="s">
        <v>337</v>
      </c>
      <c r="BS424" s="415"/>
      <c r="BV424" s="415" t="s">
        <v>337</v>
      </c>
      <c r="BY424" s="415" t="s">
        <v>337</v>
      </c>
      <c r="CB424" s="415" t="s">
        <v>337</v>
      </c>
      <c r="CE424" s="415" t="s">
        <v>337</v>
      </c>
      <c r="CH424" s="415" t="s">
        <v>337</v>
      </c>
      <c r="CK424" s="415" t="s">
        <v>337</v>
      </c>
      <c r="CN424" s="415" t="s">
        <v>337</v>
      </c>
      <c r="CQ424" s="415" t="s">
        <v>337</v>
      </c>
      <c r="CT424" s="415" t="s">
        <v>337</v>
      </c>
    </row>
    <row r="425" spans="1:98">
      <c r="A425" s="1" t="s">
        <v>1078</v>
      </c>
      <c r="B425" s="416" t="s">
        <v>4737</v>
      </c>
      <c r="S425" s="213" t="s">
        <v>4738</v>
      </c>
      <c r="T425" s="416" t="s">
        <v>4739</v>
      </c>
      <c r="U425" s="415" t="s">
        <v>337</v>
      </c>
      <c r="X425" s="415"/>
      <c r="AA425" s="415"/>
      <c r="AD425" s="415"/>
      <c r="AE425" s="417" t="s">
        <v>4740</v>
      </c>
      <c r="AF425" s="416" t="s">
        <v>4741</v>
      </c>
      <c r="AG425" s="415"/>
      <c r="AJ425" s="415" t="s">
        <v>337</v>
      </c>
      <c r="AM425" s="415" t="s">
        <v>337</v>
      </c>
      <c r="AP425" s="415" t="s">
        <v>337</v>
      </c>
      <c r="AS425" s="415" t="s">
        <v>337</v>
      </c>
      <c r="AV425" s="415" t="s">
        <v>337</v>
      </c>
      <c r="AY425" s="415" t="s">
        <v>337</v>
      </c>
      <c r="AZ425" s="213" t="s">
        <v>4742</v>
      </c>
      <c r="BA425" s="416" t="s">
        <v>4743</v>
      </c>
      <c r="BB425" s="415" t="s">
        <v>337</v>
      </c>
      <c r="BE425" s="415" t="s">
        <v>337</v>
      </c>
      <c r="BH425" s="415" t="s">
        <v>337</v>
      </c>
      <c r="BM425" s="415" t="s">
        <v>337</v>
      </c>
      <c r="BP425" s="415" t="s">
        <v>337</v>
      </c>
      <c r="BS425" s="415"/>
      <c r="BV425" s="415" t="s">
        <v>337</v>
      </c>
      <c r="BY425" s="415" t="s">
        <v>337</v>
      </c>
      <c r="CB425" s="415" t="s">
        <v>337</v>
      </c>
      <c r="CE425" s="415" t="s">
        <v>337</v>
      </c>
      <c r="CH425" s="415" t="s">
        <v>337</v>
      </c>
      <c r="CK425" s="415" t="s">
        <v>337</v>
      </c>
      <c r="CN425" s="415" t="s">
        <v>337</v>
      </c>
      <c r="CQ425" s="415" t="s">
        <v>337</v>
      </c>
      <c r="CT425" s="415" t="s">
        <v>337</v>
      </c>
    </row>
    <row r="426" spans="1:98">
      <c r="A426" s="1" t="s">
        <v>1078</v>
      </c>
      <c r="B426" s="416" t="s">
        <v>4744</v>
      </c>
      <c r="S426" s="213" t="s">
        <v>4745</v>
      </c>
      <c r="T426" s="416" t="s">
        <v>4746</v>
      </c>
      <c r="U426" s="415" t="s">
        <v>337</v>
      </c>
      <c r="X426" s="415"/>
      <c r="AA426" s="415"/>
      <c r="AD426" s="415"/>
      <c r="AE426" s="417" t="s">
        <v>4747</v>
      </c>
      <c r="AF426" s="416" t="s">
        <v>4748</v>
      </c>
      <c r="AG426" s="415"/>
      <c r="AJ426" s="415" t="s">
        <v>337</v>
      </c>
      <c r="AM426" s="415" t="s">
        <v>337</v>
      </c>
      <c r="AP426" s="415" t="s">
        <v>337</v>
      </c>
      <c r="AS426" s="415" t="s">
        <v>337</v>
      </c>
      <c r="AV426" s="415" t="s">
        <v>337</v>
      </c>
      <c r="AY426" s="415" t="s">
        <v>337</v>
      </c>
      <c r="AZ426" s="213" t="s">
        <v>4749</v>
      </c>
      <c r="BA426" s="416" t="s">
        <v>4750</v>
      </c>
      <c r="BB426" s="415" t="s">
        <v>337</v>
      </c>
      <c r="BE426" s="415" t="s">
        <v>337</v>
      </c>
      <c r="BH426" s="415" t="s">
        <v>337</v>
      </c>
      <c r="BM426" s="415" t="s">
        <v>337</v>
      </c>
      <c r="BP426" s="415" t="s">
        <v>337</v>
      </c>
      <c r="BS426" s="415"/>
      <c r="BV426" s="415" t="s">
        <v>337</v>
      </c>
      <c r="BY426" s="415" t="s">
        <v>337</v>
      </c>
      <c r="CB426" s="415" t="s">
        <v>337</v>
      </c>
      <c r="CE426" s="415" t="s">
        <v>337</v>
      </c>
      <c r="CH426" s="415" t="s">
        <v>337</v>
      </c>
      <c r="CK426" s="415" t="s">
        <v>337</v>
      </c>
      <c r="CN426" s="415" t="s">
        <v>337</v>
      </c>
      <c r="CQ426" s="415" t="s">
        <v>337</v>
      </c>
      <c r="CT426" s="415" t="s">
        <v>337</v>
      </c>
    </row>
    <row r="427" spans="1:98">
      <c r="A427" s="1" t="s">
        <v>1078</v>
      </c>
      <c r="B427" s="416" t="s">
        <v>4751</v>
      </c>
      <c r="S427" s="213" t="s">
        <v>4752</v>
      </c>
      <c r="T427" s="416" t="s">
        <v>4753</v>
      </c>
      <c r="U427" s="415" t="s">
        <v>337</v>
      </c>
      <c r="X427" s="415"/>
      <c r="AA427" s="415"/>
      <c r="AD427" s="415"/>
      <c r="AE427" s="417" t="s">
        <v>4754</v>
      </c>
      <c r="AF427" s="416" t="s">
        <v>4755</v>
      </c>
      <c r="AG427" s="415"/>
      <c r="AJ427" s="415" t="s">
        <v>337</v>
      </c>
      <c r="AM427" s="415" t="s">
        <v>337</v>
      </c>
      <c r="AP427" s="415" t="s">
        <v>337</v>
      </c>
      <c r="AS427" s="415" t="s">
        <v>337</v>
      </c>
      <c r="AV427" s="415" t="s">
        <v>337</v>
      </c>
      <c r="AY427" s="415" t="s">
        <v>337</v>
      </c>
      <c r="AZ427" s="213" t="s">
        <v>4756</v>
      </c>
      <c r="BA427" s="416" t="s">
        <v>870</v>
      </c>
      <c r="BB427" s="415" t="s">
        <v>337</v>
      </c>
      <c r="BE427" s="415" t="s">
        <v>337</v>
      </c>
      <c r="BH427" s="415" t="s">
        <v>337</v>
      </c>
      <c r="BM427" s="415" t="s">
        <v>337</v>
      </c>
      <c r="BP427" s="415" t="s">
        <v>337</v>
      </c>
      <c r="BS427" s="415"/>
      <c r="BV427" s="415" t="s">
        <v>337</v>
      </c>
      <c r="BY427" s="415" t="s">
        <v>337</v>
      </c>
      <c r="CB427" s="415" t="s">
        <v>337</v>
      </c>
      <c r="CE427" s="415" t="s">
        <v>337</v>
      </c>
      <c r="CH427" s="415" t="s">
        <v>337</v>
      </c>
      <c r="CK427" s="415" t="s">
        <v>337</v>
      </c>
      <c r="CN427" s="415" t="s">
        <v>337</v>
      </c>
      <c r="CQ427" s="415" t="s">
        <v>337</v>
      </c>
      <c r="CT427" s="415" t="s">
        <v>337</v>
      </c>
    </row>
    <row r="428" spans="1:98">
      <c r="A428" s="1" t="s">
        <v>1078</v>
      </c>
      <c r="B428" s="416" t="s">
        <v>4757</v>
      </c>
      <c r="S428" s="213" t="s">
        <v>4758</v>
      </c>
      <c r="T428" s="416" t="s">
        <v>4759</v>
      </c>
      <c r="U428" s="415" t="s">
        <v>337</v>
      </c>
      <c r="X428" s="415"/>
      <c r="AA428" s="415"/>
      <c r="AD428" s="415"/>
      <c r="AE428" s="417" t="s">
        <v>4760</v>
      </c>
      <c r="AF428" s="416" t="s">
        <v>4761</v>
      </c>
      <c r="AG428" s="415"/>
      <c r="AJ428" s="415" t="s">
        <v>337</v>
      </c>
      <c r="AM428" s="415" t="s">
        <v>337</v>
      </c>
      <c r="AP428" s="415" t="s">
        <v>337</v>
      </c>
      <c r="AS428" s="415" t="s">
        <v>337</v>
      </c>
      <c r="AV428" s="415" t="s">
        <v>337</v>
      </c>
      <c r="AY428" s="415" t="s">
        <v>337</v>
      </c>
      <c r="AZ428" s="213" t="s">
        <v>4762</v>
      </c>
      <c r="BA428" s="416" t="s">
        <v>4763</v>
      </c>
      <c r="BB428" s="415" t="s">
        <v>337</v>
      </c>
      <c r="BE428" s="415" t="s">
        <v>337</v>
      </c>
      <c r="BH428" s="415" t="s">
        <v>337</v>
      </c>
      <c r="BM428" s="415" t="s">
        <v>337</v>
      </c>
      <c r="BP428" s="415" t="s">
        <v>337</v>
      </c>
      <c r="BS428" s="415"/>
      <c r="BV428" s="415" t="s">
        <v>337</v>
      </c>
      <c r="BY428" s="415" t="s">
        <v>337</v>
      </c>
      <c r="CB428" s="415" t="s">
        <v>337</v>
      </c>
      <c r="CE428" s="415" t="s">
        <v>337</v>
      </c>
      <c r="CH428" s="415" t="s">
        <v>337</v>
      </c>
      <c r="CK428" s="415" t="s">
        <v>337</v>
      </c>
      <c r="CN428" s="415" t="s">
        <v>337</v>
      </c>
      <c r="CQ428" s="415" t="s">
        <v>337</v>
      </c>
      <c r="CT428" s="415" t="s">
        <v>337</v>
      </c>
    </row>
    <row r="429" spans="1:98">
      <c r="A429" s="1" t="s">
        <v>1095</v>
      </c>
      <c r="B429" s="416" t="s">
        <v>4764</v>
      </c>
      <c r="S429" s="213" t="s">
        <v>4765</v>
      </c>
      <c r="T429" s="416" t="s">
        <v>4766</v>
      </c>
      <c r="U429" s="415" t="s">
        <v>337</v>
      </c>
      <c r="X429" s="415"/>
      <c r="AA429" s="415"/>
      <c r="AD429" s="415"/>
      <c r="AE429" s="417" t="s">
        <v>4767</v>
      </c>
      <c r="AF429" s="416" t="s">
        <v>4768</v>
      </c>
      <c r="AG429" s="415"/>
      <c r="AJ429" s="415" t="s">
        <v>337</v>
      </c>
      <c r="AM429" s="415" t="s">
        <v>337</v>
      </c>
      <c r="AP429" s="415" t="s">
        <v>337</v>
      </c>
      <c r="AS429" s="415" t="s">
        <v>337</v>
      </c>
      <c r="AV429" s="415" t="s">
        <v>337</v>
      </c>
      <c r="AY429" s="415" t="s">
        <v>337</v>
      </c>
      <c r="AZ429" s="213" t="s">
        <v>4769</v>
      </c>
      <c r="BA429" s="416" t="s">
        <v>4770</v>
      </c>
      <c r="BB429" s="415" t="s">
        <v>337</v>
      </c>
      <c r="BE429" s="415" t="s">
        <v>337</v>
      </c>
      <c r="BH429" s="415" t="s">
        <v>337</v>
      </c>
      <c r="BM429" s="415" t="s">
        <v>337</v>
      </c>
      <c r="BP429" s="415" t="s">
        <v>337</v>
      </c>
      <c r="BS429" s="415"/>
      <c r="BV429" s="415" t="s">
        <v>337</v>
      </c>
      <c r="BY429" s="415" t="s">
        <v>337</v>
      </c>
      <c r="CB429" s="415" t="s">
        <v>337</v>
      </c>
      <c r="CE429" s="415" t="s">
        <v>337</v>
      </c>
      <c r="CH429" s="415" t="s">
        <v>337</v>
      </c>
      <c r="CK429" s="415" t="s">
        <v>337</v>
      </c>
      <c r="CN429" s="415" t="s">
        <v>337</v>
      </c>
      <c r="CQ429" s="415" t="s">
        <v>337</v>
      </c>
      <c r="CT429" s="415" t="s">
        <v>337</v>
      </c>
    </row>
    <row r="430" spans="1:98">
      <c r="A430" s="1" t="s">
        <v>1095</v>
      </c>
      <c r="B430" s="416" t="s">
        <v>4771</v>
      </c>
      <c r="S430" s="213" t="s">
        <v>4772</v>
      </c>
      <c r="T430" s="416" t="s">
        <v>4773</v>
      </c>
      <c r="U430" s="415" t="s">
        <v>337</v>
      </c>
      <c r="X430" s="415"/>
      <c r="AA430" s="415"/>
      <c r="AD430" s="415"/>
      <c r="AE430" s="417" t="s">
        <v>4774</v>
      </c>
      <c r="AF430" s="416" t="s">
        <v>4775</v>
      </c>
      <c r="AG430" s="415"/>
      <c r="AJ430" s="415" t="s">
        <v>337</v>
      </c>
      <c r="AM430" s="415" t="s">
        <v>337</v>
      </c>
      <c r="AP430" s="415" t="s">
        <v>337</v>
      </c>
      <c r="AS430" s="415" t="s">
        <v>337</v>
      </c>
      <c r="AV430" s="415" t="s">
        <v>337</v>
      </c>
      <c r="AY430" s="415" t="s">
        <v>337</v>
      </c>
      <c r="AZ430" s="213" t="s">
        <v>4776</v>
      </c>
      <c r="BA430" s="416" t="s">
        <v>4777</v>
      </c>
      <c r="BB430" s="415" t="s">
        <v>337</v>
      </c>
      <c r="BE430" s="415" t="s">
        <v>337</v>
      </c>
      <c r="BH430" s="415" t="s">
        <v>337</v>
      </c>
      <c r="BM430" s="415" t="s">
        <v>337</v>
      </c>
      <c r="BP430" s="415" t="s">
        <v>337</v>
      </c>
      <c r="BS430" s="415"/>
      <c r="BV430" s="415" t="s">
        <v>337</v>
      </c>
      <c r="BY430" s="415" t="s">
        <v>337</v>
      </c>
      <c r="CB430" s="415" t="s">
        <v>337</v>
      </c>
      <c r="CE430" s="415" t="s">
        <v>337</v>
      </c>
      <c r="CH430" s="415" t="s">
        <v>337</v>
      </c>
      <c r="CK430" s="415" t="s">
        <v>337</v>
      </c>
      <c r="CN430" s="415" t="s">
        <v>337</v>
      </c>
      <c r="CQ430" s="415" t="s">
        <v>337</v>
      </c>
      <c r="CT430" s="415" t="s">
        <v>337</v>
      </c>
    </row>
    <row r="431" spans="1:98">
      <c r="A431" s="1" t="s">
        <v>1095</v>
      </c>
      <c r="B431" s="416" t="s">
        <v>4778</v>
      </c>
      <c r="S431" s="213" t="s">
        <v>4779</v>
      </c>
      <c r="T431" s="416" t="s">
        <v>4780</v>
      </c>
      <c r="U431" s="415" t="s">
        <v>337</v>
      </c>
      <c r="X431" s="415"/>
      <c r="AA431" s="415"/>
      <c r="AD431" s="415"/>
      <c r="AE431" s="417" t="s">
        <v>4781</v>
      </c>
      <c r="AF431" s="416" t="s">
        <v>4782</v>
      </c>
      <c r="AG431" s="415"/>
      <c r="AJ431" s="415" t="s">
        <v>337</v>
      </c>
      <c r="AM431" s="415" t="s">
        <v>337</v>
      </c>
      <c r="AP431" s="415" t="s">
        <v>337</v>
      </c>
      <c r="AS431" s="415" t="s">
        <v>337</v>
      </c>
      <c r="AV431" s="415" t="s">
        <v>337</v>
      </c>
      <c r="AY431" s="415" t="s">
        <v>337</v>
      </c>
      <c r="AZ431" s="213" t="s">
        <v>4783</v>
      </c>
      <c r="BA431" s="416" t="s">
        <v>4784</v>
      </c>
      <c r="BB431" s="415" t="s">
        <v>337</v>
      </c>
      <c r="BE431" s="415" t="s">
        <v>337</v>
      </c>
      <c r="BH431" s="415" t="s">
        <v>337</v>
      </c>
      <c r="BM431" s="415" t="s">
        <v>337</v>
      </c>
      <c r="BP431" s="415" t="s">
        <v>337</v>
      </c>
      <c r="BS431" s="415"/>
      <c r="BV431" s="415" t="s">
        <v>337</v>
      </c>
      <c r="BY431" s="415" t="s">
        <v>337</v>
      </c>
      <c r="CB431" s="415" t="s">
        <v>337</v>
      </c>
      <c r="CE431" s="415" t="s">
        <v>337</v>
      </c>
      <c r="CH431" s="415" t="s">
        <v>337</v>
      </c>
      <c r="CK431" s="415" t="s">
        <v>337</v>
      </c>
      <c r="CN431" s="415" t="s">
        <v>337</v>
      </c>
      <c r="CQ431" s="415" t="s">
        <v>337</v>
      </c>
      <c r="CT431" s="415" t="s">
        <v>337</v>
      </c>
    </row>
    <row r="432" spans="1:98">
      <c r="A432" s="1" t="s">
        <v>1095</v>
      </c>
      <c r="B432" s="416" t="s">
        <v>1585</v>
      </c>
      <c r="S432" s="213" t="s">
        <v>4785</v>
      </c>
      <c r="T432" s="416" t="s">
        <v>4786</v>
      </c>
      <c r="U432" s="415" t="s">
        <v>337</v>
      </c>
      <c r="X432" s="415"/>
      <c r="AA432" s="415"/>
      <c r="AD432" s="415"/>
      <c r="AE432" s="417" t="s">
        <v>4787</v>
      </c>
      <c r="AF432" s="416" t="s">
        <v>4788</v>
      </c>
      <c r="AG432" s="415"/>
      <c r="AJ432" s="415" t="s">
        <v>337</v>
      </c>
      <c r="AM432" s="415" t="s">
        <v>337</v>
      </c>
      <c r="AP432" s="415" t="s">
        <v>337</v>
      </c>
      <c r="AS432" s="415" t="s">
        <v>337</v>
      </c>
      <c r="AV432" s="415" t="s">
        <v>337</v>
      </c>
      <c r="AY432" s="415" t="s">
        <v>337</v>
      </c>
      <c r="AZ432" s="213" t="s">
        <v>4789</v>
      </c>
      <c r="BA432" s="416" t="s">
        <v>4790</v>
      </c>
      <c r="BB432" s="415" t="s">
        <v>337</v>
      </c>
      <c r="BE432" s="415" t="s">
        <v>337</v>
      </c>
      <c r="BH432" s="415" t="s">
        <v>337</v>
      </c>
      <c r="BM432" s="415" t="s">
        <v>337</v>
      </c>
      <c r="BP432" s="415" t="s">
        <v>337</v>
      </c>
      <c r="BS432" s="415"/>
      <c r="BV432" s="415" t="s">
        <v>337</v>
      </c>
      <c r="BY432" s="415" t="s">
        <v>337</v>
      </c>
      <c r="CB432" s="415" t="s">
        <v>337</v>
      </c>
      <c r="CE432" s="415" t="s">
        <v>337</v>
      </c>
      <c r="CH432" s="415" t="s">
        <v>337</v>
      </c>
      <c r="CK432" s="415" t="s">
        <v>337</v>
      </c>
      <c r="CN432" s="415" t="s">
        <v>337</v>
      </c>
      <c r="CQ432" s="415" t="s">
        <v>337</v>
      </c>
      <c r="CT432" s="415" t="s">
        <v>337</v>
      </c>
    </row>
    <row r="433" spans="1:98">
      <c r="A433" s="1" t="s">
        <v>1095</v>
      </c>
      <c r="B433" s="416" t="s">
        <v>4791</v>
      </c>
      <c r="S433" s="213" t="s">
        <v>4792</v>
      </c>
      <c r="T433" s="416" t="s">
        <v>4793</v>
      </c>
      <c r="U433" s="415" t="s">
        <v>337</v>
      </c>
      <c r="X433" s="415"/>
      <c r="AA433" s="415"/>
      <c r="AD433" s="415"/>
      <c r="AE433" s="417" t="s">
        <v>4794</v>
      </c>
      <c r="AF433" s="416" t="s">
        <v>4795</v>
      </c>
      <c r="AG433" s="415"/>
      <c r="AJ433" s="415" t="s">
        <v>337</v>
      </c>
      <c r="AM433" s="415" t="s">
        <v>337</v>
      </c>
      <c r="AP433" s="415" t="s">
        <v>337</v>
      </c>
      <c r="AS433" s="415" t="s">
        <v>337</v>
      </c>
      <c r="AV433" s="415" t="s">
        <v>337</v>
      </c>
      <c r="AY433" s="415" t="s">
        <v>337</v>
      </c>
      <c r="AZ433" s="213" t="s">
        <v>4796</v>
      </c>
      <c r="BA433" s="416" t="s">
        <v>4797</v>
      </c>
      <c r="BB433" s="415" t="s">
        <v>337</v>
      </c>
      <c r="BE433" s="415" t="s">
        <v>337</v>
      </c>
      <c r="BH433" s="415" t="s">
        <v>337</v>
      </c>
      <c r="BM433" s="415" t="s">
        <v>337</v>
      </c>
      <c r="BP433" s="415" t="s">
        <v>337</v>
      </c>
      <c r="BS433" s="415"/>
      <c r="BV433" s="415" t="s">
        <v>337</v>
      </c>
      <c r="BY433" s="415" t="s">
        <v>337</v>
      </c>
      <c r="CB433" s="415" t="s">
        <v>337</v>
      </c>
      <c r="CE433" s="415" t="s">
        <v>337</v>
      </c>
      <c r="CH433" s="415" t="s">
        <v>337</v>
      </c>
      <c r="CK433" s="415" t="s">
        <v>337</v>
      </c>
      <c r="CN433" s="415" t="s">
        <v>337</v>
      </c>
      <c r="CQ433" s="415" t="s">
        <v>337</v>
      </c>
      <c r="CT433" s="415" t="s">
        <v>337</v>
      </c>
    </row>
    <row r="434" spans="1:98">
      <c r="A434" s="1" t="s">
        <v>1095</v>
      </c>
      <c r="B434" s="416" t="s">
        <v>4798</v>
      </c>
      <c r="S434" s="213" t="s">
        <v>4799</v>
      </c>
      <c r="T434" s="416" t="s">
        <v>4800</v>
      </c>
      <c r="U434" s="415" t="s">
        <v>337</v>
      </c>
      <c r="X434" s="415"/>
      <c r="AA434" s="415"/>
      <c r="AD434" s="415"/>
      <c r="AE434" s="417" t="s">
        <v>4801</v>
      </c>
      <c r="AF434" s="416" t="s">
        <v>4802</v>
      </c>
      <c r="AG434" s="415"/>
      <c r="AJ434" s="415" t="s">
        <v>337</v>
      </c>
      <c r="AM434" s="415" t="s">
        <v>337</v>
      </c>
      <c r="AP434" s="415" t="s">
        <v>337</v>
      </c>
      <c r="AS434" s="415" t="s">
        <v>337</v>
      </c>
      <c r="AV434" s="415" t="s">
        <v>337</v>
      </c>
      <c r="AY434" s="415" t="s">
        <v>337</v>
      </c>
      <c r="AZ434" s="213" t="s">
        <v>4803</v>
      </c>
      <c r="BA434" s="416" t="s">
        <v>4804</v>
      </c>
      <c r="BB434" s="415" t="s">
        <v>337</v>
      </c>
      <c r="BE434" s="415" t="s">
        <v>337</v>
      </c>
      <c r="BH434" s="415" t="s">
        <v>337</v>
      </c>
      <c r="BM434" s="415" t="s">
        <v>337</v>
      </c>
      <c r="BP434" s="415" t="s">
        <v>337</v>
      </c>
      <c r="BS434" s="415"/>
      <c r="BV434" s="415" t="s">
        <v>337</v>
      </c>
      <c r="BY434" s="415" t="s">
        <v>337</v>
      </c>
      <c r="CB434" s="415" t="s">
        <v>337</v>
      </c>
      <c r="CE434" s="415" t="s">
        <v>337</v>
      </c>
      <c r="CH434" s="415" t="s">
        <v>337</v>
      </c>
      <c r="CK434" s="415" t="s">
        <v>337</v>
      </c>
      <c r="CN434" s="415" t="s">
        <v>337</v>
      </c>
      <c r="CQ434" s="415" t="s">
        <v>337</v>
      </c>
      <c r="CT434" s="415" t="s">
        <v>337</v>
      </c>
    </row>
    <row r="435" spans="1:98">
      <c r="A435" s="1" t="s">
        <v>1095</v>
      </c>
      <c r="B435" s="416" t="s">
        <v>4805</v>
      </c>
      <c r="S435" s="213" t="s">
        <v>103</v>
      </c>
      <c r="T435" s="416" t="s">
        <v>4806</v>
      </c>
      <c r="U435" s="415" t="s">
        <v>337</v>
      </c>
      <c r="X435" s="415"/>
      <c r="AA435" s="415"/>
      <c r="AD435" s="415"/>
      <c r="AE435" s="417" t="s">
        <v>4807</v>
      </c>
      <c r="AF435" s="416" t="s">
        <v>4808</v>
      </c>
      <c r="AG435" s="415"/>
      <c r="AJ435" s="415" t="s">
        <v>337</v>
      </c>
      <c r="AM435" s="415" t="s">
        <v>337</v>
      </c>
      <c r="AP435" s="415" t="s">
        <v>337</v>
      </c>
      <c r="AS435" s="415" t="s">
        <v>337</v>
      </c>
      <c r="AV435" s="415" t="s">
        <v>337</v>
      </c>
      <c r="AY435" s="415" t="s">
        <v>337</v>
      </c>
      <c r="AZ435" s="213" t="s">
        <v>4809</v>
      </c>
      <c r="BA435" s="416" t="s">
        <v>4810</v>
      </c>
      <c r="BB435" s="415" t="s">
        <v>337</v>
      </c>
      <c r="BE435" s="415" t="s">
        <v>337</v>
      </c>
      <c r="BH435" s="415" t="s">
        <v>337</v>
      </c>
      <c r="BM435" s="415" t="s">
        <v>337</v>
      </c>
      <c r="BP435" s="415" t="s">
        <v>337</v>
      </c>
      <c r="BS435" s="415"/>
      <c r="BV435" s="415" t="s">
        <v>337</v>
      </c>
      <c r="BY435" s="415" t="s">
        <v>337</v>
      </c>
      <c r="CB435" s="415" t="s">
        <v>337</v>
      </c>
      <c r="CE435" s="415" t="s">
        <v>337</v>
      </c>
      <c r="CH435" s="415" t="s">
        <v>337</v>
      </c>
      <c r="CK435" s="415" t="s">
        <v>337</v>
      </c>
      <c r="CN435" s="415" t="s">
        <v>337</v>
      </c>
      <c r="CQ435" s="415" t="s">
        <v>337</v>
      </c>
      <c r="CT435" s="415" t="s">
        <v>337</v>
      </c>
    </row>
    <row r="436" spans="1:98">
      <c r="A436" s="1" t="s">
        <v>1095</v>
      </c>
      <c r="B436" s="416" t="s">
        <v>4811</v>
      </c>
      <c r="S436" s="213" t="s">
        <v>4812</v>
      </c>
      <c r="T436" s="416" t="s">
        <v>4813</v>
      </c>
      <c r="U436" s="415" t="s">
        <v>337</v>
      </c>
      <c r="X436" s="415"/>
      <c r="AA436" s="415"/>
      <c r="AD436" s="415"/>
      <c r="AE436" s="417" t="s">
        <v>4814</v>
      </c>
      <c r="AF436" s="416" t="s">
        <v>4815</v>
      </c>
      <c r="AG436" s="415"/>
      <c r="AJ436" s="415" t="s">
        <v>337</v>
      </c>
      <c r="AM436" s="415" t="s">
        <v>337</v>
      </c>
      <c r="AP436" s="415" t="s">
        <v>337</v>
      </c>
      <c r="AS436" s="415" t="s">
        <v>337</v>
      </c>
      <c r="AV436" s="415" t="s">
        <v>337</v>
      </c>
      <c r="AY436" s="415" t="s">
        <v>337</v>
      </c>
      <c r="AZ436" s="213" t="s">
        <v>4816</v>
      </c>
      <c r="BA436" s="416" t="s">
        <v>4817</v>
      </c>
      <c r="BB436" s="415" t="s">
        <v>337</v>
      </c>
      <c r="BE436" s="415" t="s">
        <v>337</v>
      </c>
      <c r="BH436" s="415" t="s">
        <v>337</v>
      </c>
      <c r="BM436" s="415" t="s">
        <v>337</v>
      </c>
      <c r="BP436" s="415" t="s">
        <v>337</v>
      </c>
      <c r="BS436" s="415"/>
      <c r="BV436" s="415" t="s">
        <v>337</v>
      </c>
      <c r="BY436" s="415" t="s">
        <v>337</v>
      </c>
      <c r="CB436" s="415" t="s">
        <v>337</v>
      </c>
      <c r="CE436" s="415" t="s">
        <v>337</v>
      </c>
      <c r="CH436" s="415" t="s">
        <v>337</v>
      </c>
      <c r="CK436" s="415" t="s">
        <v>337</v>
      </c>
      <c r="CN436" s="415" t="s">
        <v>337</v>
      </c>
      <c r="CQ436" s="415" t="s">
        <v>337</v>
      </c>
      <c r="CT436" s="415" t="s">
        <v>337</v>
      </c>
    </row>
    <row r="437" spans="1:98">
      <c r="A437" s="1" t="s">
        <v>1112</v>
      </c>
      <c r="B437" s="416" t="s">
        <v>4818</v>
      </c>
      <c r="S437" s="213" t="s">
        <v>64</v>
      </c>
      <c r="T437" s="416" t="s">
        <v>4819</v>
      </c>
      <c r="U437" s="415" t="s">
        <v>337</v>
      </c>
      <c r="X437" s="415"/>
      <c r="AA437" s="415"/>
      <c r="AD437" s="415"/>
      <c r="AE437" s="417" t="s">
        <v>4820</v>
      </c>
      <c r="AF437" s="416" t="s">
        <v>4821</v>
      </c>
      <c r="AG437" s="415"/>
      <c r="AJ437" s="415" t="s">
        <v>337</v>
      </c>
      <c r="AM437" s="415" t="s">
        <v>337</v>
      </c>
      <c r="AP437" s="415" t="s">
        <v>337</v>
      </c>
      <c r="AS437" s="415" t="s">
        <v>337</v>
      </c>
      <c r="AV437" s="415" t="s">
        <v>337</v>
      </c>
      <c r="AY437" s="415" t="s">
        <v>337</v>
      </c>
      <c r="AZ437" s="213" t="s">
        <v>4822</v>
      </c>
      <c r="BA437" s="416" t="s">
        <v>4823</v>
      </c>
      <c r="BB437" s="415" t="s">
        <v>337</v>
      </c>
      <c r="BE437" s="415" t="s">
        <v>337</v>
      </c>
      <c r="BH437" s="415" t="s">
        <v>337</v>
      </c>
      <c r="BM437" s="415" t="s">
        <v>337</v>
      </c>
      <c r="BP437" s="415" t="s">
        <v>337</v>
      </c>
      <c r="BS437" s="415"/>
      <c r="BV437" s="415" t="s">
        <v>337</v>
      </c>
      <c r="BY437" s="415" t="s">
        <v>337</v>
      </c>
      <c r="CB437" s="415" t="s">
        <v>337</v>
      </c>
      <c r="CE437" s="415" t="s">
        <v>337</v>
      </c>
      <c r="CH437" s="415" t="s">
        <v>337</v>
      </c>
      <c r="CK437" s="415" t="s">
        <v>337</v>
      </c>
      <c r="CN437" s="415" t="s">
        <v>337</v>
      </c>
      <c r="CQ437" s="415" t="s">
        <v>337</v>
      </c>
      <c r="CT437" s="415" t="s">
        <v>337</v>
      </c>
    </row>
    <row r="438" spans="1:98">
      <c r="A438" s="1" t="s">
        <v>1112</v>
      </c>
      <c r="B438" s="416" t="s">
        <v>4824</v>
      </c>
      <c r="S438" s="213" t="s">
        <v>4825</v>
      </c>
      <c r="T438" s="416" t="s">
        <v>4826</v>
      </c>
      <c r="U438" s="415" t="s">
        <v>337</v>
      </c>
      <c r="X438" s="415"/>
      <c r="AA438" s="415"/>
      <c r="AD438" s="415"/>
      <c r="AE438" s="417" t="s">
        <v>4827</v>
      </c>
      <c r="AF438" s="416" t="s">
        <v>4828</v>
      </c>
      <c r="AG438" s="415"/>
      <c r="AJ438" s="415" t="s">
        <v>337</v>
      </c>
      <c r="AM438" s="415" t="s">
        <v>337</v>
      </c>
      <c r="AP438" s="415" t="s">
        <v>337</v>
      </c>
      <c r="AS438" s="415" t="s">
        <v>337</v>
      </c>
      <c r="AV438" s="415" t="s">
        <v>337</v>
      </c>
      <c r="AY438" s="415" t="s">
        <v>337</v>
      </c>
      <c r="AZ438" s="213" t="s">
        <v>4829</v>
      </c>
      <c r="BA438" s="416" t="s">
        <v>4830</v>
      </c>
      <c r="BB438" s="415" t="s">
        <v>337</v>
      </c>
      <c r="BE438" s="415" t="s">
        <v>337</v>
      </c>
      <c r="BH438" s="415" t="s">
        <v>337</v>
      </c>
      <c r="BM438" s="415" t="s">
        <v>337</v>
      </c>
      <c r="BP438" s="415" t="s">
        <v>337</v>
      </c>
      <c r="BS438" s="415"/>
      <c r="BV438" s="415" t="s">
        <v>337</v>
      </c>
      <c r="BY438" s="415" t="s">
        <v>337</v>
      </c>
      <c r="CB438" s="415" t="s">
        <v>337</v>
      </c>
      <c r="CE438" s="415" t="s">
        <v>337</v>
      </c>
      <c r="CH438" s="415" t="s">
        <v>337</v>
      </c>
      <c r="CK438" s="415" t="s">
        <v>337</v>
      </c>
      <c r="CN438" s="415" t="s">
        <v>337</v>
      </c>
      <c r="CQ438" s="415" t="s">
        <v>337</v>
      </c>
      <c r="CT438" s="415" t="s">
        <v>337</v>
      </c>
    </row>
    <row r="439" spans="1:98">
      <c r="A439" s="1" t="s">
        <v>1112</v>
      </c>
      <c r="B439" s="416" t="s">
        <v>4831</v>
      </c>
      <c r="S439" s="213" t="s">
        <v>4832</v>
      </c>
      <c r="T439" s="416" t="s">
        <v>4833</v>
      </c>
      <c r="U439" s="415" t="s">
        <v>337</v>
      </c>
      <c r="X439" s="415"/>
      <c r="AA439" s="415"/>
      <c r="AD439" s="415"/>
      <c r="AE439" s="417" t="s">
        <v>4834</v>
      </c>
      <c r="AF439" s="416" t="s">
        <v>4835</v>
      </c>
      <c r="AG439" s="415"/>
      <c r="AJ439" s="415" t="s">
        <v>337</v>
      </c>
      <c r="AM439" s="415" t="s">
        <v>337</v>
      </c>
      <c r="AP439" s="415" t="s">
        <v>337</v>
      </c>
      <c r="AS439" s="415" t="s">
        <v>337</v>
      </c>
      <c r="AV439" s="415" t="s">
        <v>337</v>
      </c>
      <c r="AY439" s="415" t="s">
        <v>337</v>
      </c>
      <c r="AZ439" s="213" t="s">
        <v>4836</v>
      </c>
      <c r="BA439" s="416" t="s">
        <v>4837</v>
      </c>
      <c r="BB439" s="415" t="s">
        <v>337</v>
      </c>
      <c r="BE439" s="415" t="s">
        <v>337</v>
      </c>
      <c r="BH439" s="415" t="s">
        <v>337</v>
      </c>
      <c r="BM439" s="415" t="s">
        <v>337</v>
      </c>
      <c r="BP439" s="415" t="s">
        <v>337</v>
      </c>
      <c r="BS439" s="415"/>
      <c r="BV439" s="415" t="s">
        <v>337</v>
      </c>
      <c r="BY439" s="415" t="s">
        <v>337</v>
      </c>
      <c r="CB439" s="415" t="s">
        <v>337</v>
      </c>
      <c r="CE439" s="415" t="s">
        <v>337</v>
      </c>
      <c r="CH439" s="415" t="s">
        <v>337</v>
      </c>
      <c r="CK439" s="415" t="s">
        <v>337</v>
      </c>
      <c r="CN439" s="415" t="s">
        <v>337</v>
      </c>
      <c r="CQ439" s="415" t="s">
        <v>337</v>
      </c>
      <c r="CT439" s="415" t="s">
        <v>337</v>
      </c>
    </row>
    <row r="440" spans="1:98">
      <c r="A440" s="1" t="s">
        <v>1112</v>
      </c>
      <c r="B440" s="416" t="s">
        <v>4838</v>
      </c>
      <c r="S440" s="213" t="s">
        <v>4839</v>
      </c>
      <c r="T440" s="416" t="s">
        <v>4840</v>
      </c>
      <c r="U440" s="415" t="s">
        <v>337</v>
      </c>
      <c r="X440" s="415"/>
      <c r="AA440" s="415"/>
      <c r="AD440" s="415"/>
      <c r="AE440" s="417" t="s">
        <v>4841</v>
      </c>
      <c r="AF440" s="416" t="s">
        <v>4842</v>
      </c>
      <c r="AG440" s="415"/>
      <c r="AJ440" s="415" t="s">
        <v>337</v>
      </c>
      <c r="AM440" s="415" t="s">
        <v>337</v>
      </c>
      <c r="AP440" s="415" t="s">
        <v>337</v>
      </c>
      <c r="AS440" s="415" t="s">
        <v>337</v>
      </c>
      <c r="AV440" s="415" t="s">
        <v>337</v>
      </c>
      <c r="AY440" s="415" t="s">
        <v>337</v>
      </c>
      <c r="AZ440" s="213" t="s">
        <v>4843</v>
      </c>
      <c r="BA440" s="416" t="s">
        <v>4844</v>
      </c>
      <c r="BB440" s="415" t="s">
        <v>337</v>
      </c>
      <c r="BE440" s="415" t="s">
        <v>337</v>
      </c>
      <c r="BH440" s="415" t="s">
        <v>337</v>
      </c>
      <c r="BM440" s="415" t="s">
        <v>337</v>
      </c>
      <c r="BP440" s="415" t="s">
        <v>337</v>
      </c>
      <c r="BS440" s="415"/>
      <c r="BV440" s="415" t="s">
        <v>337</v>
      </c>
      <c r="BY440" s="415" t="s">
        <v>337</v>
      </c>
      <c r="CB440" s="415" t="s">
        <v>337</v>
      </c>
      <c r="CE440" s="415" t="s">
        <v>337</v>
      </c>
      <c r="CH440" s="415" t="s">
        <v>337</v>
      </c>
      <c r="CK440" s="415" t="s">
        <v>337</v>
      </c>
      <c r="CN440" s="415" t="s">
        <v>337</v>
      </c>
      <c r="CQ440" s="415" t="s">
        <v>337</v>
      </c>
      <c r="CT440" s="415" t="s">
        <v>337</v>
      </c>
    </row>
    <row r="441" spans="1:98">
      <c r="A441" s="1" t="s">
        <v>1112</v>
      </c>
      <c r="B441" s="416" t="s">
        <v>1595</v>
      </c>
      <c r="S441" s="213" t="s">
        <v>4845</v>
      </c>
      <c r="T441" s="416" t="s">
        <v>4846</v>
      </c>
      <c r="U441" s="415" t="s">
        <v>337</v>
      </c>
      <c r="X441" s="415"/>
      <c r="AA441" s="415"/>
      <c r="AD441" s="415"/>
      <c r="AE441" s="417" t="s">
        <v>4847</v>
      </c>
      <c r="AF441" s="416" t="s">
        <v>4848</v>
      </c>
      <c r="AG441" s="415"/>
      <c r="AJ441" s="415" t="s">
        <v>337</v>
      </c>
      <c r="AM441" s="415" t="s">
        <v>337</v>
      </c>
      <c r="AP441" s="415" t="s">
        <v>337</v>
      </c>
      <c r="AS441" s="415" t="s">
        <v>337</v>
      </c>
      <c r="AV441" s="415" t="s">
        <v>337</v>
      </c>
      <c r="AY441" s="415" t="s">
        <v>337</v>
      </c>
      <c r="AZ441" s="213" t="s">
        <v>4849</v>
      </c>
      <c r="BA441" s="416" t="s">
        <v>4850</v>
      </c>
      <c r="BB441" s="415" t="s">
        <v>337</v>
      </c>
      <c r="BE441" s="415" t="s">
        <v>337</v>
      </c>
      <c r="BH441" s="415" t="s">
        <v>337</v>
      </c>
      <c r="BM441" s="415" t="s">
        <v>337</v>
      </c>
      <c r="BP441" s="415" t="s">
        <v>337</v>
      </c>
      <c r="BS441" s="415"/>
      <c r="BV441" s="415" t="s">
        <v>337</v>
      </c>
      <c r="BY441" s="415" t="s">
        <v>337</v>
      </c>
      <c r="CB441" s="415" t="s">
        <v>337</v>
      </c>
      <c r="CE441" s="415" t="s">
        <v>337</v>
      </c>
      <c r="CH441" s="415" t="s">
        <v>337</v>
      </c>
      <c r="CK441" s="415" t="s">
        <v>337</v>
      </c>
      <c r="CN441" s="415" t="s">
        <v>337</v>
      </c>
      <c r="CQ441" s="415" t="s">
        <v>337</v>
      </c>
      <c r="CT441" s="415" t="s">
        <v>337</v>
      </c>
    </row>
    <row r="442" spans="1:98">
      <c r="A442" s="1" t="s">
        <v>1112</v>
      </c>
      <c r="B442" s="416" t="s">
        <v>4851</v>
      </c>
      <c r="S442" s="213" t="s">
        <v>4852</v>
      </c>
      <c r="T442" s="416" t="s">
        <v>4853</v>
      </c>
      <c r="U442" s="415" t="s">
        <v>337</v>
      </c>
      <c r="X442" s="415"/>
      <c r="AA442" s="415"/>
      <c r="AD442" s="415"/>
      <c r="AE442" s="417" t="s">
        <v>4854</v>
      </c>
      <c r="AF442" s="416" t="s">
        <v>4855</v>
      </c>
      <c r="AG442" s="415"/>
      <c r="AJ442" s="415" t="s">
        <v>337</v>
      </c>
      <c r="AM442" s="415" t="s">
        <v>337</v>
      </c>
      <c r="AP442" s="415" t="s">
        <v>337</v>
      </c>
      <c r="AS442" s="415" t="s">
        <v>337</v>
      </c>
      <c r="AV442" s="415" t="s">
        <v>337</v>
      </c>
      <c r="AY442" s="415" t="s">
        <v>337</v>
      </c>
      <c r="AZ442" s="213" t="s">
        <v>4856</v>
      </c>
      <c r="BA442" s="416" t="s">
        <v>4857</v>
      </c>
      <c r="BB442" s="415" t="s">
        <v>337</v>
      </c>
      <c r="BE442" s="415" t="s">
        <v>337</v>
      </c>
      <c r="BH442" s="415" t="s">
        <v>337</v>
      </c>
      <c r="BM442" s="415" t="s">
        <v>337</v>
      </c>
      <c r="BP442" s="415" t="s">
        <v>337</v>
      </c>
      <c r="BS442" s="415"/>
      <c r="BV442" s="415" t="s">
        <v>337</v>
      </c>
      <c r="BY442" s="415" t="s">
        <v>337</v>
      </c>
      <c r="CB442" s="415" t="s">
        <v>337</v>
      </c>
      <c r="CE442" s="415" t="s">
        <v>337</v>
      </c>
      <c r="CH442" s="415" t="s">
        <v>337</v>
      </c>
      <c r="CK442" s="415" t="s">
        <v>337</v>
      </c>
      <c r="CN442" s="415" t="s">
        <v>337</v>
      </c>
      <c r="CQ442" s="415" t="s">
        <v>337</v>
      </c>
      <c r="CT442" s="415" t="s">
        <v>337</v>
      </c>
    </row>
    <row r="443" spans="1:98">
      <c r="A443" s="1" t="s">
        <v>1112</v>
      </c>
      <c r="B443" s="416" t="s">
        <v>4858</v>
      </c>
      <c r="S443" s="213" t="s">
        <v>4859</v>
      </c>
      <c r="T443" s="416" t="s">
        <v>4860</v>
      </c>
      <c r="U443" s="415" t="s">
        <v>337</v>
      </c>
      <c r="X443" s="415"/>
      <c r="AA443" s="415"/>
      <c r="AD443" s="415"/>
      <c r="AE443" s="417" t="s">
        <v>4861</v>
      </c>
      <c r="AF443" s="416" t="s">
        <v>4862</v>
      </c>
      <c r="AG443" s="415"/>
      <c r="AJ443" s="415" t="s">
        <v>337</v>
      </c>
      <c r="AM443" s="415" t="s">
        <v>337</v>
      </c>
      <c r="AP443" s="415" t="s">
        <v>337</v>
      </c>
      <c r="AS443" s="415" t="s">
        <v>337</v>
      </c>
      <c r="AV443" s="415" t="s">
        <v>337</v>
      </c>
      <c r="AY443" s="415" t="s">
        <v>337</v>
      </c>
      <c r="AZ443" s="213" t="s">
        <v>4863</v>
      </c>
      <c r="BA443" s="416" t="s">
        <v>4864</v>
      </c>
      <c r="BB443" s="415" t="s">
        <v>337</v>
      </c>
      <c r="BE443" s="415" t="s">
        <v>337</v>
      </c>
      <c r="BH443" s="415" t="s">
        <v>337</v>
      </c>
      <c r="BM443" s="415" t="s">
        <v>337</v>
      </c>
      <c r="BP443" s="415" t="s">
        <v>337</v>
      </c>
      <c r="BS443" s="415"/>
      <c r="BV443" s="415" t="s">
        <v>337</v>
      </c>
      <c r="BY443" s="415" t="s">
        <v>337</v>
      </c>
      <c r="CB443" s="415" t="s">
        <v>337</v>
      </c>
      <c r="CE443" s="415" t="s">
        <v>337</v>
      </c>
      <c r="CH443" s="415" t="s">
        <v>337</v>
      </c>
      <c r="CK443" s="415" t="s">
        <v>337</v>
      </c>
      <c r="CN443" s="415" t="s">
        <v>337</v>
      </c>
      <c r="CQ443" s="415" t="s">
        <v>337</v>
      </c>
      <c r="CT443" s="415" t="s">
        <v>337</v>
      </c>
    </row>
    <row r="444" spans="1:98">
      <c r="A444" s="1" t="s">
        <v>1129</v>
      </c>
      <c r="B444" s="416" t="s">
        <v>4865</v>
      </c>
      <c r="S444" s="213" t="s">
        <v>4866</v>
      </c>
      <c r="T444" s="416" t="s">
        <v>4867</v>
      </c>
      <c r="U444" s="415" t="s">
        <v>337</v>
      </c>
      <c r="X444" s="415"/>
      <c r="AA444" s="415"/>
      <c r="AD444" s="415"/>
      <c r="AE444" s="417" t="s">
        <v>4868</v>
      </c>
      <c r="AF444" s="416" t="s">
        <v>4869</v>
      </c>
      <c r="AG444" s="415"/>
      <c r="AJ444" s="415" t="s">
        <v>337</v>
      </c>
      <c r="AM444" s="415" t="s">
        <v>337</v>
      </c>
      <c r="AP444" s="415" t="s">
        <v>337</v>
      </c>
      <c r="AS444" s="415" t="s">
        <v>337</v>
      </c>
      <c r="AV444" s="415" t="s">
        <v>337</v>
      </c>
      <c r="AY444" s="415" t="s">
        <v>337</v>
      </c>
      <c r="AZ444" s="213" t="s">
        <v>4870</v>
      </c>
      <c r="BA444" s="416" t="s">
        <v>4871</v>
      </c>
      <c r="BB444" s="415" t="s">
        <v>337</v>
      </c>
      <c r="BE444" s="415" t="s">
        <v>337</v>
      </c>
      <c r="BH444" s="415" t="s">
        <v>337</v>
      </c>
      <c r="BM444" s="415" t="s">
        <v>337</v>
      </c>
      <c r="BP444" s="415" t="s">
        <v>337</v>
      </c>
      <c r="BS444" s="415"/>
      <c r="BV444" s="415" t="s">
        <v>337</v>
      </c>
      <c r="BY444" s="415" t="s">
        <v>337</v>
      </c>
      <c r="CB444" s="415" t="s">
        <v>337</v>
      </c>
      <c r="CE444" s="415" t="s">
        <v>337</v>
      </c>
      <c r="CH444" s="415" t="s">
        <v>337</v>
      </c>
      <c r="CK444" s="415" t="s">
        <v>337</v>
      </c>
      <c r="CN444" s="415" t="s">
        <v>337</v>
      </c>
      <c r="CQ444" s="415" t="s">
        <v>337</v>
      </c>
      <c r="CT444" s="415" t="s">
        <v>337</v>
      </c>
    </row>
    <row r="445" spans="1:98">
      <c r="A445" s="1" t="s">
        <v>1129</v>
      </c>
      <c r="B445" s="416" t="s">
        <v>4872</v>
      </c>
      <c r="S445" s="213" t="s">
        <v>4873</v>
      </c>
      <c r="T445" s="416" t="s">
        <v>4874</v>
      </c>
      <c r="U445" s="415" t="s">
        <v>337</v>
      </c>
      <c r="X445" s="415"/>
      <c r="AA445" s="415"/>
      <c r="AD445" s="415"/>
      <c r="AE445" s="417" t="s">
        <v>4875</v>
      </c>
      <c r="AF445" s="416" t="s">
        <v>4876</v>
      </c>
      <c r="AG445" s="415"/>
      <c r="AJ445" s="415" t="s">
        <v>337</v>
      </c>
      <c r="AM445" s="415" t="s">
        <v>337</v>
      </c>
      <c r="AP445" s="415" t="s">
        <v>337</v>
      </c>
      <c r="AS445" s="415" t="s">
        <v>337</v>
      </c>
      <c r="AV445" s="415" t="s">
        <v>337</v>
      </c>
      <c r="AY445" s="415" t="s">
        <v>337</v>
      </c>
      <c r="AZ445" s="213" t="s">
        <v>4877</v>
      </c>
      <c r="BA445" s="416" t="s">
        <v>4878</v>
      </c>
      <c r="BB445" s="415" t="s">
        <v>337</v>
      </c>
      <c r="BE445" s="415" t="s">
        <v>337</v>
      </c>
      <c r="BH445" s="415" t="s">
        <v>337</v>
      </c>
      <c r="BM445" s="415" t="s">
        <v>337</v>
      </c>
      <c r="BP445" s="415" t="s">
        <v>337</v>
      </c>
      <c r="BS445" s="415"/>
      <c r="BV445" s="415" t="s">
        <v>337</v>
      </c>
      <c r="BY445" s="415" t="s">
        <v>337</v>
      </c>
      <c r="CB445" s="415" t="s">
        <v>337</v>
      </c>
      <c r="CE445" s="415" t="s">
        <v>337</v>
      </c>
      <c r="CH445" s="415" t="s">
        <v>337</v>
      </c>
      <c r="CK445" s="415" t="s">
        <v>337</v>
      </c>
      <c r="CN445" s="415" t="s">
        <v>337</v>
      </c>
      <c r="CQ445" s="415" t="s">
        <v>337</v>
      </c>
      <c r="CT445" s="415" t="s">
        <v>337</v>
      </c>
    </row>
    <row r="446" spans="1:98">
      <c r="A446" s="1" t="s">
        <v>1129</v>
      </c>
      <c r="B446" s="416" t="s">
        <v>4879</v>
      </c>
      <c r="S446" s="213" t="s">
        <v>4880</v>
      </c>
      <c r="T446" s="416" t="s">
        <v>4881</v>
      </c>
      <c r="U446" s="415" t="s">
        <v>337</v>
      </c>
      <c r="X446" s="415"/>
      <c r="AA446" s="415"/>
      <c r="AD446" s="415"/>
      <c r="AE446" s="417" t="s">
        <v>4882</v>
      </c>
      <c r="AF446" s="416" t="s">
        <v>4883</v>
      </c>
      <c r="AG446" s="415"/>
      <c r="AJ446" s="415" t="s">
        <v>337</v>
      </c>
      <c r="AM446" s="415" t="s">
        <v>337</v>
      </c>
      <c r="AP446" s="415" t="s">
        <v>337</v>
      </c>
      <c r="AS446" s="415" t="s">
        <v>337</v>
      </c>
      <c r="AV446" s="415" t="s">
        <v>337</v>
      </c>
      <c r="AY446" s="415" t="s">
        <v>337</v>
      </c>
      <c r="AZ446" s="213" t="s">
        <v>4884</v>
      </c>
      <c r="BA446" s="416" t="s">
        <v>4885</v>
      </c>
      <c r="BB446" s="415" t="s">
        <v>337</v>
      </c>
      <c r="BE446" s="415" t="s">
        <v>337</v>
      </c>
      <c r="BH446" s="415" t="s">
        <v>337</v>
      </c>
      <c r="BM446" s="415" t="s">
        <v>337</v>
      </c>
      <c r="BP446" s="415" t="s">
        <v>337</v>
      </c>
      <c r="BS446" s="415"/>
      <c r="BV446" s="415" t="s">
        <v>337</v>
      </c>
      <c r="BY446" s="415" t="s">
        <v>337</v>
      </c>
      <c r="CB446" s="415" t="s">
        <v>337</v>
      </c>
      <c r="CE446" s="415" t="s">
        <v>337</v>
      </c>
      <c r="CH446" s="415" t="s">
        <v>337</v>
      </c>
      <c r="CK446" s="415" t="s">
        <v>337</v>
      </c>
      <c r="CN446" s="415" t="s">
        <v>337</v>
      </c>
      <c r="CQ446" s="415" t="s">
        <v>337</v>
      </c>
      <c r="CT446" s="415" t="s">
        <v>337</v>
      </c>
    </row>
    <row r="447" spans="1:98">
      <c r="A447" s="1" t="s">
        <v>1129</v>
      </c>
      <c r="B447" s="416" t="s">
        <v>4886</v>
      </c>
      <c r="S447" s="213" t="s">
        <v>4887</v>
      </c>
      <c r="T447" s="416" t="s">
        <v>4888</v>
      </c>
      <c r="U447" s="415" t="s">
        <v>337</v>
      </c>
      <c r="X447" s="415"/>
      <c r="AA447" s="415"/>
      <c r="AD447" s="415"/>
      <c r="AE447" s="417" t="s">
        <v>4889</v>
      </c>
      <c r="AF447" s="416" t="s">
        <v>4890</v>
      </c>
      <c r="AG447" s="415"/>
      <c r="AJ447" s="415" t="s">
        <v>337</v>
      </c>
      <c r="AM447" s="415" t="s">
        <v>337</v>
      </c>
      <c r="AP447" s="415" t="s">
        <v>337</v>
      </c>
      <c r="AS447" s="415" t="s">
        <v>337</v>
      </c>
      <c r="AV447" s="415" t="s">
        <v>337</v>
      </c>
      <c r="AY447" s="415" t="s">
        <v>337</v>
      </c>
      <c r="AZ447" s="213" t="s">
        <v>4891</v>
      </c>
      <c r="BA447" s="416" t="s">
        <v>4892</v>
      </c>
      <c r="BB447" s="415" t="s">
        <v>337</v>
      </c>
      <c r="BE447" s="415" t="s">
        <v>337</v>
      </c>
      <c r="BH447" s="415" t="s">
        <v>337</v>
      </c>
      <c r="BM447" s="415" t="s">
        <v>337</v>
      </c>
      <c r="BP447" s="415" t="s">
        <v>337</v>
      </c>
      <c r="BS447" s="415"/>
      <c r="BV447" s="415" t="s">
        <v>337</v>
      </c>
      <c r="BY447" s="415" t="s">
        <v>337</v>
      </c>
      <c r="CB447" s="415" t="s">
        <v>337</v>
      </c>
      <c r="CE447" s="415" t="s">
        <v>337</v>
      </c>
      <c r="CH447" s="415" t="s">
        <v>337</v>
      </c>
      <c r="CK447" s="415" t="s">
        <v>337</v>
      </c>
      <c r="CN447" s="415" t="s">
        <v>337</v>
      </c>
      <c r="CQ447" s="415" t="s">
        <v>337</v>
      </c>
      <c r="CT447" s="415" t="s">
        <v>337</v>
      </c>
    </row>
    <row r="448" spans="1:98">
      <c r="A448" s="1" t="s">
        <v>1129</v>
      </c>
      <c r="B448" s="416" t="s">
        <v>4893</v>
      </c>
      <c r="S448" s="213" t="s">
        <v>4894</v>
      </c>
      <c r="T448" s="416" t="s">
        <v>4895</v>
      </c>
      <c r="U448" s="415" t="s">
        <v>337</v>
      </c>
      <c r="X448" s="415"/>
      <c r="AA448" s="415"/>
      <c r="AD448" s="415"/>
      <c r="AE448" s="417" t="s">
        <v>4896</v>
      </c>
      <c r="AF448" s="416" t="s">
        <v>4897</v>
      </c>
      <c r="AG448" s="415"/>
      <c r="AJ448" s="415" t="s">
        <v>337</v>
      </c>
      <c r="AM448" s="415" t="s">
        <v>337</v>
      </c>
      <c r="AP448" s="415" t="s">
        <v>337</v>
      </c>
      <c r="AS448" s="415" t="s">
        <v>337</v>
      </c>
      <c r="AV448" s="415" t="s">
        <v>337</v>
      </c>
      <c r="AY448" s="415" t="s">
        <v>337</v>
      </c>
      <c r="AZ448" s="213" t="s">
        <v>4898</v>
      </c>
      <c r="BA448" s="416" t="s">
        <v>4899</v>
      </c>
      <c r="BB448" s="415" t="s">
        <v>337</v>
      </c>
      <c r="BE448" s="415" t="s">
        <v>337</v>
      </c>
      <c r="BH448" s="415" t="s">
        <v>337</v>
      </c>
      <c r="BM448" s="415" t="s">
        <v>337</v>
      </c>
      <c r="BP448" s="415" t="s">
        <v>337</v>
      </c>
      <c r="BS448" s="415"/>
      <c r="BV448" s="415" t="s">
        <v>337</v>
      </c>
      <c r="BY448" s="415" t="s">
        <v>337</v>
      </c>
      <c r="CB448" s="415" t="s">
        <v>337</v>
      </c>
      <c r="CE448" s="415" t="s">
        <v>337</v>
      </c>
      <c r="CH448" s="415" t="s">
        <v>337</v>
      </c>
      <c r="CK448" s="415" t="s">
        <v>337</v>
      </c>
      <c r="CN448" s="415" t="s">
        <v>337</v>
      </c>
      <c r="CQ448" s="415" t="s">
        <v>337</v>
      </c>
      <c r="CT448" s="415" t="s">
        <v>337</v>
      </c>
    </row>
    <row r="449" spans="1:98">
      <c r="A449" s="1" t="s">
        <v>1129</v>
      </c>
      <c r="B449" s="416" t="s">
        <v>4900</v>
      </c>
      <c r="S449" s="213" t="s">
        <v>4901</v>
      </c>
      <c r="T449" s="416" t="s">
        <v>4902</v>
      </c>
      <c r="U449" s="415" t="s">
        <v>337</v>
      </c>
      <c r="X449" s="415"/>
      <c r="AA449" s="415"/>
      <c r="AD449" s="415"/>
      <c r="AE449" s="417" t="s">
        <v>4903</v>
      </c>
      <c r="AF449" s="416" t="s">
        <v>4904</v>
      </c>
      <c r="AG449" s="415"/>
      <c r="AJ449" s="415" t="s">
        <v>337</v>
      </c>
      <c r="AM449" s="415" t="s">
        <v>337</v>
      </c>
      <c r="AP449" s="415" t="s">
        <v>337</v>
      </c>
      <c r="AS449" s="415" t="s">
        <v>337</v>
      </c>
      <c r="AV449" s="415" t="s">
        <v>337</v>
      </c>
      <c r="AY449" s="415" t="s">
        <v>337</v>
      </c>
      <c r="AZ449" s="213" t="s">
        <v>4905</v>
      </c>
      <c r="BA449" s="416" t="s">
        <v>4906</v>
      </c>
      <c r="BB449" s="415" t="s">
        <v>337</v>
      </c>
      <c r="BE449" s="415" t="s">
        <v>337</v>
      </c>
      <c r="BH449" s="415" t="s">
        <v>337</v>
      </c>
      <c r="BM449" s="415" t="s">
        <v>337</v>
      </c>
      <c r="BP449" s="415" t="s">
        <v>337</v>
      </c>
      <c r="BS449" s="415"/>
      <c r="BV449" s="415" t="s">
        <v>337</v>
      </c>
      <c r="BY449" s="415" t="s">
        <v>337</v>
      </c>
      <c r="CB449" s="415" t="s">
        <v>337</v>
      </c>
      <c r="CE449" s="415" t="s">
        <v>337</v>
      </c>
      <c r="CH449" s="415" t="s">
        <v>337</v>
      </c>
      <c r="CK449" s="415" t="s">
        <v>337</v>
      </c>
      <c r="CN449" s="415" t="s">
        <v>337</v>
      </c>
      <c r="CQ449" s="415" t="s">
        <v>337</v>
      </c>
      <c r="CT449" s="415" t="s">
        <v>337</v>
      </c>
    </row>
    <row r="450" spans="1:98">
      <c r="A450" s="1" t="s">
        <v>1129</v>
      </c>
      <c r="B450" s="416" t="s">
        <v>4907</v>
      </c>
      <c r="S450" s="213" t="s">
        <v>4908</v>
      </c>
      <c r="T450" s="416" t="s">
        <v>4909</v>
      </c>
      <c r="U450" s="415" t="s">
        <v>337</v>
      </c>
      <c r="X450" s="415"/>
      <c r="AA450" s="415"/>
      <c r="AD450" s="415"/>
      <c r="AE450" s="417" t="s">
        <v>4910</v>
      </c>
      <c r="AF450" s="416" t="s">
        <v>4911</v>
      </c>
      <c r="AG450" s="415"/>
      <c r="AJ450" s="415" t="s">
        <v>337</v>
      </c>
      <c r="AM450" s="415" t="s">
        <v>337</v>
      </c>
      <c r="AP450" s="415" t="s">
        <v>337</v>
      </c>
      <c r="AS450" s="415" t="s">
        <v>337</v>
      </c>
      <c r="AV450" s="415" t="s">
        <v>337</v>
      </c>
      <c r="AY450" s="415" t="s">
        <v>337</v>
      </c>
      <c r="AZ450" s="213" t="s">
        <v>4912</v>
      </c>
      <c r="BA450" s="416" t="s">
        <v>1319</v>
      </c>
      <c r="BB450" s="415" t="s">
        <v>337</v>
      </c>
      <c r="BE450" s="415" t="s">
        <v>337</v>
      </c>
      <c r="BH450" s="415" t="s">
        <v>337</v>
      </c>
      <c r="BM450" s="415" t="s">
        <v>337</v>
      </c>
      <c r="BP450" s="415" t="s">
        <v>337</v>
      </c>
      <c r="BS450" s="415"/>
      <c r="BV450" s="415" t="s">
        <v>337</v>
      </c>
      <c r="BY450" s="415" t="s">
        <v>337</v>
      </c>
      <c r="CB450" s="415" t="s">
        <v>337</v>
      </c>
      <c r="CE450" s="415" t="s">
        <v>337</v>
      </c>
      <c r="CH450" s="415" t="s">
        <v>337</v>
      </c>
      <c r="CK450" s="415" t="s">
        <v>337</v>
      </c>
      <c r="CN450" s="415" t="s">
        <v>337</v>
      </c>
      <c r="CQ450" s="415" t="s">
        <v>337</v>
      </c>
      <c r="CT450" s="415" t="s">
        <v>337</v>
      </c>
    </row>
    <row r="451" spans="1:98">
      <c r="A451" s="1" t="s">
        <v>1129</v>
      </c>
      <c r="B451" s="416" t="s">
        <v>4913</v>
      </c>
      <c r="S451" s="213" t="s">
        <v>4914</v>
      </c>
      <c r="T451" s="416" t="s">
        <v>4915</v>
      </c>
      <c r="U451" s="415" t="s">
        <v>337</v>
      </c>
      <c r="X451" s="415"/>
      <c r="AA451" s="415"/>
      <c r="AD451" s="415"/>
      <c r="AE451" s="417" t="s">
        <v>4916</v>
      </c>
      <c r="AF451" s="416" t="s">
        <v>4917</v>
      </c>
      <c r="AG451" s="415"/>
      <c r="AJ451" s="415" t="s">
        <v>337</v>
      </c>
      <c r="AM451" s="415" t="s">
        <v>337</v>
      </c>
      <c r="AP451" s="415" t="s">
        <v>337</v>
      </c>
      <c r="AS451" s="415" t="s">
        <v>337</v>
      </c>
      <c r="AV451" s="415" t="s">
        <v>337</v>
      </c>
      <c r="AY451" s="415" t="s">
        <v>337</v>
      </c>
      <c r="AZ451" s="213" t="s">
        <v>4918</v>
      </c>
      <c r="BA451" s="416" t="s">
        <v>4919</v>
      </c>
      <c r="BB451" s="415" t="s">
        <v>337</v>
      </c>
      <c r="BE451" s="415" t="s">
        <v>337</v>
      </c>
      <c r="BH451" s="415" t="s">
        <v>337</v>
      </c>
      <c r="BM451" s="415" t="s">
        <v>337</v>
      </c>
      <c r="BP451" s="415" t="s">
        <v>337</v>
      </c>
      <c r="BS451" s="415"/>
      <c r="BV451" s="415" t="s">
        <v>337</v>
      </c>
      <c r="BY451" s="415" t="s">
        <v>337</v>
      </c>
      <c r="CB451" s="415" t="s">
        <v>337</v>
      </c>
      <c r="CE451" s="415" t="s">
        <v>337</v>
      </c>
      <c r="CH451" s="415" t="s">
        <v>337</v>
      </c>
      <c r="CK451" s="415" t="s">
        <v>337</v>
      </c>
      <c r="CN451" s="415" t="s">
        <v>337</v>
      </c>
      <c r="CQ451" s="415" t="s">
        <v>337</v>
      </c>
      <c r="CT451" s="415" t="s">
        <v>337</v>
      </c>
    </row>
    <row r="452" spans="1:98">
      <c r="A452" s="1" t="s">
        <v>1129</v>
      </c>
      <c r="B452" s="416" t="s">
        <v>4920</v>
      </c>
      <c r="S452" s="213" t="s">
        <v>4921</v>
      </c>
      <c r="T452" s="416" t="s">
        <v>4922</v>
      </c>
      <c r="U452" s="415" t="s">
        <v>337</v>
      </c>
      <c r="X452" s="415"/>
      <c r="AA452" s="415"/>
      <c r="AD452" s="415"/>
      <c r="AE452" s="417" t="s">
        <v>4923</v>
      </c>
      <c r="AF452" s="416" t="s">
        <v>4924</v>
      </c>
      <c r="AG452" s="415"/>
      <c r="AJ452" s="415" t="s">
        <v>337</v>
      </c>
      <c r="AM452" s="415" t="s">
        <v>337</v>
      </c>
      <c r="AP452" s="415" t="s">
        <v>337</v>
      </c>
      <c r="AS452" s="415" t="s">
        <v>337</v>
      </c>
      <c r="AV452" s="415" t="s">
        <v>337</v>
      </c>
      <c r="AY452" s="415" t="s">
        <v>337</v>
      </c>
      <c r="AZ452" s="213" t="s">
        <v>4925</v>
      </c>
      <c r="BA452" s="416" t="s">
        <v>4926</v>
      </c>
      <c r="BB452" s="415" t="s">
        <v>337</v>
      </c>
      <c r="BE452" s="415" t="s">
        <v>337</v>
      </c>
      <c r="BH452" s="415" t="s">
        <v>337</v>
      </c>
      <c r="BM452" s="415" t="s">
        <v>337</v>
      </c>
      <c r="BP452" s="415" t="s">
        <v>337</v>
      </c>
      <c r="BS452" s="415"/>
      <c r="BV452" s="415" t="s">
        <v>337</v>
      </c>
      <c r="BY452" s="415" t="s">
        <v>337</v>
      </c>
      <c r="CB452" s="415" t="s">
        <v>337</v>
      </c>
      <c r="CE452" s="415" t="s">
        <v>337</v>
      </c>
      <c r="CH452" s="415" t="s">
        <v>337</v>
      </c>
      <c r="CK452" s="415" t="s">
        <v>337</v>
      </c>
      <c r="CN452" s="415" t="s">
        <v>337</v>
      </c>
      <c r="CQ452" s="415" t="s">
        <v>337</v>
      </c>
      <c r="CT452" s="415" t="s">
        <v>337</v>
      </c>
    </row>
    <row r="453" spans="1:98">
      <c r="A453" s="1" t="s">
        <v>1129</v>
      </c>
      <c r="B453" s="416" t="s">
        <v>4927</v>
      </c>
      <c r="S453" s="213" t="s">
        <v>4928</v>
      </c>
      <c r="T453" s="416" t="s">
        <v>4929</v>
      </c>
      <c r="U453" s="415" t="s">
        <v>337</v>
      </c>
      <c r="X453" s="415"/>
      <c r="AA453" s="415"/>
      <c r="AD453" s="415"/>
      <c r="AE453" s="417" t="s">
        <v>4930</v>
      </c>
      <c r="AF453" s="416" t="s">
        <v>4931</v>
      </c>
      <c r="AG453" s="415"/>
      <c r="AJ453" s="415" t="s">
        <v>337</v>
      </c>
      <c r="AM453" s="415" t="s">
        <v>337</v>
      </c>
      <c r="AP453" s="415" t="s">
        <v>337</v>
      </c>
      <c r="AS453" s="415" t="s">
        <v>337</v>
      </c>
      <c r="AV453" s="415" t="s">
        <v>337</v>
      </c>
      <c r="AY453" s="415" t="s">
        <v>337</v>
      </c>
      <c r="AZ453" s="213" t="s">
        <v>4932</v>
      </c>
      <c r="BA453" s="416" t="s">
        <v>4933</v>
      </c>
      <c r="BB453" s="415" t="s">
        <v>337</v>
      </c>
      <c r="BE453" s="415" t="s">
        <v>337</v>
      </c>
      <c r="BH453" s="415" t="s">
        <v>337</v>
      </c>
      <c r="BM453" s="415" t="s">
        <v>337</v>
      </c>
      <c r="BP453" s="415" t="s">
        <v>337</v>
      </c>
      <c r="BS453" s="415"/>
      <c r="BV453" s="415" t="s">
        <v>337</v>
      </c>
      <c r="BY453" s="415" t="s">
        <v>337</v>
      </c>
      <c r="CB453" s="415" t="s">
        <v>337</v>
      </c>
      <c r="CE453" s="415" t="s">
        <v>337</v>
      </c>
      <c r="CH453" s="415" t="s">
        <v>337</v>
      </c>
      <c r="CK453" s="415" t="s">
        <v>337</v>
      </c>
      <c r="CN453" s="415" t="s">
        <v>337</v>
      </c>
      <c r="CQ453" s="415" t="s">
        <v>337</v>
      </c>
      <c r="CT453" s="415" t="s">
        <v>337</v>
      </c>
    </row>
    <row r="454" spans="1:98">
      <c r="A454" s="1" t="s">
        <v>1129</v>
      </c>
      <c r="B454" s="416" t="s">
        <v>4934</v>
      </c>
      <c r="S454" s="213" t="s">
        <v>4935</v>
      </c>
      <c r="T454" s="416" t="s">
        <v>4936</v>
      </c>
      <c r="U454" s="415" t="s">
        <v>337</v>
      </c>
      <c r="X454" s="415"/>
      <c r="AA454" s="415"/>
      <c r="AD454" s="415"/>
      <c r="AE454" s="417" t="s">
        <v>4937</v>
      </c>
      <c r="AF454" s="416" t="s">
        <v>4938</v>
      </c>
      <c r="AG454" s="415"/>
      <c r="AJ454" s="415" t="s">
        <v>337</v>
      </c>
      <c r="AM454" s="415" t="s">
        <v>337</v>
      </c>
      <c r="AP454" s="415" t="s">
        <v>337</v>
      </c>
      <c r="AS454" s="415" t="s">
        <v>337</v>
      </c>
      <c r="AV454" s="415" t="s">
        <v>337</v>
      </c>
      <c r="AY454" s="415" t="s">
        <v>337</v>
      </c>
      <c r="AZ454" s="213" t="s">
        <v>4939</v>
      </c>
      <c r="BA454" s="416" t="s">
        <v>4940</v>
      </c>
      <c r="BB454" s="415" t="s">
        <v>337</v>
      </c>
      <c r="BE454" s="415" t="s">
        <v>337</v>
      </c>
      <c r="BH454" s="415" t="s">
        <v>337</v>
      </c>
      <c r="BM454" s="415" t="s">
        <v>337</v>
      </c>
      <c r="BP454" s="415" t="s">
        <v>337</v>
      </c>
      <c r="BS454" s="415"/>
      <c r="BV454" s="415" t="s">
        <v>337</v>
      </c>
      <c r="BY454" s="415" t="s">
        <v>337</v>
      </c>
      <c r="CB454" s="415" t="s">
        <v>337</v>
      </c>
      <c r="CE454" s="415" t="s">
        <v>337</v>
      </c>
      <c r="CH454" s="415" t="s">
        <v>337</v>
      </c>
      <c r="CK454" s="415" t="s">
        <v>337</v>
      </c>
      <c r="CN454" s="415" t="s">
        <v>337</v>
      </c>
      <c r="CQ454" s="415" t="s">
        <v>337</v>
      </c>
      <c r="CT454" s="415" t="s">
        <v>337</v>
      </c>
    </row>
    <row r="455" spans="1:98">
      <c r="A455" s="1" t="s">
        <v>1129</v>
      </c>
      <c r="B455" s="416" t="s">
        <v>4941</v>
      </c>
      <c r="S455" s="213" t="s">
        <v>4942</v>
      </c>
      <c r="T455" s="416" t="s">
        <v>4943</v>
      </c>
      <c r="U455" s="415" t="s">
        <v>337</v>
      </c>
      <c r="X455" s="415"/>
      <c r="AA455" s="415"/>
      <c r="AD455" s="415"/>
      <c r="AE455" s="417" t="s">
        <v>4944</v>
      </c>
      <c r="AF455" s="416" t="s">
        <v>4945</v>
      </c>
      <c r="AG455" s="415"/>
      <c r="AJ455" s="415" t="s">
        <v>337</v>
      </c>
      <c r="AM455" s="415" t="s">
        <v>337</v>
      </c>
      <c r="AP455" s="415" t="s">
        <v>337</v>
      </c>
      <c r="AS455" s="415" t="s">
        <v>337</v>
      </c>
      <c r="AV455" s="415" t="s">
        <v>337</v>
      </c>
      <c r="AY455" s="415" t="s">
        <v>337</v>
      </c>
      <c r="AZ455" s="213" t="s">
        <v>4946</v>
      </c>
      <c r="BA455" s="416" t="s">
        <v>4947</v>
      </c>
      <c r="BB455" s="415" t="s">
        <v>337</v>
      </c>
      <c r="BE455" s="415" t="s">
        <v>337</v>
      </c>
      <c r="BH455" s="415" t="s">
        <v>337</v>
      </c>
      <c r="BM455" s="415" t="s">
        <v>337</v>
      </c>
      <c r="BP455" s="415" t="s">
        <v>337</v>
      </c>
      <c r="BS455" s="415"/>
      <c r="BV455" s="415" t="s">
        <v>337</v>
      </c>
      <c r="BY455" s="415" t="s">
        <v>337</v>
      </c>
      <c r="CB455" s="415" t="s">
        <v>337</v>
      </c>
      <c r="CE455" s="415" t="s">
        <v>337</v>
      </c>
      <c r="CH455" s="415" t="s">
        <v>337</v>
      </c>
      <c r="CK455" s="415" t="s">
        <v>337</v>
      </c>
      <c r="CN455" s="415" t="s">
        <v>337</v>
      </c>
      <c r="CQ455" s="415" t="s">
        <v>337</v>
      </c>
      <c r="CT455" s="415" t="s">
        <v>337</v>
      </c>
    </row>
    <row r="456" spans="1:98">
      <c r="A456" s="1" t="s">
        <v>1145</v>
      </c>
      <c r="B456" s="416" t="s">
        <v>4948</v>
      </c>
      <c r="S456" s="213" t="s">
        <v>4949</v>
      </c>
      <c r="T456" s="416" t="s">
        <v>4950</v>
      </c>
      <c r="U456" s="415" t="s">
        <v>337</v>
      </c>
      <c r="X456" s="415"/>
      <c r="AA456" s="415"/>
      <c r="AD456" s="415"/>
      <c r="AE456" s="417" t="s">
        <v>4951</v>
      </c>
      <c r="AF456" s="416" t="s">
        <v>4952</v>
      </c>
      <c r="AG456" s="415"/>
      <c r="AJ456" s="415" t="s">
        <v>337</v>
      </c>
      <c r="AM456" s="415" t="s">
        <v>337</v>
      </c>
      <c r="AP456" s="415" t="s">
        <v>337</v>
      </c>
      <c r="AS456" s="415" t="s">
        <v>337</v>
      </c>
      <c r="AV456" s="415" t="s">
        <v>337</v>
      </c>
      <c r="AY456" s="415" t="s">
        <v>337</v>
      </c>
      <c r="AZ456" s="213" t="s">
        <v>4953</v>
      </c>
      <c r="BA456" s="416" t="s">
        <v>4954</v>
      </c>
      <c r="BB456" s="415" t="s">
        <v>337</v>
      </c>
      <c r="BE456" s="415" t="s">
        <v>337</v>
      </c>
      <c r="BH456" s="415" t="s">
        <v>337</v>
      </c>
      <c r="BM456" s="415" t="s">
        <v>337</v>
      </c>
      <c r="BP456" s="415" t="s">
        <v>337</v>
      </c>
      <c r="BS456" s="415"/>
      <c r="BV456" s="415" t="s">
        <v>337</v>
      </c>
      <c r="BY456" s="415" t="s">
        <v>337</v>
      </c>
      <c r="CB456" s="415" t="s">
        <v>337</v>
      </c>
      <c r="CE456" s="415" t="s">
        <v>337</v>
      </c>
      <c r="CH456" s="415" t="s">
        <v>337</v>
      </c>
      <c r="CK456" s="415" t="s">
        <v>337</v>
      </c>
      <c r="CN456" s="415" t="s">
        <v>337</v>
      </c>
      <c r="CQ456" s="415" t="s">
        <v>337</v>
      </c>
      <c r="CT456" s="415" t="s">
        <v>337</v>
      </c>
    </row>
    <row r="457" spans="1:98">
      <c r="A457" s="1" t="s">
        <v>1145</v>
      </c>
      <c r="B457" s="416" t="s">
        <v>4955</v>
      </c>
      <c r="S457" s="213" t="s">
        <v>4956</v>
      </c>
      <c r="T457" s="416" t="s">
        <v>4957</v>
      </c>
      <c r="U457" s="415" t="s">
        <v>337</v>
      </c>
      <c r="X457" s="415"/>
      <c r="AA457" s="415"/>
      <c r="AD457" s="415"/>
      <c r="AE457" s="417" t="s">
        <v>4958</v>
      </c>
      <c r="AF457" s="416" t="s">
        <v>4959</v>
      </c>
      <c r="AG457" s="415"/>
      <c r="AJ457" s="415" t="s">
        <v>337</v>
      </c>
      <c r="AM457" s="415" t="s">
        <v>337</v>
      </c>
      <c r="AP457" s="415" t="s">
        <v>337</v>
      </c>
      <c r="AS457" s="415" t="s">
        <v>337</v>
      </c>
      <c r="AV457" s="415" t="s">
        <v>337</v>
      </c>
      <c r="AY457" s="415" t="s">
        <v>337</v>
      </c>
      <c r="AZ457" s="213" t="s">
        <v>4960</v>
      </c>
      <c r="BA457" s="416" t="s">
        <v>4961</v>
      </c>
      <c r="BB457" s="415" t="s">
        <v>337</v>
      </c>
      <c r="BE457" s="415" t="s">
        <v>337</v>
      </c>
      <c r="BH457" s="415" t="s">
        <v>337</v>
      </c>
      <c r="BM457" s="415" t="s">
        <v>337</v>
      </c>
      <c r="BP457" s="415" t="s">
        <v>337</v>
      </c>
      <c r="BS457" s="415"/>
      <c r="BV457" s="415" t="s">
        <v>337</v>
      </c>
      <c r="BY457" s="415" t="s">
        <v>337</v>
      </c>
      <c r="CB457" s="415" t="s">
        <v>337</v>
      </c>
      <c r="CE457" s="415" t="s">
        <v>337</v>
      </c>
      <c r="CH457" s="415" t="s">
        <v>337</v>
      </c>
      <c r="CK457" s="415" t="s">
        <v>337</v>
      </c>
      <c r="CN457" s="415" t="s">
        <v>337</v>
      </c>
      <c r="CQ457" s="415" t="s">
        <v>337</v>
      </c>
      <c r="CT457" s="415" t="s">
        <v>337</v>
      </c>
    </row>
    <row r="458" spans="1:98">
      <c r="A458" s="1" t="s">
        <v>1145</v>
      </c>
      <c r="B458" s="416" t="s">
        <v>4962</v>
      </c>
      <c r="S458" s="213" t="s">
        <v>4963</v>
      </c>
      <c r="T458" s="416" t="s">
        <v>4964</v>
      </c>
      <c r="U458" s="415" t="s">
        <v>337</v>
      </c>
      <c r="X458" s="415"/>
      <c r="AA458" s="415"/>
      <c r="AD458" s="415"/>
      <c r="AE458" s="417" t="s">
        <v>4965</v>
      </c>
      <c r="AF458" s="416" t="s">
        <v>4966</v>
      </c>
      <c r="AG458" s="415"/>
      <c r="AJ458" s="415" t="s">
        <v>337</v>
      </c>
      <c r="AM458" s="415" t="s">
        <v>337</v>
      </c>
      <c r="AP458" s="415" t="s">
        <v>337</v>
      </c>
      <c r="AS458" s="415" t="s">
        <v>337</v>
      </c>
      <c r="AV458" s="415" t="s">
        <v>337</v>
      </c>
      <c r="AY458" s="415" t="s">
        <v>337</v>
      </c>
      <c r="AZ458" s="213" t="s">
        <v>4967</v>
      </c>
      <c r="BA458" s="416" t="s">
        <v>4968</v>
      </c>
      <c r="BB458" s="415" t="s">
        <v>337</v>
      </c>
      <c r="BE458" s="415" t="s">
        <v>337</v>
      </c>
      <c r="BH458" s="415" t="s">
        <v>337</v>
      </c>
      <c r="BM458" s="415" t="s">
        <v>337</v>
      </c>
      <c r="BP458" s="415" t="s">
        <v>337</v>
      </c>
      <c r="BS458" s="415"/>
      <c r="BV458" s="415" t="s">
        <v>337</v>
      </c>
      <c r="BY458" s="415" t="s">
        <v>337</v>
      </c>
      <c r="CB458" s="415" t="s">
        <v>337</v>
      </c>
      <c r="CE458" s="415" t="s">
        <v>337</v>
      </c>
      <c r="CH458" s="415" t="s">
        <v>337</v>
      </c>
      <c r="CK458" s="415" t="s">
        <v>337</v>
      </c>
      <c r="CN458" s="415" t="s">
        <v>337</v>
      </c>
      <c r="CQ458" s="415" t="s">
        <v>337</v>
      </c>
      <c r="CT458" s="415" t="s">
        <v>337</v>
      </c>
    </row>
    <row r="459" spans="1:98">
      <c r="A459" s="1" t="s">
        <v>1145</v>
      </c>
      <c r="B459" s="416" t="s">
        <v>4969</v>
      </c>
      <c r="S459" s="213" t="s">
        <v>4970</v>
      </c>
      <c r="T459" s="416" t="s">
        <v>4971</v>
      </c>
      <c r="U459" s="415" t="s">
        <v>337</v>
      </c>
      <c r="X459" s="415"/>
      <c r="AA459" s="415"/>
      <c r="AD459" s="415"/>
      <c r="AE459" s="417" t="s">
        <v>4972</v>
      </c>
      <c r="AF459" s="416" t="s">
        <v>4973</v>
      </c>
      <c r="AG459" s="415"/>
      <c r="AJ459" s="415" t="s">
        <v>337</v>
      </c>
      <c r="AM459" s="415" t="s">
        <v>337</v>
      </c>
      <c r="AP459" s="415" t="s">
        <v>337</v>
      </c>
      <c r="AS459" s="415" t="s">
        <v>337</v>
      </c>
      <c r="AV459" s="415" t="s">
        <v>337</v>
      </c>
      <c r="AY459" s="415" t="s">
        <v>337</v>
      </c>
      <c r="AZ459" s="213" t="s">
        <v>4974</v>
      </c>
      <c r="BA459" s="416" t="s">
        <v>4975</v>
      </c>
      <c r="BB459" s="415" t="s">
        <v>337</v>
      </c>
      <c r="BE459" s="415" t="s">
        <v>337</v>
      </c>
      <c r="BH459" s="415" t="s">
        <v>337</v>
      </c>
      <c r="BM459" s="415" t="s">
        <v>337</v>
      </c>
      <c r="BP459" s="415" t="s">
        <v>337</v>
      </c>
      <c r="BS459" s="415"/>
      <c r="BV459" s="415" t="s">
        <v>337</v>
      </c>
      <c r="BY459" s="415" t="s">
        <v>337</v>
      </c>
      <c r="CB459" s="415" t="s">
        <v>337</v>
      </c>
      <c r="CE459" s="415" t="s">
        <v>337</v>
      </c>
      <c r="CH459" s="415" t="s">
        <v>337</v>
      </c>
      <c r="CK459" s="415" t="s">
        <v>337</v>
      </c>
      <c r="CN459" s="415" t="s">
        <v>337</v>
      </c>
      <c r="CQ459" s="415" t="s">
        <v>337</v>
      </c>
      <c r="CT459" s="415" t="s">
        <v>337</v>
      </c>
    </row>
    <row r="460" spans="1:98">
      <c r="A460" s="1" t="s">
        <v>1145</v>
      </c>
      <c r="B460" s="416" t="s">
        <v>4976</v>
      </c>
      <c r="S460" s="213" t="s">
        <v>4977</v>
      </c>
      <c r="T460" s="416" t="s">
        <v>4978</v>
      </c>
      <c r="U460" s="415" t="s">
        <v>337</v>
      </c>
      <c r="X460" s="415"/>
      <c r="AA460" s="415"/>
      <c r="AD460" s="415"/>
      <c r="AE460" s="417" t="s">
        <v>4979</v>
      </c>
      <c r="AF460" s="416" t="s">
        <v>4980</v>
      </c>
      <c r="AG460" s="415"/>
      <c r="AJ460" s="415" t="s">
        <v>337</v>
      </c>
      <c r="AM460" s="415" t="s">
        <v>337</v>
      </c>
      <c r="AP460" s="415" t="s">
        <v>337</v>
      </c>
      <c r="AS460" s="415" t="s">
        <v>337</v>
      </c>
      <c r="AV460" s="415" t="s">
        <v>337</v>
      </c>
      <c r="AY460" s="415" t="s">
        <v>337</v>
      </c>
      <c r="AZ460" s="213" t="s">
        <v>4981</v>
      </c>
      <c r="BA460" s="416" t="s">
        <v>4982</v>
      </c>
      <c r="BB460" s="415" t="s">
        <v>337</v>
      </c>
      <c r="BE460" s="415" t="s">
        <v>337</v>
      </c>
      <c r="BH460" s="415" t="s">
        <v>337</v>
      </c>
      <c r="BM460" s="415" t="s">
        <v>337</v>
      </c>
      <c r="BP460" s="415" t="s">
        <v>337</v>
      </c>
      <c r="BS460" s="415"/>
      <c r="BV460" s="415" t="s">
        <v>337</v>
      </c>
      <c r="BY460" s="415" t="s">
        <v>337</v>
      </c>
      <c r="CB460" s="415" t="s">
        <v>337</v>
      </c>
      <c r="CE460" s="415" t="s">
        <v>337</v>
      </c>
      <c r="CH460" s="415" t="s">
        <v>337</v>
      </c>
      <c r="CK460" s="415" t="s">
        <v>337</v>
      </c>
      <c r="CN460" s="415" t="s">
        <v>337</v>
      </c>
      <c r="CQ460" s="415" t="s">
        <v>337</v>
      </c>
      <c r="CT460" s="415" t="s">
        <v>337</v>
      </c>
    </row>
    <row r="461" spans="1:98">
      <c r="A461" s="1" t="s">
        <v>1145</v>
      </c>
      <c r="B461" s="416" t="s">
        <v>4983</v>
      </c>
      <c r="S461" s="213" t="s">
        <v>4984</v>
      </c>
      <c r="T461" s="416" t="s">
        <v>4985</v>
      </c>
      <c r="U461" s="415" t="s">
        <v>337</v>
      </c>
      <c r="X461" s="415"/>
      <c r="AA461" s="415"/>
      <c r="AD461" s="415"/>
      <c r="AE461" s="417" t="s">
        <v>4986</v>
      </c>
      <c r="AF461" s="416" t="s">
        <v>4987</v>
      </c>
      <c r="AG461" s="415"/>
      <c r="AJ461" s="415" t="s">
        <v>337</v>
      </c>
      <c r="AM461" s="415" t="s">
        <v>337</v>
      </c>
      <c r="AP461" s="415" t="s">
        <v>337</v>
      </c>
      <c r="AS461" s="415" t="s">
        <v>337</v>
      </c>
      <c r="AV461" s="415" t="s">
        <v>337</v>
      </c>
      <c r="AY461" s="415" t="s">
        <v>337</v>
      </c>
      <c r="AZ461" s="213" t="s">
        <v>4988</v>
      </c>
      <c r="BA461" s="416" t="s">
        <v>4989</v>
      </c>
      <c r="BB461" s="415" t="s">
        <v>337</v>
      </c>
      <c r="BE461" s="415" t="s">
        <v>337</v>
      </c>
      <c r="BH461" s="415" t="s">
        <v>337</v>
      </c>
      <c r="BM461" s="415" t="s">
        <v>337</v>
      </c>
      <c r="BP461" s="415" t="s">
        <v>337</v>
      </c>
      <c r="BS461" s="415"/>
      <c r="BV461" s="415" t="s">
        <v>337</v>
      </c>
      <c r="BY461" s="415" t="s">
        <v>337</v>
      </c>
      <c r="CB461" s="415" t="s">
        <v>337</v>
      </c>
      <c r="CE461" s="415" t="s">
        <v>337</v>
      </c>
      <c r="CH461" s="415" t="s">
        <v>337</v>
      </c>
      <c r="CK461" s="415" t="s">
        <v>337</v>
      </c>
      <c r="CN461" s="415" t="s">
        <v>337</v>
      </c>
      <c r="CQ461" s="415" t="s">
        <v>337</v>
      </c>
      <c r="CT461" s="415" t="s">
        <v>337</v>
      </c>
    </row>
    <row r="462" spans="1:98">
      <c r="A462" s="1" t="s">
        <v>1145</v>
      </c>
      <c r="B462" s="416" t="s">
        <v>4990</v>
      </c>
      <c r="S462" s="213" t="s">
        <v>4991</v>
      </c>
      <c r="T462" s="416" t="s">
        <v>4992</v>
      </c>
      <c r="U462" s="415" t="s">
        <v>337</v>
      </c>
      <c r="X462" s="415"/>
      <c r="AA462" s="415"/>
      <c r="AD462" s="415"/>
      <c r="AE462" s="417" t="s">
        <v>4993</v>
      </c>
      <c r="AF462" s="416" t="s">
        <v>4994</v>
      </c>
      <c r="AG462" s="415"/>
      <c r="AJ462" s="415" t="s">
        <v>337</v>
      </c>
      <c r="AM462" s="415" t="s">
        <v>337</v>
      </c>
      <c r="AP462" s="415" t="s">
        <v>337</v>
      </c>
      <c r="AS462" s="415" t="s">
        <v>337</v>
      </c>
      <c r="AV462" s="415" t="s">
        <v>337</v>
      </c>
      <c r="AY462" s="415" t="s">
        <v>337</v>
      </c>
      <c r="AZ462" s="213" t="s">
        <v>4995</v>
      </c>
      <c r="BA462" s="416" t="s">
        <v>4996</v>
      </c>
      <c r="BB462" s="415" t="s">
        <v>337</v>
      </c>
      <c r="BE462" s="415" t="s">
        <v>337</v>
      </c>
      <c r="BH462" s="415" t="s">
        <v>337</v>
      </c>
      <c r="BM462" s="415" t="s">
        <v>337</v>
      </c>
      <c r="BP462" s="415" t="s">
        <v>337</v>
      </c>
      <c r="BS462" s="415"/>
      <c r="BV462" s="415" t="s">
        <v>337</v>
      </c>
      <c r="BY462" s="415" t="s">
        <v>337</v>
      </c>
      <c r="CB462" s="415" t="s">
        <v>337</v>
      </c>
      <c r="CE462" s="415" t="s">
        <v>337</v>
      </c>
      <c r="CH462" s="415" t="s">
        <v>337</v>
      </c>
      <c r="CK462" s="415" t="s">
        <v>337</v>
      </c>
      <c r="CN462" s="415" t="s">
        <v>337</v>
      </c>
      <c r="CQ462" s="415" t="s">
        <v>337</v>
      </c>
      <c r="CT462" s="415" t="s">
        <v>337</v>
      </c>
    </row>
    <row r="463" spans="1:98">
      <c r="A463" s="1" t="s">
        <v>1145</v>
      </c>
      <c r="B463" s="416" t="s">
        <v>4997</v>
      </c>
      <c r="S463" s="213" t="s">
        <v>4998</v>
      </c>
      <c r="T463" s="416" t="s">
        <v>2527</v>
      </c>
      <c r="U463" s="415" t="s">
        <v>337</v>
      </c>
      <c r="X463" s="415"/>
      <c r="AA463" s="415"/>
      <c r="AD463" s="415"/>
      <c r="AE463" s="417" t="s">
        <v>4999</v>
      </c>
      <c r="AF463" s="416" t="s">
        <v>5000</v>
      </c>
      <c r="AG463" s="415"/>
      <c r="AJ463" s="415" t="s">
        <v>337</v>
      </c>
      <c r="AM463" s="415" t="s">
        <v>337</v>
      </c>
      <c r="AP463" s="415" t="s">
        <v>337</v>
      </c>
      <c r="AS463" s="415" t="s">
        <v>337</v>
      </c>
      <c r="AV463" s="415" t="s">
        <v>337</v>
      </c>
      <c r="AY463" s="415" t="s">
        <v>337</v>
      </c>
      <c r="AZ463" s="213" t="s">
        <v>5001</v>
      </c>
      <c r="BA463" s="416" t="s">
        <v>1442</v>
      </c>
      <c r="BB463" s="415" t="s">
        <v>337</v>
      </c>
      <c r="BE463" s="415" t="s">
        <v>337</v>
      </c>
      <c r="BH463" s="415" t="s">
        <v>337</v>
      </c>
      <c r="BM463" s="415" t="s">
        <v>337</v>
      </c>
      <c r="BP463" s="415" t="s">
        <v>337</v>
      </c>
      <c r="BS463" s="415"/>
      <c r="BV463" s="415" t="s">
        <v>337</v>
      </c>
      <c r="BY463" s="415" t="s">
        <v>337</v>
      </c>
      <c r="CB463" s="415" t="s">
        <v>337</v>
      </c>
      <c r="CE463" s="415" t="s">
        <v>337</v>
      </c>
      <c r="CH463" s="415" t="s">
        <v>337</v>
      </c>
      <c r="CK463" s="415" t="s">
        <v>337</v>
      </c>
      <c r="CN463" s="415" t="s">
        <v>337</v>
      </c>
      <c r="CQ463" s="415" t="s">
        <v>337</v>
      </c>
      <c r="CT463" s="415" t="s">
        <v>337</v>
      </c>
    </row>
    <row r="464" spans="1:98">
      <c r="A464" s="1" t="s">
        <v>1145</v>
      </c>
      <c r="B464" s="416" t="s">
        <v>5002</v>
      </c>
      <c r="S464" s="213" t="s">
        <v>5003</v>
      </c>
      <c r="T464" s="416" t="s">
        <v>5004</v>
      </c>
      <c r="U464" s="415" t="s">
        <v>337</v>
      </c>
      <c r="X464" s="415"/>
      <c r="AA464" s="415"/>
      <c r="AD464" s="415"/>
      <c r="AE464" s="417" t="s">
        <v>5005</v>
      </c>
      <c r="AF464" s="416" t="s">
        <v>5006</v>
      </c>
      <c r="AG464" s="415"/>
      <c r="AJ464" s="415" t="s">
        <v>337</v>
      </c>
      <c r="AM464" s="415" t="s">
        <v>337</v>
      </c>
      <c r="AP464" s="415" t="s">
        <v>337</v>
      </c>
      <c r="AS464" s="415" t="s">
        <v>337</v>
      </c>
      <c r="AV464" s="415" t="s">
        <v>337</v>
      </c>
      <c r="AY464" s="415" t="s">
        <v>337</v>
      </c>
      <c r="AZ464" s="213" t="s">
        <v>5007</v>
      </c>
      <c r="BA464" s="416" t="s">
        <v>5008</v>
      </c>
      <c r="BB464" s="415" t="s">
        <v>337</v>
      </c>
      <c r="BE464" s="415" t="s">
        <v>337</v>
      </c>
      <c r="BH464" s="415" t="s">
        <v>337</v>
      </c>
      <c r="BM464" s="415" t="s">
        <v>337</v>
      </c>
      <c r="BP464" s="415" t="s">
        <v>337</v>
      </c>
      <c r="BS464" s="415"/>
      <c r="BV464" s="415" t="s">
        <v>337</v>
      </c>
      <c r="BY464" s="415" t="s">
        <v>337</v>
      </c>
      <c r="CB464" s="415" t="s">
        <v>337</v>
      </c>
      <c r="CE464" s="415" t="s">
        <v>337</v>
      </c>
      <c r="CH464" s="415" t="s">
        <v>337</v>
      </c>
      <c r="CK464" s="415" t="s">
        <v>337</v>
      </c>
      <c r="CN464" s="415" t="s">
        <v>337</v>
      </c>
      <c r="CQ464" s="415" t="s">
        <v>337</v>
      </c>
      <c r="CT464" s="415" t="s">
        <v>337</v>
      </c>
    </row>
    <row r="465" spans="1:98">
      <c r="A465" s="1" t="s">
        <v>1145</v>
      </c>
      <c r="B465" s="416" t="s">
        <v>5009</v>
      </c>
      <c r="S465" s="213" t="s">
        <v>5010</v>
      </c>
      <c r="T465" s="416" t="s">
        <v>5011</v>
      </c>
      <c r="U465" s="415" t="s">
        <v>337</v>
      </c>
      <c r="X465" s="415"/>
      <c r="AA465" s="415"/>
      <c r="AD465" s="415"/>
      <c r="AE465" s="417" t="s">
        <v>5012</v>
      </c>
      <c r="AF465" s="416" t="s">
        <v>5013</v>
      </c>
      <c r="AG465" s="415"/>
      <c r="AJ465" s="415" t="s">
        <v>337</v>
      </c>
      <c r="AM465" s="415" t="s">
        <v>337</v>
      </c>
      <c r="AP465" s="415" t="s">
        <v>337</v>
      </c>
      <c r="AS465" s="415" t="s">
        <v>337</v>
      </c>
      <c r="AV465" s="415" t="s">
        <v>337</v>
      </c>
      <c r="AY465" s="415" t="s">
        <v>337</v>
      </c>
      <c r="AZ465" s="213" t="s">
        <v>1721</v>
      </c>
      <c r="BA465" s="416" t="s">
        <v>5014</v>
      </c>
      <c r="BB465" s="415" t="s">
        <v>337</v>
      </c>
      <c r="BE465" s="415" t="s">
        <v>337</v>
      </c>
      <c r="BH465" s="415" t="s">
        <v>337</v>
      </c>
      <c r="BM465" s="415" t="s">
        <v>337</v>
      </c>
      <c r="BP465" s="415" t="s">
        <v>337</v>
      </c>
      <c r="BS465" s="415"/>
      <c r="BV465" s="415" t="s">
        <v>337</v>
      </c>
      <c r="BY465" s="415" t="s">
        <v>337</v>
      </c>
      <c r="CB465" s="415" t="s">
        <v>337</v>
      </c>
      <c r="CE465" s="415" t="s">
        <v>337</v>
      </c>
      <c r="CH465" s="415" t="s">
        <v>337</v>
      </c>
      <c r="CK465" s="415" t="s">
        <v>337</v>
      </c>
      <c r="CN465" s="415" t="s">
        <v>337</v>
      </c>
      <c r="CQ465" s="415" t="s">
        <v>337</v>
      </c>
      <c r="CT465" s="415" t="s">
        <v>337</v>
      </c>
    </row>
    <row r="466" spans="1:98">
      <c r="A466" s="1" t="s">
        <v>1145</v>
      </c>
      <c r="B466" s="416" t="s">
        <v>5015</v>
      </c>
      <c r="S466" s="213" t="s">
        <v>5016</v>
      </c>
      <c r="T466" s="416" t="s">
        <v>5017</v>
      </c>
      <c r="U466" s="415" t="s">
        <v>337</v>
      </c>
      <c r="X466" s="415"/>
      <c r="AA466" s="415"/>
      <c r="AD466" s="415"/>
      <c r="AE466" s="417" t="s">
        <v>5018</v>
      </c>
      <c r="AF466" s="416" t="s">
        <v>5019</v>
      </c>
      <c r="AG466" s="415"/>
      <c r="AJ466" s="415" t="s">
        <v>337</v>
      </c>
      <c r="AM466" s="415" t="s">
        <v>337</v>
      </c>
      <c r="AP466" s="415" t="s">
        <v>337</v>
      </c>
      <c r="AS466" s="415" t="s">
        <v>337</v>
      </c>
      <c r="AV466" s="415" t="s">
        <v>337</v>
      </c>
      <c r="AY466" s="415" t="s">
        <v>337</v>
      </c>
      <c r="AZ466" s="213" t="s">
        <v>1735</v>
      </c>
      <c r="BA466" s="416" t="s">
        <v>5020</v>
      </c>
      <c r="BB466" s="415" t="s">
        <v>337</v>
      </c>
      <c r="BE466" s="415" t="s">
        <v>337</v>
      </c>
      <c r="BH466" s="415" t="s">
        <v>337</v>
      </c>
      <c r="BM466" s="415" t="s">
        <v>337</v>
      </c>
      <c r="BP466" s="415" t="s">
        <v>337</v>
      </c>
      <c r="BS466" s="415"/>
      <c r="BV466" s="415" t="s">
        <v>337</v>
      </c>
      <c r="BY466" s="415" t="s">
        <v>337</v>
      </c>
      <c r="CB466" s="415" t="s">
        <v>337</v>
      </c>
      <c r="CE466" s="415" t="s">
        <v>337</v>
      </c>
      <c r="CH466" s="415" t="s">
        <v>337</v>
      </c>
      <c r="CK466" s="415" t="s">
        <v>337</v>
      </c>
      <c r="CN466" s="415" t="s">
        <v>337</v>
      </c>
      <c r="CQ466" s="415" t="s">
        <v>337</v>
      </c>
      <c r="CT466" s="415" t="s">
        <v>337</v>
      </c>
    </row>
    <row r="467" spans="1:98">
      <c r="A467" s="1" t="s">
        <v>1145</v>
      </c>
      <c r="B467" s="416" t="s">
        <v>5021</v>
      </c>
      <c r="S467" s="213" t="s">
        <v>5022</v>
      </c>
      <c r="T467" s="416" t="s">
        <v>5023</v>
      </c>
      <c r="U467" s="415" t="s">
        <v>337</v>
      </c>
      <c r="X467" s="415"/>
      <c r="AA467" s="415"/>
      <c r="AD467" s="415"/>
      <c r="AE467" s="417" t="s">
        <v>5024</v>
      </c>
      <c r="AF467" s="416" t="s">
        <v>5025</v>
      </c>
      <c r="AG467" s="415"/>
      <c r="AJ467" s="415" t="s">
        <v>337</v>
      </c>
      <c r="AM467" s="415" t="s">
        <v>337</v>
      </c>
      <c r="AP467" s="415" t="s">
        <v>337</v>
      </c>
      <c r="AS467" s="415" t="s">
        <v>337</v>
      </c>
      <c r="AV467" s="415" t="s">
        <v>337</v>
      </c>
      <c r="AY467" s="415" t="s">
        <v>337</v>
      </c>
      <c r="BB467" s="415" t="s">
        <v>337</v>
      </c>
      <c r="BE467" s="415" t="s">
        <v>337</v>
      </c>
      <c r="BH467" s="415" t="s">
        <v>337</v>
      </c>
      <c r="BM467" s="415" t="s">
        <v>337</v>
      </c>
      <c r="BP467" s="415" t="s">
        <v>337</v>
      </c>
      <c r="BS467" s="415"/>
      <c r="BV467" s="415" t="s">
        <v>337</v>
      </c>
      <c r="BY467" s="415" t="s">
        <v>337</v>
      </c>
      <c r="CB467" s="415" t="s">
        <v>337</v>
      </c>
      <c r="CE467" s="415" t="s">
        <v>337</v>
      </c>
      <c r="CH467" s="415" t="s">
        <v>337</v>
      </c>
      <c r="CK467" s="415" t="s">
        <v>337</v>
      </c>
      <c r="CN467" s="415" t="s">
        <v>337</v>
      </c>
      <c r="CQ467" s="415" t="s">
        <v>337</v>
      </c>
      <c r="CT467" s="415" t="s">
        <v>337</v>
      </c>
    </row>
    <row r="468" spans="1:98">
      <c r="A468" s="1" t="s">
        <v>1145</v>
      </c>
      <c r="B468" s="416" t="s">
        <v>5026</v>
      </c>
      <c r="S468" s="213" t="s">
        <v>5027</v>
      </c>
      <c r="T468" s="416" t="s">
        <v>4730</v>
      </c>
      <c r="U468" s="415" t="s">
        <v>337</v>
      </c>
      <c r="X468" s="415"/>
      <c r="AA468" s="415"/>
      <c r="AD468" s="415"/>
      <c r="AE468" s="417" t="s">
        <v>5028</v>
      </c>
      <c r="AF468" s="416" t="s">
        <v>5029</v>
      </c>
      <c r="AG468" s="415"/>
      <c r="AJ468" s="415" t="s">
        <v>337</v>
      </c>
      <c r="AM468" s="415" t="s">
        <v>337</v>
      </c>
      <c r="AP468" s="415" t="s">
        <v>337</v>
      </c>
      <c r="AS468" s="415" t="s">
        <v>337</v>
      </c>
      <c r="AV468" s="415" t="s">
        <v>337</v>
      </c>
      <c r="AY468" s="415" t="s">
        <v>337</v>
      </c>
      <c r="BB468" s="415" t="s">
        <v>337</v>
      </c>
      <c r="BE468" s="415" t="s">
        <v>337</v>
      </c>
      <c r="BH468" s="415" t="s">
        <v>337</v>
      </c>
      <c r="BM468" s="415" t="s">
        <v>337</v>
      </c>
      <c r="BP468" s="415" t="s">
        <v>337</v>
      </c>
      <c r="BS468" s="415"/>
      <c r="BV468" s="415" t="s">
        <v>337</v>
      </c>
      <c r="BY468" s="415" t="s">
        <v>337</v>
      </c>
      <c r="CB468" s="415" t="s">
        <v>337</v>
      </c>
      <c r="CE468" s="415" t="s">
        <v>337</v>
      </c>
      <c r="CH468" s="415" t="s">
        <v>337</v>
      </c>
      <c r="CK468" s="415" t="s">
        <v>337</v>
      </c>
      <c r="CN468" s="415" t="s">
        <v>337</v>
      </c>
      <c r="CQ468" s="415" t="s">
        <v>337</v>
      </c>
      <c r="CT468" s="415" t="s">
        <v>337</v>
      </c>
    </row>
    <row r="469" spans="1:98">
      <c r="A469" s="1" t="s">
        <v>1145</v>
      </c>
      <c r="B469" s="416" t="s">
        <v>5030</v>
      </c>
      <c r="S469" s="213" t="s">
        <v>5031</v>
      </c>
      <c r="T469" s="416" t="s">
        <v>5032</v>
      </c>
      <c r="U469" s="415" t="s">
        <v>337</v>
      </c>
      <c r="X469" s="415"/>
      <c r="AA469" s="415"/>
      <c r="AD469" s="415"/>
      <c r="AE469" s="417" t="s">
        <v>5033</v>
      </c>
      <c r="AF469" s="416" t="s">
        <v>5034</v>
      </c>
      <c r="AG469" s="415"/>
      <c r="AJ469" s="415" t="s">
        <v>337</v>
      </c>
      <c r="AM469" s="415" t="s">
        <v>337</v>
      </c>
      <c r="AP469" s="415" t="s">
        <v>337</v>
      </c>
      <c r="AS469" s="415" t="s">
        <v>337</v>
      </c>
      <c r="AV469" s="415" t="s">
        <v>337</v>
      </c>
      <c r="AY469" s="415" t="s">
        <v>337</v>
      </c>
      <c r="BB469" s="415" t="s">
        <v>337</v>
      </c>
      <c r="BE469" s="415" t="s">
        <v>337</v>
      </c>
      <c r="BH469" s="415" t="s">
        <v>337</v>
      </c>
      <c r="BM469" s="415" t="s">
        <v>337</v>
      </c>
      <c r="BP469" s="415" t="s">
        <v>337</v>
      </c>
      <c r="BS469" s="415"/>
      <c r="BV469" s="415" t="s">
        <v>337</v>
      </c>
      <c r="BY469" s="415" t="s">
        <v>337</v>
      </c>
      <c r="CB469" s="415" t="s">
        <v>337</v>
      </c>
      <c r="CE469" s="415" t="s">
        <v>337</v>
      </c>
      <c r="CH469" s="415" t="s">
        <v>337</v>
      </c>
      <c r="CK469" s="415" t="s">
        <v>337</v>
      </c>
      <c r="CN469" s="415" t="s">
        <v>337</v>
      </c>
      <c r="CQ469" s="415" t="s">
        <v>337</v>
      </c>
      <c r="CT469" s="415" t="s">
        <v>337</v>
      </c>
    </row>
    <row r="470" spans="1:98">
      <c r="A470" s="1" t="s">
        <v>1145</v>
      </c>
      <c r="B470" s="416" t="s">
        <v>5035</v>
      </c>
      <c r="S470" s="213" t="s">
        <v>5036</v>
      </c>
      <c r="T470" s="416" t="s">
        <v>4985</v>
      </c>
      <c r="U470" s="415" t="s">
        <v>337</v>
      </c>
      <c r="X470" s="415"/>
      <c r="AA470" s="415"/>
      <c r="AD470" s="415"/>
      <c r="AE470" s="417" t="s">
        <v>5037</v>
      </c>
      <c r="AF470" s="416" t="s">
        <v>5038</v>
      </c>
      <c r="AG470" s="415"/>
      <c r="AJ470" s="415" t="s">
        <v>337</v>
      </c>
      <c r="AM470" s="415" t="s">
        <v>337</v>
      </c>
      <c r="AP470" s="415" t="s">
        <v>337</v>
      </c>
      <c r="AS470" s="415" t="s">
        <v>337</v>
      </c>
      <c r="AV470" s="415" t="s">
        <v>337</v>
      </c>
      <c r="AY470" s="415" t="s">
        <v>337</v>
      </c>
      <c r="BB470" s="415" t="s">
        <v>337</v>
      </c>
      <c r="BE470" s="415" t="s">
        <v>337</v>
      </c>
      <c r="BH470" s="415" t="s">
        <v>337</v>
      </c>
      <c r="BM470" s="415" t="s">
        <v>337</v>
      </c>
      <c r="BP470" s="415" t="s">
        <v>337</v>
      </c>
      <c r="BS470" s="415"/>
      <c r="BV470" s="415" t="s">
        <v>337</v>
      </c>
      <c r="BY470" s="415" t="s">
        <v>337</v>
      </c>
      <c r="CB470" s="415" t="s">
        <v>337</v>
      </c>
      <c r="CE470" s="415" t="s">
        <v>337</v>
      </c>
      <c r="CH470" s="415" t="s">
        <v>337</v>
      </c>
      <c r="CK470" s="415" t="s">
        <v>337</v>
      </c>
      <c r="CN470" s="415" t="s">
        <v>337</v>
      </c>
      <c r="CQ470" s="415" t="s">
        <v>337</v>
      </c>
      <c r="CT470" s="415" t="s">
        <v>337</v>
      </c>
    </row>
    <row r="471" spans="1:98">
      <c r="A471" s="1" t="s">
        <v>1145</v>
      </c>
      <c r="B471" s="416" t="s">
        <v>5039</v>
      </c>
      <c r="S471" s="213" t="s">
        <v>5040</v>
      </c>
      <c r="T471" s="416" t="s">
        <v>5041</v>
      </c>
      <c r="U471" s="415" t="s">
        <v>337</v>
      </c>
      <c r="X471" s="415"/>
      <c r="AA471" s="415"/>
      <c r="AD471" s="415"/>
      <c r="AE471" s="417" t="s">
        <v>5042</v>
      </c>
      <c r="AF471" s="416" t="s">
        <v>5043</v>
      </c>
      <c r="AG471" s="415"/>
      <c r="AJ471" s="415" t="s">
        <v>337</v>
      </c>
      <c r="AM471" s="415" t="s">
        <v>337</v>
      </c>
      <c r="AP471" s="415" t="s">
        <v>337</v>
      </c>
      <c r="AS471" s="415" t="s">
        <v>337</v>
      </c>
      <c r="AV471" s="415" t="s">
        <v>337</v>
      </c>
      <c r="AY471" s="415" t="s">
        <v>337</v>
      </c>
      <c r="BB471" s="415" t="s">
        <v>337</v>
      </c>
      <c r="BE471" s="415" t="s">
        <v>337</v>
      </c>
      <c r="BH471" s="415" t="s">
        <v>337</v>
      </c>
      <c r="BM471" s="415" t="s">
        <v>337</v>
      </c>
      <c r="BP471" s="415" t="s">
        <v>337</v>
      </c>
      <c r="BS471" s="415"/>
      <c r="BV471" s="415" t="s">
        <v>337</v>
      </c>
      <c r="BY471" s="415" t="s">
        <v>337</v>
      </c>
      <c r="CB471" s="415" t="s">
        <v>337</v>
      </c>
      <c r="CE471" s="415" t="s">
        <v>337</v>
      </c>
      <c r="CH471" s="415" t="s">
        <v>337</v>
      </c>
      <c r="CK471" s="415" t="s">
        <v>337</v>
      </c>
      <c r="CN471" s="415" t="s">
        <v>337</v>
      </c>
      <c r="CQ471" s="415" t="s">
        <v>337</v>
      </c>
      <c r="CT471" s="415" t="s">
        <v>337</v>
      </c>
    </row>
    <row r="472" spans="1:98">
      <c r="A472" s="1" t="s">
        <v>1161</v>
      </c>
      <c r="B472" s="416" t="s">
        <v>5044</v>
      </c>
      <c r="S472" s="213" t="s">
        <v>5045</v>
      </c>
      <c r="T472" s="416" t="s">
        <v>5046</v>
      </c>
      <c r="U472" s="415" t="s">
        <v>337</v>
      </c>
      <c r="X472" s="415"/>
      <c r="AA472" s="415"/>
      <c r="AD472" s="415"/>
      <c r="AE472" s="417" t="s">
        <v>5047</v>
      </c>
      <c r="AF472" s="416" t="s">
        <v>5048</v>
      </c>
      <c r="AG472" s="415"/>
      <c r="AJ472" s="415" t="s">
        <v>337</v>
      </c>
      <c r="AM472" s="415" t="s">
        <v>337</v>
      </c>
      <c r="AP472" s="415" t="s">
        <v>337</v>
      </c>
      <c r="AS472" s="415" t="s">
        <v>337</v>
      </c>
      <c r="AV472" s="415" t="s">
        <v>337</v>
      </c>
      <c r="AY472" s="415" t="s">
        <v>337</v>
      </c>
      <c r="BB472" s="415" t="s">
        <v>337</v>
      </c>
      <c r="BE472" s="415" t="s">
        <v>337</v>
      </c>
      <c r="BH472" s="415" t="s">
        <v>337</v>
      </c>
      <c r="BM472" s="415" t="s">
        <v>337</v>
      </c>
      <c r="BP472" s="415" t="s">
        <v>337</v>
      </c>
      <c r="BS472" s="415"/>
      <c r="BV472" s="415" t="s">
        <v>337</v>
      </c>
      <c r="BY472" s="415" t="s">
        <v>337</v>
      </c>
      <c r="CB472" s="415" t="s">
        <v>337</v>
      </c>
      <c r="CE472" s="415" t="s">
        <v>337</v>
      </c>
      <c r="CH472" s="415" t="s">
        <v>337</v>
      </c>
      <c r="CK472" s="415" t="s">
        <v>337</v>
      </c>
      <c r="CN472" s="415" t="s">
        <v>337</v>
      </c>
      <c r="CQ472" s="415" t="s">
        <v>337</v>
      </c>
      <c r="CT472" s="415" t="s">
        <v>337</v>
      </c>
    </row>
    <row r="473" spans="1:98">
      <c r="A473" s="1" t="s">
        <v>1161</v>
      </c>
      <c r="B473" s="416" t="s">
        <v>5049</v>
      </c>
      <c r="S473" s="213" t="s">
        <v>5050</v>
      </c>
      <c r="T473" s="416" t="s">
        <v>5051</v>
      </c>
      <c r="U473" s="415" t="s">
        <v>337</v>
      </c>
      <c r="X473" s="415"/>
      <c r="AA473" s="415"/>
      <c r="AD473" s="415"/>
      <c r="AE473" s="417" t="s">
        <v>5052</v>
      </c>
      <c r="AF473" s="416" t="s">
        <v>5053</v>
      </c>
      <c r="AG473" s="415"/>
      <c r="AJ473" s="415" t="s">
        <v>337</v>
      </c>
      <c r="AM473" s="415" t="s">
        <v>337</v>
      </c>
      <c r="AP473" s="415" t="s">
        <v>337</v>
      </c>
      <c r="AS473" s="415" t="s">
        <v>337</v>
      </c>
      <c r="AV473" s="415" t="s">
        <v>337</v>
      </c>
      <c r="AY473" s="415" t="s">
        <v>337</v>
      </c>
      <c r="BB473" s="415" t="s">
        <v>337</v>
      </c>
      <c r="BE473" s="415" t="s">
        <v>337</v>
      </c>
      <c r="BH473" s="415" t="s">
        <v>337</v>
      </c>
      <c r="BM473" s="415" t="s">
        <v>337</v>
      </c>
      <c r="BP473" s="415" t="s">
        <v>337</v>
      </c>
      <c r="BS473" s="415"/>
      <c r="BV473" s="415" t="s">
        <v>337</v>
      </c>
      <c r="BY473" s="415" t="s">
        <v>337</v>
      </c>
      <c r="CB473" s="415" t="s">
        <v>337</v>
      </c>
      <c r="CE473" s="415" t="s">
        <v>337</v>
      </c>
      <c r="CH473" s="415" t="s">
        <v>337</v>
      </c>
      <c r="CK473" s="415" t="s">
        <v>337</v>
      </c>
      <c r="CN473" s="415" t="s">
        <v>337</v>
      </c>
      <c r="CQ473" s="415" t="s">
        <v>337</v>
      </c>
      <c r="CT473" s="415" t="s">
        <v>337</v>
      </c>
    </row>
    <row r="474" spans="1:98">
      <c r="A474" s="1" t="s">
        <v>1161</v>
      </c>
      <c r="B474" s="416" t="s">
        <v>5054</v>
      </c>
      <c r="S474" s="213" t="s">
        <v>5055</v>
      </c>
      <c r="T474" s="416" t="s">
        <v>5056</v>
      </c>
      <c r="U474" s="415" t="s">
        <v>337</v>
      </c>
      <c r="X474" s="415"/>
      <c r="AA474" s="415"/>
      <c r="AD474" s="415"/>
      <c r="AE474" s="417" t="s">
        <v>5057</v>
      </c>
      <c r="AF474" s="416" t="s">
        <v>5058</v>
      </c>
      <c r="AG474" s="415"/>
      <c r="AJ474" s="415" t="s">
        <v>337</v>
      </c>
      <c r="AM474" s="415" t="s">
        <v>337</v>
      </c>
      <c r="AP474" s="415" t="s">
        <v>337</v>
      </c>
      <c r="AS474" s="415" t="s">
        <v>337</v>
      </c>
      <c r="AV474" s="415" t="s">
        <v>337</v>
      </c>
      <c r="AY474" s="415" t="s">
        <v>337</v>
      </c>
      <c r="BB474" s="415" t="s">
        <v>337</v>
      </c>
      <c r="BE474" s="415" t="s">
        <v>337</v>
      </c>
      <c r="BH474" s="415" t="s">
        <v>337</v>
      </c>
      <c r="BM474" s="415" t="s">
        <v>337</v>
      </c>
      <c r="BP474" s="415" t="s">
        <v>337</v>
      </c>
      <c r="BS474" s="415"/>
      <c r="BV474" s="415" t="s">
        <v>337</v>
      </c>
      <c r="BY474" s="415" t="s">
        <v>337</v>
      </c>
      <c r="CB474" s="415" t="s">
        <v>337</v>
      </c>
      <c r="CE474" s="415" t="s">
        <v>337</v>
      </c>
      <c r="CH474" s="415" t="s">
        <v>337</v>
      </c>
      <c r="CK474" s="415" t="s">
        <v>337</v>
      </c>
      <c r="CN474" s="415" t="s">
        <v>337</v>
      </c>
      <c r="CQ474" s="415" t="s">
        <v>337</v>
      </c>
      <c r="CT474" s="415" t="s">
        <v>337</v>
      </c>
    </row>
    <row r="475" spans="1:98">
      <c r="A475" s="1" t="s">
        <v>1161</v>
      </c>
      <c r="B475" s="416" t="s">
        <v>5059</v>
      </c>
      <c r="S475" s="213" t="s">
        <v>5060</v>
      </c>
      <c r="T475" s="416" t="s">
        <v>5061</v>
      </c>
      <c r="U475" s="415" t="s">
        <v>337</v>
      </c>
      <c r="X475" s="415"/>
      <c r="AA475" s="415"/>
      <c r="AD475" s="415"/>
      <c r="AE475" s="417" t="s">
        <v>5062</v>
      </c>
      <c r="AF475" s="416" t="s">
        <v>5063</v>
      </c>
      <c r="AG475" s="415"/>
      <c r="AJ475" s="415" t="s">
        <v>337</v>
      </c>
      <c r="AM475" s="415" t="s">
        <v>337</v>
      </c>
      <c r="AP475" s="415" t="s">
        <v>337</v>
      </c>
      <c r="AS475" s="415" t="s">
        <v>337</v>
      </c>
      <c r="AV475" s="415" t="s">
        <v>337</v>
      </c>
      <c r="AY475" s="415" t="s">
        <v>337</v>
      </c>
      <c r="BB475" s="415" t="s">
        <v>337</v>
      </c>
      <c r="BE475" s="415" t="s">
        <v>337</v>
      </c>
      <c r="BH475" s="415" t="s">
        <v>337</v>
      </c>
      <c r="BM475" s="415" t="s">
        <v>337</v>
      </c>
      <c r="BP475" s="415" t="s">
        <v>337</v>
      </c>
      <c r="BS475" s="415"/>
      <c r="BV475" s="415" t="s">
        <v>337</v>
      </c>
      <c r="BY475" s="415" t="s">
        <v>337</v>
      </c>
      <c r="CB475" s="415" t="s">
        <v>337</v>
      </c>
      <c r="CE475" s="415" t="s">
        <v>337</v>
      </c>
      <c r="CH475" s="415" t="s">
        <v>337</v>
      </c>
      <c r="CK475" s="415" t="s">
        <v>337</v>
      </c>
      <c r="CN475" s="415" t="s">
        <v>337</v>
      </c>
      <c r="CQ475" s="415" t="s">
        <v>337</v>
      </c>
      <c r="CT475" s="415" t="s">
        <v>337</v>
      </c>
    </row>
    <row r="476" spans="1:98">
      <c r="A476" s="1" t="s">
        <v>1161</v>
      </c>
      <c r="B476" s="416" t="s">
        <v>5064</v>
      </c>
      <c r="S476" s="213" t="s">
        <v>5065</v>
      </c>
      <c r="T476" s="416" t="s">
        <v>5066</v>
      </c>
      <c r="U476" s="415" t="s">
        <v>337</v>
      </c>
      <c r="X476" s="415"/>
      <c r="AA476" s="415"/>
      <c r="AD476" s="415"/>
      <c r="AE476" s="417" t="s">
        <v>5067</v>
      </c>
      <c r="AF476" s="416" t="s">
        <v>5068</v>
      </c>
      <c r="AG476" s="415"/>
      <c r="AJ476" s="415" t="s">
        <v>337</v>
      </c>
      <c r="AM476" s="415" t="s">
        <v>337</v>
      </c>
      <c r="AP476" s="415" t="s">
        <v>337</v>
      </c>
      <c r="AS476" s="415" t="s">
        <v>337</v>
      </c>
      <c r="AV476" s="415" t="s">
        <v>337</v>
      </c>
      <c r="AY476" s="415" t="s">
        <v>337</v>
      </c>
      <c r="BB476" s="415" t="s">
        <v>337</v>
      </c>
      <c r="BE476" s="415" t="s">
        <v>337</v>
      </c>
      <c r="BH476" s="415" t="s">
        <v>337</v>
      </c>
      <c r="BM476" s="415" t="s">
        <v>337</v>
      </c>
      <c r="BP476" s="415" t="s">
        <v>337</v>
      </c>
      <c r="BS476" s="415"/>
      <c r="BV476" s="415" t="s">
        <v>337</v>
      </c>
      <c r="BY476" s="415" t="s">
        <v>337</v>
      </c>
      <c r="CB476" s="415" t="s">
        <v>337</v>
      </c>
      <c r="CE476" s="415" t="s">
        <v>337</v>
      </c>
      <c r="CH476" s="415" t="s">
        <v>337</v>
      </c>
      <c r="CK476" s="415" t="s">
        <v>337</v>
      </c>
      <c r="CN476" s="415" t="s">
        <v>337</v>
      </c>
      <c r="CQ476" s="415" t="s">
        <v>337</v>
      </c>
      <c r="CT476" s="415" t="s">
        <v>337</v>
      </c>
    </row>
    <row r="477" spans="1:98">
      <c r="A477" s="1" t="s">
        <v>1161</v>
      </c>
      <c r="B477" s="416" t="s">
        <v>5069</v>
      </c>
      <c r="S477" s="213" t="s">
        <v>5070</v>
      </c>
      <c r="T477" s="416" t="s">
        <v>4786</v>
      </c>
      <c r="U477" s="415" t="s">
        <v>337</v>
      </c>
      <c r="X477" s="415"/>
      <c r="AA477" s="415"/>
      <c r="AD477" s="415"/>
      <c r="AE477" s="417" t="s">
        <v>5071</v>
      </c>
      <c r="AF477" s="416" t="s">
        <v>5072</v>
      </c>
      <c r="AG477" s="415"/>
      <c r="AJ477" s="415" t="s">
        <v>337</v>
      </c>
      <c r="AM477" s="415" t="s">
        <v>337</v>
      </c>
      <c r="AP477" s="415" t="s">
        <v>337</v>
      </c>
      <c r="AS477" s="415" t="s">
        <v>337</v>
      </c>
      <c r="AV477" s="415" t="s">
        <v>337</v>
      </c>
      <c r="AY477" s="415" t="s">
        <v>337</v>
      </c>
      <c r="BB477" s="415" t="s">
        <v>337</v>
      </c>
      <c r="BE477" s="415" t="s">
        <v>337</v>
      </c>
      <c r="BH477" s="415" t="s">
        <v>337</v>
      </c>
      <c r="BM477" s="415" t="s">
        <v>337</v>
      </c>
      <c r="BP477" s="415" t="s">
        <v>337</v>
      </c>
      <c r="BS477" s="415"/>
      <c r="BV477" s="415" t="s">
        <v>337</v>
      </c>
      <c r="BY477" s="415" t="s">
        <v>337</v>
      </c>
      <c r="CB477" s="415" t="s">
        <v>337</v>
      </c>
      <c r="CE477" s="415" t="s">
        <v>337</v>
      </c>
      <c r="CH477" s="415" t="s">
        <v>337</v>
      </c>
      <c r="CK477" s="415" t="s">
        <v>337</v>
      </c>
      <c r="CN477" s="415" t="s">
        <v>337</v>
      </c>
      <c r="CQ477" s="415" t="s">
        <v>337</v>
      </c>
      <c r="CT477" s="415" t="s">
        <v>337</v>
      </c>
    </row>
    <row r="478" spans="1:98">
      <c r="A478" s="1" t="s">
        <v>1161</v>
      </c>
      <c r="B478" s="416" t="s">
        <v>5073</v>
      </c>
      <c r="S478" s="213" t="s">
        <v>5074</v>
      </c>
      <c r="T478" s="416" t="s">
        <v>5075</v>
      </c>
      <c r="U478" s="415" t="s">
        <v>337</v>
      </c>
      <c r="X478" s="415"/>
      <c r="AA478" s="415"/>
      <c r="AD478" s="415"/>
      <c r="AE478" s="417" t="s">
        <v>5076</v>
      </c>
      <c r="AF478" s="416" t="s">
        <v>5077</v>
      </c>
      <c r="AG478" s="415"/>
      <c r="AJ478" s="415" t="s">
        <v>337</v>
      </c>
      <c r="AM478" s="415" t="s">
        <v>337</v>
      </c>
      <c r="AP478" s="415" t="s">
        <v>337</v>
      </c>
      <c r="AS478" s="415" t="s">
        <v>337</v>
      </c>
      <c r="AV478" s="415" t="s">
        <v>337</v>
      </c>
      <c r="AY478" s="415" t="s">
        <v>337</v>
      </c>
      <c r="BB478" s="415" t="s">
        <v>337</v>
      </c>
      <c r="BE478" s="415" t="s">
        <v>337</v>
      </c>
      <c r="BH478" s="415" t="s">
        <v>337</v>
      </c>
      <c r="BM478" s="415" t="s">
        <v>337</v>
      </c>
      <c r="BP478" s="415" t="s">
        <v>337</v>
      </c>
      <c r="BS478" s="415"/>
      <c r="BV478" s="415" t="s">
        <v>337</v>
      </c>
      <c r="BY478" s="415" t="s">
        <v>337</v>
      </c>
      <c r="CB478" s="415" t="s">
        <v>337</v>
      </c>
      <c r="CE478" s="415" t="s">
        <v>337</v>
      </c>
      <c r="CH478" s="415" t="s">
        <v>337</v>
      </c>
      <c r="CK478" s="415" t="s">
        <v>337</v>
      </c>
      <c r="CN478" s="415" t="s">
        <v>337</v>
      </c>
      <c r="CQ478" s="415" t="s">
        <v>337</v>
      </c>
      <c r="CT478" s="415" t="s">
        <v>337</v>
      </c>
    </row>
    <row r="479" spans="1:98">
      <c r="A479" s="1" t="s">
        <v>1161</v>
      </c>
      <c r="B479" s="416" t="s">
        <v>5078</v>
      </c>
      <c r="S479" s="213" t="s">
        <v>5079</v>
      </c>
      <c r="T479" s="416" t="s">
        <v>5080</v>
      </c>
      <c r="U479" s="415" t="s">
        <v>337</v>
      </c>
      <c r="X479" s="415"/>
      <c r="AA479" s="415"/>
      <c r="AD479" s="415"/>
      <c r="AE479" s="417" t="s">
        <v>5081</v>
      </c>
      <c r="AF479" s="416" t="s">
        <v>5082</v>
      </c>
      <c r="AG479" s="415"/>
      <c r="AJ479" s="415" t="s">
        <v>337</v>
      </c>
      <c r="AM479" s="415" t="s">
        <v>337</v>
      </c>
      <c r="AP479" s="415" t="s">
        <v>337</v>
      </c>
      <c r="AS479" s="415" t="s">
        <v>337</v>
      </c>
      <c r="AV479" s="415" t="s">
        <v>337</v>
      </c>
      <c r="AY479" s="415" t="s">
        <v>337</v>
      </c>
      <c r="BB479" s="415" t="s">
        <v>337</v>
      </c>
      <c r="BE479" s="415" t="s">
        <v>337</v>
      </c>
      <c r="BH479" s="415" t="s">
        <v>337</v>
      </c>
      <c r="BM479" s="415" t="s">
        <v>337</v>
      </c>
      <c r="BP479" s="415" t="s">
        <v>337</v>
      </c>
      <c r="BS479" s="415"/>
      <c r="BV479" s="415" t="s">
        <v>337</v>
      </c>
      <c r="BY479" s="415" t="s">
        <v>337</v>
      </c>
      <c r="CB479" s="415" t="s">
        <v>337</v>
      </c>
      <c r="CE479" s="415" t="s">
        <v>337</v>
      </c>
      <c r="CH479" s="415" t="s">
        <v>337</v>
      </c>
      <c r="CK479" s="415" t="s">
        <v>337</v>
      </c>
      <c r="CN479" s="415" t="s">
        <v>337</v>
      </c>
      <c r="CQ479" s="415" t="s">
        <v>337</v>
      </c>
      <c r="CT479" s="415" t="s">
        <v>337</v>
      </c>
    </row>
    <row r="480" spans="1:98">
      <c r="A480" s="1" t="s">
        <v>1161</v>
      </c>
      <c r="B480" s="416" t="s">
        <v>5083</v>
      </c>
      <c r="S480" s="213" t="s">
        <v>5084</v>
      </c>
      <c r="T480" s="416" t="s">
        <v>5085</v>
      </c>
      <c r="U480" s="415" t="s">
        <v>337</v>
      </c>
      <c r="X480" s="415"/>
      <c r="AA480" s="415"/>
      <c r="AD480" s="415"/>
      <c r="AE480" s="417" t="s">
        <v>5086</v>
      </c>
      <c r="AF480" s="416" t="s">
        <v>5087</v>
      </c>
      <c r="AG480" s="415"/>
      <c r="AJ480" s="415" t="s">
        <v>337</v>
      </c>
      <c r="AM480" s="415" t="s">
        <v>337</v>
      </c>
      <c r="AP480" s="415" t="s">
        <v>337</v>
      </c>
      <c r="AS480" s="415" t="s">
        <v>337</v>
      </c>
      <c r="AV480" s="415" t="s">
        <v>337</v>
      </c>
      <c r="AY480" s="415" t="s">
        <v>337</v>
      </c>
      <c r="BB480" s="415" t="s">
        <v>337</v>
      </c>
      <c r="BE480" s="415" t="s">
        <v>337</v>
      </c>
      <c r="BH480" s="415" t="s">
        <v>337</v>
      </c>
      <c r="BM480" s="415" t="s">
        <v>337</v>
      </c>
      <c r="BP480" s="415" t="s">
        <v>337</v>
      </c>
      <c r="BS480" s="415"/>
      <c r="BV480" s="415" t="s">
        <v>337</v>
      </c>
      <c r="BY480" s="415" t="s">
        <v>337</v>
      </c>
      <c r="CB480" s="415" t="s">
        <v>337</v>
      </c>
      <c r="CE480" s="415" t="s">
        <v>337</v>
      </c>
      <c r="CH480" s="415" t="s">
        <v>337</v>
      </c>
      <c r="CK480" s="415" t="s">
        <v>337</v>
      </c>
      <c r="CN480" s="415" t="s">
        <v>337</v>
      </c>
      <c r="CQ480" s="415" t="s">
        <v>337</v>
      </c>
      <c r="CT480" s="415" t="s">
        <v>337</v>
      </c>
    </row>
    <row r="481" spans="1:98">
      <c r="A481" s="1" t="s">
        <v>1175</v>
      </c>
      <c r="B481" s="416" t="s">
        <v>5088</v>
      </c>
      <c r="S481" s="213" t="s">
        <v>5089</v>
      </c>
      <c r="T481" s="416" t="s">
        <v>5090</v>
      </c>
      <c r="U481" s="415" t="s">
        <v>337</v>
      </c>
      <c r="X481" s="415"/>
      <c r="AA481" s="415"/>
      <c r="AD481" s="415"/>
      <c r="AE481" s="417" t="s">
        <v>5091</v>
      </c>
      <c r="AF481" s="416" t="s">
        <v>5092</v>
      </c>
      <c r="AG481" s="415"/>
      <c r="AJ481" s="415" t="s">
        <v>337</v>
      </c>
      <c r="AM481" s="415" t="s">
        <v>337</v>
      </c>
      <c r="AP481" s="415" t="s">
        <v>337</v>
      </c>
      <c r="AS481" s="415" t="s">
        <v>337</v>
      </c>
      <c r="AV481" s="415" t="s">
        <v>337</v>
      </c>
      <c r="AY481" s="415" t="s">
        <v>337</v>
      </c>
      <c r="BB481" s="415" t="s">
        <v>337</v>
      </c>
      <c r="BE481" s="415" t="s">
        <v>337</v>
      </c>
      <c r="BH481" s="415" t="s">
        <v>337</v>
      </c>
      <c r="BM481" s="415" t="s">
        <v>337</v>
      </c>
      <c r="BP481" s="415" t="s">
        <v>337</v>
      </c>
      <c r="BS481" s="415"/>
      <c r="BV481" s="415" t="s">
        <v>337</v>
      </c>
      <c r="BY481" s="415" t="s">
        <v>337</v>
      </c>
      <c r="CB481" s="415" t="s">
        <v>337</v>
      </c>
      <c r="CE481" s="415" t="s">
        <v>337</v>
      </c>
      <c r="CH481" s="415" t="s">
        <v>337</v>
      </c>
      <c r="CK481" s="415" t="s">
        <v>337</v>
      </c>
      <c r="CN481" s="415" t="s">
        <v>337</v>
      </c>
      <c r="CQ481" s="415" t="s">
        <v>337</v>
      </c>
      <c r="CT481" s="415" t="s">
        <v>337</v>
      </c>
    </row>
    <row r="482" spans="1:98">
      <c r="A482" s="1" t="s">
        <v>1175</v>
      </c>
      <c r="B482" s="416" t="s">
        <v>5093</v>
      </c>
      <c r="S482" s="213" t="s">
        <v>5094</v>
      </c>
      <c r="T482" s="416" t="s">
        <v>4929</v>
      </c>
      <c r="U482" s="415" t="s">
        <v>337</v>
      </c>
      <c r="X482" s="415"/>
      <c r="AA482" s="415"/>
      <c r="AD482" s="415"/>
      <c r="AE482" s="417" t="s">
        <v>5095</v>
      </c>
      <c r="AF482" s="416" t="s">
        <v>5096</v>
      </c>
      <c r="AG482" s="415"/>
      <c r="AJ482" s="415" t="s">
        <v>337</v>
      </c>
      <c r="AM482" s="415" t="s">
        <v>337</v>
      </c>
      <c r="AP482" s="415" t="s">
        <v>337</v>
      </c>
      <c r="AS482" s="415" t="s">
        <v>337</v>
      </c>
      <c r="AV482" s="415" t="s">
        <v>337</v>
      </c>
      <c r="AY482" s="415" t="s">
        <v>337</v>
      </c>
      <c r="BB482" s="415" t="s">
        <v>337</v>
      </c>
      <c r="BE482" s="415" t="s">
        <v>337</v>
      </c>
      <c r="BH482" s="415" t="s">
        <v>337</v>
      </c>
      <c r="BM482" s="415" t="s">
        <v>337</v>
      </c>
      <c r="BP482" s="415" t="s">
        <v>337</v>
      </c>
      <c r="BS482" s="415"/>
      <c r="BV482" s="415" t="s">
        <v>337</v>
      </c>
      <c r="BY482" s="415" t="s">
        <v>337</v>
      </c>
      <c r="CB482" s="415" t="s">
        <v>337</v>
      </c>
      <c r="CE482" s="415" t="s">
        <v>337</v>
      </c>
      <c r="CH482" s="415" t="s">
        <v>337</v>
      </c>
      <c r="CK482" s="415" t="s">
        <v>337</v>
      </c>
      <c r="CN482" s="415" t="s">
        <v>337</v>
      </c>
      <c r="CQ482" s="415" t="s">
        <v>337</v>
      </c>
      <c r="CT482" s="415" t="s">
        <v>337</v>
      </c>
    </row>
    <row r="483" spans="1:98">
      <c r="A483" s="1" t="s">
        <v>1175</v>
      </c>
      <c r="B483" s="416" t="s">
        <v>5097</v>
      </c>
      <c r="S483" s="213" t="s">
        <v>5098</v>
      </c>
      <c r="T483" s="416" t="s">
        <v>5099</v>
      </c>
      <c r="U483" s="415" t="s">
        <v>337</v>
      </c>
      <c r="X483" s="415"/>
      <c r="AA483" s="415"/>
      <c r="AD483" s="415"/>
      <c r="AE483" s="417" t="s">
        <v>5100</v>
      </c>
      <c r="AF483" s="416" t="s">
        <v>5101</v>
      </c>
      <c r="AG483" s="415"/>
      <c r="AJ483" s="415" t="s">
        <v>337</v>
      </c>
      <c r="AM483" s="415" t="s">
        <v>337</v>
      </c>
      <c r="AP483" s="415" t="s">
        <v>337</v>
      </c>
      <c r="AS483" s="415" t="s">
        <v>337</v>
      </c>
      <c r="AV483" s="415" t="s">
        <v>337</v>
      </c>
      <c r="AY483" s="415" t="s">
        <v>337</v>
      </c>
      <c r="BB483" s="415" t="s">
        <v>337</v>
      </c>
      <c r="BE483" s="415" t="s">
        <v>337</v>
      </c>
      <c r="BH483" s="415" t="s">
        <v>337</v>
      </c>
      <c r="BM483" s="415" t="s">
        <v>337</v>
      </c>
      <c r="BP483" s="415" t="s">
        <v>337</v>
      </c>
      <c r="BS483" s="415"/>
      <c r="BV483" s="415" t="s">
        <v>337</v>
      </c>
      <c r="BY483" s="415" t="s">
        <v>337</v>
      </c>
      <c r="CB483" s="415" t="s">
        <v>337</v>
      </c>
      <c r="CE483" s="415" t="s">
        <v>337</v>
      </c>
      <c r="CH483" s="415" t="s">
        <v>337</v>
      </c>
      <c r="CK483" s="415" t="s">
        <v>337</v>
      </c>
      <c r="CN483" s="415" t="s">
        <v>337</v>
      </c>
      <c r="CQ483" s="415" t="s">
        <v>337</v>
      </c>
      <c r="CT483" s="415" t="s">
        <v>337</v>
      </c>
    </row>
    <row r="484" spans="1:98">
      <c r="A484" s="1" t="s">
        <v>1175</v>
      </c>
      <c r="B484" s="416" t="s">
        <v>5102</v>
      </c>
      <c r="S484" s="213" t="s">
        <v>5103</v>
      </c>
      <c r="T484" s="416" t="s">
        <v>5104</v>
      </c>
      <c r="U484" s="415" t="s">
        <v>337</v>
      </c>
      <c r="X484" s="415"/>
      <c r="AA484" s="415"/>
      <c r="AD484" s="415"/>
      <c r="AE484" s="417" t="s">
        <v>5105</v>
      </c>
      <c r="AF484" s="416" t="s">
        <v>5106</v>
      </c>
      <c r="AG484" s="415"/>
      <c r="AJ484" s="415" t="s">
        <v>337</v>
      </c>
      <c r="AM484" s="415" t="s">
        <v>337</v>
      </c>
      <c r="AP484" s="415" t="s">
        <v>337</v>
      </c>
      <c r="AS484" s="415" t="s">
        <v>337</v>
      </c>
      <c r="AV484" s="415" t="s">
        <v>337</v>
      </c>
      <c r="AY484" s="415" t="s">
        <v>337</v>
      </c>
      <c r="BB484" s="415" t="s">
        <v>337</v>
      </c>
      <c r="BE484" s="415" t="s">
        <v>337</v>
      </c>
      <c r="BH484" s="415" t="s">
        <v>337</v>
      </c>
      <c r="BM484" s="415" t="s">
        <v>337</v>
      </c>
      <c r="BP484" s="415" t="s">
        <v>337</v>
      </c>
      <c r="BS484" s="415"/>
      <c r="BV484" s="415" t="s">
        <v>337</v>
      </c>
      <c r="BY484" s="415" t="s">
        <v>337</v>
      </c>
      <c r="CB484" s="415" t="s">
        <v>337</v>
      </c>
      <c r="CE484" s="415" t="s">
        <v>337</v>
      </c>
      <c r="CH484" s="415" t="s">
        <v>337</v>
      </c>
      <c r="CK484" s="415" t="s">
        <v>337</v>
      </c>
      <c r="CN484" s="415" t="s">
        <v>337</v>
      </c>
      <c r="CQ484" s="415" t="s">
        <v>337</v>
      </c>
      <c r="CT484" s="415" t="s">
        <v>337</v>
      </c>
    </row>
    <row r="485" spans="1:98">
      <c r="A485" s="1" t="s">
        <v>1175</v>
      </c>
      <c r="B485" s="416" t="s">
        <v>5107</v>
      </c>
      <c r="S485" s="213" t="s">
        <v>5108</v>
      </c>
      <c r="T485" s="416" t="s">
        <v>5109</v>
      </c>
      <c r="U485" s="415" t="s">
        <v>337</v>
      </c>
      <c r="X485" s="415"/>
      <c r="AA485" s="415"/>
      <c r="AD485" s="415"/>
      <c r="AE485" s="417" t="s">
        <v>5110</v>
      </c>
      <c r="AF485" s="416" t="s">
        <v>5111</v>
      </c>
      <c r="AG485" s="415"/>
      <c r="AJ485" s="415" t="s">
        <v>337</v>
      </c>
      <c r="AM485" s="415" t="s">
        <v>337</v>
      </c>
      <c r="AP485" s="415" t="s">
        <v>337</v>
      </c>
      <c r="AS485" s="415" t="s">
        <v>337</v>
      </c>
      <c r="AV485" s="415" t="s">
        <v>337</v>
      </c>
      <c r="AY485" s="415" t="s">
        <v>337</v>
      </c>
      <c r="BB485" s="415" t="s">
        <v>337</v>
      </c>
      <c r="BE485" s="415" t="s">
        <v>337</v>
      </c>
      <c r="BH485" s="415" t="s">
        <v>337</v>
      </c>
      <c r="BM485" s="415" t="s">
        <v>337</v>
      </c>
      <c r="BP485" s="415" t="s">
        <v>337</v>
      </c>
      <c r="BS485" s="415"/>
      <c r="BV485" s="415" t="s">
        <v>337</v>
      </c>
      <c r="BY485" s="415" t="s">
        <v>337</v>
      </c>
      <c r="CB485" s="415" t="s">
        <v>337</v>
      </c>
      <c r="CE485" s="415" t="s">
        <v>337</v>
      </c>
      <c r="CH485" s="415" t="s">
        <v>337</v>
      </c>
      <c r="CK485" s="415" t="s">
        <v>337</v>
      </c>
      <c r="CN485" s="415" t="s">
        <v>337</v>
      </c>
      <c r="CQ485" s="415" t="s">
        <v>337</v>
      </c>
      <c r="CT485" s="415" t="s">
        <v>337</v>
      </c>
    </row>
    <row r="486" spans="1:98">
      <c r="A486" s="1" t="s">
        <v>1175</v>
      </c>
      <c r="B486" s="416" t="s">
        <v>5112</v>
      </c>
      <c r="S486" s="213" t="s">
        <v>5113</v>
      </c>
      <c r="T486" s="416" t="s">
        <v>5114</v>
      </c>
      <c r="U486" s="415" t="s">
        <v>337</v>
      </c>
      <c r="X486" s="415"/>
      <c r="AA486" s="415"/>
      <c r="AD486" s="415"/>
      <c r="AE486" s="417" t="s">
        <v>5115</v>
      </c>
      <c r="AF486" s="416" t="s">
        <v>5116</v>
      </c>
      <c r="AG486" s="415"/>
      <c r="AJ486" s="415" t="s">
        <v>337</v>
      </c>
      <c r="AM486" s="415" t="s">
        <v>337</v>
      </c>
      <c r="AP486" s="415" t="s">
        <v>337</v>
      </c>
      <c r="AS486" s="415" t="s">
        <v>337</v>
      </c>
      <c r="AV486" s="415" t="s">
        <v>337</v>
      </c>
      <c r="AY486" s="415" t="s">
        <v>337</v>
      </c>
      <c r="BB486" s="415" t="s">
        <v>337</v>
      </c>
      <c r="BE486" s="415" t="s">
        <v>337</v>
      </c>
      <c r="BH486" s="415" t="s">
        <v>337</v>
      </c>
      <c r="BM486" s="415" t="s">
        <v>337</v>
      </c>
      <c r="BP486" s="415" t="s">
        <v>337</v>
      </c>
      <c r="BS486" s="415"/>
      <c r="BV486" s="415" t="s">
        <v>337</v>
      </c>
      <c r="BY486" s="415" t="s">
        <v>337</v>
      </c>
      <c r="CB486" s="415" t="s">
        <v>337</v>
      </c>
      <c r="CE486" s="415" t="s">
        <v>337</v>
      </c>
      <c r="CH486" s="415" t="s">
        <v>337</v>
      </c>
      <c r="CK486" s="415" t="s">
        <v>337</v>
      </c>
      <c r="CN486" s="415" t="s">
        <v>337</v>
      </c>
      <c r="CQ486" s="415" t="s">
        <v>337</v>
      </c>
      <c r="CT486" s="415" t="s">
        <v>337</v>
      </c>
    </row>
    <row r="487" spans="1:98">
      <c r="A487" s="1" t="s">
        <v>1175</v>
      </c>
      <c r="B487" s="416" t="s">
        <v>5117</v>
      </c>
      <c r="S487" s="213" t="s">
        <v>5118</v>
      </c>
      <c r="T487" s="416" t="s">
        <v>5119</v>
      </c>
      <c r="U487" s="415" t="s">
        <v>337</v>
      </c>
      <c r="X487" s="415"/>
      <c r="AA487" s="415"/>
      <c r="AD487" s="415"/>
      <c r="AE487" s="417" t="s">
        <v>5120</v>
      </c>
      <c r="AF487" s="416" t="s">
        <v>5121</v>
      </c>
      <c r="AG487" s="415"/>
      <c r="AJ487" s="415" t="s">
        <v>337</v>
      </c>
      <c r="AM487" s="415" t="s">
        <v>337</v>
      </c>
      <c r="AP487" s="415" t="s">
        <v>337</v>
      </c>
      <c r="AS487" s="415" t="s">
        <v>337</v>
      </c>
      <c r="AV487" s="415" t="s">
        <v>337</v>
      </c>
      <c r="AY487" s="415" t="s">
        <v>337</v>
      </c>
      <c r="BB487" s="415" t="s">
        <v>337</v>
      </c>
      <c r="BE487" s="415" t="s">
        <v>337</v>
      </c>
      <c r="BH487" s="415" t="s">
        <v>337</v>
      </c>
      <c r="BM487" s="415" t="s">
        <v>337</v>
      </c>
      <c r="BP487" s="415" t="s">
        <v>337</v>
      </c>
      <c r="BS487" s="415"/>
      <c r="BV487" s="415" t="s">
        <v>337</v>
      </c>
      <c r="BY487" s="415" t="s">
        <v>337</v>
      </c>
      <c r="CB487" s="415" t="s">
        <v>337</v>
      </c>
      <c r="CE487" s="415" t="s">
        <v>337</v>
      </c>
      <c r="CH487" s="415" t="s">
        <v>337</v>
      </c>
      <c r="CK487" s="415" t="s">
        <v>337</v>
      </c>
      <c r="CN487" s="415" t="s">
        <v>337</v>
      </c>
      <c r="CQ487" s="415" t="s">
        <v>337</v>
      </c>
      <c r="CT487" s="415" t="s">
        <v>337</v>
      </c>
    </row>
    <row r="488" spans="1:98">
      <c r="A488" s="1" t="s">
        <v>1175</v>
      </c>
      <c r="B488" s="416" t="s">
        <v>5122</v>
      </c>
      <c r="S488" s="213" t="s">
        <v>5123</v>
      </c>
      <c r="T488" s="416" t="s">
        <v>5124</v>
      </c>
      <c r="U488" s="415" t="s">
        <v>337</v>
      </c>
      <c r="X488" s="415"/>
      <c r="AA488" s="415"/>
      <c r="AD488" s="415"/>
      <c r="AE488" s="417" t="s">
        <v>5125</v>
      </c>
      <c r="AF488" s="416" t="s">
        <v>5126</v>
      </c>
      <c r="AG488" s="415"/>
      <c r="AJ488" s="415" t="s">
        <v>337</v>
      </c>
      <c r="AM488" s="415" t="s">
        <v>337</v>
      </c>
      <c r="AP488" s="415" t="s">
        <v>337</v>
      </c>
      <c r="AS488" s="415" t="s">
        <v>337</v>
      </c>
      <c r="AV488" s="415" t="s">
        <v>337</v>
      </c>
      <c r="AY488" s="415" t="s">
        <v>337</v>
      </c>
      <c r="BB488" s="415" t="s">
        <v>337</v>
      </c>
      <c r="BE488" s="415" t="s">
        <v>337</v>
      </c>
      <c r="BH488" s="415" t="s">
        <v>337</v>
      </c>
      <c r="BM488" s="415" t="s">
        <v>337</v>
      </c>
      <c r="BP488" s="415" t="s">
        <v>337</v>
      </c>
      <c r="BS488" s="415"/>
      <c r="BV488" s="415" t="s">
        <v>337</v>
      </c>
      <c r="BY488" s="415" t="s">
        <v>337</v>
      </c>
      <c r="CB488" s="415" t="s">
        <v>337</v>
      </c>
      <c r="CE488" s="415" t="s">
        <v>337</v>
      </c>
      <c r="CH488" s="415" t="s">
        <v>337</v>
      </c>
      <c r="CK488" s="415" t="s">
        <v>337</v>
      </c>
      <c r="CN488" s="415" t="s">
        <v>337</v>
      </c>
      <c r="CQ488" s="415" t="s">
        <v>337</v>
      </c>
      <c r="CT488" s="415" t="s">
        <v>337</v>
      </c>
    </row>
    <row r="489" spans="1:98">
      <c r="A489" s="1" t="s">
        <v>1175</v>
      </c>
      <c r="B489" s="416" t="s">
        <v>5127</v>
      </c>
      <c r="S489" s="213" t="s">
        <v>5128</v>
      </c>
      <c r="T489" s="416" t="s">
        <v>5129</v>
      </c>
      <c r="U489" s="415" t="s">
        <v>337</v>
      </c>
      <c r="X489" s="415"/>
      <c r="AA489" s="415"/>
      <c r="AD489" s="415"/>
      <c r="AE489" s="417" t="s">
        <v>5130</v>
      </c>
      <c r="AF489" s="416" t="s">
        <v>5131</v>
      </c>
      <c r="AG489" s="415"/>
      <c r="AJ489" s="415" t="s">
        <v>337</v>
      </c>
      <c r="AM489" s="415" t="s">
        <v>337</v>
      </c>
      <c r="AP489" s="415" t="s">
        <v>337</v>
      </c>
      <c r="AS489" s="415" t="s">
        <v>337</v>
      </c>
      <c r="AV489" s="415" t="s">
        <v>337</v>
      </c>
      <c r="AY489" s="415" t="s">
        <v>337</v>
      </c>
      <c r="BB489" s="415" t="s">
        <v>337</v>
      </c>
      <c r="BE489" s="415" t="s">
        <v>337</v>
      </c>
      <c r="BH489" s="415" t="s">
        <v>337</v>
      </c>
      <c r="BM489" s="415" t="s">
        <v>337</v>
      </c>
      <c r="BP489" s="415" t="s">
        <v>337</v>
      </c>
      <c r="BS489" s="415"/>
      <c r="BV489" s="415" t="s">
        <v>337</v>
      </c>
      <c r="BY489" s="415" t="s">
        <v>337</v>
      </c>
      <c r="CB489" s="415" t="s">
        <v>337</v>
      </c>
      <c r="CE489" s="415" t="s">
        <v>337</v>
      </c>
      <c r="CH489" s="415" t="s">
        <v>337</v>
      </c>
      <c r="CK489" s="415" t="s">
        <v>337</v>
      </c>
      <c r="CN489" s="415" t="s">
        <v>337</v>
      </c>
      <c r="CQ489" s="415" t="s">
        <v>337</v>
      </c>
      <c r="CT489" s="415" t="s">
        <v>337</v>
      </c>
    </row>
    <row r="490" spans="1:98">
      <c r="A490" s="1" t="s">
        <v>1175</v>
      </c>
      <c r="B490" s="416" t="s">
        <v>5132</v>
      </c>
      <c r="S490" s="213" t="s">
        <v>5133</v>
      </c>
      <c r="T490" s="416" t="s">
        <v>3242</v>
      </c>
      <c r="U490" s="415" t="s">
        <v>337</v>
      </c>
      <c r="X490" s="415"/>
      <c r="AA490" s="415"/>
      <c r="AD490" s="415"/>
      <c r="AE490" s="417" t="s">
        <v>5134</v>
      </c>
      <c r="AF490" s="416" t="s">
        <v>5135</v>
      </c>
      <c r="AG490" s="415"/>
      <c r="AJ490" s="415" t="s">
        <v>337</v>
      </c>
      <c r="AM490" s="415" t="s">
        <v>337</v>
      </c>
      <c r="AP490" s="415" t="s">
        <v>337</v>
      </c>
      <c r="AS490" s="415" t="s">
        <v>337</v>
      </c>
      <c r="AV490" s="415" t="s">
        <v>337</v>
      </c>
      <c r="AY490" s="415" t="s">
        <v>337</v>
      </c>
      <c r="BB490" s="415" t="s">
        <v>337</v>
      </c>
      <c r="BE490" s="415" t="s">
        <v>337</v>
      </c>
      <c r="BH490" s="415" t="s">
        <v>337</v>
      </c>
      <c r="BM490" s="415" t="s">
        <v>337</v>
      </c>
      <c r="BP490" s="415" t="s">
        <v>337</v>
      </c>
      <c r="BS490" s="415"/>
      <c r="BV490" s="415" t="s">
        <v>337</v>
      </c>
      <c r="BY490" s="415" t="s">
        <v>337</v>
      </c>
      <c r="CB490" s="415" t="s">
        <v>337</v>
      </c>
      <c r="CE490" s="415" t="s">
        <v>337</v>
      </c>
      <c r="CH490" s="415" t="s">
        <v>337</v>
      </c>
      <c r="CK490" s="415" t="s">
        <v>337</v>
      </c>
      <c r="CN490" s="415" t="s">
        <v>337</v>
      </c>
      <c r="CQ490" s="415" t="s">
        <v>337</v>
      </c>
      <c r="CT490" s="415" t="s">
        <v>337</v>
      </c>
    </row>
    <row r="491" spans="1:98">
      <c r="A491" s="1" t="s">
        <v>1175</v>
      </c>
      <c r="B491" s="416" t="s">
        <v>5136</v>
      </c>
      <c r="S491" s="213" t="s">
        <v>5137</v>
      </c>
      <c r="T491" s="416" t="s">
        <v>5138</v>
      </c>
      <c r="U491" s="415" t="s">
        <v>337</v>
      </c>
      <c r="X491" s="415"/>
      <c r="AA491" s="415"/>
      <c r="AD491" s="415"/>
      <c r="AE491" s="417" t="s">
        <v>5139</v>
      </c>
      <c r="AF491" s="416" t="s">
        <v>5140</v>
      </c>
      <c r="AG491" s="415"/>
      <c r="AJ491" s="415" t="s">
        <v>337</v>
      </c>
      <c r="AM491" s="415" t="s">
        <v>337</v>
      </c>
      <c r="AP491" s="415" t="s">
        <v>337</v>
      </c>
      <c r="AS491" s="415" t="s">
        <v>337</v>
      </c>
      <c r="AV491" s="415" t="s">
        <v>337</v>
      </c>
      <c r="AY491" s="415" t="s">
        <v>337</v>
      </c>
      <c r="BB491" s="415" t="s">
        <v>337</v>
      </c>
      <c r="BE491" s="415" t="s">
        <v>337</v>
      </c>
      <c r="BH491" s="415" t="s">
        <v>337</v>
      </c>
      <c r="BM491" s="415" t="s">
        <v>337</v>
      </c>
      <c r="BP491" s="415" t="s">
        <v>337</v>
      </c>
      <c r="BS491" s="415"/>
      <c r="BV491" s="415" t="s">
        <v>337</v>
      </c>
      <c r="BY491" s="415" t="s">
        <v>337</v>
      </c>
      <c r="CB491" s="415" t="s">
        <v>337</v>
      </c>
      <c r="CE491" s="415" t="s">
        <v>337</v>
      </c>
      <c r="CH491" s="415" t="s">
        <v>337</v>
      </c>
      <c r="CK491" s="415" t="s">
        <v>337</v>
      </c>
      <c r="CN491" s="415" t="s">
        <v>337</v>
      </c>
      <c r="CQ491" s="415" t="s">
        <v>337</v>
      </c>
      <c r="CT491" s="415" t="s">
        <v>337</v>
      </c>
    </row>
    <row r="492" spans="1:98">
      <c r="A492" s="1" t="s">
        <v>1175</v>
      </c>
      <c r="B492" s="416" t="s">
        <v>5141</v>
      </c>
      <c r="S492" s="213" t="s">
        <v>5142</v>
      </c>
      <c r="T492" s="416" t="s">
        <v>5143</v>
      </c>
      <c r="U492" s="415" t="s">
        <v>337</v>
      </c>
      <c r="X492" s="415"/>
      <c r="AA492" s="415"/>
      <c r="AD492" s="415"/>
      <c r="AE492" s="417" t="s">
        <v>5144</v>
      </c>
      <c r="AF492" s="416" t="s">
        <v>5145</v>
      </c>
      <c r="AG492" s="415"/>
      <c r="AJ492" s="415" t="s">
        <v>337</v>
      </c>
      <c r="AM492" s="415" t="s">
        <v>337</v>
      </c>
      <c r="AP492" s="415" t="s">
        <v>337</v>
      </c>
      <c r="AS492" s="415" t="s">
        <v>337</v>
      </c>
      <c r="AV492" s="415" t="s">
        <v>337</v>
      </c>
      <c r="AY492" s="415" t="s">
        <v>337</v>
      </c>
      <c r="BB492" s="415" t="s">
        <v>337</v>
      </c>
      <c r="BE492" s="415" t="s">
        <v>337</v>
      </c>
      <c r="BH492" s="415" t="s">
        <v>337</v>
      </c>
      <c r="BM492" s="415" t="s">
        <v>337</v>
      </c>
      <c r="BP492" s="415" t="s">
        <v>337</v>
      </c>
      <c r="BS492" s="415"/>
      <c r="BV492" s="415" t="s">
        <v>337</v>
      </c>
      <c r="BY492" s="415" t="s">
        <v>337</v>
      </c>
      <c r="CB492" s="415" t="s">
        <v>337</v>
      </c>
      <c r="CE492" s="415" t="s">
        <v>337</v>
      </c>
      <c r="CH492" s="415" t="s">
        <v>337</v>
      </c>
      <c r="CK492" s="415" t="s">
        <v>337</v>
      </c>
      <c r="CN492" s="415" t="s">
        <v>337</v>
      </c>
      <c r="CQ492" s="415" t="s">
        <v>337</v>
      </c>
      <c r="CT492" s="415" t="s">
        <v>337</v>
      </c>
    </row>
    <row r="493" spans="1:98">
      <c r="A493" s="1" t="s">
        <v>1175</v>
      </c>
      <c r="B493" s="416" t="s">
        <v>5146</v>
      </c>
      <c r="S493" s="213" t="s">
        <v>5147</v>
      </c>
      <c r="T493" s="416" t="s">
        <v>5148</v>
      </c>
      <c r="U493" s="415" t="s">
        <v>337</v>
      </c>
      <c r="X493" s="415"/>
      <c r="AA493" s="415"/>
      <c r="AD493" s="415"/>
      <c r="AE493" s="417" t="s">
        <v>5149</v>
      </c>
      <c r="AF493" s="416" t="s">
        <v>5150</v>
      </c>
      <c r="AG493" s="415"/>
      <c r="AJ493" s="415" t="s">
        <v>337</v>
      </c>
      <c r="AM493" s="415" t="s">
        <v>337</v>
      </c>
      <c r="AP493" s="415" t="s">
        <v>337</v>
      </c>
      <c r="AS493" s="415" t="s">
        <v>337</v>
      </c>
      <c r="AV493" s="415" t="s">
        <v>337</v>
      </c>
      <c r="AY493" s="415" t="s">
        <v>337</v>
      </c>
      <c r="BB493" s="415" t="s">
        <v>337</v>
      </c>
      <c r="BE493" s="415" t="s">
        <v>337</v>
      </c>
      <c r="BH493" s="415" t="s">
        <v>337</v>
      </c>
      <c r="BM493" s="415" t="s">
        <v>337</v>
      </c>
      <c r="BP493" s="415" t="s">
        <v>337</v>
      </c>
      <c r="BS493" s="415"/>
      <c r="BV493" s="415" t="s">
        <v>337</v>
      </c>
      <c r="BY493" s="415" t="s">
        <v>337</v>
      </c>
      <c r="CB493" s="415" t="s">
        <v>337</v>
      </c>
      <c r="CE493" s="415" t="s">
        <v>337</v>
      </c>
      <c r="CH493" s="415" t="s">
        <v>337</v>
      </c>
      <c r="CK493" s="415" t="s">
        <v>337</v>
      </c>
      <c r="CN493" s="415" t="s">
        <v>337</v>
      </c>
      <c r="CQ493" s="415" t="s">
        <v>337</v>
      </c>
      <c r="CT493" s="415" t="s">
        <v>337</v>
      </c>
    </row>
    <row r="494" spans="1:98">
      <c r="A494" s="1" t="s">
        <v>1191</v>
      </c>
      <c r="B494" s="416" t="s">
        <v>5088</v>
      </c>
      <c r="S494" s="213" t="s">
        <v>5151</v>
      </c>
      <c r="T494" s="416" t="s">
        <v>5152</v>
      </c>
      <c r="U494" s="415" t="s">
        <v>337</v>
      </c>
      <c r="X494" s="415"/>
      <c r="AA494" s="415"/>
      <c r="AD494" s="415"/>
      <c r="AE494" s="417" t="s">
        <v>5153</v>
      </c>
      <c r="AF494" s="416" t="s">
        <v>5154</v>
      </c>
      <c r="AG494" s="415"/>
      <c r="AJ494" s="415" t="s">
        <v>337</v>
      </c>
      <c r="AM494" s="415" t="s">
        <v>337</v>
      </c>
      <c r="AP494" s="415" t="s">
        <v>337</v>
      </c>
      <c r="AS494" s="415" t="s">
        <v>337</v>
      </c>
      <c r="AV494" s="415" t="s">
        <v>337</v>
      </c>
      <c r="AY494" s="415" t="s">
        <v>337</v>
      </c>
      <c r="BB494" s="415" t="s">
        <v>337</v>
      </c>
      <c r="BE494" s="415" t="s">
        <v>337</v>
      </c>
      <c r="BH494" s="415" t="s">
        <v>337</v>
      </c>
      <c r="BM494" s="415" t="s">
        <v>337</v>
      </c>
      <c r="BP494" s="415" t="s">
        <v>337</v>
      </c>
      <c r="BS494" s="415"/>
      <c r="BV494" s="415" t="s">
        <v>337</v>
      </c>
      <c r="BY494" s="415" t="s">
        <v>337</v>
      </c>
      <c r="CB494" s="415" t="s">
        <v>337</v>
      </c>
      <c r="CE494" s="415" t="s">
        <v>337</v>
      </c>
      <c r="CH494" s="415" t="s">
        <v>337</v>
      </c>
      <c r="CK494" s="415" t="s">
        <v>337</v>
      </c>
      <c r="CN494" s="415" t="s">
        <v>337</v>
      </c>
      <c r="CQ494" s="415" t="s">
        <v>337</v>
      </c>
      <c r="CT494" s="415" t="s">
        <v>337</v>
      </c>
    </row>
    <row r="495" spans="1:98">
      <c r="A495" s="1" t="s">
        <v>1191</v>
      </c>
      <c r="B495" s="416" t="s">
        <v>5097</v>
      </c>
      <c r="S495" s="213" t="s">
        <v>5155</v>
      </c>
      <c r="T495" s="416" t="s">
        <v>5156</v>
      </c>
      <c r="U495" s="415" t="s">
        <v>337</v>
      </c>
      <c r="X495" s="415"/>
      <c r="AA495" s="415"/>
      <c r="AD495" s="415"/>
      <c r="AE495" s="417" t="s">
        <v>5157</v>
      </c>
      <c r="AF495" s="416" t="s">
        <v>5158</v>
      </c>
      <c r="AG495" s="415"/>
      <c r="AJ495" s="415" t="s">
        <v>337</v>
      </c>
      <c r="AM495" s="415" t="s">
        <v>337</v>
      </c>
      <c r="AP495" s="415" t="s">
        <v>337</v>
      </c>
      <c r="AS495" s="415" t="s">
        <v>337</v>
      </c>
      <c r="AV495" s="415" t="s">
        <v>337</v>
      </c>
      <c r="AY495" s="415" t="s">
        <v>337</v>
      </c>
      <c r="BB495" s="415" t="s">
        <v>337</v>
      </c>
      <c r="BE495" s="415" t="s">
        <v>337</v>
      </c>
      <c r="BH495" s="415" t="s">
        <v>337</v>
      </c>
      <c r="BM495" s="415" t="s">
        <v>337</v>
      </c>
      <c r="BP495" s="415" t="s">
        <v>337</v>
      </c>
      <c r="BS495" s="415"/>
      <c r="BV495" s="415" t="s">
        <v>337</v>
      </c>
      <c r="BY495" s="415" t="s">
        <v>337</v>
      </c>
      <c r="CB495" s="415" t="s">
        <v>337</v>
      </c>
      <c r="CE495" s="415" t="s">
        <v>337</v>
      </c>
      <c r="CH495" s="415" t="s">
        <v>337</v>
      </c>
      <c r="CK495" s="415" t="s">
        <v>337</v>
      </c>
      <c r="CN495" s="415" t="s">
        <v>337</v>
      </c>
      <c r="CQ495" s="415" t="s">
        <v>337</v>
      </c>
      <c r="CT495" s="415" t="s">
        <v>337</v>
      </c>
    </row>
    <row r="496" spans="1:98">
      <c r="A496" s="1" t="s">
        <v>1191</v>
      </c>
      <c r="B496" s="416" t="s">
        <v>5102</v>
      </c>
      <c r="S496" s="213" t="s">
        <v>5159</v>
      </c>
      <c r="T496" s="416" t="s">
        <v>5160</v>
      </c>
      <c r="U496" s="415" t="s">
        <v>337</v>
      </c>
      <c r="X496" s="415"/>
      <c r="AA496" s="415"/>
      <c r="AD496" s="415"/>
      <c r="AE496" s="417" t="s">
        <v>5161</v>
      </c>
      <c r="AF496" s="416" t="s">
        <v>5162</v>
      </c>
      <c r="AG496" s="415"/>
      <c r="AJ496" s="415" t="s">
        <v>337</v>
      </c>
      <c r="AM496" s="415" t="s">
        <v>337</v>
      </c>
      <c r="AP496" s="415" t="s">
        <v>337</v>
      </c>
      <c r="AS496" s="415" t="s">
        <v>337</v>
      </c>
      <c r="AV496" s="415" t="s">
        <v>337</v>
      </c>
      <c r="AY496" s="415" t="s">
        <v>337</v>
      </c>
      <c r="BB496" s="415" t="s">
        <v>337</v>
      </c>
      <c r="BE496" s="415" t="s">
        <v>337</v>
      </c>
      <c r="BH496" s="415" t="s">
        <v>337</v>
      </c>
      <c r="BM496" s="415" t="s">
        <v>337</v>
      </c>
      <c r="BP496" s="415" t="s">
        <v>337</v>
      </c>
      <c r="BS496" s="415"/>
      <c r="BV496" s="415" t="s">
        <v>337</v>
      </c>
      <c r="BY496" s="415" t="s">
        <v>337</v>
      </c>
      <c r="CB496" s="415" t="s">
        <v>337</v>
      </c>
      <c r="CE496" s="415" t="s">
        <v>337</v>
      </c>
      <c r="CH496" s="415" t="s">
        <v>337</v>
      </c>
      <c r="CK496" s="415" t="s">
        <v>337</v>
      </c>
      <c r="CN496" s="415" t="s">
        <v>337</v>
      </c>
      <c r="CQ496" s="415" t="s">
        <v>337</v>
      </c>
      <c r="CT496" s="415" t="s">
        <v>337</v>
      </c>
    </row>
    <row r="497" spans="1:98">
      <c r="A497" s="1" t="s">
        <v>1191</v>
      </c>
      <c r="B497" s="416" t="s">
        <v>5163</v>
      </c>
      <c r="S497" s="213" t="s">
        <v>5164</v>
      </c>
      <c r="T497" s="416" t="s">
        <v>5165</v>
      </c>
      <c r="U497" s="415" t="s">
        <v>337</v>
      </c>
      <c r="X497" s="415"/>
      <c r="AA497" s="415"/>
      <c r="AD497" s="415"/>
      <c r="AE497" s="417" t="s">
        <v>5166</v>
      </c>
      <c r="AF497" s="416" t="s">
        <v>5167</v>
      </c>
      <c r="AG497" s="415"/>
      <c r="AJ497" s="415" t="s">
        <v>337</v>
      </c>
      <c r="AM497" s="415" t="s">
        <v>337</v>
      </c>
      <c r="AP497" s="415" t="s">
        <v>337</v>
      </c>
      <c r="AS497" s="415" t="s">
        <v>337</v>
      </c>
      <c r="AV497" s="415" t="s">
        <v>337</v>
      </c>
      <c r="AY497" s="415" t="s">
        <v>337</v>
      </c>
      <c r="BB497" s="415" t="s">
        <v>337</v>
      </c>
      <c r="BE497" s="415" t="s">
        <v>337</v>
      </c>
      <c r="BH497" s="415" t="s">
        <v>337</v>
      </c>
      <c r="BM497" s="415" t="s">
        <v>337</v>
      </c>
      <c r="BP497" s="415" t="s">
        <v>337</v>
      </c>
      <c r="BS497" s="415"/>
      <c r="BV497" s="415" t="s">
        <v>337</v>
      </c>
      <c r="BY497" s="415" t="s">
        <v>337</v>
      </c>
      <c r="CB497" s="415" t="s">
        <v>337</v>
      </c>
      <c r="CE497" s="415" t="s">
        <v>337</v>
      </c>
      <c r="CH497" s="415" t="s">
        <v>337</v>
      </c>
      <c r="CK497" s="415" t="s">
        <v>337</v>
      </c>
      <c r="CN497" s="415" t="s">
        <v>337</v>
      </c>
      <c r="CQ497" s="415" t="s">
        <v>337</v>
      </c>
      <c r="CT497" s="415" t="s">
        <v>337</v>
      </c>
    </row>
    <row r="498" spans="1:98">
      <c r="A498" s="1" t="s">
        <v>1191</v>
      </c>
      <c r="B498" s="416" t="s">
        <v>5168</v>
      </c>
      <c r="S498" s="213" t="s">
        <v>5169</v>
      </c>
      <c r="T498" s="416" t="s">
        <v>5170</v>
      </c>
      <c r="U498" s="415" t="s">
        <v>337</v>
      </c>
      <c r="X498" s="415"/>
      <c r="AA498" s="415"/>
      <c r="AD498" s="415"/>
      <c r="AE498" s="417" t="s">
        <v>5171</v>
      </c>
      <c r="AF498" s="416" t="s">
        <v>5172</v>
      </c>
      <c r="AG498" s="415"/>
      <c r="AJ498" s="415" t="s">
        <v>337</v>
      </c>
      <c r="AM498" s="415" t="s">
        <v>337</v>
      </c>
      <c r="AP498" s="415" t="s">
        <v>337</v>
      </c>
      <c r="AS498" s="415" t="s">
        <v>337</v>
      </c>
      <c r="AV498" s="415" t="s">
        <v>337</v>
      </c>
      <c r="AY498" s="415" t="s">
        <v>337</v>
      </c>
      <c r="BB498" s="415" t="s">
        <v>337</v>
      </c>
      <c r="BE498" s="415" t="s">
        <v>337</v>
      </c>
      <c r="BH498" s="415" t="s">
        <v>337</v>
      </c>
      <c r="BM498" s="415" t="s">
        <v>337</v>
      </c>
      <c r="BP498" s="415" t="s">
        <v>337</v>
      </c>
      <c r="BS498" s="415"/>
      <c r="BV498" s="415" t="s">
        <v>337</v>
      </c>
      <c r="BY498" s="415" t="s">
        <v>337</v>
      </c>
      <c r="CB498" s="415" t="s">
        <v>337</v>
      </c>
      <c r="CE498" s="415" t="s">
        <v>337</v>
      </c>
      <c r="CH498" s="415" t="s">
        <v>337</v>
      </c>
      <c r="CK498" s="415" t="s">
        <v>337</v>
      </c>
      <c r="CN498" s="415" t="s">
        <v>337</v>
      </c>
      <c r="CQ498" s="415" t="s">
        <v>337</v>
      </c>
      <c r="CT498" s="415" t="s">
        <v>337</v>
      </c>
    </row>
    <row r="499" spans="1:98">
      <c r="A499" s="1" t="s">
        <v>1191</v>
      </c>
      <c r="B499" s="416" t="s">
        <v>5122</v>
      </c>
      <c r="S499" s="213" t="s">
        <v>5173</v>
      </c>
      <c r="T499" s="416" t="s">
        <v>3329</v>
      </c>
      <c r="U499" s="415" t="s">
        <v>337</v>
      </c>
      <c r="X499" s="415"/>
      <c r="AA499" s="415"/>
      <c r="AD499" s="415"/>
      <c r="AE499" s="417" t="s">
        <v>5174</v>
      </c>
      <c r="AF499" s="416" t="s">
        <v>5175</v>
      </c>
      <c r="AG499" s="415"/>
      <c r="AJ499" s="415" t="s">
        <v>337</v>
      </c>
      <c r="AM499" s="415" t="s">
        <v>337</v>
      </c>
      <c r="AP499" s="415" t="s">
        <v>337</v>
      </c>
      <c r="AS499" s="415" t="s">
        <v>337</v>
      </c>
      <c r="AV499" s="415" t="s">
        <v>337</v>
      </c>
      <c r="AY499" s="415" t="s">
        <v>337</v>
      </c>
      <c r="BB499" s="415" t="s">
        <v>337</v>
      </c>
      <c r="BE499" s="415" t="s">
        <v>337</v>
      </c>
      <c r="BH499" s="415" t="s">
        <v>337</v>
      </c>
      <c r="BM499" s="415" t="s">
        <v>337</v>
      </c>
      <c r="BP499" s="415" t="s">
        <v>337</v>
      </c>
      <c r="BS499" s="415"/>
      <c r="BV499" s="415" t="s">
        <v>337</v>
      </c>
      <c r="BY499" s="415" t="s">
        <v>337</v>
      </c>
      <c r="CB499" s="415" t="s">
        <v>337</v>
      </c>
      <c r="CE499" s="415" t="s">
        <v>337</v>
      </c>
      <c r="CH499" s="415" t="s">
        <v>337</v>
      </c>
      <c r="CK499" s="415" t="s">
        <v>337</v>
      </c>
      <c r="CN499" s="415" t="s">
        <v>337</v>
      </c>
      <c r="CQ499" s="415" t="s">
        <v>337</v>
      </c>
      <c r="CT499" s="415" t="s">
        <v>337</v>
      </c>
    </row>
    <row r="500" spans="1:98">
      <c r="A500" s="1" t="s">
        <v>1191</v>
      </c>
      <c r="B500" s="416" t="s">
        <v>5176</v>
      </c>
      <c r="S500" s="213" t="s">
        <v>5177</v>
      </c>
      <c r="T500" s="416" t="s">
        <v>5178</v>
      </c>
      <c r="U500" s="415" t="s">
        <v>337</v>
      </c>
      <c r="X500" s="415"/>
      <c r="AA500" s="415"/>
      <c r="AD500" s="415"/>
      <c r="AE500" s="417" t="s">
        <v>5179</v>
      </c>
      <c r="AF500" s="416" t="s">
        <v>5180</v>
      </c>
      <c r="AG500" s="415"/>
      <c r="AJ500" s="415" t="s">
        <v>337</v>
      </c>
      <c r="AM500" s="415" t="s">
        <v>337</v>
      </c>
      <c r="AP500" s="415" t="s">
        <v>337</v>
      </c>
      <c r="AS500" s="415" t="s">
        <v>337</v>
      </c>
      <c r="AV500" s="415" t="s">
        <v>337</v>
      </c>
      <c r="AY500" s="415" t="s">
        <v>337</v>
      </c>
      <c r="BB500" s="415" t="s">
        <v>337</v>
      </c>
      <c r="BE500" s="415" t="s">
        <v>337</v>
      </c>
      <c r="BH500" s="415" t="s">
        <v>337</v>
      </c>
      <c r="BM500" s="415" t="s">
        <v>337</v>
      </c>
      <c r="BP500" s="415" t="s">
        <v>337</v>
      </c>
      <c r="BS500" s="415"/>
      <c r="BV500" s="415" t="s">
        <v>337</v>
      </c>
      <c r="BY500" s="415" t="s">
        <v>337</v>
      </c>
      <c r="CB500" s="415" t="s">
        <v>337</v>
      </c>
      <c r="CE500" s="415" t="s">
        <v>337</v>
      </c>
      <c r="CH500" s="415" t="s">
        <v>337</v>
      </c>
      <c r="CK500" s="415" t="s">
        <v>337</v>
      </c>
      <c r="CN500" s="415" t="s">
        <v>337</v>
      </c>
      <c r="CQ500" s="415" t="s">
        <v>337</v>
      </c>
      <c r="CT500" s="415" t="s">
        <v>337</v>
      </c>
    </row>
    <row r="501" spans="1:98">
      <c r="A501" s="1" t="s">
        <v>1191</v>
      </c>
      <c r="B501" s="416" t="s">
        <v>5181</v>
      </c>
      <c r="S501" s="213" t="s">
        <v>5182</v>
      </c>
      <c r="T501" s="416" t="s">
        <v>5183</v>
      </c>
      <c r="U501" s="415" t="s">
        <v>337</v>
      </c>
      <c r="X501" s="415"/>
      <c r="AA501" s="415"/>
      <c r="AD501" s="415"/>
      <c r="AE501" s="417" t="s">
        <v>5184</v>
      </c>
      <c r="AF501" s="416" t="s">
        <v>5185</v>
      </c>
      <c r="AG501" s="415"/>
      <c r="AJ501" s="415" t="s">
        <v>337</v>
      </c>
      <c r="AM501" s="415" t="s">
        <v>337</v>
      </c>
      <c r="AP501" s="415" t="s">
        <v>337</v>
      </c>
      <c r="AS501" s="415" t="s">
        <v>337</v>
      </c>
      <c r="AV501" s="415" t="s">
        <v>337</v>
      </c>
      <c r="AY501" s="415" t="s">
        <v>337</v>
      </c>
      <c r="BB501" s="415" t="s">
        <v>337</v>
      </c>
      <c r="BE501" s="415" t="s">
        <v>337</v>
      </c>
      <c r="BH501" s="415" t="s">
        <v>337</v>
      </c>
      <c r="BM501" s="415" t="s">
        <v>337</v>
      </c>
      <c r="BP501" s="415" t="s">
        <v>337</v>
      </c>
      <c r="BS501" s="415"/>
      <c r="BV501" s="415" t="s">
        <v>337</v>
      </c>
      <c r="BY501" s="415" t="s">
        <v>337</v>
      </c>
      <c r="CB501" s="415" t="s">
        <v>337</v>
      </c>
      <c r="CE501" s="415" t="s">
        <v>337</v>
      </c>
      <c r="CH501" s="415" t="s">
        <v>337</v>
      </c>
      <c r="CK501" s="415" t="s">
        <v>337</v>
      </c>
      <c r="CN501" s="415" t="s">
        <v>337</v>
      </c>
      <c r="CQ501" s="415" t="s">
        <v>337</v>
      </c>
      <c r="CT501" s="415" t="s">
        <v>337</v>
      </c>
    </row>
    <row r="502" spans="1:98">
      <c r="A502" s="1" t="s">
        <v>1191</v>
      </c>
      <c r="B502" s="416" t="s">
        <v>5186</v>
      </c>
      <c r="S502" s="213" t="s">
        <v>5187</v>
      </c>
      <c r="T502" s="416" t="s">
        <v>5188</v>
      </c>
      <c r="U502" s="415" t="s">
        <v>337</v>
      </c>
      <c r="X502" s="415"/>
      <c r="AA502" s="415"/>
      <c r="AD502" s="415"/>
      <c r="AE502" s="417" t="s">
        <v>5189</v>
      </c>
      <c r="AF502" s="416" t="s">
        <v>5190</v>
      </c>
      <c r="AG502" s="415"/>
      <c r="AJ502" s="415" t="s">
        <v>337</v>
      </c>
      <c r="AM502" s="415" t="s">
        <v>337</v>
      </c>
      <c r="AP502" s="415" t="s">
        <v>337</v>
      </c>
      <c r="AS502" s="415" t="s">
        <v>337</v>
      </c>
      <c r="AV502" s="415" t="s">
        <v>337</v>
      </c>
      <c r="AY502" s="415" t="s">
        <v>337</v>
      </c>
      <c r="BB502" s="415" t="s">
        <v>337</v>
      </c>
      <c r="BE502" s="415" t="s">
        <v>337</v>
      </c>
      <c r="BH502" s="415" t="s">
        <v>337</v>
      </c>
      <c r="BM502" s="415" t="s">
        <v>337</v>
      </c>
      <c r="BP502" s="415" t="s">
        <v>337</v>
      </c>
      <c r="BS502" s="415"/>
      <c r="BV502" s="415" t="s">
        <v>337</v>
      </c>
      <c r="BY502" s="415" t="s">
        <v>337</v>
      </c>
      <c r="CB502" s="415" t="s">
        <v>337</v>
      </c>
      <c r="CE502" s="415" t="s">
        <v>337</v>
      </c>
      <c r="CH502" s="415" t="s">
        <v>337</v>
      </c>
      <c r="CK502" s="415" t="s">
        <v>337</v>
      </c>
      <c r="CN502" s="415" t="s">
        <v>337</v>
      </c>
      <c r="CQ502" s="415" t="s">
        <v>337</v>
      </c>
      <c r="CT502" s="415" t="s">
        <v>337</v>
      </c>
    </row>
    <row r="503" spans="1:98">
      <c r="A503" s="1" t="s">
        <v>1191</v>
      </c>
      <c r="B503" s="416" t="s">
        <v>5132</v>
      </c>
      <c r="S503" s="213" t="s">
        <v>5191</v>
      </c>
      <c r="T503" s="416" t="s">
        <v>5192</v>
      </c>
      <c r="U503" s="415" t="s">
        <v>337</v>
      </c>
      <c r="X503" s="415"/>
      <c r="AA503" s="415"/>
      <c r="AD503" s="415"/>
      <c r="AE503" s="417" t="s">
        <v>5193</v>
      </c>
      <c r="AF503" s="416" t="s">
        <v>5194</v>
      </c>
      <c r="AG503" s="415"/>
      <c r="AJ503" s="415" t="s">
        <v>337</v>
      </c>
      <c r="AM503" s="415" t="s">
        <v>337</v>
      </c>
      <c r="AP503" s="415" t="s">
        <v>337</v>
      </c>
      <c r="AS503" s="415" t="s">
        <v>337</v>
      </c>
      <c r="AV503" s="415" t="s">
        <v>337</v>
      </c>
      <c r="AY503" s="415" t="s">
        <v>337</v>
      </c>
      <c r="BB503" s="415" t="s">
        <v>337</v>
      </c>
      <c r="BE503" s="415" t="s">
        <v>337</v>
      </c>
      <c r="BH503" s="415" t="s">
        <v>337</v>
      </c>
      <c r="BM503" s="415" t="s">
        <v>337</v>
      </c>
      <c r="BP503" s="415" t="s">
        <v>337</v>
      </c>
      <c r="BS503" s="415"/>
      <c r="BV503" s="415" t="s">
        <v>337</v>
      </c>
      <c r="BY503" s="415" t="s">
        <v>337</v>
      </c>
      <c r="CB503" s="415" t="s">
        <v>337</v>
      </c>
      <c r="CE503" s="415" t="s">
        <v>337</v>
      </c>
      <c r="CH503" s="415" t="s">
        <v>337</v>
      </c>
      <c r="CK503" s="415" t="s">
        <v>337</v>
      </c>
      <c r="CN503" s="415" t="s">
        <v>337</v>
      </c>
      <c r="CQ503" s="415" t="s">
        <v>337</v>
      </c>
      <c r="CT503" s="415" t="s">
        <v>337</v>
      </c>
    </row>
    <row r="504" spans="1:98">
      <c r="A504" s="1" t="s">
        <v>1191</v>
      </c>
      <c r="B504" s="416" t="s">
        <v>5195</v>
      </c>
      <c r="S504" s="213" t="s">
        <v>5196</v>
      </c>
      <c r="T504" s="416" t="s">
        <v>5197</v>
      </c>
      <c r="U504" s="415" t="s">
        <v>337</v>
      </c>
      <c r="X504" s="415"/>
      <c r="AA504" s="415"/>
      <c r="AD504" s="415"/>
      <c r="AE504" s="417" t="s">
        <v>5198</v>
      </c>
      <c r="AF504" s="416" t="s">
        <v>5199</v>
      </c>
      <c r="AG504" s="415"/>
      <c r="AJ504" s="415" t="s">
        <v>337</v>
      </c>
      <c r="AM504" s="415" t="s">
        <v>337</v>
      </c>
      <c r="AP504" s="415" t="s">
        <v>337</v>
      </c>
      <c r="AS504" s="415" t="s">
        <v>337</v>
      </c>
      <c r="AV504" s="415" t="s">
        <v>337</v>
      </c>
      <c r="AY504" s="415" t="s">
        <v>337</v>
      </c>
      <c r="BB504" s="415" t="s">
        <v>337</v>
      </c>
      <c r="BE504" s="415" t="s">
        <v>337</v>
      </c>
      <c r="BH504" s="415" t="s">
        <v>337</v>
      </c>
      <c r="BM504" s="415" t="s">
        <v>337</v>
      </c>
      <c r="BP504" s="415" t="s">
        <v>337</v>
      </c>
      <c r="BS504" s="415"/>
      <c r="BV504" s="415" t="s">
        <v>337</v>
      </c>
      <c r="BY504" s="415" t="s">
        <v>337</v>
      </c>
      <c r="CB504" s="415" t="s">
        <v>337</v>
      </c>
      <c r="CE504" s="415" t="s">
        <v>337</v>
      </c>
      <c r="CH504" s="415" t="s">
        <v>337</v>
      </c>
      <c r="CK504" s="415" t="s">
        <v>337</v>
      </c>
      <c r="CN504" s="415" t="s">
        <v>337</v>
      </c>
      <c r="CQ504" s="415" t="s">
        <v>337</v>
      </c>
      <c r="CT504" s="415" t="s">
        <v>337</v>
      </c>
    </row>
    <row r="505" spans="1:98">
      <c r="A505" s="1" t="s">
        <v>1191</v>
      </c>
      <c r="B505" s="416" t="s">
        <v>5141</v>
      </c>
      <c r="S505" s="213" t="s">
        <v>5200</v>
      </c>
      <c r="T505" s="416" t="s">
        <v>5201</v>
      </c>
      <c r="U505" s="415" t="s">
        <v>337</v>
      </c>
      <c r="X505" s="415"/>
      <c r="AA505" s="415"/>
      <c r="AD505" s="415"/>
      <c r="AE505" s="417" t="s">
        <v>5202</v>
      </c>
      <c r="AF505" s="416" t="s">
        <v>5203</v>
      </c>
      <c r="AG505" s="415"/>
      <c r="AJ505" s="415" t="s">
        <v>337</v>
      </c>
      <c r="AM505" s="415" t="s">
        <v>337</v>
      </c>
      <c r="AP505" s="415" t="s">
        <v>337</v>
      </c>
      <c r="AS505" s="415" t="s">
        <v>337</v>
      </c>
      <c r="AV505" s="415" t="s">
        <v>337</v>
      </c>
      <c r="AY505" s="415" t="s">
        <v>337</v>
      </c>
      <c r="BB505" s="415" t="s">
        <v>337</v>
      </c>
      <c r="BE505" s="415" t="s">
        <v>337</v>
      </c>
      <c r="BH505" s="415" t="s">
        <v>337</v>
      </c>
      <c r="BM505" s="415" t="s">
        <v>337</v>
      </c>
      <c r="BP505" s="415" t="s">
        <v>337</v>
      </c>
      <c r="BS505" s="415"/>
      <c r="BV505" s="415" t="s">
        <v>337</v>
      </c>
      <c r="BY505" s="415" t="s">
        <v>337</v>
      </c>
      <c r="CB505" s="415" t="s">
        <v>337</v>
      </c>
      <c r="CE505" s="415" t="s">
        <v>337</v>
      </c>
      <c r="CH505" s="415" t="s">
        <v>337</v>
      </c>
      <c r="CK505" s="415" t="s">
        <v>337</v>
      </c>
      <c r="CN505" s="415" t="s">
        <v>337</v>
      </c>
      <c r="CQ505" s="415" t="s">
        <v>337</v>
      </c>
      <c r="CT505" s="415" t="s">
        <v>337</v>
      </c>
    </row>
    <row r="506" spans="1:98">
      <c r="A506" s="1" t="s">
        <v>1191</v>
      </c>
      <c r="B506" s="416" t="s">
        <v>5146</v>
      </c>
      <c r="S506" s="213" t="s">
        <v>5204</v>
      </c>
      <c r="T506" s="416" t="s">
        <v>5205</v>
      </c>
      <c r="U506" s="415" t="s">
        <v>337</v>
      </c>
      <c r="X506" s="415"/>
      <c r="AA506" s="415"/>
      <c r="AD506" s="415"/>
      <c r="AE506" s="417" t="s">
        <v>5206</v>
      </c>
      <c r="AF506" s="416" t="s">
        <v>5207</v>
      </c>
      <c r="AG506" s="415"/>
      <c r="AJ506" s="415" t="s">
        <v>337</v>
      </c>
      <c r="AM506" s="415" t="s">
        <v>337</v>
      </c>
      <c r="AP506" s="415" t="s">
        <v>337</v>
      </c>
      <c r="AS506" s="415" t="s">
        <v>337</v>
      </c>
      <c r="AV506" s="415" t="s">
        <v>337</v>
      </c>
      <c r="AY506" s="415" t="s">
        <v>337</v>
      </c>
      <c r="BB506" s="415" t="s">
        <v>337</v>
      </c>
      <c r="BE506" s="415" t="s">
        <v>337</v>
      </c>
      <c r="BH506" s="415" t="s">
        <v>337</v>
      </c>
      <c r="BM506" s="415" t="s">
        <v>337</v>
      </c>
      <c r="BP506" s="415" t="s">
        <v>337</v>
      </c>
      <c r="BS506" s="415"/>
      <c r="BV506" s="415" t="s">
        <v>337</v>
      </c>
      <c r="BY506" s="415" t="s">
        <v>337</v>
      </c>
      <c r="CB506" s="415" t="s">
        <v>337</v>
      </c>
      <c r="CE506" s="415" t="s">
        <v>337</v>
      </c>
      <c r="CH506" s="415" t="s">
        <v>337</v>
      </c>
      <c r="CK506" s="415" t="s">
        <v>337</v>
      </c>
      <c r="CN506" s="415" t="s">
        <v>337</v>
      </c>
      <c r="CQ506" s="415" t="s">
        <v>337</v>
      </c>
      <c r="CT506" s="415" t="s">
        <v>337</v>
      </c>
    </row>
    <row r="507" spans="1:98">
      <c r="A507" s="1" t="s">
        <v>1207</v>
      </c>
      <c r="B507" s="416" t="s">
        <v>5208</v>
      </c>
      <c r="S507" s="213" t="s">
        <v>5209</v>
      </c>
      <c r="T507" s="416" t="s">
        <v>5210</v>
      </c>
      <c r="U507" s="415" t="s">
        <v>337</v>
      </c>
      <c r="X507" s="415"/>
      <c r="AA507" s="415"/>
      <c r="AD507" s="415"/>
      <c r="AE507" s="417" t="s">
        <v>5211</v>
      </c>
      <c r="AF507" s="416" t="s">
        <v>5212</v>
      </c>
      <c r="AG507" s="415"/>
      <c r="AJ507" s="415" t="s">
        <v>337</v>
      </c>
      <c r="AM507" s="415" t="s">
        <v>337</v>
      </c>
      <c r="AP507" s="415" t="s">
        <v>337</v>
      </c>
      <c r="AS507" s="415" t="s">
        <v>337</v>
      </c>
      <c r="AV507" s="415" t="s">
        <v>337</v>
      </c>
      <c r="AY507" s="415" t="s">
        <v>337</v>
      </c>
      <c r="BB507" s="415" t="s">
        <v>337</v>
      </c>
      <c r="BE507" s="415" t="s">
        <v>337</v>
      </c>
      <c r="BH507" s="415" t="s">
        <v>337</v>
      </c>
      <c r="BM507" s="415" t="s">
        <v>337</v>
      </c>
      <c r="BP507" s="415" t="s">
        <v>337</v>
      </c>
      <c r="BS507" s="415"/>
      <c r="BV507" s="415" t="s">
        <v>337</v>
      </c>
      <c r="BY507" s="415" t="s">
        <v>337</v>
      </c>
      <c r="CB507" s="415" t="s">
        <v>337</v>
      </c>
      <c r="CE507" s="415" t="s">
        <v>337</v>
      </c>
      <c r="CH507" s="415" t="s">
        <v>337</v>
      </c>
      <c r="CK507" s="415" t="s">
        <v>337</v>
      </c>
      <c r="CN507" s="415" t="s">
        <v>337</v>
      </c>
      <c r="CQ507" s="415" t="s">
        <v>337</v>
      </c>
      <c r="CT507" s="415" t="s">
        <v>337</v>
      </c>
    </row>
    <row r="508" spans="1:98">
      <c r="A508" s="1" t="s">
        <v>1207</v>
      </c>
      <c r="B508" s="416" t="s">
        <v>5213</v>
      </c>
      <c r="S508" s="213" t="s">
        <v>5214</v>
      </c>
      <c r="T508" s="416" t="s">
        <v>5215</v>
      </c>
      <c r="U508" s="415" t="s">
        <v>337</v>
      </c>
      <c r="X508" s="415"/>
      <c r="AA508" s="415"/>
      <c r="AD508" s="415"/>
      <c r="AE508" s="417" t="s">
        <v>5216</v>
      </c>
      <c r="AF508" s="416" t="s">
        <v>5217</v>
      </c>
      <c r="AG508" s="415"/>
      <c r="AJ508" s="415" t="s">
        <v>337</v>
      </c>
      <c r="AM508" s="415" t="s">
        <v>337</v>
      </c>
      <c r="AP508" s="415" t="s">
        <v>337</v>
      </c>
      <c r="AS508" s="415" t="s">
        <v>337</v>
      </c>
      <c r="AV508" s="415" t="s">
        <v>337</v>
      </c>
      <c r="AY508" s="415" t="s">
        <v>337</v>
      </c>
      <c r="BB508" s="415" t="s">
        <v>337</v>
      </c>
      <c r="BE508" s="415" t="s">
        <v>337</v>
      </c>
      <c r="BH508" s="415" t="s">
        <v>337</v>
      </c>
      <c r="BM508" s="415" t="s">
        <v>337</v>
      </c>
      <c r="BP508" s="415" t="s">
        <v>337</v>
      </c>
      <c r="BS508" s="415"/>
      <c r="BV508" s="415" t="s">
        <v>337</v>
      </c>
      <c r="BY508" s="415" t="s">
        <v>337</v>
      </c>
      <c r="CB508" s="415" t="s">
        <v>337</v>
      </c>
      <c r="CE508" s="415" t="s">
        <v>337</v>
      </c>
      <c r="CH508" s="415" t="s">
        <v>337</v>
      </c>
      <c r="CK508" s="415" t="s">
        <v>337</v>
      </c>
      <c r="CN508" s="415" t="s">
        <v>337</v>
      </c>
      <c r="CQ508" s="415" t="s">
        <v>337</v>
      </c>
      <c r="CT508" s="415" t="s">
        <v>337</v>
      </c>
    </row>
    <row r="509" spans="1:98">
      <c r="A509" s="1" t="s">
        <v>1207</v>
      </c>
      <c r="B509" s="416" t="s">
        <v>5218</v>
      </c>
      <c r="S509" s="213" t="s">
        <v>5219</v>
      </c>
      <c r="T509" s="416" t="s">
        <v>5220</v>
      </c>
      <c r="U509" s="415" t="s">
        <v>337</v>
      </c>
      <c r="X509" s="415"/>
      <c r="AA509" s="415"/>
      <c r="AD509" s="415"/>
      <c r="AE509" s="417" t="s">
        <v>5221</v>
      </c>
      <c r="AF509" s="416" t="s">
        <v>5222</v>
      </c>
      <c r="AG509" s="415"/>
      <c r="AJ509" s="415" t="s">
        <v>337</v>
      </c>
      <c r="AM509" s="415" t="s">
        <v>337</v>
      </c>
      <c r="AP509" s="415" t="s">
        <v>337</v>
      </c>
      <c r="AS509" s="415" t="s">
        <v>337</v>
      </c>
      <c r="AV509" s="415" t="s">
        <v>337</v>
      </c>
      <c r="AY509" s="415" t="s">
        <v>337</v>
      </c>
      <c r="BB509" s="415" t="s">
        <v>337</v>
      </c>
      <c r="BE509" s="415" t="s">
        <v>337</v>
      </c>
      <c r="BH509" s="415" t="s">
        <v>337</v>
      </c>
      <c r="BM509" s="415" t="s">
        <v>337</v>
      </c>
      <c r="BP509" s="415" t="s">
        <v>337</v>
      </c>
      <c r="BS509" s="415"/>
      <c r="BV509" s="415" t="s">
        <v>337</v>
      </c>
      <c r="BY509" s="415" t="s">
        <v>337</v>
      </c>
      <c r="CB509" s="415" t="s">
        <v>337</v>
      </c>
      <c r="CE509" s="415" t="s">
        <v>337</v>
      </c>
      <c r="CH509" s="415" t="s">
        <v>337</v>
      </c>
      <c r="CK509" s="415" t="s">
        <v>337</v>
      </c>
      <c r="CN509" s="415" t="s">
        <v>337</v>
      </c>
      <c r="CQ509" s="415" t="s">
        <v>337</v>
      </c>
      <c r="CT509" s="415" t="s">
        <v>337</v>
      </c>
    </row>
    <row r="510" spans="1:98">
      <c r="A510" s="1" t="s">
        <v>1207</v>
      </c>
      <c r="B510" s="416" t="s">
        <v>5223</v>
      </c>
      <c r="S510" s="213" t="s">
        <v>5224</v>
      </c>
      <c r="T510" s="416" t="s">
        <v>5225</v>
      </c>
      <c r="U510" s="415" t="s">
        <v>337</v>
      </c>
      <c r="X510" s="415"/>
      <c r="AA510" s="415"/>
      <c r="AD510" s="415"/>
      <c r="AE510" s="417" t="s">
        <v>5226</v>
      </c>
      <c r="AF510" s="416" t="s">
        <v>5227</v>
      </c>
      <c r="AG510" s="415"/>
      <c r="AJ510" s="415" t="s">
        <v>337</v>
      </c>
      <c r="AM510" s="415" t="s">
        <v>337</v>
      </c>
      <c r="AP510" s="415" t="s">
        <v>337</v>
      </c>
      <c r="AS510" s="415" t="s">
        <v>337</v>
      </c>
      <c r="AV510" s="415" t="s">
        <v>337</v>
      </c>
      <c r="AY510" s="415" t="s">
        <v>337</v>
      </c>
      <c r="BB510" s="415" t="s">
        <v>337</v>
      </c>
      <c r="BE510" s="415" t="s">
        <v>337</v>
      </c>
      <c r="BH510" s="415" t="s">
        <v>337</v>
      </c>
      <c r="BM510" s="415" t="s">
        <v>337</v>
      </c>
      <c r="BP510" s="415" t="s">
        <v>337</v>
      </c>
      <c r="BS510" s="415"/>
      <c r="BV510" s="415" t="s">
        <v>337</v>
      </c>
      <c r="BY510" s="415" t="s">
        <v>337</v>
      </c>
      <c r="CB510" s="415" t="s">
        <v>337</v>
      </c>
      <c r="CE510" s="415" t="s">
        <v>337</v>
      </c>
      <c r="CH510" s="415" t="s">
        <v>337</v>
      </c>
      <c r="CK510" s="415" t="s">
        <v>337</v>
      </c>
      <c r="CN510" s="415" t="s">
        <v>337</v>
      </c>
      <c r="CQ510" s="415" t="s">
        <v>337</v>
      </c>
      <c r="CT510" s="415" t="s">
        <v>337</v>
      </c>
    </row>
    <row r="511" spans="1:98">
      <c r="A511" s="1" t="s">
        <v>1207</v>
      </c>
      <c r="B511" s="416" t="s">
        <v>5228</v>
      </c>
      <c r="S511" s="213" t="s">
        <v>5229</v>
      </c>
      <c r="T511" s="416" t="s">
        <v>5230</v>
      </c>
      <c r="U511" s="415" t="s">
        <v>337</v>
      </c>
      <c r="X511" s="415"/>
      <c r="AA511" s="415"/>
      <c r="AD511" s="415"/>
      <c r="AE511" s="417" t="s">
        <v>5231</v>
      </c>
      <c r="AF511" s="416" t="s">
        <v>5232</v>
      </c>
      <c r="AG511" s="415"/>
      <c r="AJ511" s="415" t="s">
        <v>337</v>
      </c>
      <c r="AM511" s="415" t="s">
        <v>337</v>
      </c>
      <c r="AP511" s="415" t="s">
        <v>337</v>
      </c>
      <c r="AS511" s="415" t="s">
        <v>337</v>
      </c>
      <c r="AV511" s="415" t="s">
        <v>337</v>
      </c>
      <c r="AY511" s="415" t="s">
        <v>337</v>
      </c>
      <c r="BB511" s="415" t="s">
        <v>337</v>
      </c>
      <c r="BE511" s="415" t="s">
        <v>337</v>
      </c>
      <c r="BH511" s="415" t="s">
        <v>337</v>
      </c>
      <c r="BM511" s="415" t="s">
        <v>337</v>
      </c>
      <c r="BP511" s="415" t="s">
        <v>337</v>
      </c>
      <c r="BS511" s="415"/>
      <c r="BV511" s="415" t="s">
        <v>337</v>
      </c>
      <c r="BY511" s="415" t="s">
        <v>337</v>
      </c>
      <c r="CB511" s="415" t="s">
        <v>337</v>
      </c>
      <c r="CE511" s="415" t="s">
        <v>337</v>
      </c>
      <c r="CH511" s="415" t="s">
        <v>337</v>
      </c>
      <c r="CK511" s="415" t="s">
        <v>337</v>
      </c>
      <c r="CN511" s="415" t="s">
        <v>337</v>
      </c>
      <c r="CQ511" s="415" t="s">
        <v>337</v>
      </c>
      <c r="CT511" s="415" t="s">
        <v>337</v>
      </c>
    </row>
    <row r="512" spans="1:98">
      <c r="A512" s="1" t="s">
        <v>1207</v>
      </c>
      <c r="B512" s="416" t="s">
        <v>5233</v>
      </c>
      <c r="S512" s="213" t="s">
        <v>5234</v>
      </c>
      <c r="T512" s="416" t="s">
        <v>5235</v>
      </c>
      <c r="U512" s="415" t="s">
        <v>337</v>
      </c>
      <c r="X512" s="415"/>
      <c r="AA512" s="415"/>
      <c r="AD512" s="415"/>
      <c r="AE512" s="417" t="s">
        <v>5236</v>
      </c>
      <c r="AF512" s="416" t="s">
        <v>5237</v>
      </c>
      <c r="AG512" s="415"/>
      <c r="AJ512" s="415" t="s">
        <v>337</v>
      </c>
      <c r="AM512" s="415" t="s">
        <v>337</v>
      </c>
      <c r="AP512" s="415" t="s">
        <v>337</v>
      </c>
      <c r="AS512" s="415" t="s">
        <v>337</v>
      </c>
      <c r="AV512" s="415" t="s">
        <v>337</v>
      </c>
      <c r="AY512" s="415" t="s">
        <v>337</v>
      </c>
      <c r="BB512" s="415" t="s">
        <v>337</v>
      </c>
      <c r="BE512" s="415" t="s">
        <v>337</v>
      </c>
      <c r="BH512" s="415" t="s">
        <v>337</v>
      </c>
      <c r="BM512" s="415" t="s">
        <v>337</v>
      </c>
      <c r="BP512" s="415" t="s">
        <v>337</v>
      </c>
      <c r="BS512" s="415"/>
      <c r="BV512" s="415" t="s">
        <v>337</v>
      </c>
      <c r="BY512" s="415" t="s">
        <v>337</v>
      </c>
      <c r="CB512" s="415" t="s">
        <v>337</v>
      </c>
      <c r="CE512" s="415" t="s">
        <v>337</v>
      </c>
      <c r="CH512" s="415" t="s">
        <v>337</v>
      </c>
      <c r="CK512" s="415" t="s">
        <v>337</v>
      </c>
      <c r="CN512" s="415" t="s">
        <v>337</v>
      </c>
      <c r="CQ512" s="415" t="s">
        <v>337</v>
      </c>
      <c r="CT512" s="415" t="s">
        <v>337</v>
      </c>
    </row>
    <row r="513" spans="1:98">
      <c r="A513" s="1" t="s">
        <v>1207</v>
      </c>
      <c r="B513" s="416" t="s">
        <v>5238</v>
      </c>
      <c r="S513" s="213" t="s">
        <v>5239</v>
      </c>
      <c r="T513" s="416" t="s">
        <v>5240</v>
      </c>
      <c r="U513" s="415" t="s">
        <v>337</v>
      </c>
      <c r="X513" s="415"/>
      <c r="AA513" s="415"/>
      <c r="AD513" s="415"/>
      <c r="AE513" s="417" t="s">
        <v>5241</v>
      </c>
      <c r="AF513" s="416" t="s">
        <v>5242</v>
      </c>
      <c r="AG513" s="415"/>
      <c r="AJ513" s="415" t="s">
        <v>337</v>
      </c>
      <c r="AM513" s="415" t="s">
        <v>337</v>
      </c>
      <c r="AP513" s="415" t="s">
        <v>337</v>
      </c>
      <c r="AS513" s="415" t="s">
        <v>337</v>
      </c>
      <c r="AV513" s="415" t="s">
        <v>337</v>
      </c>
      <c r="AY513" s="415" t="s">
        <v>337</v>
      </c>
      <c r="BB513" s="415" t="s">
        <v>337</v>
      </c>
      <c r="BE513" s="415" t="s">
        <v>337</v>
      </c>
      <c r="BH513" s="415" t="s">
        <v>337</v>
      </c>
      <c r="BM513" s="415" t="s">
        <v>337</v>
      </c>
      <c r="BP513" s="415" t="s">
        <v>337</v>
      </c>
      <c r="BS513" s="415"/>
      <c r="BV513" s="415" t="s">
        <v>337</v>
      </c>
      <c r="BY513" s="415" t="s">
        <v>337</v>
      </c>
      <c r="CB513" s="415" t="s">
        <v>337</v>
      </c>
      <c r="CE513" s="415" t="s">
        <v>337</v>
      </c>
      <c r="CH513" s="415" t="s">
        <v>337</v>
      </c>
      <c r="CK513" s="415" t="s">
        <v>337</v>
      </c>
      <c r="CN513" s="415" t="s">
        <v>337</v>
      </c>
      <c r="CQ513" s="415" t="s">
        <v>337</v>
      </c>
      <c r="CT513" s="415" t="s">
        <v>337</v>
      </c>
    </row>
    <row r="514" spans="1:98">
      <c r="A514" s="1" t="s">
        <v>1207</v>
      </c>
      <c r="B514" s="416" t="s">
        <v>5243</v>
      </c>
      <c r="S514" s="213" t="s">
        <v>5244</v>
      </c>
      <c r="T514" s="416" t="s">
        <v>5245</v>
      </c>
      <c r="U514" s="415" t="s">
        <v>337</v>
      </c>
      <c r="X514" s="415"/>
      <c r="AA514" s="415"/>
      <c r="AD514" s="415"/>
      <c r="AE514" s="417" t="s">
        <v>5246</v>
      </c>
      <c r="AF514" s="416" t="s">
        <v>5247</v>
      </c>
      <c r="AG514" s="415"/>
      <c r="AJ514" s="415" t="s">
        <v>337</v>
      </c>
      <c r="AM514" s="415" t="s">
        <v>337</v>
      </c>
      <c r="AP514" s="415" t="s">
        <v>337</v>
      </c>
      <c r="AS514" s="415" t="s">
        <v>337</v>
      </c>
      <c r="AV514" s="415" t="s">
        <v>337</v>
      </c>
      <c r="AY514" s="415" t="s">
        <v>337</v>
      </c>
      <c r="BB514" s="415" t="s">
        <v>337</v>
      </c>
      <c r="BE514" s="415" t="s">
        <v>337</v>
      </c>
      <c r="BH514" s="415" t="s">
        <v>337</v>
      </c>
      <c r="BM514" s="415" t="s">
        <v>337</v>
      </c>
      <c r="BP514" s="415" t="s">
        <v>337</v>
      </c>
      <c r="BS514" s="415"/>
      <c r="BV514" s="415" t="s">
        <v>337</v>
      </c>
      <c r="BY514" s="415" t="s">
        <v>337</v>
      </c>
      <c r="CB514" s="415" t="s">
        <v>337</v>
      </c>
      <c r="CE514" s="415" t="s">
        <v>337</v>
      </c>
      <c r="CH514" s="415" t="s">
        <v>337</v>
      </c>
      <c r="CK514" s="415" t="s">
        <v>337</v>
      </c>
      <c r="CN514" s="415" t="s">
        <v>337</v>
      </c>
      <c r="CQ514" s="415" t="s">
        <v>337</v>
      </c>
      <c r="CT514" s="415" t="s">
        <v>337</v>
      </c>
    </row>
    <row r="515" spans="1:98">
      <c r="A515" s="1" t="s">
        <v>1207</v>
      </c>
      <c r="B515" s="416" t="s">
        <v>5248</v>
      </c>
      <c r="S515" s="213" t="s">
        <v>5249</v>
      </c>
      <c r="T515" s="416" t="s">
        <v>5250</v>
      </c>
      <c r="U515" s="415" t="s">
        <v>337</v>
      </c>
      <c r="X515" s="415"/>
      <c r="AA515" s="415"/>
      <c r="AD515" s="415"/>
      <c r="AE515" s="417" t="s">
        <v>5251</v>
      </c>
      <c r="AF515" s="416" t="s">
        <v>5252</v>
      </c>
      <c r="AG515" s="415"/>
      <c r="AJ515" s="415" t="s">
        <v>337</v>
      </c>
      <c r="AM515" s="415" t="s">
        <v>337</v>
      </c>
      <c r="AP515" s="415" t="s">
        <v>337</v>
      </c>
      <c r="AS515" s="415" t="s">
        <v>337</v>
      </c>
      <c r="AV515" s="415" t="s">
        <v>337</v>
      </c>
      <c r="AY515" s="415" t="s">
        <v>337</v>
      </c>
      <c r="BB515" s="415" t="s">
        <v>337</v>
      </c>
      <c r="BE515" s="415" t="s">
        <v>337</v>
      </c>
      <c r="BH515" s="415" t="s">
        <v>337</v>
      </c>
      <c r="BM515" s="415" t="s">
        <v>337</v>
      </c>
      <c r="BP515" s="415" t="s">
        <v>337</v>
      </c>
      <c r="BS515" s="415"/>
      <c r="BV515" s="415" t="s">
        <v>337</v>
      </c>
      <c r="BY515" s="415" t="s">
        <v>337</v>
      </c>
      <c r="CB515" s="415" t="s">
        <v>337</v>
      </c>
      <c r="CE515" s="415" t="s">
        <v>337</v>
      </c>
      <c r="CH515" s="415" t="s">
        <v>337</v>
      </c>
      <c r="CK515" s="415" t="s">
        <v>337</v>
      </c>
      <c r="CN515" s="415" t="s">
        <v>337</v>
      </c>
      <c r="CQ515" s="415" t="s">
        <v>337</v>
      </c>
      <c r="CT515" s="415" t="s">
        <v>337</v>
      </c>
    </row>
    <row r="516" spans="1:98">
      <c r="A516" s="1" t="s">
        <v>1207</v>
      </c>
      <c r="B516" s="416" t="s">
        <v>5253</v>
      </c>
      <c r="S516" s="213" t="s">
        <v>5254</v>
      </c>
      <c r="T516" s="416" t="s">
        <v>5255</v>
      </c>
      <c r="U516" s="415" t="s">
        <v>337</v>
      </c>
      <c r="X516" s="415"/>
      <c r="AA516" s="415"/>
      <c r="AD516" s="415"/>
      <c r="AE516" s="417" t="s">
        <v>5256</v>
      </c>
      <c r="AF516" s="416" t="s">
        <v>5257</v>
      </c>
      <c r="AG516" s="415"/>
      <c r="AJ516" s="415" t="s">
        <v>337</v>
      </c>
      <c r="AM516" s="415" t="s">
        <v>337</v>
      </c>
      <c r="AP516" s="415" t="s">
        <v>337</v>
      </c>
      <c r="AS516" s="415" t="s">
        <v>337</v>
      </c>
      <c r="AV516" s="415" t="s">
        <v>337</v>
      </c>
      <c r="AY516" s="415" t="s">
        <v>337</v>
      </c>
      <c r="BB516" s="415" t="s">
        <v>337</v>
      </c>
      <c r="BE516" s="415" t="s">
        <v>337</v>
      </c>
      <c r="BH516" s="415" t="s">
        <v>337</v>
      </c>
      <c r="BM516" s="415" t="s">
        <v>337</v>
      </c>
      <c r="BP516" s="415" t="s">
        <v>337</v>
      </c>
      <c r="BS516" s="415"/>
      <c r="BV516" s="415" t="s">
        <v>337</v>
      </c>
      <c r="BY516" s="415" t="s">
        <v>337</v>
      </c>
      <c r="CB516" s="415" t="s">
        <v>337</v>
      </c>
      <c r="CE516" s="415" t="s">
        <v>337</v>
      </c>
      <c r="CH516" s="415" t="s">
        <v>337</v>
      </c>
      <c r="CK516" s="415" t="s">
        <v>337</v>
      </c>
      <c r="CN516" s="415" t="s">
        <v>337</v>
      </c>
      <c r="CQ516" s="415" t="s">
        <v>337</v>
      </c>
      <c r="CT516" s="415" t="s">
        <v>337</v>
      </c>
    </row>
    <row r="517" spans="1:98">
      <c r="A517" s="1" t="s">
        <v>1207</v>
      </c>
      <c r="B517" s="416" t="s">
        <v>5258</v>
      </c>
      <c r="S517" s="213" t="s">
        <v>5259</v>
      </c>
      <c r="T517" s="416" t="s">
        <v>3143</v>
      </c>
      <c r="U517" s="415" t="s">
        <v>337</v>
      </c>
      <c r="X517" s="415"/>
      <c r="AA517" s="415"/>
      <c r="AD517" s="415"/>
      <c r="AE517" s="417" t="s">
        <v>5260</v>
      </c>
      <c r="AF517" s="416" t="s">
        <v>5261</v>
      </c>
      <c r="AG517" s="415"/>
      <c r="AJ517" s="415" t="s">
        <v>337</v>
      </c>
      <c r="AM517" s="415" t="s">
        <v>337</v>
      </c>
      <c r="AP517" s="415" t="s">
        <v>337</v>
      </c>
      <c r="AS517" s="415" t="s">
        <v>337</v>
      </c>
      <c r="AV517" s="415" t="s">
        <v>337</v>
      </c>
      <c r="AY517" s="415" t="s">
        <v>337</v>
      </c>
      <c r="BB517" s="415" t="s">
        <v>337</v>
      </c>
      <c r="BE517" s="415" t="s">
        <v>337</v>
      </c>
      <c r="BH517" s="415" t="s">
        <v>337</v>
      </c>
      <c r="BM517" s="415" t="s">
        <v>337</v>
      </c>
      <c r="BP517" s="415" t="s">
        <v>337</v>
      </c>
      <c r="BS517" s="415"/>
      <c r="BV517" s="415" t="s">
        <v>337</v>
      </c>
      <c r="BY517" s="415" t="s">
        <v>337</v>
      </c>
      <c r="CB517" s="415" t="s">
        <v>337</v>
      </c>
      <c r="CE517" s="415" t="s">
        <v>337</v>
      </c>
      <c r="CH517" s="415" t="s">
        <v>337</v>
      </c>
      <c r="CK517" s="415" t="s">
        <v>337</v>
      </c>
      <c r="CN517" s="415" t="s">
        <v>337</v>
      </c>
      <c r="CQ517" s="415" t="s">
        <v>337</v>
      </c>
      <c r="CT517" s="415" t="s">
        <v>337</v>
      </c>
    </row>
    <row r="518" spans="1:98">
      <c r="A518" s="1" t="s">
        <v>1207</v>
      </c>
      <c r="B518" s="416" t="s">
        <v>5262</v>
      </c>
      <c r="S518" s="213" t="s">
        <v>5263</v>
      </c>
      <c r="T518" s="416" t="s">
        <v>5264</v>
      </c>
      <c r="U518" s="415" t="s">
        <v>337</v>
      </c>
      <c r="X518" s="415"/>
      <c r="AA518" s="415"/>
      <c r="AD518" s="415"/>
      <c r="AE518" s="417" t="s">
        <v>5265</v>
      </c>
      <c r="AF518" s="416" t="s">
        <v>5266</v>
      </c>
      <c r="AG518" s="415"/>
      <c r="AJ518" s="415" t="s">
        <v>337</v>
      </c>
      <c r="AM518" s="415" t="s">
        <v>337</v>
      </c>
      <c r="AP518" s="415" t="s">
        <v>337</v>
      </c>
      <c r="AS518" s="415" t="s">
        <v>337</v>
      </c>
      <c r="AV518" s="415" t="s">
        <v>337</v>
      </c>
      <c r="AY518" s="415" t="s">
        <v>337</v>
      </c>
      <c r="BB518" s="415" t="s">
        <v>337</v>
      </c>
      <c r="BE518" s="415" t="s">
        <v>337</v>
      </c>
      <c r="BH518" s="415" t="s">
        <v>337</v>
      </c>
      <c r="BM518" s="415" t="s">
        <v>337</v>
      </c>
      <c r="BP518" s="415" t="s">
        <v>337</v>
      </c>
      <c r="BS518" s="415"/>
      <c r="BV518" s="415" t="s">
        <v>337</v>
      </c>
      <c r="BY518" s="415" t="s">
        <v>337</v>
      </c>
      <c r="CB518" s="415" t="s">
        <v>337</v>
      </c>
      <c r="CE518" s="415" t="s">
        <v>337</v>
      </c>
      <c r="CH518" s="415" t="s">
        <v>337</v>
      </c>
      <c r="CK518" s="415" t="s">
        <v>337</v>
      </c>
      <c r="CN518" s="415" t="s">
        <v>337</v>
      </c>
      <c r="CQ518" s="415" t="s">
        <v>337</v>
      </c>
      <c r="CT518" s="415" t="s">
        <v>337</v>
      </c>
    </row>
    <row r="519" spans="1:98">
      <c r="A519" s="1" t="s">
        <v>1223</v>
      </c>
      <c r="B519" s="416" t="s">
        <v>5267</v>
      </c>
      <c r="S519" s="213" t="s">
        <v>5268</v>
      </c>
      <c r="T519" s="416" t="s">
        <v>5269</v>
      </c>
      <c r="U519" s="415" t="s">
        <v>337</v>
      </c>
      <c r="X519" s="415"/>
      <c r="AA519" s="415"/>
      <c r="AD519" s="415"/>
      <c r="AE519" s="417" t="s">
        <v>5270</v>
      </c>
      <c r="AF519" s="416" t="s">
        <v>5271</v>
      </c>
      <c r="AG519" s="415"/>
      <c r="AJ519" s="415" t="s">
        <v>337</v>
      </c>
      <c r="AM519" s="415" t="s">
        <v>337</v>
      </c>
      <c r="AP519" s="415" t="s">
        <v>337</v>
      </c>
      <c r="AS519" s="415" t="s">
        <v>337</v>
      </c>
      <c r="AV519" s="415" t="s">
        <v>337</v>
      </c>
      <c r="AY519" s="415" t="s">
        <v>337</v>
      </c>
      <c r="BB519" s="415" t="s">
        <v>337</v>
      </c>
      <c r="BE519" s="415" t="s">
        <v>337</v>
      </c>
      <c r="BH519" s="415" t="s">
        <v>337</v>
      </c>
      <c r="BM519" s="415" t="s">
        <v>337</v>
      </c>
      <c r="BP519" s="415" t="s">
        <v>337</v>
      </c>
      <c r="BS519" s="415"/>
      <c r="BV519" s="415" t="s">
        <v>337</v>
      </c>
      <c r="BY519" s="415" t="s">
        <v>337</v>
      </c>
      <c r="CB519" s="415" t="s">
        <v>337</v>
      </c>
      <c r="CE519" s="415" t="s">
        <v>337</v>
      </c>
      <c r="CH519" s="415" t="s">
        <v>337</v>
      </c>
      <c r="CK519" s="415" t="s">
        <v>337</v>
      </c>
      <c r="CN519" s="415" t="s">
        <v>337</v>
      </c>
      <c r="CQ519" s="415" t="s">
        <v>337</v>
      </c>
      <c r="CT519" s="415" t="s">
        <v>337</v>
      </c>
    </row>
    <row r="520" spans="1:98">
      <c r="A520" s="1" t="s">
        <v>1223</v>
      </c>
      <c r="B520" s="416" t="s">
        <v>5272</v>
      </c>
      <c r="S520" s="213" t="s">
        <v>5273</v>
      </c>
      <c r="T520" s="416" t="s">
        <v>5274</v>
      </c>
      <c r="U520" s="415" t="s">
        <v>337</v>
      </c>
      <c r="X520" s="415"/>
      <c r="AA520" s="415"/>
      <c r="AD520" s="415"/>
      <c r="AE520" s="417" t="s">
        <v>5275</v>
      </c>
      <c r="AF520" s="416" t="s">
        <v>5276</v>
      </c>
      <c r="AG520" s="415"/>
      <c r="AJ520" s="415" t="s">
        <v>337</v>
      </c>
      <c r="AM520" s="415" t="s">
        <v>337</v>
      </c>
      <c r="AP520" s="415" t="s">
        <v>337</v>
      </c>
      <c r="AS520" s="415" t="s">
        <v>337</v>
      </c>
      <c r="AV520" s="415" t="s">
        <v>337</v>
      </c>
      <c r="AY520" s="415" t="s">
        <v>337</v>
      </c>
      <c r="BB520" s="415" t="s">
        <v>337</v>
      </c>
      <c r="BE520" s="415" t="s">
        <v>337</v>
      </c>
      <c r="BH520" s="415" t="s">
        <v>337</v>
      </c>
      <c r="BM520" s="415" t="s">
        <v>337</v>
      </c>
      <c r="BP520" s="415" t="s">
        <v>337</v>
      </c>
      <c r="BS520" s="415"/>
      <c r="BV520" s="415" t="s">
        <v>337</v>
      </c>
      <c r="BY520" s="415" t="s">
        <v>337</v>
      </c>
      <c r="CB520" s="415" t="s">
        <v>337</v>
      </c>
      <c r="CE520" s="415" t="s">
        <v>337</v>
      </c>
      <c r="CH520" s="415" t="s">
        <v>337</v>
      </c>
      <c r="CK520" s="415" t="s">
        <v>337</v>
      </c>
      <c r="CN520" s="415" t="s">
        <v>337</v>
      </c>
      <c r="CQ520" s="415" t="s">
        <v>337</v>
      </c>
      <c r="CT520" s="415" t="s">
        <v>337</v>
      </c>
    </row>
    <row r="521" spans="1:98">
      <c r="A521" s="1" t="s">
        <v>1223</v>
      </c>
      <c r="B521" s="416" t="s">
        <v>5277</v>
      </c>
      <c r="S521" s="213" t="s">
        <v>5278</v>
      </c>
      <c r="T521" s="416" t="s">
        <v>5279</v>
      </c>
      <c r="U521" s="415" t="s">
        <v>337</v>
      </c>
      <c r="X521" s="415"/>
      <c r="AA521" s="415"/>
      <c r="AD521" s="415"/>
      <c r="AE521" s="417" t="s">
        <v>5280</v>
      </c>
      <c r="AF521" s="416" t="s">
        <v>5281</v>
      </c>
      <c r="AG521" s="415"/>
      <c r="AJ521" s="415" t="s">
        <v>337</v>
      </c>
      <c r="AM521" s="415" t="s">
        <v>337</v>
      </c>
      <c r="AP521" s="415" t="s">
        <v>337</v>
      </c>
      <c r="AS521" s="415" t="s">
        <v>337</v>
      </c>
      <c r="AV521" s="415" t="s">
        <v>337</v>
      </c>
      <c r="AY521" s="415" t="s">
        <v>337</v>
      </c>
      <c r="BB521" s="415" t="s">
        <v>337</v>
      </c>
      <c r="BE521" s="415" t="s">
        <v>337</v>
      </c>
      <c r="BH521" s="415" t="s">
        <v>337</v>
      </c>
      <c r="BM521" s="415" t="s">
        <v>337</v>
      </c>
      <c r="BP521" s="415" t="s">
        <v>337</v>
      </c>
      <c r="BS521" s="415"/>
      <c r="BV521" s="415" t="s">
        <v>337</v>
      </c>
      <c r="BY521" s="415" t="s">
        <v>337</v>
      </c>
      <c r="CB521" s="415" t="s">
        <v>337</v>
      </c>
      <c r="CE521" s="415" t="s">
        <v>337</v>
      </c>
      <c r="CH521" s="415" t="s">
        <v>337</v>
      </c>
      <c r="CK521" s="415" t="s">
        <v>337</v>
      </c>
      <c r="CN521" s="415" t="s">
        <v>337</v>
      </c>
      <c r="CQ521" s="415" t="s">
        <v>337</v>
      </c>
      <c r="CT521" s="415" t="s">
        <v>337</v>
      </c>
    </row>
    <row r="522" spans="1:98">
      <c r="A522" s="1" t="s">
        <v>1223</v>
      </c>
      <c r="B522" s="416" t="s">
        <v>5282</v>
      </c>
      <c r="S522" s="213" t="s">
        <v>5283</v>
      </c>
      <c r="T522" s="416" t="s">
        <v>5284</v>
      </c>
      <c r="U522" s="415" t="s">
        <v>337</v>
      </c>
      <c r="X522" s="415"/>
      <c r="AA522" s="415"/>
      <c r="AD522" s="415"/>
      <c r="AE522" s="417" t="s">
        <v>5285</v>
      </c>
      <c r="AF522" s="416" t="s">
        <v>5286</v>
      </c>
      <c r="AG522" s="415"/>
      <c r="AJ522" s="415" t="s">
        <v>337</v>
      </c>
      <c r="AM522" s="415" t="s">
        <v>337</v>
      </c>
      <c r="AP522" s="415" t="s">
        <v>337</v>
      </c>
      <c r="AS522" s="415" t="s">
        <v>337</v>
      </c>
      <c r="AV522" s="415" t="s">
        <v>337</v>
      </c>
      <c r="AY522" s="415" t="s">
        <v>337</v>
      </c>
      <c r="BB522" s="415" t="s">
        <v>337</v>
      </c>
      <c r="BE522" s="415" t="s">
        <v>337</v>
      </c>
      <c r="BH522" s="415" t="s">
        <v>337</v>
      </c>
      <c r="BM522" s="415" t="s">
        <v>337</v>
      </c>
      <c r="BP522" s="415" t="s">
        <v>337</v>
      </c>
      <c r="BS522" s="415"/>
      <c r="BV522" s="415" t="s">
        <v>337</v>
      </c>
      <c r="BY522" s="415" t="s">
        <v>337</v>
      </c>
      <c r="CB522" s="415" t="s">
        <v>337</v>
      </c>
      <c r="CE522" s="415" t="s">
        <v>337</v>
      </c>
      <c r="CH522" s="415" t="s">
        <v>337</v>
      </c>
      <c r="CK522" s="415" t="s">
        <v>337</v>
      </c>
      <c r="CN522" s="415" t="s">
        <v>337</v>
      </c>
      <c r="CQ522" s="415" t="s">
        <v>337</v>
      </c>
      <c r="CT522" s="415" t="s">
        <v>337</v>
      </c>
    </row>
    <row r="523" spans="1:98">
      <c r="A523" s="1" t="s">
        <v>1223</v>
      </c>
      <c r="B523" s="416" t="s">
        <v>5287</v>
      </c>
      <c r="S523" s="213" t="s">
        <v>5288</v>
      </c>
      <c r="T523" s="416" t="s">
        <v>3222</v>
      </c>
      <c r="U523" s="415" t="s">
        <v>337</v>
      </c>
      <c r="X523" s="415"/>
      <c r="AA523" s="415"/>
      <c r="AD523" s="415"/>
      <c r="AE523" s="417" t="s">
        <v>5289</v>
      </c>
      <c r="AF523" s="416" t="s">
        <v>5290</v>
      </c>
      <c r="AG523" s="415"/>
      <c r="AJ523" s="415" t="s">
        <v>337</v>
      </c>
      <c r="AM523" s="415" t="s">
        <v>337</v>
      </c>
      <c r="AP523" s="415" t="s">
        <v>337</v>
      </c>
      <c r="AS523" s="415" t="s">
        <v>337</v>
      </c>
      <c r="AV523" s="415" t="s">
        <v>337</v>
      </c>
      <c r="AY523" s="415" t="s">
        <v>337</v>
      </c>
      <c r="BB523" s="415" t="s">
        <v>337</v>
      </c>
      <c r="BE523" s="415" t="s">
        <v>337</v>
      </c>
      <c r="BH523" s="415" t="s">
        <v>337</v>
      </c>
      <c r="BM523" s="415" t="s">
        <v>337</v>
      </c>
      <c r="BP523" s="415" t="s">
        <v>337</v>
      </c>
      <c r="BS523" s="415"/>
      <c r="BV523" s="415" t="s">
        <v>337</v>
      </c>
      <c r="BY523" s="415" t="s">
        <v>337</v>
      </c>
      <c r="CB523" s="415" t="s">
        <v>337</v>
      </c>
      <c r="CE523" s="415" t="s">
        <v>337</v>
      </c>
      <c r="CH523" s="415" t="s">
        <v>337</v>
      </c>
      <c r="CK523" s="415" t="s">
        <v>337</v>
      </c>
      <c r="CN523" s="415" t="s">
        <v>337</v>
      </c>
      <c r="CQ523" s="415" t="s">
        <v>337</v>
      </c>
      <c r="CT523" s="415" t="s">
        <v>337</v>
      </c>
    </row>
    <row r="524" spans="1:98">
      <c r="A524" s="1" t="s">
        <v>1223</v>
      </c>
      <c r="B524" s="416" t="s">
        <v>5291</v>
      </c>
      <c r="S524" s="213" t="s">
        <v>5292</v>
      </c>
      <c r="T524" s="416" t="s">
        <v>5293</v>
      </c>
      <c r="U524" s="415" t="s">
        <v>337</v>
      </c>
      <c r="X524" s="415"/>
      <c r="AA524" s="415"/>
      <c r="AD524" s="415"/>
      <c r="AE524" s="417" t="s">
        <v>5294</v>
      </c>
      <c r="AF524" s="416" t="s">
        <v>5295</v>
      </c>
      <c r="AG524" s="415"/>
      <c r="AJ524" s="415" t="s">
        <v>337</v>
      </c>
      <c r="AM524" s="415" t="s">
        <v>337</v>
      </c>
      <c r="AP524" s="415" t="s">
        <v>337</v>
      </c>
      <c r="AS524" s="415" t="s">
        <v>337</v>
      </c>
      <c r="AV524" s="415" t="s">
        <v>337</v>
      </c>
      <c r="AY524" s="415" t="s">
        <v>337</v>
      </c>
      <c r="BB524" s="415" t="s">
        <v>337</v>
      </c>
      <c r="BE524" s="415" t="s">
        <v>337</v>
      </c>
      <c r="BH524" s="415" t="s">
        <v>337</v>
      </c>
      <c r="BM524" s="415" t="s">
        <v>337</v>
      </c>
      <c r="BP524" s="415" t="s">
        <v>337</v>
      </c>
      <c r="BS524" s="415"/>
      <c r="BV524" s="415" t="s">
        <v>337</v>
      </c>
      <c r="BY524" s="415" t="s">
        <v>337</v>
      </c>
      <c r="CB524" s="415" t="s">
        <v>337</v>
      </c>
      <c r="CE524" s="415" t="s">
        <v>337</v>
      </c>
      <c r="CH524" s="415" t="s">
        <v>337</v>
      </c>
      <c r="CK524" s="415" t="s">
        <v>337</v>
      </c>
      <c r="CN524" s="415" t="s">
        <v>337</v>
      </c>
      <c r="CQ524" s="415" t="s">
        <v>337</v>
      </c>
      <c r="CT524" s="415" t="s">
        <v>337</v>
      </c>
    </row>
    <row r="525" spans="1:98">
      <c r="A525" s="1" t="s">
        <v>1223</v>
      </c>
      <c r="B525" s="416" t="s">
        <v>5296</v>
      </c>
      <c r="S525" s="213" t="s">
        <v>5297</v>
      </c>
      <c r="T525" s="416" t="s">
        <v>3232</v>
      </c>
      <c r="U525" s="415" t="s">
        <v>337</v>
      </c>
      <c r="X525" s="415"/>
      <c r="AA525" s="415"/>
      <c r="AD525" s="415"/>
      <c r="AE525" s="417" t="s">
        <v>5298</v>
      </c>
      <c r="AF525" s="416" t="s">
        <v>5299</v>
      </c>
      <c r="AG525" s="415"/>
      <c r="AJ525" s="415" t="s">
        <v>337</v>
      </c>
      <c r="AM525" s="415" t="s">
        <v>337</v>
      </c>
      <c r="AP525" s="415" t="s">
        <v>337</v>
      </c>
      <c r="AS525" s="415" t="s">
        <v>337</v>
      </c>
      <c r="AV525" s="415" t="s">
        <v>337</v>
      </c>
      <c r="AY525" s="415" t="s">
        <v>337</v>
      </c>
      <c r="BB525" s="415" t="s">
        <v>337</v>
      </c>
      <c r="BE525" s="415" t="s">
        <v>337</v>
      </c>
      <c r="BH525" s="415" t="s">
        <v>337</v>
      </c>
      <c r="BM525" s="415" t="s">
        <v>337</v>
      </c>
      <c r="BP525" s="415" t="s">
        <v>337</v>
      </c>
      <c r="BS525" s="415"/>
      <c r="BV525" s="415" t="s">
        <v>337</v>
      </c>
      <c r="BY525" s="415" t="s">
        <v>337</v>
      </c>
      <c r="CB525" s="415" t="s">
        <v>337</v>
      </c>
      <c r="CE525" s="415" t="s">
        <v>337</v>
      </c>
      <c r="CH525" s="415" t="s">
        <v>337</v>
      </c>
      <c r="CK525" s="415" t="s">
        <v>337</v>
      </c>
      <c r="CN525" s="415" t="s">
        <v>337</v>
      </c>
      <c r="CQ525" s="415" t="s">
        <v>337</v>
      </c>
      <c r="CT525" s="415" t="s">
        <v>337</v>
      </c>
    </row>
    <row r="526" spans="1:98">
      <c r="A526" s="1" t="s">
        <v>1223</v>
      </c>
      <c r="B526" s="416" t="s">
        <v>5300</v>
      </c>
      <c r="S526" s="213" t="s">
        <v>5301</v>
      </c>
      <c r="T526" s="416" t="s">
        <v>5302</v>
      </c>
      <c r="U526" s="415" t="s">
        <v>337</v>
      </c>
      <c r="X526" s="415"/>
      <c r="AA526" s="415"/>
      <c r="AD526" s="415"/>
      <c r="AE526" s="417" t="s">
        <v>5303</v>
      </c>
      <c r="AF526" s="416" t="s">
        <v>5304</v>
      </c>
      <c r="AG526" s="415"/>
      <c r="AJ526" s="415" t="s">
        <v>337</v>
      </c>
      <c r="AM526" s="415" t="s">
        <v>337</v>
      </c>
      <c r="AP526" s="415" t="s">
        <v>337</v>
      </c>
      <c r="AS526" s="415" t="s">
        <v>337</v>
      </c>
      <c r="AV526" s="415" t="s">
        <v>337</v>
      </c>
      <c r="AY526" s="415" t="s">
        <v>337</v>
      </c>
      <c r="BB526" s="415" t="s">
        <v>337</v>
      </c>
      <c r="BE526" s="415" t="s">
        <v>337</v>
      </c>
      <c r="BH526" s="415" t="s">
        <v>337</v>
      </c>
      <c r="BM526" s="415" t="s">
        <v>337</v>
      </c>
      <c r="BP526" s="415" t="s">
        <v>337</v>
      </c>
      <c r="BS526" s="415"/>
      <c r="BV526" s="415" t="s">
        <v>337</v>
      </c>
      <c r="BY526" s="415" t="s">
        <v>337</v>
      </c>
      <c r="CB526" s="415" t="s">
        <v>337</v>
      </c>
      <c r="CE526" s="415" t="s">
        <v>337</v>
      </c>
      <c r="CH526" s="415" t="s">
        <v>337</v>
      </c>
      <c r="CK526" s="415" t="s">
        <v>337</v>
      </c>
      <c r="CN526" s="415" t="s">
        <v>337</v>
      </c>
      <c r="CQ526" s="415" t="s">
        <v>337</v>
      </c>
      <c r="CT526" s="415" t="s">
        <v>337</v>
      </c>
    </row>
    <row r="527" spans="1:98">
      <c r="A527" s="1" t="s">
        <v>1223</v>
      </c>
      <c r="B527" s="416" t="s">
        <v>5305</v>
      </c>
      <c r="S527" s="213" t="s">
        <v>5306</v>
      </c>
      <c r="T527" s="416" t="s">
        <v>5307</v>
      </c>
      <c r="U527" s="415" t="s">
        <v>337</v>
      </c>
      <c r="X527" s="415"/>
      <c r="AA527" s="415"/>
      <c r="AD527" s="415"/>
      <c r="AE527" s="417" t="s">
        <v>5308</v>
      </c>
      <c r="AF527" s="416" t="s">
        <v>5309</v>
      </c>
      <c r="AG527" s="415"/>
      <c r="AJ527" s="415" t="s">
        <v>337</v>
      </c>
      <c r="AM527" s="415" t="s">
        <v>337</v>
      </c>
      <c r="AP527" s="415" t="s">
        <v>337</v>
      </c>
      <c r="AS527" s="415" t="s">
        <v>337</v>
      </c>
      <c r="AV527" s="415" t="s">
        <v>337</v>
      </c>
      <c r="AY527" s="415" t="s">
        <v>337</v>
      </c>
      <c r="BB527" s="415" t="s">
        <v>337</v>
      </c>
      <c r="BE527" s="415" t="s">
        <v>337</v>
      </c>
      <c r="BH527" s="415" t="s">
        <v>337</v>
      </c>
      <c r="BM527" s="415" t="s">
        <v>337</v>
      </c>
      <c r="BP527" s="415" t="s">
        <v>337</v>
      </c>
      <c r="BS527" s="415"/>
      <c r="BV527" s="415" t="s">
        <v>337</v>
      </c>
      <c r="BY527" s="415" t="s">
        <v>337</v>
      </c>
      <c r="CB527" s="415" t="s">
        <v>337</v>
      </c>
      <c r="CE527" s="415" t="s">
        <v>337</v>
      </c>
      <c r="CH527" s="415" t="s">
        <v>337</v>
      </c>
      <c r="CK527" s="415" t="s">
        <v>337</v>
      </c>
      <c r="CN527" s="415" t="s">
        <v>337</v>
      </c>
      <c r="CQ527" s="415" t="s">
        <v>337</v>
      </c>
      <c r="CT527" s="415" t="s">
        <v>337</v>
      </c>
    </row>
    <row r="528" spans="1:98">
      <c r="A528" s="1" t="s">
        <v>1239</v>
      </c>
      <c r="B528" s="416" t="s">
        <v>5310</v>
      </c>
      <c r="S528" s="213" t="s">
        <v>5311</v>
      </c>
      <c r="T528" s="416" t="s">
        <v>5312</v>
      </c>
      <c r="U528" s="415" t="s">
        <v>337</v>
      </c>
      <c r="X528" s="415"/>
      <c r="AA528" s="415"/>
      <c r="AD528" s="415"/>
      <c r="AE528" s="417" t="s">
        <v>5313</v>
      </c>
      <c r="AF528" s="416" t="s">
        <v>5314</v>
      </c>
      <c r="AG528" s="415"/>
      <c r="AJ528" s="415" t="s">
        <v>337</v>
      </c>
      <c r="AM528" s="415" t="s">
        <v>337</v>
      </c>
      <c r="AP528" s="415" t="s">
        <v>337</v>
      </c>
      <c r="AS528" s="415" t="s">
        <v>337</v>
      </c>
      <c r="AV528" s="415" t="s">
        <v>337</v>
      </c>
      <c r="AY528" s="415" t="s">
        <v>337</v>
      </c>
      <c r="BB528" s="415" t="s">
        <v>337</v>
      </c>
      <c r="BE528" s="415" t="s">
        <v>337</v>
      </c>
      <c r="BH528" s="415" t="s">
        <v>337</v>
      </c>
      <c r="BM528" s="415" t="s">
        <v>337</v>
      </c>
      <c r="BP528" s="415" t="s">
        <v>337</v>
      </c>
      <c r="BS528" s="415"/>
      <c r="BV528" s="415" t="s">
        <v>337</v>
      </c>
      <c r="BY528" s="415" t="s">
        <v>337</v>
      </c>
      <c r="CB528" s="415" t="s">
        <v>337</v>
      </c>
      <c r="CE528" s="415" t="s">
        <v>337</v>
      </c>
      <c r="CH528" s="415" t="s">
        <v>337</v>
      </c>
      <c r="CK528" s="415" t="s">
        <v>337</v>
      </c>
      <c r="CN528" s="415" t="s">
        <v>337</v>
      </c>
      <c r="CQ528" s="415" t="s">
        <v>337</v>
      </c>
      <c r="CT528" s="415" t="s">
        <v>337</v>
      </c>
    </row>
    <row r="529" spans="1:98">
      <c r="A529" s="1" t="s">
        <v>1239</v>
      </c>
      <c r="B529" s="416" t="s">
        <v>5315</v>
      </c>
      <c r="S529" s="213" t="s">
        <v>5316</v>
      </c>
      <c r="T529" s="416" t="s">
        <v>5317</v>
      </c>
      <c r="U529" s="415" t="s">
        <v>337</v>
      </c>
      <c r="X529" s="415"/>
      <c r="AA529" s="415"/>
      <c r="AD529" s="415"/>
      <c r="AE529" s="417" t="s">
        <v>5318</v>
      </c>
      <c r="AF529" s="416" t="s">
        <v>5319</v>
      </c>
      <c r="AG529" s="415"/>
      <c r="AJ529" s="415" t="s">
        <v>337</v>
      </c>
      <c r="AM529" s="415" t="s">
        <v>337</v>
      </c>
      <c r="AP529" s="415" t="s">
        <v>337</v>
      </c>
      <c r="AS529" s="415" t="s">
        <v>337</v>
      </c>
      <c r="AV529" s="415" t="s">
        <v>337</v>
      </c>
      <c r="AY529" s="415" t="s">
        <v>337</v>
      </c>
      <c r="BB529" s="415" t="s">
        <v>337</v>
      </c>
      <c r="BE529" s="415" t="s">
        <v>337</v>
      </c>
      <c r="BH529" s="415" t="s">
        <v>337</v>
      </c>
      <c r="BM529" s="415" t="s">
        <v>337</v>
      </c>
      <c r="BP529" s="415" t="s">
        <v>337</v>
      </c>
      <c r="BS529" s="415"/>
      <c r="BV529" s="415" t="s">
        <v>337</v>
      </c>
      <c r="BY529" s="415" t="s">
        <v>337</v>
      </c>
      <c r="CB529" s="415" t="s">
        <v>337</v>
      </c>
      <c r="CE529" s="415" t="s">
        <v>337</v>
      </c>
      <c r="CH529" s="415" t="s">
        <v>337</v>
      </c>
      <c r="CK529" s="415" t="s">
        <v>337</v>
      </c>
      <c r="CN529" s="415" t="s">
        <v>337</v>
      </c>
      <c r="CQ529" s="415" t="s">
        <v>337</v>
      </c>
      <c r="CT529" s="415" t="s">
        <v>337</v>
      </c>
    </row>
    <row r="530" spans="1:98">
      <c r="A530" s="1" t="s">
        <v>1239</v>
      </c>
      <c r="B530" s="416" t="s">
        <v>5320</v>
      </c>
      <c r="S530" s="213" t="s">
        <v>5321</v>
      </c>
      <c r="T530" s="416" t="s">
        <v>5322</v>
      </c>
      <c r="U530" s="415" t="s">
        <v>337</v>
      </c>
      <c r="X530" s="415"/>
      <c r="AA530" s="415"/>
      <c r="AD530" s="415"/>
      <c r="AE530" s="417" t="s">
        <v>5323</v>
      </c>
      <c r="AF530" s="416" t="s">
        <v>5324</v>
      </c>
      <c r="AG530" s="415"/>
      <c r="AJ530" s="415" t="s">
        <v>337</v>
      </c>
      <c r="AM530" s="415" t="s">
        <v>337</v>
      </c>
      <c r="AP530" s="415" t="s">
        <v>337</v>
      </c>
      <c r="AS530" s="415" t="s">
        <v>337</v>
      </c>
      <c r="AV530" s="415" t="s">
        <v>337</v>
      </c>
      <c r="AY530" s="415" t="s">
        <v>337</v>
      </c>
      <c r="BB530" s="415" t="s">
        <v>337</v>
      </c>
      <c r="BE530" s="415" t="s">
        <v>337</v>
      </c>
      <c r="BH530" s="415" t="s">
        <v>337</v>
      </c>
      <c r="BM530" s="415" t="s">
        <v>337</v>
      </c>
      <c r="BP530" s="415" t="s">
        <v>337</v>
      </c>
      <c r="BS530" s="415"/>
      <c r="BV530" s="415" t="s">
        <v>337</v>
      </c>
      <c r="BY530" s="415" t="s">
        <v>337</v>
      </c>
      <c r="CB530" s="415" t="s">
        <v>337</v>
      </c>
      <c r="CE530" s="415" t="s">
        <v>337</v>
      </c>
      <c r="CH530" s="415" t="s">
        <v>337</v>
      </c>
      <c r="CK530" s="415" t="s">
        <v>337</v>
      </c>
      <c r="CN530" s="415" t="s">
        <v>337</v>
      </c>
      <c r="CQ530" s="415" t="s">
        <v>337</v>
      </c>
      <c r="CT530" s="415" t="s">
        <v>337</v>
      </c>
    </row>
    <row r="531" spans="1:98">
      <c r="A531" s="1" t="s">
        <v>1239</v>
      </c>
      <c r="B531" s="416" t="s">
        <v>5325</v>
      </c>
      <c r="S531" s="213" t="s">
        <v>5326</v>
      </c>
      <c r="T531" s="416" t="s">
        <v>5327</v>
      </c>
      <c r="U531" s="415" t="s">
        <v>337</v>
      </c>
      <c r="X531" s="415"/>
      <c r="AA531" s="415"/>
      <c r="AD531" s="415"/>
      <c r="AE531" s="417" t="s">
        <v>5328</v>
      </c>
      <c r="AF531" s="416" t="s">
        <v>5329</v>
      </c>
      <c r="AG531" s="415"/>
      <c r="AJ531" s="415" t="s">
        <v>337</v>
      </c>
      <c r="AM531" s="415" t="s">
        <v>337</v>
      </c>
      <c r="AP531" s="415" t="s">
        <v>337</v>
      </c>
      <c r="AS531" s="415" t="s">
        <v>337</v>
      </c>
      <c r="AV531" s="415" t="s">
        <v>337</v>
      </c>
      <c r="AY531" s="415" t="s">
        <v>337</v>
      </c>
      <c r="BB531" s="415" t="s">
        <v>337</v>
      </c>
      <c r="BE531" s="415" t="s">
        <v>337</v>
      </c>
      <c r="BH531" s="415" t="s">
        <v>337</v>
      </c>
      <c r="BM531" s="415" t="s">
        <v>337</v>
      </c>
      <c r="BP531" s="415" t="s">
        <v>337</v>
      </c>
      <c r="BS531" s="415"/>
      <c r="BV531" s="415" t="s">
        <v>337</v>
      </c>
      <c r="BY531" s="415" t="s">
        <v>337</v>
      </c>
      <c r="CB531" s="415" t="s">
        <v>337</v>
      </c>
      <c r="CE531" s="415" t="s">
        <v>337</v>
      </c>
      <c r="CH531" s="415" t="s">
        <v>337</v>
      </c>
      <c r="CK531" s="415" t="s">
        <v>337</v>
      </c>
      <c r="CN531" s="415" t="s">
        <v>337</v>
      </c>
      <c r="CQ531" s="415" t="s">
        <v>337</v>
      </c>
      <c r="CT531" s="415" t="s">
        <v>337</v>
      </c>
    </row>
    <row r="532" spans="1:98">
      <c r="A532" s="1" t="s">
        <v>1239</v>
      </c>
      <c r="B532" s="416" t="s">
        <v>5330</v>
      </c>
      <c r="S532" s="213" t="s">
        <v>5331</v>
      </c>
      <c r="T532" s="416" t="s">
        <v>5332</v>
      </c>
      <c r="U532" s="415" t="s">
        <v>337</v>
      </c>
      <c r="X532" s="415"/>
      <c r="AA532" s="415"/>
      <c r="AD532" s="415"/>
      <c r="AE532" s="417" t="s">
        <v>5333</v>
      </c>
      <c r="AF532" s="416" t="s">
        <v>5334</v>
      </c>
      <c r="AG532" s="415"/>
      <c r="AJ532" s="415" t="s">
        <v>337</v>
      </c>
      <c r="AM532" s="415" t="s">
        <v>337</v>
      </c>
      <c r="AP532" s="415" t="s">
        <v>337</v>
      </c>
      <c r="AS532" s="415" t="s">
        <v>337</v>
      </c>
      <c r="AV532" s="415" t="s">
        <v>337</v>
      </c>
      <c r="AY532" s="415" t="s">
        <v>337</v>
      </c>
      <c r="BB532" s="415" t="s">
        <v>337</v>
      </c>
      <c r="BE532" s="415" t="s">
        <v>337</v>
      </c>
      <c r="BH532" s="415" t="s">
        <v>337</v>
      </c>
      <c r="BM532" s="415" t="s">
        <v>337</v>
      </c>
      <c r="BP532" s="415" t="s">
        <v>337</v>
      </c>
      <c r="BS532" s="415"/>
      <c r="BV532" s="415" t="s">
        <v>337</v>
      </c>
      <c r="BY532" s="415" t="s">
        <v>337</v>
      </c>
      <c r="CB532" s="415" t="s">
        <v>337</v>
      </c>
      <c r="CE532" s="415" t="s">
        <v>337</v>
      </c>
      <c r="CH532" s="415" t="s">
        <v>337</v>
      </c>
      <c r="CK532" s="415" t="s">
        <v>337</v>
      </c>
      <c r="CN532" s="415" t="s">
        <v>337</v>
      </c>
      <c r="CQ532" s="415" t="s">
        <v>337</v>
      </c>
      <c r="CT532" s="415" t="s">
        <v>337</v>
      </c>
    </row>
    <row r="533" spans="1:98">
      <c r="A533" s="1" t="s">
        <v>1239</v>
      </c>
      <c r="B533" s="416" t="s">
        <v>5335</v>
      </c>
      <c r="S533" s="213" t="s">
        <v>5336</v>
      </c>
      <c r="T533" s="416" t="s">
        <v>5337</v>
      </c>
      <c r="U533" s="415" t="s">
        <v>337</v>
      </c>
      <c r="X533" s="415"/>
      <c r="AA533" s="415"/>
      <c r="AD533" s="415"/>
      <c r="AE533" s="417" t="s">
        <v>5338</v>
      </c>
      <c r="AF533" s="416" t="s">
        <v>5339</v>
      </c>
      <c r="AG533" s="415"/>
      <c r="AJ533" s="415" t="s">
        <v>337</v>
      </c>
      <c r="AM533" s="415" t="s">
        <v>337</v>
      </c>
      <c r="AP533" s="415" t="s">
        <v>337</v>
      </c>
      <c r="AS533" s="415" t="s">
        <v>337</v>
      </c>
      <c r="AV533" s="415" t="s">
        <v>337</v>
      </c>
      <c r="AY533" s="415" t="s">
        <v>337</v>
      </c>
      <c r="BB533" s="415" t="s">
        <v>337</v>
      </c>
      <c r="BE533" s="415" t="s">
        <v>337</v>
      </c>
      <c r="BH533" s="415" t="s">
        <v>337</v>
      </c>
      <c r="BM533" s="415" t="s">
        <v>337</v>
      </c>
      <c r="BP533" s="415" t="s">
        <v>337</v>
      </c>
      <c r="BS533" s="415"/>
      <c r="BV533" s="415" t="s">
        <v>337</v>
      </c>
      <c r="BY533" s="415" t="s">
        <v>337</v>
      </c>
      <c r="CB533" s="415" t="s">
        <v>337</v>
      </c>
      <c r="CE533" s="415" t="s">
        <v>337</v>
      </c>
      <c r="CH533" s="415" t="s">
        <v>337</v>
      </c>
      <c r="CK533" s="415" t="s">
        <v>337</v>
      </c>
      <c r="CN533" s="415" t="s">
        <v>337</v>
      </c>
      <c r="CQ533" s="415" t="s">
        <v>337</v>
      </c>
      <c r="CT533" s="415" t="s">
        <v>337</v>
      </c>
    </row>
    <row r="534" spans="1:98">
      <c r="A534" s="1" t="s">
        <v>1239</v>
      </c>
      <c r="B534" s="416" t="s">
        <v>5340</v>
      </c>
      <c r="S534" s="213" t="s">
        <v>5341</v>
      </c>
      <c r="T534" s="416" t="s">
        <v>5342</v>
      </c>
      <c r="U534" s="415" t="s">
        <v>337</v>
      </c>
      <c r="X534" s="415"/>
      <c r="AA534" s="415"/>
      <c r="AD534" s="415"/>
      <c r="AE534" s="417" t="s">
        <v>5343</v>
      </c>
      <c r="AF534" s="416" t="s">
        <v>5344</v>
      </c>
      <c r="AG534" s="415"/>
      <c r="AJ534" s="415" t="s">
        <v>337</v>
      </c>
      <c r="AM534" s="415" t="s">
        <v>337</v>
      </c>
      <c r="AP534" s="415" t="s">
        <v>337</v>
      </c>
      <c r="AS534" s="415" t="s">
        <v>337</v>
      </c>
      <c r="AV534" s="415" t="s">
        <v>337</v>
      </c>
      <c r="AY534" s="415" t="s">
        <v>337</v>
      </c>
      <c r="BB534" s="415" t="s">
        <v>337</v>
      </c>
      <c r="BE534" s="415" t="s">
        <v>337</v>
      </c>
      <c r="BH534" s="415" t="s">
        <v>337</v>
      </c>
      <c r="BM534" s="415" t="s">
        <v>337</v>
      </c>
      <c r="BP534" s="415" t="s">
        <v>337</v>
      </c>
      <c r="BS534" s="415"/>
      <c r="BV534" s="415" t="s">
        <v>337</v>
      </c>
      <c r="BY534" s="415" t="s">
        <v>337</v>
      </c>
      <c r="CB534" s="415" t="s">
        <v>337</v>
      </c>
      <c r="CE534" s="415" t="s">
        <v>337</v>
      </c>
      <c r="CH534" s="415" t="s">
        <v>337</v>
      </c>
      <c r="CK534" s="415" t="s">
        <v>337</v>
      </c>
      <c r="CN534" s="415" t="s">
        <v>337</v>
      </c>
      <c r="CQ534" s="415" t="s">
        <v>337</v>
      </c>
      <c r="CT534" s="415" t="s">
        <v>337</v>
      </c>
    </row>
    <row r="535" spans="1:98">
      <c r="A535" s="1" t="s">
        <v>1239</v>
      </c>
      <c r="B535" s="416" t="s">
        <v>1527</v>
      </c>
      <c r="S535" s="213" t="s">
        <v>5345</v>
      </c>
      <c r="T535" s="416" t="s">
        <v>5346</v>
      </c>
      <c r="U535" s="415" t="s">
        <v>337</v>
      </c>
      <c r="X535" s="415"/>
      <c r="AA535" s="415"/>
      <c r="AD535" s="415"/>
      <c r="AE535" s="417" t="s">
        <v>5347</v>
      </c>
      <c r="AF535" s="416" t="s">
        <v>5348</v>
      </c>
      <c r="AG535" s="415"/>
      <c r="AJ535" s="415" t="s">
        <v>337</v>
      </c>
      <c r="AM535" s="415" t="s">
        <v>337</v>
      </c>
      <c r="AP535" s="415" t="s">
        <v>337</v>
      </c>
      <c r="AS535" s="415" t="s">
        <v>337</v>
      </c>
      <c r="AV535" s="415" t="s">
        <v>337</v>
      </c>
      <c r="AY535" s="415" t="s">
        <v>337</v>
      </c>
      <c r="BB535" s="415" t="s">
        <v>337</v>
      </c>
      <c r="BE535" s="415" t="s">
        <v>337</v>
      </c>
      <c r="BH535" s="415" t="s">
        <v>337</v>
      </c>
      <c r="BM535" s="415" t="s">
        <v>337</v>
      </c>
      <c r="BP535" s="415" t="s">
        <v>337</v>
      </c>
      <c r="BS535" s="415"/>
      <c r="BV535" s="415" t="s">
        <v>337</v>
      </c>
      <c r="BY535" s="415" t="s">
        <v>337</v>
      </c>
      <c r="CB535" s="415" t="s">
        <v>337</v>
      </c>
      <c r="CE535" s="415" t="s">
        <v>337</v>
      </c>
      <c r="CH535" s="415" t="s">
        <v>337</v>
      </c>
      <c r="CK535" s="415" t="s">
        <v>337</v>
      </c>
      <c r="CN535" s="415" t="s">
        <v>337</v>
      </c>
      <c r="CQ535" s="415" t="s">
        <v>337</v>
      </c>
      <c r="CT535" s="415" t="s">
        <v>337</v>
      </c>
    </row>
    <row r="536" spans="1:98">
      <c r="A536" s="1" t="s">
        <v>1254</v>
      </c>
      <c r="B536" s="416" t="s">
        <v>5349</v>
      </c>
      <c r="S536" s="213" t="s">
        <v>5350</v>
      </c>
      <c r="T536" s="416" t="s">
        <v>5351</v>
      </c>
      <c r="U536" s="415" t="s">
        <v>337</v>
      </c>
      <c r="X536" s="415"/>
      <c r="AA536" s="415"/>
      <c r="AD536" s="415"/>
      <c r="AE536" s="417" t="s">
        <v>5352</v>
      </c>
      <c r="AF536" s="416" t="s">
        <v>5353</v>
      </c>
      <c r="AG536" s="415"/>
      <c r="AJ536" s="415" t="s">
        <v>337</v>
      </c>
      <c r="AM536" s="415" t="s">
        <v>337</v>
      </c>
      <c r="AP536" s="415" t="s">
        <v>337</v>
      </c>
      <c r="AS536" s="415" t="s">
        <v>337</v>
      </c>
      <c r="AV536" s="415" t="s">
        <v>337</v>
      </c>
      <c r="AY536" s="415" t="s">
        <v>337</v>
      </c>
      <c r="BB536" s="415" t="s">
        <v>337</v>
      </c>
      <c r="BE536" s="415" t="s">
        <v>337</v>
      </c>
      <c r="BH536" s="415" t="s">
        <v>337</v>
      </c>
      <c r="BM536" s="415" t="s">
        <v>337</v>
      </c>
      <c r="BP536" s="415" t="s">
        <v>337</v>
      </c>
      <c r="BS536" s="415"/>
      <c r="BV536" s="415" t="s">
        <v>337</v>
      </c>
      <c r="BY536" s="415" t="s">
        <v>337</v>
      </c>
      <c r="CB536" s="415" t="s">
        <v>337</v>
      </c>
      <c r="CE536" s="415" t="s">
        <v>337</v>
      </c>
      <c r="CH536" s="415" t="s">
        <v>337</v>
      </c>
      <c r="CK536" s="415" t="s">
        <v>337</v>
      </c>
      <c r="CN536" s="415" t="s">
        <v>337</v>
      </c>
      <c r="CQ536" s="415" t="s">
        <v>337</v>
      </c>
      <c r="CT536" s="415" t="s">
        <v>337</v>
      </c>
    </row>
    <row r="537" spans="1:98">
      <c r="A537" s="1" t="s">
        <v>1254</v>
      </c>
      <c r="B537" s="416" t="s">
        <v>5354</v>
      </c>
      <c r="S537" s="213" t="s">
        <v>5355</v>
      </c>
      <c r="T537" s="416" t="s">
        <v>5356</v>
      </c>
      <c r="U537" s="415" t="s">
        <v>337</v>
      </c>
      <c r="X537" s="415"/>
      <c r="AA537" s="415"/>
      <c r="AD537" s="415"/>
      <c r="AE537" s="417" t="s">
        <v>5357</v>
      </c>
      <c r="AF537" s="416" t="s">
        <v>5358</v>
      </c>
      <c r="AG537" s="415"/>
      <c r="AJ537" s="415" t="s">
        <v>337</v>
      </c>
      <c r="AM537" s="415" t="s">
        <v>337</v>
      </c>
      <c r="AP537" s="415" t="s">
        <v>337</v>
      </c>
      <c r="AS537" s="415" t="s">
        <v>337</v>
      </c>
      <c r="AV537" s="415" t="s">
        <v>337</v>
      </c>
      <c r="AY537" s="415" t="s">
        <v>337</v>
      </c>
      <c r="BB537" s="415" t="s">
        <v>337</v>
      </c>
      <c r="BE537" s="415" t="s">
        <v>337</v>
      </c>
      <c r="BH537" s="415" t="s">
        <v>337</v>
      </c>
      <c r="BM537" s="415" t="s">
        <v>337</v>
      </c>
      <c r="BP537" s="415" t="s">
        <v>337</v>
      </c>
      <c r="BS537" s="415"/>
      <c r="BV537" s="415" t="s">
        <v>337</v>
      </c>
      <c r="BY537" s="415" t="s">
        <v>337</v>
      </c>
      <c r="CB537" s="415" t="s">
        <v>337</v>
      </c>
      <c r="CE537" s="415" t="s">
        <v>337</v>
      </c>
      <c r="CH537" s="415" t="s">
        <v>337</v>
      </c>
      <c r="CK537" s="415" t="s">
        <v>337</v>
      </c>
      <c r="CN537" s="415" t="s">
        <v>337</v>
      </c>
      <c r="CQ537" s="415" t="s">
        <v>337</v>
      </c>
      <c r="CT537" s="415" t="s">
        <v>337</v>
      </c>
    </row>
    <row r="538" spans="1:98">
      <c r="A538" s="1" t="s">
        <v>1254</v>
      </c>
      <c r="B538" s="416" t="s">
        <v>5359</v>
      </c>
      <c r="S538" s="213" t="s">
        <v>5360</v>
      </c>
      <c r="T538" s="416" t="s">
        <v>5361</v>
      </c>
      <c r="U538" s="415" t="s">
        <v>337</v>
      </c>
      <c r="X538" s="415"/>
      <c r="AA538" s="415"/>
      <c r="AD538" s="415"/>
      <c r="AE538" s="417" t="s">
        <v>5362</v>
      </c>
      <c r="AF538" s="416" t="s">
        <v>5363</v>
      </c>
      <c r="AG538" s="415"/>
      <c r="AJ538" s="415" t="s">
        <v>337</v>
      </c>
      <c r="AM538" s="415" t="s">
        <v>337</v>
      </c>
      <c r="AP538" s="415" t="s">
        <v>337</v>
      </c>
      <c r="AS538" s="415" t="s">
        <v>337</v>
      </c>
      <c r="AV538" s="415" t="s">
        <v>337</v>
      </c>
      <c r="AY538" s="415" t="s">
        <v>337</v>
      </c>
      <c r="BB538" s="415" t="s">
        <v>337</v>
      </c>
      <c r="BE538" s="415" t="s">
        <v>337</v>
      </c>
      <c r="BH538" s="415" t="s">
        <v>337</v>
      </c>
      <c r="BM538" s="415" t="s">
        <v>337</v>
      </c>
      <c r="BP538" s="415" t="s">
        <v>337</v>
      </c>
      <c r="BS538" s="415"/>
      <c r="BV538" s="415" t="s">
        <v>337</v>
      </c>
      <c r="BY538" s="415" t="s">
        <v>337</v>
      </c>
      <c r="CB538" s="415" t="s">
        <v>337</v>
      </c>
      <c r="CE538" s="415" t="s">
        <v>337</v>
      </c>
      <c r="CH538" s="415" t="s">
        <v>337</v>
      </c>
      <c r="CK538" s="415" t="s">
        <v>337</v>
      </c>
      <c r="CN538" s="415" t="s">
        <v>337</v>
      </c>
      <c r="CQ538" s="415" t="s">
        <v>337</v>
      </c>
      <c r="CT538" s="415" t="s">
        <v>337</v>
      </c>
    </row>
    <row r="539" spans="1:98">
      <c r="A539" s="1" t="s">
        <v>1254</v>
      </c>
      <c r="B539" s="416" t="s">
        <v>5364</v>
      </c>
      <c r="S539" s="213" t="s">
        <v>5365</v>
      </c>
      <c r="T539" s="416" t="s">
        <v>5366</v>
      </c>
      <c r="U539" s="415" t="s">
        <v>337</v>
      </c>
      <c r="X539" s="415"/>
      <c r="AA539" s="415"/>
      <c r="AD539" s="415"/>
      <c r="AE539" s="417" t="s">
        <v>5367</v>
      </c>
      <c r="AF539" s="416" t="s">
        <v>5368</v>
      </c>
      <c r="AG539" s="415"/>
      <c r="AJ539" s="415" t="s">
        <v>337</v>
      </c>
      <c r="AM539" s="415" t="s">
        <v>337</v>
      </c>
      <c r="AP539" s="415" t="s">
        <v>337</v>
      </c>
      <c r="AS539" s="415" t="s">
        <v>337</v>
      </c>
      <c r="AV539" s="415" t="s">
        <v>337</v>
      </c>
      <c r="AY539" s="415" t="s">
        <v>337</v>
      </c>
      <c r="BB539" s="415" t="s">
        <v>337</v>
      </c>
      <c r="BE539" s="415" t="s">
        <v>337</v>
      </c>
      <c r="BH539" s="415" t="s">
        <v>337</v>
      </c>
      <c r="BM539" s="415" t="s">
        <v>337</v>
      </c>
      <c r="BP539" s="415" t="s">
        <v>337</v>
      </c>
      <c r="BS539" s="415"/>
      <c r="BV539" s="415" t="s">
        <v>337</v>
      </c>
      <c r="BY539" s="415" t="s">
        <v>337</v>
      </c>
      <c r="CB539" s="415" t="s">
        <v>337</v>
      </c>
      <c r="CE539" s="415" t="s">
        <v>337</v>
      </c>
      <c r="CH539" s="415" t="s">
        <v>337</v>
      </c>
      <c r="CK539" s="415" t="s">
        <v>337</v>
      </c>
      <c r="CN539" s="415" t="s">
        <v>337</v>
      </c>
      <c r="CQ539" s="415" t="s">
        <v>337</v>
      </c>
      <c r="CT539" s="415" t="s">
        <v>337</v>
      </c>
    </row>
    <row r="540" spans="1:98">
      <c r="A540" s="1" t="s">
        <v>1254</v>
      </c>
      <c r="B540" s="416" t="s">
        <v>5369</v>
      </c>
      <c r="S540" s="213" t="s">
        <v>5370</v>
      </c>
      <c r="T540" s="416" t="s">
        <v>5371</v>
      </c>
      <c r="U540" s="415" t="s">
        <v>337</v>
      </c>
      <c r="X540" s="415"/>
      <c r="AA540" s="415"/>
      <c r="AD540" s="415"/>
      <c r="AE540" s="417" t="s">
        <v>5372</v>
      </c>
      <c r="AF540" s="416" t="s">
        <v>5373</v>
      </c>
      <c r="AG540" s="415"/>
      <c r="AJ540" s="415" t="s">
        <v>337</v>
      </c>
      <c r="AM540" s="415" t="s">
        <v>337</v>
      </c>
      <c r="AP540" s="415" t="s">
        <v>337</v>
      </c>
      <c r="AS540" s="415" t="s">
        <v>337</v>
      </c>
      <c r="AV540" s="415" t="s">
        <v>337</v>
      </c>
      <c r="AY540" s="415" t="s">
        <v>337</v>
      </c>
      <c r="BB540" s="415" t="s">
        <v>337</v>
      </c>
      <c r="BE540" s="415" t="s">
        <v>337</v>
      </c>
      <c r="BH540" s="415" t="s">
        <v>337</v>
      </c>
      <c r="BM540" s="415" t="s">
        <v>337</v>
      </c>
      <c r="BP540" s="415" t="s">
        <v>337</v>
      </c>
      <c r="BS540" s="415"/>
      <c r="BV540" s="415" t="s">
        <v>337</v>
      </c>
      <c r="BY540" s="415" t="s">
        <v>337</v>
      </c>
      <c r="CB540" s="415" t="s">
        <v>337</v>
      </c>
      <c r="CE540" s="415" t="s">
        <v>337</v>
      </c>
      <c r="CH540" s="415" t="s">
        <v>337</v>
      </c>
      <c r="CK540" s="415" t="s">
        <v>337</v>
      </c>
      <c r="CN540" s="415" t="s">
        <v>337</v>
      </c>
      <c r="CQ540" s="415" t="s">
        <v>337</v>
      </c>
      <c r="CT540" s="415" t="s">
        <v>337</v>
      </c>
    </row>
    <row r="541" spans="1:98">
      <c r="A541" s="1" t="s">
        <v>1254</v>
      </c>
      <c r="B541" s="416" t="s">
        <v>5374</v>
      </c>
      <c r="S541" s="213" t="s">
        <v>5375</v>
      </c>
      <c r="T541" s="416" t="s">
        <v>5376</v>
      </c>
      <c r="U541" s="415" t="s">
        <v>337</v>
      </c>
      <c r="X541" s="415"/>
      <c r="AA541" s="415"/>
      <c r="AD541" s="415"/>
      <c r="AE541" s="417" t="s">
        <v>5377</v>
      </c>
      <c r="AF541" s="416" t="s">
        <v>5378</v>
      </c>
      <c r="AG541" s="415"/>
      <c r="AJ541" s="415" t="s">
        <v>337</v>
      </c>
      <c r="AM541" s="415" t="s">
        <v>337</v>
      </c>
      <c r="AP541" s="415" t="s">
        <v>337</v>
      </c>
      <c r="AS541" s="415" t="s">
        <v>337</v>
      </c>
      <c r="AV541" s="415" t="s">
        <v>337</v>
      </c>
      <c r="AY541" s="415" t="s">
        <v>337</v>
      </c>
      <c r="BB541" s="415" t="s">
        <v>337</v>
      </c>
      <c r="BE541" s="415" t="s">
        <v>337</v>
      </c>
      <c r="BH541" s="415" t="s">
        <v>337</v>
      </c>
      <c r="BM541" s="415" t="s">
        <v>337</v>
      </c>
      <c r="BP541" s="415" t="s">
        <v>337</v>
      </c>
      <c r="BS541" s="415"/>
      <c r="BV541" s="415" t="s">
        <v>337</v>
      </c>
      <c r="BY541" s="415" t="s">
        <v>337</v>
      </c>
      <c r="CB541" s="415" t="s">
        <v>337</v>
      </c>
      <c r="CE541" s="415" t="s">
        <v>337</v>
      </c>
      <c r="CH541" s="415" t="s">
        <v>337</v>
      </c>
      <c r="CK541" s="415" t="s">
        <v>337</v>
      </c>
      <c r="CN541" s="415" t="s">
        <v>337</v>
      </c>
      <c r="CQ541" s="415" t="s">
        <v>337</v>
      </c>
      <c r="CT541" s="415" t="s">
        <v>337</v>
      </c>
    </row>
    <row r="542" spans="1:98">
      <c r="A542" s="1" t="s">
        <v>1254</v>
      </c>
      <c r="B542" s="416" t="s">
        <v>5379</v>
      </c>
      <c r="S542" s="213" t="s">
        <v>5380</v>
      </c>
      <c r="T542" s="416" t="s">
        <v>5381</v>
      </c>
      <c r="U542" s="415" t="s">
        <v>337</v>
      </c>
      <c r="X542" s="415"/>
      <c r="AA542" s="415"/>
      <c r="AD542" s="415"/>
      <c r="AE542" s="417" t="s">
        <v>5382</v>
      </c>
      <c r="AF542" s="416" t="s">
        <v>5383</v>
      </c>
      <c r="AG542" s="415"/>
      <c r="AJ542" s="415" t="s">
        <v>337</v>
      </c>
      <c r="AM542" s="415" t="s">
        <v>337</v>
      </c>
      <c r="AP542" s="415" t="s">
        <v>337</v>
      </c>
      <c r="AS542" s="415" t="s">
        <v>337</v>
      </c>
      <c r="AV542" s="415" t="s">
        <v>337</v>
      </c>
      <c r="AY542" s="415" t="s">
        <v>337</v>
      </c>
      <c r="BB542" s="415" t="s">
        <v>337</v>
      </c>
      <c r="BE542" s="415" t="s">
        <v>337</v>
      </c>
      <c r="BH542" s="415" t="s">
        <v>337</v>
      </c>
      <c r="BM542" s="415" t="s">
        <v>337</v>
      </c>
      <c r="BP542" s="415" t="s">
        <v>337</v>
      </c>
      <c r="BS542" s="415"/>
      <c r="BV542" s="415" t="s">
        <v>337</v>
      </c>
      <c r="BY542" s="415" t="s">
        <v>337</v>
      </c>
      <c r="CB542" s="415" t="s">
        <v>337</v>
      </c>
      <c r="CE542" s="415" t="s">
        <v>337</v>
      </c>
      <c r="CH542" s="415" t="s">
        <v>337</v>
      </c>
      <c r="CK542" s="415" t="s">
        <v>337</v>
      </c>
      <c r="CN542" s="415" t="s">
        <v>337</v>
      </c>
      <c r="CQ542" s="415" t="s">
        <v>337</v>
      </c>
      <c r="CT542" s="415" t="s">
        <v>337</v>
      </c>
    </row>
    <row r="543" spans="1:98">
      <c r="A543" s="1" t="s">
        <v>1254</v>
      </c>
      <c r="B543" s="416" t="s">
        <v>5384</v>
      </c>
      <c r="S543" s="213" t="s">
        <v>5385</v>
      </c>
      <c r="T543" s="416" t="s">
        <v>5386</v>
      </c>
      <c r="U543" s="415" t="s">
        <v>337</v>
      </c>
      <c r="X543" s="415"/>
      <c r="AA543" s="415"/>
      <c r="AD543" s="415"/>
      <c r="AE543" s="417" t="s">
        <v>5387</v>
      </c>
      <c r="AF543" s="416" t="s">
        <v>5388</v>
      </c>
      <c r="AG543" s="415"/>
      <c r="AJ543" s="415" t="s">
        <v>337</v>
      </c>
      <c r="AM543" s="415" t="s">
        <v>337</v>
      </c>
      <c r="AP543" s="415" t="s">
        <v>337</v>
      </c>
      <c r="AS543" s="415" t="s">
        <v>337</v>
      </c>
      <c r="AV543" s="415" t="s">
        <v>337</v>
      </c>
      <c r="AY543" s="415" t="s">
        <v>337</v>
      </c>
      <c r="BB543" s="415" t="s">
        <v>337</v>
      </c>
      <c r="BE543" s="415" t="s">
        <v>337</v>
      </c>
      <c r="BH543" s="415" t="s">
        <v>337</v>
      </c>
      <c r="BM543" s="415" t="s">
        <v>337</v>
      </c>
      <c r="BP543" s="415" t="s">
        <v>337</v>
      </c>
      <c r="BS543" s="415"/>
      <c r="BV543" s="415" t="s">
        <v>337</v>
      </c>
      <c r="BY543" s="415" t="s">
        <v>337</v>
      </c>
      <c r="CB543" s="415" t="s">
        <v>337</v>
      </c>
      <c r="CE543" s="415" t="s">
        <v>337</v>
      </c>
      <c r="CH543" s="415" t="s">
        <v>337</v>
      </c>
      <c r="CK543" s="415" t="s">
        <v>337</v>
      </c>
      <c r="CN543" s="415" t="s">
        <v>337</v>
      </c>
      <c r="CQ543" s="415" t="s">
        <v>337</v>
      </c>
      <c r="CT543" s="415" t="s">
        <v>337</v>
      </c>
    </row>
    <row r="544" spans="1:98">
      <c r="A544" s="1" t="s">
        <v>1254</v>
      </c>
      <c r="B544" s="416" t="s">
        <v>5389</v>
      </c>
      <c r="S544" s="213" t="s">
        <v>5390</v>
      </c>
      <c r="T544" s="416" t="s">
        <v>5391</v>
      </c>
      <c r="U544" s="415" t="s">
        <v>337</v>
      </c>
      <c r="X544" s="415"/>
      <c r="AA544" s="415"/>
      <c r="AD544" s="415"/>
      <c r="AE544" s="417" t="s">
        <v>5392</v>
      </c>
      <c r="AF544" s="416" t="s">
        <v>5393</v>
      </c>
      <c r="AG544" s="415"/>
      <c r="AJ544" s="415" t="s">
        <v>337</v>
      </c>
      <c r="AM544" s="415" t="s">
        <v>337</v>
      </c>
      <c r="AP544" s="415" t="s">
        <v>337</v>
      </c>
      <c r="AS544" s="415" t="s">
        <v>337</v>
      </c>
      <c r="AV544" s="415" t="s">
        <v>337</v>
      </c>
      <c r="AY544" s="415" t="s">
        <v>337</v>
      </c>
      <c r="BB544" s="415" t="s">
        <v>337</v>
      </c>
      <c r="BE544" s="415" t="s">
        <v>337</v>
      </c>
      <c r="BH544" s="415" t="s">
        <v>337</v>
      </c>
      <c r="BM544" s="415" t="s">
        <v>337</v>
      </c>
      <c r="BP544" s="415" t="s">
        <v>337</v>
      </c>
      <c r="BS544" s="415"/>
      <c r="BV544" s="415" t="s">
        <v>337</v>
      </c>
      <c r="BY544" s="415" t="s">
        <v>337</v>
      </c>
      <c r="CB544" s="415" t="s">
        <v>337</v>
      </c>
      <c r="CE544" s="415" t="s">
        <v>337</v>
      </c>
      <c r="CH544" s="415" t="s">
        <v>337</v>
      </c>
      <c r="CK544" s="415" t="s">
        <v>337</v>
      </c>
      <c r="CN544" s="415" t="s">
        <v>337</v>
      </c>
      <c r="CQ544" s="415" t="s">
        <v>337</v>
      </c>
      <c r="CT544" s="415" t="s">
        <v>337</v>
      </c>
    </row>
    <row r="545" spans="1:98">
      <c r="A545" s="1" t="s">
        <v>1254</v>
      </c>
      <c r="B545" s="416" t="s">
        <v>5394</v>
      </c>
      <c r="S545" s="213" t="s">
        <v>5395</v>
      </c>
      <c r="T545" s="416" t="s">
        <v>5396</v>
      </c>
      <c r="U545" s="415" t="s">
        <v>337</v>
      </c>
      <c r="X545" s="415"/>
      <c r="AA545" s="415"/>
      <c r="AD545" s="415"/>
      <c r="AE545" s="417" t="s">
        <v>5397</v>
      </c>
      <c r="AF545" s="416" t="s">
        <v>5398</v>
      </c>
      <c r="AG545" s="415"/>
      <c r="AJ545" s="415" t="s">
        <v>337</v>
      </c>
      <c r="AM545" s="415" t="s">
        <v>337</v>
      </c>
      <c r="AP545" s="415" t="s">
        <v>337</v>
      </c>
      <c r="AS545" s="415" t="s">
        <v>337</v>
      </c>
      <c r="AV545" s="415" t="s">
        <v>337</v>
      </c>
      <c r="AY545" s="415" t="s">
        <v>337</v>
      </c>
      <c r="BB545" s="415" t="s">
        <v>337</v>
      </c>
      <c r="BE545" s="415" t="s">
        <v>337</v>
      </c>
      <c r="BH545" s="415" t="s">
        <v>337</v>
      </c>
      <c r="BM545" s="415" t="s">
        <v>337</v>
      </c>
      <c r="BP545" s="415" t="s">
        <v>337</v>
      </c>
      <c r="BS545" s="415"/>
      <c r="BV545" s="415" t="s">
        <v>337</v>
      </c>
      <c r="BY545" s="415" t="s">
        <v>337</v>
      </c>
      <c r="CB545" s="415" t="s">
        <v>337</v>
      </c>
      <c r="CE545" s="415" t="s">
        <v>337</v>
      </c>
      <c r="CH545" s="415" t="s">
        <v>337</v>
      </c>
      <c r="CK545" s="415" t="s">
        <v>337</v>
      </c>
      <c r="CN545" s="415" t="s">
        <v>337</v>
      </c>
      <c r="CQ545" s="415" t="s">
        <v>337</v>
      </c>
      <c r="CT545" s="415" t="s">
        <v>337</v>
      </c>
    </row>
    <row r="546" spans="1:98">
      <c r="A546" s="1" t="s">
        <v>1254</v>
      </c>
      <c r="B546" s="416" t="s">
        <v>5399</v>
      </c>
      <c r="S546" s="213" t="s">
        <v>5400</v>
      </c>
      <c r="T546" s="416" t="s">
        <v>5401</v>
      </c>
      <c r="U546" s="415" t="s">
        <v>337</v>
      </c>
      <c r="X546" s="415"/>
      <c r="AA546" s="415"/>
      <c r="AD546" s="415"/>
      <c r="AE546" s="417" t="s">
        <v>5402</v>
      </c>
      <c r="AF546" s="416" t="s">
        <v>5403</v>
      </c>
      <c r="AG546" s="415"/>
      <c r="AJ546" s="415" t="s">
        <v>337</v>
      </c>
      <c r="AM546" s="415" t="s">
        <v>337</v>
      </c>
      <c r="AP546" s="415" t="s">
        <v>337</v>
      </c>
      <c r="AS546" s="415" t="s">
        <v>337</v>
      </c>
      <c r="AV546" s="415" t="s">
        <v>337</v>
      </c>
      <c r="AY546" s="415" t="s">
        <v>337</v>
      </c>
      <c r="BB546" s="415" t="s">
        <v>337</v>
      </c>
      <c r="BE546" s="415" t="s">
        <v>337</v>
      </c>
      <c r="BH546" s="415" t="s">
        <v>337</v>
      </c>
      <c r="BM546" s="415" t="s">
        <v>337</v>
      </c>
      <c r="BP546" s="415" t="s">
        <v>337</v>
      </c>
      <c r="BS546" s="415"/>
      <c r="BV546" s="415" t="s">
        <v>337</v>
      </c>
      <c r="BY546" s="415" t="s">
        <v>337</v>
      </c>
      <c r="CB546" s="415" t="s">
        <v>337</v>
      </c>
      <c r="CE546" s="415" t="s">
        <v>337</v>
      </c>
      <c r="CH546" s="415" t="s">
        <v>337</v>
      </c>
      <c r="CK546" s="415" t="s">
        <v>337</v>
      </c>
      <c r="CN546" s="415" t="s">
        <v>337</v>
      </c>
      <c r="CQ546" s="415" t="s">
        <v>337</v>
      </c>
      <c r="CT546" s="415" t="s">
        <v>337</v>
      </c>
    </row>
    <row r="547" spans="1:98">
      <c r="A547" s="1" t="s">
        <v>1269</v>
      </c>
      <c r="B547" s="416" t="s">
        <v>5404</v>
      </c>
      <c r="S547" s="213" t="s">
        <v>5405</v>
      </c>
      <c r="T547" s="416" t="s">
        <v>5406</v>
      </c>
      <c r="U547" s="415" t="s">
        <v>337</v>
      </c>
      <c r="X547" s="415"/>
      <c r="AA547" s="415"/>
      <c r="AD547" s="415"/>
      <c r="AE547" s="417" t="s">
        <v>5407</v>
      </c>
      <c r="AF547" s="416" t="s">
        <v>5408</v>
      </c>
      <c r="AG547" s="415"/>
      <c r="AJ547" s="415" t="s">
        <v>337</v>
      </c>
      <c r="AM547" s="415" t="s">
        <v>337</v>
      </c>
      <c r="AP547" s="415" t="s">
        <v>337</v>
      </c>
      <c r="AS547" s="415" t="s">
        <v>337</v>
      </c>
      <c r="AV547" s="415" t="s">
        <v>337</v>
      </c>
      <c r="AY547" s="415" t="s">
        <v>337</v>
      </c>
      <c r="BB547" s="415" t="s">
        <v>337</v>
      </c>
      <c r="BE547" s="415" t="s">
        <v>337</v>
      </c>
      <c r="BH547" s="415" t="s">
        <v>337</v>
      </c>
      <c r="BM547" s="415" t="s">
        <v>337</v>
      </c>
      <c r="BP547" s="415" t="s">
        <v>337</v>
      </c>
      <c r="BS547" s="415"/>
      <c r="BV547" s="415" t="s">
        <v>337</v>
      </c>
      <c r="BY547" s="415" t="s">
        <v>337</v>
      </c>
      <c r="CB547" s="415" t="s">
        <v>337</v>
      </c>
      <c r="CE547" s="415" t="s">
        <v>337</v>
      </c>
      <c r="CH547" s="415" t="s">
        <v>337</v>
      </c>
      <c r="CK547" s="415" t="s">
        <v>337</v>
      </c>
      <c r="CN547" s="415" t="s">
        <v>337</v>
      </c>
      <c r="CQ547" s="415" t="s">
        <v>337</v>
      </c>
      <c r="CT547" s="415" t="s">
        <v>337</v>
      </c>
    </row>
    <row r="548" spans="1:98">
      <c r="A548" s="1" t="s">
        <v>1269</v>
      </c>
      <c r="B548" s="416" t="s">
        <v>5409</v>
      </c>
      <c r="S548" s="213" t="s">
        <v>5410</v>
      </c>
      <c r="T548" s="416" t="s">
        <v>5411</v>
      </c>
      <c r="U548" s="415" t="s">
        <v>337</v>
      </c>
      <c r="X548" s="415"/>
      <c r="AA548" s="415"/>
      <c r="AD548" s="415"/>
      <c r="AE548" s="417" t="s">
        <v>5412</v>
      </c>
      <c r="AF548" s="416" t="s">
        <v>5413</v>
      </c>
      <c r="AG548" s="415"/>
      <c r="AJ548" s="415" t="s">
        <v>337</v>
      </c>
      <c r="AM548" s="415" t="s">
        <v>337</v>
      </c>
      <c r="AP548" s="415" t="s">
        <v>337</v>
      </c>
      <c r="AS548" s="415" t="s">
        <v>337</v>
      </c>
      <c r="AV548" s="415" t="s">
        <v>337</v>
      </c>
      <c r="AY548" s="415" t="s">
        <v>337</v>
      </c>
      <c r="BB548" s="415" t="s">
        <v>337</v>
      </c>
      <c r="BE548" s="415" t="s">
        <v>337</v>
      </c>
      <c r="BH548" s="415" t="s">
        <v>337</v>
      </c>
      <c r="BM548" s="415" t="s">
        <v>337</v>
      </c>
      <c r="BP548" s="415" t="s">
        <v>337</v>
      </c>
      <c r="BS548" s="415"/>
      <c r="BV548" s="415" t="s">
        <v>337</v>
      </c>
      <c r="BY548" s="415" t="s">
        <v>337</v>
      </c>
      <c r="CB548" s="415" t="s">
        <v>337</v>
      </c>
      <c r="CE548" s="415" t="s">
        <v>337</v>
      </c>
      <c r="CH548" s="415" t="s">
        <v>337</v>
      </c>
      <c r="CK548" s="415" t="s">
        <v>337</v>
      </c>
      <c r="CN548" s="415" t="s">
        <v>337</v>
      </c>
      <c r="CQ548" s="415" t="s">
        <v>337</v>
      </c>
      <c r="CT548" s="415" t="s">
        <v>337</v>
      </c>
    </row>
    <row r="549" spans="1:98">
      <c r="A549" s="1" t="s">
        <v>1269</v>
      </c>
      <c r="B549" s="416" t="s">
        <v>5414</v>
      </c>
      <c r="S549" s="213" t="s">
        <v>5415</v>
      </c>
      <c r="T549" s="416" t="s">
        <v>5416</v>
      </c>
      <c r="U549" s="415" t="s">
        <v>337</v>
      </c>
      <c r="X549" s="415"/>
      <c r="AA549" s="415"/>
      <c r="AD549" s="415"/>
      <c r="AE549" s="417" t="s">
        <v>5417</v>
      </c>
      <c r="AF549" s="416" t="s">
        <v>5418</v>
      </c>
      <c r="AG549" s="415"/>
      <c r="AJ549" s="415" t="s">
        <v>337</v>
      </c>
      <c r="AM549" s="415" t="s">
        <v>337</v>
      </c>
      <c r="AP549" s="415" t="s">
        <v>337</v>
      </c>
      <c r="AS549" s="415" t="s">
        <v>337</v>
      </c>
      <c r="AV549" s="415" t="s">
        <v>337</v>
      </c>
      <c r="AY549" s="415" t="s">
        <v>337</v>
      </c>
      <c r="BB549" s="415" t="s">
        <v>337</v>
      </c>
      <c r="BE549" s="415" t="s">
        <v>337</v>
      </c>
      <c r="BH549" s="415" t="s">
        <v>337</v>
      </c>
      <c r="BM549" s="415" t="s">
        <v>337</v>
      </c>
      <c r="BP549" s="415" t="s">
        <v>337</v>
      </c>
      <c r="BS549" s="415"/>
      <c r="BV549" s="415" t="s">
        <v>337</v>
      </c>
      <c r="BY549" s="415" t="s">
        <v>337</v>
      </c>
      <c r="CB549" s="415" t="s">
        <v>337</v>
      </c>
      <c r="CE549" s="415" t="s">
        <v>337</v>
      </c>
      <c r="CH549" s="415" t="s">
        <v>337</v>
      </c>
      <c r="CK549" s="415" t="s">
        <v>337</v>
      </c>
      <c r="CN549" s="415" t="s">
        <v>337</v>
      </c>
      <c r="CQ549" s="415" t="s">
        <v>337</v>
      </c>
      <c r="CT549" s="415" t="s">
        <v>337</v>
      </c>
    </row>
    <row r="550" spans="1:98">
      <c r="A550" s="1" t="s">
        <v>1269</v>
      </c>
      <c r="B550" s="416" t="s">
        <v>5419</v>
      </c>
      <c r="S550" s="213" t="s">
        <v>5420</v>
      </c>
      <c r="T550" s="416" t="s">
        <v>5421</v>
      </c>
      <c r="U550" s="415" t="s">
        <v>337</v>
      </c>
      <c r="X550" s="415"/>
      <c r="AA550" s="415"/>
      <c r="AD550" s="415"/>
      <c r="AE550" s="417" t="s">
        <v>5422</v>
      </c>
      <c r="AF550" s="416" t="s">
        <v>5423</v>
      </c>
      <c r="AG550" s="415"/>
      <c r="AJ550" s="415" t="s">
        <v>337</v>
      </c>
      <c r="AM550" s="415" t="s">
        <v>337</v>
      </c>
      <c r="AP550" s="415" t="s">
        <v>337</v>
      </c>
      <c r="AS550" s="415" t="s">
        <v>337</v>
      </c>
      <c r="AV550" s="415" t="s">
        <v>337</v>
      </c>
      <c r="AY550" s="415" t="s">
        <v>337</v>
      </c>
      <c r="BB550" s="415" t="s">
        <v>337</v>
      </c>
      <c r="BE550" s="415" t="s">
        <v>337</v>
      </c>
      <c r="BH550" s="415" t="s">
        <v>337</v>
      </c>
      <c r="BM550" s="415" t="s">
        <v>337</v>
      </c>
      <c r="BP550" s="415" t="s">
        <v>337</v>
      </c>
      <c r="BS550" s="415"/>
      <c r="BV550" s="415" t="s">
        <v>337</v>
      </c>
      <c r="BY550" s="415" t="s">
        <v>337</v>
      </c>
      <c r="CB550" s="415" t="s">
        <v>337</v>
      </c>
      <c r="CE550" s="415" t="s">
        <v>337</v>
      </c>
      <c r="CH550" s="415" t="s">
        <v>337</v>
      </c>
      <c r="CK550" s="415" t="s">
        <v>337</v>
      </c>
      <c r="CN550" s="415" t="s">
        <v>337</v>
      </c>
      <c r="CQ550" s="415" t="s">
        <v>337</v>
      </c>
      <c r="CT550" s="415" t="s">
        <v>337</v>
      </c>
    </row>
    <row r="551" spans="1:98">
      <c r="A551" s="1" t="s">
        <v>1269</v>
      </c>
      <c r="B551" s="416" t="s">
        <v>5424</v>
      </c>
      <c r="S551" s="213" t="s">
        <v>5425</v>
      </c>
      <c r="T551" s="416" t="s">
        <v>5426</v>
      </c>
      <c r="U551" s="415" t="s">
        <v>337</v>
      </c>
      <c r="X551" s="415"/>
      <c r="AA551" s="415"/>
      <c r="AD551" s="415"/>
      <c r="AE551" s="417" t="s">
        <v>5427</v>
      </c>
      <c r="AF551" s="416" t="s">
        <v>5428</v>
      </c>
      <c r="AG551" s="415"/>
      <c r="AJ551" s="415" t="s">
        <v>337</v>
      </c>
      <c r="AM551" s="415" t="s">
        <v>337</v>
      </c>
      <c r="AP551" s="415" t="s">
        <v>337</v>
      </c>
      <c r="AS551" s="415" t="s">
        <v>337</v>
      </c>
      <c r="AV551" s="415" t="s">
        <v>337</v>
      </c>
      <c r="AY551" s="415" t="s">
        <v>337</v>
      </c>
      <c r="BB551" s="415" t="s">
        <v>337</v>
      </c>
      <c r="BE551" s="415" t="s">
        <v>337</v>
      </c>
      <c r="BH551" s="415" t="s">
        <v>337</v>
      </c>
      <c r="BM551" s="415" t="s">
        <v>337</v>
      </c>
      <c r="BP551" s="415" t="s">
        <v>337</v>
      </c>
      <c r="BS551" s="415"/>
      <c r="BV551" s="415" t="s">
        <v>337</v>
      </c>
      <c r="BY551" s="415" t="s">
        <v>337</v>
      </c>
      <c r="CB551" s="415" t="s">
        <v>337</v>
      </c>
      <c r="CE551" s="415" t="s">
        <v>337</v>
      </c>
      <c r="CH551" s="415" t="s">
        <v>337</v>
      </c>
      <c r="CK551" s="415" t="s">
        <v>337</v>
      </c>
      <c r="CN551" s="415" t="s">
        <v>337</v>
      </c>
      <c r="CQ551" s="415" t="s">
        <v>337</v>
      </c>
      <c r="CT551" s="415" t="s">
        <v>337</v>
      </c>
    </row>
    <row r="552" spans="1:98">
      <c r="A552" s="1" t="s">
        <v>1269</v>
      </c>
      <c r="B552" s="416" t="s">
        <v>5429</v>
      </c>
      <c r="S552" s="213" t="s">
        <v>5430</v>
      </c>
      <c r="T552" s="416" t="s">
        <v>5431</v>
      </c>
      <c r="U552" s="415" t="s">
        <v>337</v>
      </c>
      <c r="X552" s="415"/>
      <c r="AA552" s="415"/>
      <c r="AD552" s="415"/>
      <c r="AE552" s="417" t="s">
        <v>5432</v>
      </c>
      <c r="AF552" s="416" t="s">
        <v>5433</v>
      </c>
      <c r="AG552" s="415"/>
      <c r="AJ552" s="415" t="s">
        <v>337</v>
      </c>
      <c r="AM552" s="415" t="s">
        <v>337</v>
      </c>
      <c r="AP552" s="415" t="s">
        <v>337</v>
      </c>
      <c r="AS552" s="415" t="s">
        <v>337</v>
      </c>
      <c r="AV552" s="415" t="s">
        <v>337</v>
      </c>
      <c r="AY552" s="415" t="s">
        <v>337</v>
      </c>
      <c r="BB552" s="415" t="s">
        <v>337</v>
      </c>
      <c r="BE552" s="415" t="s">
        <v>337</v>
      </c>
      <c r="BH552" s="415" t="s">
        <v>337</v>
      </c>
      <c r="BM552" s="415" t="s">
        <v>337</v>
      </c>
      <c r="BP552" s="415" t="s">
        <v>337</v>
      </c>
      <c r="BS552" s="415"/>
      <c r="BV552" s="415" t="s">
        <v>337</v>
      </c>
      <c r="BY552" s="415" t="s">
        <v>337</v>
      </c>
      <c r="CB552" s="415" t="s">
        <v>337</v>
      </c>
      <c r="CE552" s="415" t="s">
        <v>337</v>
      </c>
      <c r="CH552" s="415" t="s">
        <v>337</v>
      </c>
      <c r="CK552" s="415" t="s">
        <v>337</v>
      </c>
      <c r="CN552" s="415" t="s">
        <v>337</v>
      </c>
      <c r="CQ552" s="415" t="s">
        <v>337</v>
      </c>
      <c r="CT552" s="415" t="s">
        <v>337</v>
      </c>
    </row>
    <row r="553" spans="1:98">
      <c r="A553" s="1" t="s">
        <v>1269</v>
      </c>
      <c r="B553" s="416" t="s">
        <v>5434</v>
      </c>
      <c r="S553" s="213" t="s">
        <v>5435</v>
      </c>
      <c r="T553" s="416" t="s">
        <v>5436</v>
      </c>
      <c r="U553" s="415" t="s">
        <v>337</v>
      </c>
      <c r="X553" s="415"/>
      <c r="AA553" s="415"/>
      <c r="AD553" s="415"/>
      <c r="AE553" s="417" t="s">
        <v>5437</v>
      </c>
      <c r="AF553" s="416" t="s">
        <v>5438</v>
      </c>
      <c r="AG553" s="415"/>
      <c r="AJ553" s="415" t="s">
        <v>337</v>
      </c>
      <c r="AM553" s="415" t="s">
        <v>337</v>
      </c>
      <c r="AP553" s="415" t="s">
        <v>337</v>
      </c>
      <c r="AS553" s="415" t="s">
        <v>337</v>
      </c>
      <c r="AV553" s="415" t="s">
        <v>337</v>
      </c>
      <c r="AY553" s="415" t="s">
        <v>337</v>
      </c>
      <c r="BB553" s="415" t="s">
        <v>337</v>
      </c>
      <c r="BE553" s="415" t="s">
        <v>337</v>
      </c>
      <c r="BH553" s="415" t="s">
        <v>337</v>
      </c>
      <c r="BM553" s="415" t="s">
        <v>337</v>
      </c>
      <c r="BP553" s="415" t="s">
        <v>337</v>
      </c>
      <c r="BS553" s="415"/>
      <c r="BV553" s="415" t="s">
        <v>337</v>
      </c>
      <c r="BY553" s="415" t="s">
        <v>337</v>
      </c>
      <c r="CB553" s="415" t="s">
        <v>337</v>
      </c>
      <c r="CE553" s="415" t="s">
        <v>337</v>
      </c>
      <c r="CH553" s="415" t="s">
        <v>337</v>
      </c>
      <c r="CK553" s="415" t="s">
        <v>337</v>
      </c>
      <c r="CN553" s="415" t="s">
        <v>337</v>
      </c>
      <c r="CQ553" s="415" t="s">
        <v>337</v>
      </c>
      <c r="CT553" s="415" t="s">
        <v>337</v>
      </c>
    </row>
    <row r="554" spans="1:98">
      <c r="A554" s="1" t="s">
        <v>1269</v>
      </c>
      <c r="B554" s="416" t="s">
        <v>5439</v>
      </c>
      <c r="S554" s="213" t="s">
        <v>5440</v>
      </c>
      <c r="T554" s="416" t="s">
        <v>5441</v>
      </c>
      <c r="U554" s="415" t="s">
        <v>337</v>
      </c>
      <c r="X554" s="415"/>
      <c r="AA554" s="415"/>
      <c r="AD554" s="415"/>
      <c r="AE554" s="417" t="s">
        <v>5442</v>
      </c>
      <c r="AF554" s="416" t="s">
        <v>5443</v>
      </c>
      <c r="AG554" s="415"/>
      <c r="AJ554" s="415" t="s">
        <v>337</v>
      </c>
      <c r="AM554" s="415" t="s">
        <v>337</v>
      </c>
      <c r="AP554" s="415" t="s">
        <v>337</v>
      </c>
      <c r="AS554" s="415" t="s">
        <v>337</v>
      </c>
      <c r="AV554" s="415" t="s">
        <v>337</v>
      </c>
      <c r="AY554" s="415" t="s">
        <v>337</v>
      </c>
      <c r="BB554" s="415" t="s">
        <v>337</v>
      </c>
      <c r="BE554" s="415" t="s">
        <v>337</v>
      </c>
      <c r="BH554" s="415" t="s">
        <v>337</v>
      </c>
      <c r="BM554" s="415" t="s">
        <v>337</v>
      </c>
      <c r="BP554" s="415" t="s">
        <v>337</v>
      </c>
      <c r="BS554" s="415"/>
      <c r="BV554" s="415" t="s">
        <v>337</v>
      </c>
      <c r="BY554" s="415" t="s">
        <v>337</v>
      </c>
      <c r="CB554" s="415" t="s">
        <v>337</v>
      </c>
      <c r="CE554" s="415" t="s">
        <v>337</v>
      </c>
      <c r="CH554" s="415" t="s">
        <v>337</v>
      </c>
      <c r="CK554" s="415" t="s">
        <v>337</v>
      </c>
      <c r="CN554" s="415" t="s">
        <v>337</v>
      </c>
      <c r="CQ554" s="415" t="s">
        <v>337</v>
      </c>
      <c r="CT554" s="415" t="s">
        <v>337</v>
      </c>
    </row>
    <row r="555" spans="1:98">
      <c r="A555" s="1" t="s">
        <v>1283</v>
      </c>
      <c r="B555" s="416" t="s">
        <v>5444</v>
      </c>
      <c r="S555" s="213" t="s">
        <v>5445</v>
      </c>
      <c r="T555" s="416" t="s">
        <v>5446</v>
      </c>
      <c r="U555" s="415" t="s">
        <v>337</v>
      </c>
      <c r="X555" s="415"/>
      <c r="AA555" s="415"/>
      <c r="AD555" s="415"/>
      <c r="AE555" s="417" t="s">
        <v>5447</v>
      </c>
      <c r="AF555" s="416" t="s">
        <v>5448</v>
      </c>
      <c r="AG555" s="415"/>
      <c r="AJ555" s="415" t="s">
        <v>337</v>
      </c>
      <c r="AM555" s="415" t="s">
        <v>337</v>
      </c>
      <c r="AP555" s="415" t="s">
        <v>337</v>
      </c>
      <c r="AS555" s="415" t="s">
        <v>337</v>
      </c>
      <c r="AV555" s="415" t="s">
        <v>337</v>
      </c>
      <c r="AY555" s="415" t="s">
        <v>337</v>
      </c>
      <c r="BB555" s="415" t="s">
        <v>337</v>
      </c>
      <c r="BE555" s="415" t="s">
        <v>337</v>
      </c>
      <c r="BH555" s="415" t="s">
        <v>337</v>
      </c>
      <c r="BM555" s="415" t="s">
        <v>337</v>
      </c>
      <c r="BP555" s="415" t="s">
        <v>337</v>
      </c>
      <c r="BS555" s="415"/>
      <c r="BV555" s="415" t="s">
        <v>337</v>
      </c>
      <c r="BY555" s="415" t="s">
        <v>337</v>
      </c>
      <c r="CB555" s="415" t="s">
        <v>337</v>
      </c>
      <c r="CE555" s="415" t="s">
        <v>337</v>
      </c>
      <c r="CH555" s="415" t="s">
        <v>337</v>
      </c>
      <c r="CK555" s="415" t="s">
        <v>337</v>
      </c>
      <c r="CN555" s="415" t="s">
        <v>337</v>
      </c>
      <c r="CQ555" s="415" t="s">
        <v>337</v>
      </c>
      <c r="CT555" s="415" t="s">
        <v>337</v>
      </c>
    </row>
    <row r="556" spans="1:98">
      <c r="A556" s="1" t="s">
        <v>1283</v>
      </c>
      <c r="B556" s="416" t="s">
        <v>5449</v>
      </c>
      <c r="S556" s="213" t="s">
        <v>5450</v>
      </c>
      <c r="T556" s="416" t="s">
        <v>5451</v>
      </c>
      <c r="U556" s="415" t="s">
        <v>337</v>
      </c>
      <c r="X556" s="415"/>
      <c r="AA556" s="415"/>
      <c r="AD556" s="415"/>
      <c r="AE556" s="417" t="s">
        <v>5452</v>
      </c>
      <c r="AF556" s="416" t="s">
        <v>5453</v>
      </c>
      <c r="AG556" s="415"/>
      <c r="AJ556" s="415" t="s">
        <v>337</v>
      </c>
      <c r="AM556" s="415" t="s">
        <v>337</v>
      </c>
      <c r="AP556" s="415" t="s">
        <v>337</v>
      </c>
      <c r="AS556" s="415" t="s">
        <v>337</v>
      </c>
      <c r="AV556" s="415" t="s">
        <v>337</v>
      </c>
      <c r="AY556" s="415" t="s">
        <v>337</v>
      </c>
      <c r="BB556" s="415" t="s">
        <v>337</v>
      </c>
      <c r="BE556" s="415" t="s">
        <v>337</v>
      </c>
      <c r="BH556" s="415" t="s">
        <v>337</v>
      </c>
      <c r="BM556" s="415" t="s">
        <v>337</v>
      </c>
      <c r="BP556" s="415" t="s">
        <v>337</v>
      </c>
      <c r="BS556" s="415"/>
      <c r="BV556" s="415" t="s">
        <v>337</v>
      </c>
      <c r="BY556" s="415" t="s">
        <v>337</v>
      </c>
      <c r="CB556" s="415" t="s">
        <v>337</v>
      </c>
      <c r="CE556" s="415" t="s">
        <v>337</v>
      </c>
      <c r="CH556" s="415" t="s">
        <v>337</v>
      </c>
      <c r="CK556" s="415" t="s">
        <v>337</v>
      </c>
      <c r="CN556" s="415" t="s">
        <v>337</v>
      </c>
      <c r="CQ556" s="415" t="s">
        <v>337</v>
      </c>
      <c r="CT556" s="415" t="s">
        <v>337</v>
      </c>
    </row>
    <row r="557" spans="1:98">
      <c r="A557" s="1" t="s">
        <v>1283</v>
      </c>
      <c r="B557" s="416" t="s">
        <v>5454</v>
      </c>
      <c r="S557" s="213" t="s">
        <v>5455</v>
      </c>
      <c r="T557" s="416" t="s">
        <v>5456</v>
      </c>
      <c r="U557" s="415" t="s">
        <v>337</v>
      </c>
      <c r="X557" s="415"/>
      <c r="AA557" s="415"/>
      <c r="AD557" s="415"/>
      <c r="AE557" s="417" t="s">
        <v>5457</v>
      </c>
      <c r="AF557" s="416" t="s">
        <v>5458</v>
      </c>
      <c r="AG557" s="415"/>
      <c r="AJ557" s="415" t="s">
        <v>337</v>
      </c>
      <c r="AM557" s="415" t="s">
        <v>337</v>
      </c>
      <c r="AP557" s="415" t="s">
        <v>337</v>
      </c>
      <c r="AS557" s="415" t="s">
        <v>337</v>
      </c>
      <c r="AV557" s="415" t="s">
        <v>337</v>
      </c>
      <c r="AY557" s="415" t="s">
        <v>337</v>
      </c>
      <c r="BB557" s="415" t="s">
        <v>337</v>
      </c>
      <c r="BE557" s="415" t="s">
        <v>337</v>
      </c>
      <c r="BH557" s="415" t="s">
        <v>337</v>
      </c>
      <c r="BM557" s="415" t="s">
        <v>337</v>
      </c>
      <c r="BP557" s="415" t="s">
        <v>337</v>
      </c>
      <c r="BS557" s="415"/>
      <c r="BV557" s="415" t="s">
        <v>337</v>
      </c>
      <c r="BY557" s="415" t="s">
        <v>337</v>
      </c>
      <c r="CB557" s="415" t="s">
        <v>337</v>
      </c>
      <c r="CE557" s="415" t="s">
        <v>337</v>
      </c>
      <c r="CH557" s="415" t="s">
        <v>337</v>
      </c>
      <c r="CK557" s="415" t="s">
        <v>337</v>
      </c>
      <c r="CN557" s="415" t="s">
        <v>337</v>
      </c>
      <c r="CQ557" s="415" t="s">
        <v>337</v>
      </c>
      <c r="CT557" s="415" t="s">
        <v>337</v>
      </c>
    </row>
    <row r="558" spans="1:98">
      <c r="A558" s="1" t="s">
        <v>1296</v>
      </c>
      <c r="B558" s="416" t="s">
        <v>5459</v>
      </c>
      <c r="S558" s="213" t="s">
        <v>5460</v>
      </c>
      <c r="T558" s="416" t="s">
        <v>5461</v>
      </c>
      <c r="U558" s="415" t="s">
        <v>337</v>
      </c>
      <c r="X558" s="415"/>
      <c r="AA558" s="415"/>
      <c r="AD558" s="415"/>
      <c r="AE558" s="417" t="s">
        <v>5462</v>
      </c>
      <c r="AF558" s="416" t="s">
        <v>5463</v>
      </c>
      <c r="AG558" s="415"/>
      <c r="AJ558" s="415" t="s">
        <v>337</v>
      </c>
      <c r="AM558" s="415" t="s">
        <v>337</v>
      </c>
      <c r="AP558" s="415" t="s">
        <v>337</v>
      </c>
      <c r="AS558" s="415" t="s">
        <v>337</v>
      </c>
      <c r="AV558" s="415" t="s">
        <v>337</v>
      </c>
      <c r="AY558" s="415" t="s">
        <v>337</v>
      </c>
      <c r="BB558" s="415" t="s">
        <v>337</v>
      </c>
      <c r="BE558" s="415" t="s">
        <v>337</v>
      </c>
      <c r="BH558" s="415" t="s">
        <v>337</v>
      </c>
      <c r="BM558" s="415" t="s">
        <v>337</v>
      </c>
      <c r="BP558" s="415" t="s">
        <v>337</v>
      </c>
      <c r="BS558" s="415"/>
      <c r="BV558" s="415" t="s">
        <v>337</v>
      </c>
      <c r="BY558" s="415" t="s">
        <v>337</v>
      </c>
      <c r="CB558" s="415" t="s">
        <v>337</v>
      </c>
      <c r="CE558" s="415" t="s">
        <v>337</v>
      </c>
      <c r="CH558" s="415" t="s">
        <v>337</v>
      </c>
      <c r="CK558" s="415" t="s">
        <v>337</v>
      </c>
      <c r="CN558" s="415" t="s">
        <v>337</v>
      </c>
      <c r="CQ558" s="415" t="s">
        <v>337</v>
      </c>
      <c r="CT558" s="415" t="s">
        <v>337</v>
      </c>
    </row>
    <row r="559" spans="1:98">
      <c r="A559" s="1" t="s">
        <v>1296</v>
      </c>
      <c r="B559" s="416" t="s">
        <v>5464</v>
      </c>
      <c r="S559" s="213" t="s">
        <v>5465</v>
      </c>
      <c r="T559" s="416" t="s">
        <v>5466</v>
      </c>
      <c r="U559" s="415" t="s">
        <v>337</v>
      </c>
      <c r="X559" s="415"/>
      <c r="AA559" s="415"/>
      <c r="AD559" s="415"/>
      <c r="AE559" s="417" t="s">
        <v>5467</v>
      </c>
      <c r="AF559" s="416" t="s">
        <v>5468</v>
      </c>
      <c r="AG559" s="415"/>
      <c r="AJ559" s="415" t="s">
        <v>337</v>
      </c>
      <c r="AM559" s="415" t="s">
        <v>337</v>
      </c>
      <c r="AP559" s="415" t="s">
        <v>337</v>
      </c>
      <c r="AS559" s="415" t="s">
        <v>337</v>
      </c>
      <c r="AV559" s="415" t="s">
        <v>337</v>
      </c>
      <c r="AY559" s="415" t="s">
        <v>337</v>
      </c>
      <c r="BB559" s="415" t="s">
        <v>337</v>
      </c>
      <c r="BE559" s="415" t="s">
        <v>337</v>
      </c>
      <c r="BH559" s="415" t="s">
        <v>337</v>
      </c>
      <c r="BM559" s="415" t="s">
        <v>337</v>
      </c>
      <c r="BP559" s="415" t="s">
        <v>337</v>
      </c>
      <c r="BS559" s="415"/>
      <c r="BV559" s="415" t="s">
        <v>337</v>
      </c>
      <c r="BY559" s="415" t="s">
        <v>337</v>
      </c>
      <c r="CB559" s="415" t="s">
        <v>337</v>
      </c>
      <c r="CE559" s="415" t="s">
        <v>337</v>
      </c>
      <c r="CH559" s="415" t="s">
        <v>337</v>
      </c>
      <c r="CK559" s="415" t="s">
        <v>337</v>
      </c>
      <c r="CN559" s="415" t="s">
        <v>337</v>
      </c>
      <c r="CQ559" s="415" t="s">
        <v>337</v>
      </c>
      <c r="CT559" s="415" t="s">
        <v>337</v>
      </c>
    </row>
    <row r="560" spans="1:98">
      <c r="A560" s="1" t="s">
        <v>1296</v>
      </c>
      <c r="B560" s="416" t="s">
        <v>5469</v>
      </c>
      <c r="S560" s="213" t="s">
        <v>5470</v>
      </c>
      <c r="T560" s="416" t="s">
        <v>5471</v>
      </c>
      <c r="U560" s="415" t="s">
        <v>337</v>
      </c>
      <c r="X560" s="415"/>
      <c r="AA560" s="415"/>
      <c r="AD560" s="415"/>
      <c r="AE560" s="417" t="s">
        <v>5472</v>
      </c>
      <c r="AF560" s="416" t="s">
        <v>5473</v>
      </c>
      <c r="AG560" s="415"/>
      <c r="AJ560" s="415" t="s">
        <v>337</v>
      </c>
      <c r="AM560" s="415" t="s">
        <v>337</v>
      </c>
      <c r="AP560" s="415" t="s">
        <v>337</v>
      </c>
      <c r="AS560" s="415" t="s">
        <v>337</v>
      </c>
      <c r="AV560" s="415" t="s">
        <v>337</v>
      </c>
      <c r="AY560" s="415" t="s">
        <v>337</v>
      </c>
      <c r="BB560" s="415" t="s">
        <v>337</v>
      </c>
      <c r="BE560" s="415" t="s">
        <v>337</v>
      </c>
      <c r="BH560" s="415" t="s">
        <v>337</v>
      </c>
      <c r="BM560" s="415" t="s">
        <v>337</v>
      </c>
      <c r="BP560" s="415" t="s">
        <v>337</v>
      </c>
      <c r="BS560" s="415"/>
      <c r="BV560" s="415" t="s">
        <v>337</v>
      </c>
      <c r="BY560" s="415" t="s">
        <v>337</v>
      </c>
      <c r="CB560" s="415" t="s">
        <v>337</v>
      </c>
      <c r="CE560" s="415" t="s">
        <v>337</v>
      </c>
      <c r="CH560" s="415" t="s">
        <v>337</v>
      </c>
      <c r="CK560" s="415" t="s">
        <v>337</v>
      </c>
      <c r="CN560" s="415" t="s">
        <v>337</v>
      </c>
      <c r="CQ560" s="415" t="s">
        <v>337</v>
      </c>
      <c r="CT560" s="415" t="s">
        <v>337</v>
      </c>
    </row>
    <row r="561" spans="1:98">
      <c r="A561" s="1" t="s">
        <v>1296</v>
      </c>
      <c r="B561" s="416" t="s">
        <v>5474</v>
      </c>
      <c r="S561" s="213" t="s">
        <v>5475</v>
      </c>
      <c r="T561" s="416" t="s">
        <v>5476</v>
      </c>
      <c r="U561" s="415" t="s">
        <v>337</v>
      </c>
      <c r="X561" s="415"/>
      <c r="AA561" s="415"/>
      <c r="AD561" s="415"/>
      <c r="AE561" s="417" t="s">
        <v>5477</v>
      </c>
      <c r="AF561" s="416" t="s">
        <v>5478</v>
      </c>
      <c r="AG561" s="415"/>
      <c r="AJ561" s="415" t="s">
        <v>337</v>
      </c>
      <c r="AM561" s="415" t="s">
        <v>337</v>
      </c>
      <c r="AP561" s="415" t="s">
        <v>337</v>
      </c>
      <c r="AS561" s="415" t="s">
        <v>337</v>
      </c>
      <c r="AV561" s="415" t="s">
        <v>337</v>
      </c>
      <c r="AY561" s="415" t="s">
        <v>337</v>
      </c>
      <c r="BB561" s="415" t="s">
        <v>337</v>
      </c>
      <c r="BE561" s="415" t="s">
        <v>337</v>
      </c>
      <c r="BH561" s="415" t="s">
        <v>337</v>
      </c>
      <c r="BM561" s="415" t="s">
        <v>337</v>
      </c>
      <c r="BP561" s="415" t="s">
        <v>337</v>
      </c>
      <c r="BS561" s="415"/>
      <c r="BV561" s="415" t="s">
        <v>337</v>
      </c>
      <c r="BY561" s="415" t="s">
        <v>337</v>
      </c>
      <c r="CB561" s="415" t="s">
        <v>337</v>
      </c>
      <c r="CE561" s="415" t="s">
        <v>337</v>
      </c>
      <c r="CH561" s="415" t="s">
        <v>337</v>
      </c>
      <c r="CK561" s="415" t="s">
        <v>337</v>
      </c>
      <c r="CN561" s="415" t="s">
        <v>337</v>
      </c>
      <c r="CQ561" s="415" t="s">
        <v>337</v>
      </c>
      <c r="CT561" s="415" t="s">
        <v>337</v>
      </c>
    </row>
    <row r="562" spans="1:98">
      <c r="A562" s="1" t="s">
        <v>1296</v>
      </c>
      <c r="B562" s="416" t="s">
        <v>5479</v>
      </c>
      <c r="S562" s="213" t="s">
        <v>5480</v>
      </c>
      <c r="T562" s="416" t="s">
        <v>5481</v>
      </c>
      <c r="U562" s="415" t="s">
        <v>337</v>
      </c>
      <c r="X562" s="415"/>
      <c r="AA562" s="415"/>
      <c r="AD562" s="415"/>
      <c r="AE562" s="417" t="s">
        <v>5482</v>
      </c>
      <c r="AF562" s="416" t="s">
        <v>5483</v>
      </c>
      <c r="AG562" s="415"/>
      <c r="AJ562" s="415" t="s">
        <v>337</v>
      </c>
      <c r="AM562" s="415" t="s">
        <v>337</v>
      </c>
      <c r="AP562" s="415" t="s">
        <v>337</v>
      </c>
      <c r="AS562" s="415" t="s">
        <v>337</v>
      </c>
      <c r="AV562" s="415" t="s">
        <v>337</v>
      </c>
      <c r="AY562" s="415" t="s">
        <v>337</v>
      </c>
      <c r="BB562" s="415" t="s">
        <v>337</v>
      </c>
      <c r="BE562" s="415" t="s">
        <v>337</v>
      </c>
      <c r="BH562" s="415" t="s">
        <v>337</v>
      </c>
      <c r="BM562" s="415" t="s">
        <v>337</v>
      </c>
      <c r="BP562" s="415" t="s">
        <v>337</v>
      </c>
      <c r="BS562" s="415"/>
      <c r="BV562" s="415" t="s">
        <v>337</v>
      </c>
      <c r="BY562" s="415" t="s">
        <v>337</v>
      </c>
      <c r="CB562" s="415" t="s">
        <v>337</v>
      </c>
      <c r="CE562" s="415" t="s">
        <v>337</v>
      </c>
      <c r="CH562" s="415" t="s">
        <v>337</v>
      </c>
      <c r="CK562" s="415" t="s">
        <v>337</v>
      </c>
      <c r="CN562" s="415" t="s">
        <v>337</v>
      </c>
      <c r="CQ562" s="415" t="s">
        <v>337</v>
      </c>
      <c r="CT562" s="415" t="s">
        <v>337</v>
      </c>
    </row>
    <row r="563" spans="1:98">
      <c r="A563" s="1" t="s">
        <v>1296</v>
      </c>
      <c r="B563" s="416" t="s">
        <v>5484</v>
      </c>
      <c r="S563" s="213" t="s">
        <v>5485</v>
      </c>
      <c r="T563" s="416" t="s">
        <v>5486</v>
      </c>
      <c r="U563" s="415" t="s">
        <v>337</v>
      </c>
      <c r="X563" s="415"/>
      <c r="AA563" s="415"/>
      <c r="AD563" s="415"/>
      <c r="AE563" s="417" t="s">
        <v>5487</v>
      </c>
      <c r="AF563" s="416" t="s">
        <v>5488</v>
      </c>
      <c r="AG563" s="415"/>
      <c r="AJ563" s="415" t="s">
        <v>337</v>
      </c>
      <c r="AM563" s="415" t="s">
        <v>337</v>
      </c>
      <c r="AP563" s="415" t="s">
        <v>337</v>
      </c>
      <c r="AS563" s="415" t="s">
        <v>337</v>
      </c>
      <c r="AV563" s="415" t="s">
        <v>337</v>
      </c>
      <c r="AY563" s="415" t="s">
        <v>337</v>
      </c>
      <c r="BB563" s="415" t="s">
        <v>337</v>
      </c>
      <c r="BE563" s="415" t="s">
        <v>337</v>
      </c>
      <c r="BH563" s="415" t="s">
        <v>337</v>
      </c>
      <c r="BM563" s="415" t="s">
        <v>337</v>
      </c>
      <c r="BP563" s="415" t="s">
        <v>337</v>
      </c>
      <c r="BS563" s="415"/>
      <c r="BV563" s="415" t="s">
        <v>337</v>
      </c>
      <c r="BY563" s="415" t="s">
        <v>337</v>
      </c>
      <c r="CB563" s="415" t="s">
        <v>337</v>
      </c>
      <c r="CE563" s="415" t="s">
        <v>337</v>
      </c>
      <c r="CH563" s="415" t="s">
        <v>337</v>
      </c>
      <c r="CK563" s="415" t="s">
        <v>337</v>
      </c>
      <c r="CN563" s="415" t="s">
        <v>337</v>
      </c>
      <c r="CQ563" s="415" t="s">
        <v>337</v>
      </c>
      <c r="CT563" s="415" t="s">
        <v>337</v>
      </c>
    </row>
    <row r="564" spans="1:98">
      <c r="A564" s="1" t="s">
        <v>1296</v>
      </c>
      <c r="B564" s="416" t="s">
        <v>5489</v>
      </c>
      <c r="S564" s="213" t="s">
        <v>5490</v>
      </c>
      <c r="T564" s="416" t="s">
        <v>5491</v>
      </c>
      <c r="U564" s="415" t="s">
        <v>337</v>
      </c>
      <c r="X564" s="415"/>
      <c r="AA564" s="415"/>
      <c r="AD564" s="415"/>
      <c r="AE564" s="417" t="s">
        <v>5492</v>
      </c>
      <c r="AF564" s="416" t="s">
        <v>5493</v>
      </c>
      <c r="AG564" s="415"/>
      <c r="AJ564" s="415" t="s">
        <v>337</v>
      </c>
      <c r="AM564" s="415" t="s">
        <v>337</v>
      </c>
      <c r="AP564" s="415" t="s">
        <v>337</v>
      </c>
      <c r="AS564" s="415" t="s">
        <v>337</v>
      </c>
      <c r="AV564" s="415" t="s">
        <v>337</v>
      </c>
      <c r="AY564" s="415" t="s">
        <v>337</v>
      </c>
      <c r="BB564" s="415" t="s">
        <v>337</v>
      </c>
      <c r="BE564" s="415" t="s">
        <v>337</v>
      </c>
      <c r="BH564" s="415" t="s">
        <v>337</v>
      </c>
      <c r="BM564" s="415" t="s">
        <v>337</v>
      </c>
      <c r="BP564" s="415" t="s">
        <v>337</v>
      </c>
      <c r="BS564" s="415"/>
      <c r="BV564" s="415" t="s">
        <v>337</v>
      </c>
      <c r="BY564" s="415" t="s">
        <v>337</v>
      </c>
      <c r="CB564" s="415" t="s">
        <v>337</v>
      </c>
      <c r="CE564" s="415" t="s">
        <v>337</v>
      </c>
      <c r="CH564" s="415" t="s">
        <v>337</v>
      </c>
      <c r="CK564" s="415" t="s">
        <v>337</v>
      </c>
      <c r="CN564" s="415" t="s">
        <v>337</v>
      </c>
      <c r="CQ564" s="415" t="s">
        <v>337</v>
      </c>
      <c r="CT564" s="415" t="s">
        <v>337</v>
      </c>
    </row>
    <row r="565" spans="1:98">
      <c r="A565" s="1" t="s">
        <v>1296</v>
      </c>
      <c r="B565" s="416" t="s">
        <v>5494</v>
      </c>
      <c r="S565" s="213" t="s">
        <v>5495</v>
      </c>
      <c r="T565" s="416" t="s">
        <v>5496</v>
      </c>
      <c r="U565" s="415" t="s">
        <v>337</v>
      </c>
      <c r="X565" s="415"/>
      <c r="AA565" s="415"/>
      <c r="AD565" s="415"/>
      <c r="AE565" s="417" t="s">
        <v>5497</v>
      </c>
      <c r="AF565" s="416" t="s">
        <v>5498</v>
      </c>
      <c r="AG565" s="415"/>
      <c r="AJ565" s="415" t="s">
        <v>337</v>
      </c>
      <c r="AM565" s="415" t="s">
        <v>337</v>
      </c>
      <c r="AP565" s="415" t="s">
        <v>337</v>
      </c>
      <c r="AS565" s="415" t="s">
        <v>337</v>
      </c>
      <c r="AV565" s="415" t="s">
        <v>337</v>
      </c>
      <c r="AY565" s="415" t="s">
        <v>337</v>
      </c>
      <c r="BB565" s="415" t="s">
        <v>337</v>
      </c>
      <c r="BE565" s="415" t="s">
        <v>337</v>
      </c>
      <c r="BH565" s="415" t="s">
        <v>337</v>
      </c>
      <c r="BM565" s="415" t="s">
        <v>337</v>
      </c>
      <c r="BP565" s="415" t="s">
        <v>337</v>
      </c>
      <c r="BS565" s="415"/>
      <c r="BV565" s="415" t="s">
        <v>337</v>
      </c>
      <c r="BY565" s="415" t="s">
        <v>337</v>
      </c>
      <c r="CB565" s="415" t="s">
        <v>337</v>
      </c>
      <c r="CE565" s="415" t="s">
        <v>337</v>
      </c>
      <c r="CH565" s="415" t="s">
        <v>337</v>
      </c>
      <c r="CK565" s="415" t="s">
        <v>337</v>
      </c>
      <c r="CN565" s="415" t="s">
        <v>337</v>
      </c>
      <c r="CQ565" s="415" t="s">
        <v>337</v>
      </c>
      <c r="CT565" s="415" t="s">
        <v>337</v>
      </c>
    </row>
    <row r="566" spans="1:98">
      <c r="A566" s="1" t="s">
        <v>1296</v>
      </c>
      <c r="B566" s="416" t="s">
        <v>5499</v>
      </c>
      <c r="S566" s="213" t="s">
        <v>5500</v>
      </c>
      <c r="T566" s="416" t="s">
        <v>5501</v>
      </c>
      <c r="U566" s="415" t="s">
        <v>337</v>
      </c>
      <c r="X566" s="415"/>
      <c r="AA566" s="415"/>
      <c r="AD566" s="415"/>
      <c r="AE566" s="417" t="s">
        <v>5502</v>
      </c>
      <c r="AF566" s="416" t="s">
        <v>5503</v>
      </c>
      <c r="AG566" s="415"/>
      <c r="AJ566" s="415" t="s">
        <v>337</v>
      </c>
      <c r="AM566" s="415" t="s">
        <v>337</v>
      </c>
      <c r="AP566" s="415" t="s">
        <v>337</v>
      </c>
      <c r="AS566" s="415" t="s">
        <v>337</v>
      </c>
      <c r="AV566" s="415" t="s">
        <v>337</v>
      </c>
      <c r="AY566" s="415" t="s">
        <v>337</v>
      </c>
      <c r="BB566" s="415" t="s">
        <v>337</v>
      </c>
      <c r="BE566" s="415" t="s">
        <v>337</v>
      </c>
      <c r="BH566" s="415" t="s">
        <v>337</v>
      </c>
      <c r="BM566" s="415" t="s">
        <v>337</v>
      </c>
      <c r="BP566" s="415" t="s">
        <v>337</v>
      </c>
      <c r="BS566" s="415"/>
      <c r="BV566" s="415" t="s">
        <v>337</v>
      </c>
      <c r="BY566" s="415" t="s">
        <v>337</v>
      </c>
      <c r="CB566" s="415" t="s">
        <v>337</v>
      </c>
      <c r="CE566" s="415" t="s">
        <v>337</v>
      </c>
      <c r="CH566" s="415" t="s">
        <v>337</v>
      </c>
      <c r="CK566" s="415" t="s">
        <v>337</v>
      </c>
      <c r="CN566" s="415" t="s">
        <v>337</v>
      </c>
      <c r="CQ566" s="415" t="s">
        <v>337</v>
      </c>
      <c r="CT566" s="415" t="s">
        <v>337</v>
      </c>
    </row>
    <row r="567" spans="1:98">
      <c r="A567" s="1" t="s">
        <v>1296</v>
      </c>
      <c r="B567" s="416" t="s">
        <v>3464</v>
      </c>
      <c r="S567" s="213" t="s">
        <v>5504</v>
      </c>
      <c r="T567" s="416" t="s">
        <v>5505</v>
      </c>
      <c r="U567" s="415" t="s">
        <v>337</v>
      </c>
      <c r="X567" s="415"/>
      <c r="AA567" s="415"/>
      <c r="AD567" s="415"/>
      <c r="AE567" s="417" t="s">
        <v>5506</v>
      </c>
      <c r="AF567" s="416" t="s">
        <v>5507</v>
      </c>
      <c r="AG567" s="415"/>
      <c r="AJ567" s="415" t="s">
        <v>337</v>
      </c>
      <c r="AM567" s="415" t="s">
        <v>337</v>
      </c>
      <c r="AP567" s="415" t="s">
        <v>337</v>
      </c>
      <c r="AS567" s="415" t="s">
        <v>337</v>
      </c>
      <c r="AV567" s="415" t="s">
        <v>337</v>
      </c>
      <c r="AY567" s="415" t="s">
        <v>337</v>
      </c>
      <c r="BB567" s="415" t="s">
        <v>337</v>
      </c>
      <c r="BE567" s="415" t="s">
        <v>337</v>
      </c>
      <c r="BH567" s="415" t="s">
        <v>337</v>
      </c>
      <c r="BM567" s="415" t="s">
        <v>337</v>
      </c>
      <c r="BP567" s="415" t="s">
        <v>337</v>
      </c>
      <c r="BS567" s="415"/>
      <c r="BV567" s="415" t="s">
        <v>337</v>
      </c>
      <c r="BY567" s="415" t="s">
        <v>337</v>
      </c>
      <c r="CB567" s="415" t="s">
        <v>337</v>
      </c>
      <c r="CE567" s="415" t="s">
        <v>337</v>
      </c>
      <c r="CH567" s="415" t="s">
        <v>337</v>
      </c>
      <c r="CK567" s="415" t="s">
        <v>337</v>
      </c>
      <c r="CN567" s="415" t="s">
        <v>337</v>
      </c>
      <c r="CQ567" s="415" t="s">
        <v>337</v>
      </c>
      <c r="CT567" s="415" t="s">
        <v>337</v>
      </c>
    </row>
    <row r="568" spans="1:98">
      <c r="A568" s="1" t="s">
        <v>1296</v>
      </c>
      <c r="B568" s="416" t="s">
        <v>3440</v>
      </c>
      <c r="S568" s="213" t="s">
        <v>5508</v>
      </c>
      <c r="T568" s="416" t="s">
        <v>5509</v>
      </c>
      <c r="U568" s="415" t="s">
        <v>337</v>
      </c>
      <c r="X568" s="415"/>
      <c r="AA568" s="415"/>
      <c r="AD568" s="415"/>
      <c r="AE568" s="417" t="s">
        <v>5510</v>
      </c>
      <c r="AF568" s="416" t="s">
        <v>5511</v>
      </c>
      <c r="AG568" s="415"/>
      <c r="AJ568" s="415" t="s">
        <v>337</v>
      </c>
      <c r="AM568" s="415" t="s">
        <v>337</v>
      </c>
      <c r="AP568" s="415" t="s">
        <v>337</v>
      </c>
      <c r="AS568" s="415" t="s">
        <v>337</v>
      </c>
      <c r="AV568" s="415" t="s">
        <v>337</v>
      </c>
      <c r="AY568" s="415" t="s">
        <v>337</v>
      </c>
      <c r="BB568" s="415" t="s">
        <v>337</v>
      </c>
      <c r="BE568" s="415" t="s">
        <v>337</v>
      </c>
      <c r="BH568" s="415" t="s">
        <v>337</v>
      </c>
      <c r="BM568" s="415" t="s">
        <v>337</v>
      </c>
      <c r="BP568" s="415" t="s">
        <v>337</v>
      </c>
      <c r="BS568" s="415"/>
      <c r="BV568" s="415" t="s">
        <v>337</v>
      </c>
      <c r="BY568" s="415" t="s">
        <v>337</v>
      </c>
      <c r="CB568" s="415" t="s">
        <v>337</v>
      </c>
      <c r="CE568" s="415" t="s">
        <v>337</v>
      </c>
      <c r="CH568" s="415" t="s">
        <v>337</v>
      </c>
      <c r="CK568" s="415" t="s">
        <v>337</v>
      </c>
      <c r="CN568" s="415" t="s">
        <v>337</v>
      </c>
      <c r="CQ568" s="415" t="s">
        <v>337</v>
      </c>
      <c r="CT568" s="415" t="s">
        <v>337</v>
      </c>
    </row>
    <row r="569" spans="1:98">
      <c r="A569" s="1" t="s">
        <v>1296</v>
      </c>
      <c r="B569" s="416" t="s">
        <v>5512</v>
      </c>
      <c r="S569" s="213" t="s">
        <v>5513</v>
      </c>
      <c r="T569" s="416" t="s">
        <v>5514</v>
      </c>
      <c r="U569" s="415" t="s">
        <v>337</v>
      </c>
      <c r="X569" s="415"/>
      <c r="AA569" s="415"/>
      <c r="AD569" s="415"/>
      <c r="AE569" s="417" t="s">
        <v>5515</v>
      </c>
      <c r="AF569" s="416" t="s">
        <v>5516</v>
      </c>
      <c r="AG569" s="415"/>
      <c r="AJ569" s="415" t="s">
        <v>337</v>
      </c>
      <c r="AM569" s="415" t="s">
        <v>337</v>
      </c>
      <c r="AP569" s="415" t="s">
        <v>337</v>
      </c>
      <c r="AS569" s="415" t="s">
        <v>337</v>
      </c>
      <c r="AV569" s="415" t="s">
        <v>337</v>
      </c>
      <c r="AY569" s="415" t="s">
        <v>337</v>
      </c>
      <c r="BB569" s="415" t="s">
        <v>337</v>
      </c>
      <c r="BE569" s="415" t="s">
        <v>337</v>
      </c>
      <c r="BH569" s="415" t="s">
        <v>337</v>
      </c>
      <c r="BM569" s="415" t="s">
        <v>337</v>
      </c>
      <c r="BP569" s="415" t="s">
        <v>337</v>
      </c>
      <c r="BS569" s="415"/>
      <c r="BV569" s="415" t="s">
        <v>337</v>
      </c>
      <c r="BY569" s="415" t="s">
        <v>337</v>
      </c>
      <c r="CB569" s="415" t="s">
        <v>337</v>
      </c>
      <c r="CE569" s="415" t="s">
        <v>337</v>
      </c>
      <c r="CH569" s="415" t="s">
        <v>337</v>
      </c>
      <c r="CK569" s="415" t="s">
        <v>337</v>
      </c>
      <c r="CN569" s="415" t="s">
        <v>337</v>
      </c>
      <c r="CQ569" s="415" t="s">
        <v>337</v>
      </c>
      <c r="CT569" s="415" t="s">
        <v>337</v>
      </c>
    </row>
    <row r="570" spans="1:98">
      <c r="A570" s="1" t="s">
        <v>1296</v>
      </c>
      <c r="B570" s="416" t="s">
        <v>5517</v>
      </c>
      <c r="S570" s="213" t="s">
        <v>5518</v>
      </c>
      <c r="T570" s="416" t="s">
        <v>5519</v>
      </c>
      <c r="U570" s="415" t="s">
        <v>337</v>
      </c>
      <c r="X570" s="415"/>
      <c r="AA570" s="415"/>
      <c r="AD570" s="415"/>
      <c r="AE570" s="417" t="s">
        <v>5520</v>
      </c>
      <c r="AF570" s="416" t="s">
        <v>5521</v>
      </c>
      <c r="AG570" s="415"/>
      <c r="AJ570" s="415" t="s">
        <v>337</v>
      </c>
      <c r="AM570" s="415" t="s">
        <v>337</v>
      </c>
      <c r="AP570" s="415" t="s">
        <v>337</v>
      </c>
      <c r="AS570" s="415" t="s">
        <v>337</v>
      </c>
      <c r="AV570" s="415" t="s">
        <v>337</v>
      </c>
      <c r="AY570" s="415" t="s">
        <v>337</v>
      </c>
      <c r="BB570" s="415" t="s">
        <v>337</v>
      </c>
      <c r="BE570" s="415" t="s">
        <v>337</v>
      </c>
      <c r="BH570" s="415" t="s">
        <v>337</v>
      </c>
      <c r="BM570" s="415" t="s">
        <v>337</v>
      </c>
      <c r="BP570" s="415" t="s">
        <v>337</v>
      </c>
      <c r="BS570" s="415"/>
      <c r="BV570" s="415" t="s">
        <v>337</v>
      </c>
      <c r="BY570" s="415" t="s">
        <v>337</v>
      </c>
      <c r="CB570" s="415" t="s">
        <v>337</v>
      </c>
      <c r="CE570" s="415" t="s">
        <v>337</v>
      </c>
      <c r="CH570" s="415" t="s">
        <v>337</v>
      </c>
      <c r="CK570" s="415" t="s">
        <v>337</v>
      </c>
      <c r="CN570" s="415" t="s">
        <v>337</v>
      </c>
      <c r="CQ570" s="415" t="s">
        <v>337</v>
      </c>
      <c r="CT570" s="415" t="s">
        <v>337</v>
      </c>
    </row>
    <row r="571" spans="1:98">
      <c r="A571" s="1" t="s">
        <v>1309</v>
      </c>
      <c r="B571" s="416" t="s">
        <v>5522</v>
      </c>
      <c r="S571" s="213" t="s">
        <v>5523</v>
      </c>
      <c r="T571" s="416" t="s">
        <v>5524</v>
      </c>
      <c r="U571" s="415" t="s">
        <v>337</v>
      </c>
      <c r="X571" s="415"/>
      <c r="AA571" s="415"/>
      <c r="AD571" s="415"/>
      <c r="AE571" s="417" t="s">
        <v>5525</v>
      </c>
      <c r="AF571" s="416" t="s">
        <v>5526</v>
      </c>
      <c r="AG571" s="415"/>
      <c r="AJ571" s="415" t="s">
        <v>337</v>
      </c>
      <c r="AM571" s="415" t="s">
        <v>337</v>
      </c>
      <c r="AP571" s="415" t="s">
        <v>337</v>
      </c>
      <c r="AS571" s="415" t="s">
        <v>337</v>
      </c>
      <c r="AV571" s="415" t="s">
        <v>337</v>
      </c>
      <c r="AY571" s="415" t="s">
        <v>337</v>
      </c>
      <c r="BB571" s="415" t="s">
        <v>337</v>
      </c>
      <c r="BE571" s="415" t="s">
        <v>337</v>
      </c>
      <c r="BH571" s="415" t="s">
        <v>337</v>
      </c>
      <c r="BM571" s="415" t="s">
        <v>337</v>
      </c>
      <c r="BP571" s="415" t="s">
        <v>337</v>
      </c>
      <c r="BS571" s="415"/>
      <c r="BV571" s="415" t="s">
        <v>337</v>
      </c>
      <c r="BY571" s="415" t="s">
        <v>337</v>
      </c>
      <c r="CB571" s="415" t="s">
        <v>337</v>
      </c>
      <c r="CE571" s="415" t="s">
        <v>337</v>
      </c>
      <c r="CH571" s="415" t="s">
        <v>337</v>
      </c>
      <c r="CK571" s="415" t="s">
        <v>337</v>
      </c>
      <c r="CN571" s="415" t="s">
        <v>337</v>
      </c>
      <c r="CQ571" s="415" t="s">
        <v>337</v>
      </c>
      <c r="CT571" s="415" t="s">
        <v>337</v>
      </c>
    </row>
    <row r="572" spans="1:98">
      <c r="A572" s="1" t="s">
        <v>1309</v>
      </c>
      <c r="B572" s="416" t="s">
        <v>5527</v>
      </c>
      <c r="S572" s="213" t="s">
        <v>5528</v>
      </c>
      <c r="T572" s="416" t="s">
        <v>5529</v>
      </c>
      <c r="U572" s="415" t="s">
        <v>337</v>
      </c>
      <c r="X572" s="415"/>
      <c r="AA572" s="415"/>
      <c r="AD572" s="415"/>
      <c r="AE572" s="417" t="s">
        <v>5530</v>
      </c>
      <c r="AF572" s="416" t="s">
        <v>5531</v>
      </c>
      <c r="AG572" s="415"/>
      <c r="AJ572" s="415" t="s">
        <v>337</v>
      </c>
      <c r="AM572" s="415" t="s">
        <v>337</v>
      </c>
      <c r="AP572" s="415" t="s">
        <v>337</v>
      </c>
      <c r="AS572" s="415" t="s">
        <v>337</v>
      </c>
      <c r="AV572" s="415" t="s">
        <v>337</v>
      </c>
      <c r="AY572" s="415" t="s">
        <v>337</v>
      </c>
      <c r="BB572" s="415" t="s">
        <v>337</v>
      </c>
      <c r="BE572" s="415" t="s">
        <v>337</v>
      </c>
      <c r="BH572" s="415" t="s">
        <v>337</v>
      </c>
      <c r="BM572" s="415" t="s">
        <v>337</v>
      </c>
      <c r="BP572" s="415" t="s">
        <v>337</v>
      </c>
      <c r="BS572" s="415"/>
      <c r="BV572" s="415" t="s">
        <v>337</v>
      </c>
      <c r="BY572" s="415" t="s">
        <v>337</v>
      </c>
      <c r="CB572" s="415" t="s">
        <v>337</v>
      </c>
      <c r="CE572" s="415" t="s">
        <v>337</v>
      </c>
      <c r="CH572" s="415" t="s">
        <v>337</v>
      </c>
      <c r="CK572" s="415" t="s">
        <v>337</v>
      </c>
      <c r="CN572" s="415" t="s">
        <v>337</v>
      </c>
      <c r="CQ572" s="415" t="s">
        <v>337</v>
      </c>
      <c r="CT572" s="415" t="s">
        <v>337</v>
      </c>
    </row>
    <row r="573" spans="1:98">
      <c r="A573" s="1" t="s">
        <v>1309</v>
      </c>
      <c r="B573" s="416" t="s">
        <v>5532</v>
      </c>
      <c r="S573" s="213" t="s">
        <v>5533</v>
      </c>
      <c r="T573" s="416" t="s">
        <v>5534</v>
      </c>
      <c r="U573" s="415" t="s">
        <v>337</v>
      </c>
      <c r="X573" s="415"/>
      <c r="AA573" s="415"/>
      <c r="AD573" s="415"/>
      <c r="AE573" s="417" t="s">
        <v>5535</v>
      </c>
      <c r="AF573" s="416" t="s">
        <v>5536</v>
      </c>
      <c r="AG573" s="415"/>
      <c r="AJ573" s="415" t="s">
        <v>337</v>
      </c>
      <c r="AM573" s="415" t="s">
        <v>337</v>
      </c>
      <c r="AP573" s="415" t="s">
        <v>337</v>
      </c>
      <c r="AS573" s="415" t="s">
        <v>337</v>
      </c>
      <c r="AV573" s="415" t="s">
        <v>337</v>
      </c>
      <c r="AY573" s="415" t="s">
        <v>337</v>
      </c>
      <c r="BB573" s="415" t="s">
        <v>337</v>
      </c>
      <c r="BE573" s="415" t="s">
        <v>337</v>
      </c>
      <c r="BH573" s="415" t="s">
        <v>337</v>
      </c>
      <c r="BM573" s="415" t="s">
        <v>337</v>
      </c>
      <c r="BP573" s="415" t="s">
        <v>337</v>
      </c>
      <c r="BS573" s="415"/>
      <c r="BV573" s="415" t="s">
        <v>337</v>
      </c>
      <c r="BY573" s="415" t="s">
        <v>337</v>
      </c>
      <c r="CB573" s="415" t="s">
        <v>337</v>
      </c>
      <c r="CE573" s="415" t="s">
        <v>337</v>
      </c>
      <c r="CH573" s="415" t="s">
        <v>337</v>
      </c>
      <c r="CK573" s="415" t="s">
        <v>337</v>
      </c>
      <c r="CN573" s="415" t="s">
        <v>337</v>
      </c>
      <c r="CQ573" s="415" t="s">
        <v>337</v>
      </c>
      <c r="CT573" s="415" t="s">
        <v>337</v>
      </c>
    </row>
    <row r="574" spans="1:98">
      <c r="A574" s="1" t="s">
        <v>1309</v>
      </c>
      <c r="B574" s="416" t="s">
        <v>5537</v>
      </c>
      <c r="S574" s="213" t="s">
        <v>5538</v>
      </c>
      <c r="T574" s="416" t="s">
        <v>5539</v>
      </c>
      <c r="U574" s="415" t="s">
        <v>337</v>
      </c>
      <c r="X574" s="415"/>
      <c r="AA574" s="415"/>
      <c r="AD574" s="415"/>
      <c r="AE574" s="417" t="s">
        <v>5540</v>
      </c>
      <c r="AF574" s="416" t="s">
        <v>3101</v>
      </c>
      <c r="AG574" s="415"/>
      <c r="AJ574" s="415" t="s">
        <v>337</v>
      </c>
      <c r="AM574" s="415" t="s">
        <v>337</v>
      </c>
      <c r="AP574" s="415" t="s">
        <v>337</v>
      </c>
      <c r="AS574" s="415" t="s">
        <v>337</v>
      </c>
      <c r="AV574" s="415" t="s">
        <v>337</v>
      </c>
      <c r="AY574" s="415" t="s">
        <v>337</v>
      </c>
      <c r="BB574" s="415" t="s">
        <v>337</v>
      </c>
      <c r="BE574" s="415" t="s">
        <v>337</v>
      </c>
      <c r="BH574" s="415" t="s">
        <v>337</v>
      </c>
      <c r="BM574" s="415" t="s">
        <v>337</v>
      </c>
      <c r="BP574" s="415" t="s">
        <v>337</v>
      </c>
      <c r="BS574" s="415"/>
      <c r="BV574" s="415" t="s">
        <v>337</v>
      </c>
      <c r="BY574" s="415" t="s">
        <v>337</v>
      </c>
      <c r="CB574" s="415" t="s">
        <v>337</v>
      </c>
      <c r="CE574" s="415" t="s">
        <v>337</v>
      </c>
      <c r="CH574" s="415" t="s">
        <v>337</v>
      </c>
      <c r="CK574" s="415" t="s">
        <v>337</v>
      </c>
      <c r="CN574" s="415" t="s">
        <v>337</v>
      </c>
      <c r="CQ574" s="415" t="s">
        <v>337</v>
      </c>
      <c r="CT574" s="415" t="s">
        <v>337</v>
      </c>
    </row>
    <row r="575" spans="1:98">
      <c r="A575" s="1" t="s">
        <v>1309</v>
      </c>
      <c r="B575" s="416" t="s">
        <v>3352</v>
      </c>
      <c r="S575" s="213" t="s">
        <v>5541</v>
      </c>
      <c r="T575" s="416" t="s">
        <v>5542</v>
      </c>
      <c r="U575" s="415" t="s">
        <v>337</v>
      </c>
      <c r="X575" s="415"/>
      <c r="AA575" s="415"/>
      <c r="AD575" s="415"/>
      <c r="AE575" s="417" t="s">
        <v>5543</v>
      </c>
      <c r="AF575" s="416" t="s">
        <v>5544</v>
      </c>
      <c r="AG575" s="415"/>
      <c r="AJ575" s="415" t="s">
        <v>337</v>
      </c>
      <c r="AM575" s="415" t="s">
        <v>337</v>
      </c>
      <c r="AP575" s="415" t="s">
        <v>337</v>
      </c>
      <c r="AS575" s="415" t="s">
        <v>337</v>
      </c>
      <c r="AV575" s="415" t="s">
        <v>337</v>
      </c>
      <c r="AY575" s="415" t="s">
        <v>337</v>
      </c>
      <c r="BB575" s="415" t="s">
        <v>337</v>
      </c>
      <c r="BE575" s="415" t="s">
        <v>337</v>
      </c>
      <c r="BH575" s="415" t="s">
        <v>337</v>
      </c>
      <c r="BM575" s="415" t="s">
        <v>337</v>
      </c>
      <c r="BP575" s="415" t="s">
        <v>337</v>
      </c>
      <c r="BS575" s="415"/>
      <c r="BV575" s="415" t="s">
        <v>337</v>
      </c>
      <c r="BY575" s="415" t="s">
        <v>337</v>
      </c>
      <c r="CB575" s="415" t="s">
        <v>337</v>
      </c>
      <c r="CE575" s="415" t="s">
        <v>337</v>
      </c>
      <c r="CH575" s="415" t="s">
        <v>337</v>
      </c>
      <c r="CK575" s="415" t="s">
        <v>337</v>
      </c>
      <c r="CN575" s="415" t="s">
        <v>337</v>
      </c>
      <c r="CQ575" s="415" t="s">
        <v>337</v>
      </c>
      <c r="CT575" s="415" t="s">
        <v>337</v>
      </c>
    </row>
    <row r="576" spans="1:98">
      <c r="A576" s="1" t="s">
        <v>1309</v>
      </c>
      <c r="B576" s="416" t="s">
        <v>5545</v>
      </c>
      <c r="S576" s="213" t="s">
        <v>5546</v>
      </c>
      <c r="T576" s="416" t="s">
        <v>5547</v>
      </c>
      <c r="U576" s="415" t="s">
        <v>337</v>
      </c>
      <c r="X576" s="415"/>
      <c r="AA576" s="415"/>
      <c r="AD576" s="415"/>
      <c r="AE576" s="417" t="s">
        <v>5548</v>
      </c>
      <c r="AF576" s="416" t="s">
        <v>5549</v>
      </c>
      <c r="AG576" s="415"/>
      <c r="AJ576" s="415" t="s">
        <v>337</v>
      </c>
      <c r="AM576" s="415" t="s">
        <v>337</v>
      </c>
      <c r="AP576" s="415" t="s">
        <v>337</v>
      </c>
      <c r="AS576" s="415" t="s">
        <v>337</v>
      </c>
      <c r="AV576" s="415" t="s">
        <v>337</v>
      </c>
      <c r="AY576" s="415" t="s">
        <v>337</v>
      </c>
      <c r="BB576" s="415" t="s">
        <v>337</v>
      </c>
      <c r="BE576" s="415" t="s">
        <v>337</v>
      </c>
      <c r="BH576" s="415" t="s">
        <v>337</v>
      </c>
      <c r="BM576" s="415" t="s">
        <v>337</v>
      </c>
      <c r="BP576" s="415" t="s">
        <v>337</v>
      </c>
      <c r="BS576" s="415"/>
      <c r="BV576" s="415" t="s">
        <v>337</v>
      </c>
      <c r="BY576" s="415" t="s">
        <v>337</v>
      </c>
      <c r="CB576" s="415" t="s">
        <v>337</v>
      </c>
      <c r="CE576" s="415" t="s">
        <v>337</v>
      </c>
      <c r="CH576" s="415" t="s">
        <v>337</v>
      </c>
      <c r="CK576" s="415" t="s">
        <v>337</v>
      </c>
      <c r="CN576" s="415" t="s">
        <v>337</v>
      </c>
      <c r="CQ576" s="415" t="s">
        <v>337</v>
      </c>
      <c r="CT576" s="415" t="s">
        <v>337</v>
      </c>
    </row>
    <row r="577" spans="1:98">
      <c r="A577" s="1" t="s">
        <v>1309</v>
      </c>
      <c r="B577" s="416" t="s">
        <v>5550</v>
      </c>
      <c r="S577" s="213" t="s">
        <v>5551</v>
      </c>
      <c r="T577" s="416" t="s">
        <v>4225</v>
      </c>
      <c r="U577" s="415" t="s">
        <v>337</v>
      </c>
      <c r="X577" s="415"/>
      <c r="AA577" s="415"/>
      <c r="AD577" s="415"/>
      <c r="AE577" s="417" t="s">
        <v>5552</v>
      </c>
      <c r="AF577" s="416" t="s">
        <v>5553</v>
      </c>
      <c r="AG577" s="415"/>
      <c r="AJ577" s="415" t="s">
        <v>337</v>
      </c>
      <c r="AM577" s="415" t="s">
        <v>337</v>
      </c>
      <c r="AP577" s="415" t="s">
        <v>337</v>
      </c>
      <c r="AS577" s="415" t="s">
        <v>337</v>
      </c>
      <c r="AV577" s="415" t="s">
        <v>337</v>
      </c>
      <c r="AY577" s="415" t="s">
        <v>337</v>
      </c>
      <c r="BB577" s="415" t="s">
        <v>337</v>
      </c>
      <c r="BE577" s="415" t="s">
        <v>337</v>
      </c>
      <c r="BH577" s="415" t="s">
        <v>337</v>
      </c>
      <c r="BM577" s="415" t="s">
        <v>337</v>
      </c>
      <c r="BP577" s="415" t="s">
        <v>337</v>
      </c>
      <c r="BS577" s="415"/>
      <c r="BV577" s="415" t="s">
        <v>337</v>
      </c>
      <c r="BY577" s="415" t="s">
        <v>337</v>
      </c>
      <c r="CB577" s="415" t="s">
        <v>337</v>
      </c>
      <c r="CE577" s="415" t="s">
        <v>337</v>
      </c>
      <c r="CH577" s="415" t="s">
        <v>337</v>
      </c>
      <c r="CK577" s="415" t="s">
        <v>337</v>
      </c>
      <c r="CN577" s="415" t="s">
        <v>337</v>
      </c>
      <c r="CQ577" s="415" t="s">
        <v>337</v>
      </c>
      <c r="CT577" s="415" t="s">
        <v>337</v>
      </c>
    </row>
    <row r="578" spans="1:98">
      <c r="A578" s="1" t="s">
        <v>1323</v>
      </c>
      <c r="B578" s="416" t="s">
        <v>5554</v>
      </c>
      <c r="S578" s="213" t="s">
        <v>5555</v>
      </c>
      <c r="T578" s="416" t="s">
        <v>5556</v>
      </c>
      <c r="U578" s="415" t="s">
        <v>337</v>
      </c>
      <c r="X578" s="415"/>
      <c r="AA578" s="415"/>
      <c r="AD578" s="415"/>
      <c r="AE578" s="417" t="s">
        <v>5557</v>
      </c>
      <c r="AF578" s="416" t="s">
        <v>5558</v>
      </c>
      <c r="AG578" s="415"/>
      <c r="AJ578" s="415" t="s">
        <v>337</v>
      </c>
      <c r="AM578" s="415" t="s">
        <v>337</v>
      </c>
      <c r="AP578" s="415" t="s">
        <v>337</v>
      </c>
      <c r="AS578" s="415" t="s">
        <v>337</v>
      </c>
      <c r="AV578" s="415" t="s">
        <v>337</v>
      </c>
      <c r="AY578" s="415" t="s">
        <v>337</v>
      </c>
      <c r="BB578" s="415" t="s">
        <v>337</v>
      </c>
      <c r="BE578" s="415" t="s">
        <v>337</v>
      </c>
      <c r="BH578" s="415" t="s">
        <v>337</v>
      </c>
      <c r="BM578" s="415" t="s">
        <v>337</v>
      </c>
      <c r="BP578" s="415" t="s">
        <v>337</v>
      </c>
      <c r="BS578" s="415"/>
      <c r="BV578" s="415" t="s">
        <v>337</v>
      </c>
      <c r="BY578" s="415" t="s">
        <v>337</v>
      </c>
      <c r="CB578" s="415" t="s">
        <v>337</v>
      </c>
      <c r="CE578" s="415" t="s">
        <v>337</v>
      </c>
      <c r="CH578" s="415" t="s">
        <v>337</v>
      </c>
      <c r="CK578" s="415" t="s">
        <v>337</v>
      </c>
      <c r="CN578" s="415" t="s">
        <v>337</v>
      </c>
      <c r="CQ578" s="415" t="s">
        <v>337</v>
      </c>
      <c r="CT578" s="415" t="s">
        <v>337</v>
      </c>
    </row>
    <row r="579" spans="1:98">
      <c r="A579" s="1" t="s">
        <v>1323</v>
      </c>
      <c r="B579" s="416" t="s">
        <v>5559</v>
      </c>
      <c r="S579" s="213" t="s">
        <v>5560</v>
      </c>
      <c r="T579" s="416" t="s">
        <v>5561</v>
      </c>
      <c r="U579" s="415" t="s">
        <v>337</v>
      </c>
      <c r="X579" s="415"/>
      <c r="AA579" s="415"/>
      <c r="AD579" s="415"/>
      <c r="AE579" s="417" t="s">
        <v>5562</v>
      </c>
      <c r="AF579" s="416" t="s">
        <v>5563</v>
      </c>
      <c r="AG579" s="415"/>
      <c r="AJ579" s="415" t="s">
        <v>337</v>
      </c>
      <c r="AM579" s="415" t="s">
        <v>337</v>
      </c>
      <c r="AP579" s="415" t="s">
        <v>337</v>
      </c>
      <c r="AS579" s="415" t="s">
        <v>337</v>
      </c>
      <c r="AV579" s="415" t="s">
        <v>337</v>
      </c>
      <c r="AY579" s="415" t="s">
        <v>337</v>
      </c>
      <c r="BB579" s="415" t="s">
        <v>337</v>
      </c>
      <c r="BE579" s="415" t="s">
        <v>337</v>
      </c>
      <c r="BH579" s="415" t="s">
        <v>337</v>
      </c>
      <c r="BM579" s="415" t="s">
        <v>337</v>
      </c>
      <c r="BP579" s="415" t="s">
        <v>337</v>
      </c>
      <c r="BS579" s="415"/>
      <c r="BV579" s="415" t="s">
        <v>337</v>
      </c>
      <c r="BY579" s="415" t="s">
        <v>337</v>
      </c>
      <c r="CB579" s="415" t="s">
        <v>337</v>
      </c>
      <c r="CE579" s="415" t="s">
        <v>337</v>
      </c>
      <c r="CH579" s="415" t="s">
        <v>337</v>
      </c>
      <c r="CK579" s="415" t="s">
        <v>337</v>
      </c>
      <c r="CN579" s="415" t="s">
        <v>337</v>
      </c>
      <c r="CQ579" s="415" t="s">
        <v>337</v>
      </c>
      <c r="CT579" s="415" t="s">
        <v>337</v>
      </c>
    </row>
    <row r="580" spans="1:98">
      <c r="A580" s="1" t="s">
        <v>1323</v>
      </c>
      <c r="B580" s="416" t="s">
        <v>5564</v>
      </c>
      <c r="S580" s="213" t="s">
        <v>5565</v>
      </c>
      <c r="T580" s="416" t="s">
        <v>5566</v>
      </c>
      <c r="U580" s="415" t="s">
        <v>337</v>
      </c>
      <c r="X580" s="415"/>
      <c r="AA580" s="415"/>
      <c r="AD580" s="415"/>
      <c r="AE580" s="417" t="s">
        <v>5567</v>
      </c>
      <c r="AF580" s="416" t="s">
        <v>5568</v>
      </c>
      <c r="AG580" s="415"/>
      <c r="AJ580" s="415" t="s">
        <v>337</v>
      </c>
      <c r="AM580" s="415" t="s">
        <v>337</v>
      </c>
      <c r="AP580" s="415" t="s">
        <v>337</v>
      </c>
      <c r="AS580" s="415" t="s">
        <v>337</v>
      </c>
      <c r="AV580" s="415" t="s">
        <v>337</v>
      </c>
      <c r="AY580" s="415" t="s">
        <v>337</v>
      </c>
      <c r="BB580" s="415" t="s">
        <v>337</v>
      </c>
      <c r="BE580" s="415" t="s">
        <v>337</v>
      </c>
      <c r="BH580" s="415" t="s">
        <v>337</v>
      </c>
      <c r="BM580" s="415" t="s">
        <v>337</v>
      </c>
      <c r="BP580" s="415" t="s">
        <v>337</v>
      </c>
      <c r="BS580" s="415"/>
      <c r="BV580" s="415" t="s">
        <v>337</v>
      </c>
      <c r="BY580" s="415" t="s">
        <v>337</v>
      </c>
      <c r="CB580" s="415" t="s">
        <v>337</v>
      </c>
      <c r="CE580" s="415" t="s">
        <v>337</v>
      </c>
      <c r="CH580" s="415" t="s">
        <v>337</v>
      </c>
      <c r="CK580" s="415" t="s">
        <v>337</v>
      </c>
      <c r="CN580" s="415" t="s">
        <v>337</v>
      </c>
      <c r="CQ580" s="415" t="s">
        <v>337</v>
      </c>
      <c r="CT580" s="415" t="s">
        <v>337</v>
      </c>
    </row>
    <row r="581" spans="1:98">
      <c r="A581" s="1" t="s">
        <v>1323</v>
      </c>
      <c r="B581" s="416" t="s">
        <v>5421</v>
      </c>
      <c r="S581" s="213" t="s">
        <v>5569</v>
      </c>
      <c r="T581" s="416" t="s">
        <v>5570</v>
      </c>
      <c r="U581" s="415" t="s">
        <v>337</v>
      </c>
      <c r="X581" s="415"/>
      <c r="AA581" s="415"/>
      <c r="AD581" s="415"/>
      <c r="AE581" s="417" t="s">
        <v>5571</v>
      </c>
      <c r="AF581" s="416" t="s">
        <v>5572</v>
      </c>
      <c r="AG581" s="415"/>
      <c r="AJ581" s="415" t="s">
        <v>337</v>
      </c>
      <c r="AM581" s="415" t="s">
        <v>337</v>
      </c>
      <c r="AP581" s="415" t="s">
        <v>337</v>
      </c>
      <c r="AS581" s="415" t="s">
        <v>337</v>
      </c>
      <c r="AV581" s="415" t="s">
        <v>337</v>
      </c>
      <c r="AY581" s="415" t="s">
        <v>337</v>
      </c>
      <c r="BB581" s="415" t="s">
        <v>337</v>
      </c>
      <c r="BE581" s="415" t="s">
        <v>337</v>
      </c>
      <c r="BH581" s="415" t="s">
        <v>337</v>
      </c>
      <c r="BM581" s="415" t="s">
        <v>337</v>
      </c>
      <c r="BP581" s="415" t="s">
        <v>337</v>
      </c>
      <c r="BS581" s="415"/>
      <c r="BV581" s="415" t="s">
        <v>337</v>
      </c>
      <c r="BY581" s="415" t="s">
        <v>337</v>
      </c>
      <c r="CB581" s="415" t="s">
        <v>337</v>
      </c>
      <c r="CE581" s="415" t="s">
        <v>337</v>
      </c>
      <c r="CH581" s="415" t="s">
        <v>337</v>
      </c>
      <c r="CK581" s="415" t="s">
        <v>337</v>
      </c>
      <c r="CN581" s="415" t="s">
        <v>337</v>
      </c>
      <c r="CQ581" s="415" t="s">
        <v>337</v>
      </c>
      <c r="CT581" s="415" t="s">
        <v>337</v>
      </c>
    </row>
    <row r="582" spans="1:98">
      <c r="A582" s="1" t="s">
        <v>1323</v>
      </c>
      <c r="B582" s="416" t="s">
        <v>5573</v>
      </c>
      <c r="S582" s="213" t="s">
        <v>5574</v>
      </c>
      <c r="T582" s="416" t="s">
        <v>5575</v>
      </c>
      <c r="U582" s="415" t="s">
        <v>337</v>
      </c>
      <c r="X582" s="415"/>
      <c r="AA582" s="415"/>
      <c r="AD582" s="415"/>
      <c r="AE582" s="417" t="s">
        <v>5576</v>
      </c>
      <c r="AF582" s="416" t="s">
        <v>5577</v>
      </c>
      <c r="AG582" s="415"/>
      <c r="AJ582" s="415" t="s">
        <v>337</v>
      </c>
      <c r="AM582" s="415" t="s">
        <v>337</v>
      </c>
      <c r="AP582" s="415" t="s">
        <v>337</v>
      </c>
      <c r="AS582" s="415" t="s">
        <v>337</v>
      </c>
      <c r="AV582" s="415" t="s">
        <v>337</v>
      </c>
      <c r="AY582" s="415" t="s">
        <v>337</v>
      </c>
      <c r="BB582" s="415" t="s">
        <v>337</v>
      </c>
      <c r="BE582" s="415" t="s">
        <v>337</v>
      </c>
      <c r="BH582" s="415" t="s">
        <v>337</v>
      </c>
      <c r="BM582" s="415" t="s">
        <v>337</v>
      </c>
      <c r="BP582" s="415" t="s">
        <v>337</v>
      </c>
      <c r="BS582" s="415"/>
      <c r="BV582" s="415" t="s">
        <v>337</v>
      </c>
      <c r="BY582" s="415" t="s">
        <v>337</v>
      </c>
      <c r="CB582" s="415" t="s">
        <v>337</v>
      </c>
      <c r="CE582" s="415" t="s">
        <v>337</v>
      </c>
      <c r="CH582" s="415" t="s">
        <v>337</v>
      </c>
      <c r="CK582" s="415" t="s">
        <v>337</v>
      </c>
      <c r="CN582" s="415" t="s">
        <v>337</v>
      </c>
      <c r="CQ582" s="415" t="s">
        <v>337</v>
      </c>
      <c r="CT582" s="415" t="s">
        <v>337</v>
      </c>
    </row>
    <row r="583" spans="1:98">
      <c r="A583" s="1" t="s">
        <v>1323</v>
      </c>
      <c r="B583" s="416" t="s">
        <v>5578</v>
      </c>
      <c r="S583" s="213" t="s">
        <v>5579</v>
      </c>
      <c r="T583" s="416" t="s">
        <v>5580</v>
      </c>
      <c r="U583" s="415" t="s">
        <v>337</v>
      </c>
      <c r="X583" s="415"/>
      <c r="AA583" s="415"/>
      <c r="AD583" s="415"/>
      <c r="AE583" s="417" t="s">
        <v>5581</v>
      </c>
      <c r="AF583" s="416" t="s">
        <v>5582</v>
      </c>
      <c r="AG583" s="415"/>
      <c r="AJ583" s="415" t="s">
        <v>337</v>
      </c>
      <c r="AM583" s="415" t="s">
        <v>337</v>
      </c>
      <c r="AP583" s="415" t="s">
        <v>337</v>
      </c>
      <c r="AS583" s="415" t="s">
        <v>337</v>
      </c>
      <c r="AV583" s="415" t="s">
        <v>337</v>
      </c>
      <c r="AY583" s="415" t="s">
        <v>337</v>
      </c>
      <c r="BB583" s="415" t="s">
        <v>337</v>
      </c>
      <c r="BE583" s="415" t="s">
        <v>337</v>
      </c>
      <c r="BH583" s="415" t="s">
        <v>337</v>
      </c>
      <c r="BM583" s="415" t="s">
        <v>337</v>
      </c>
      <c r="BP583" s="415" t="s">
        <v>337</v>
      </c>
      <c r="BS583" s="415"/>
      <c r="BV583" s="415" t="s">
        <v>337</v>
      </c>
      <c r="BY583" s="415" t="s">
        <v>337</v>
      </c>
      <c r="CB583" s="415" t="s">
        <v>337</v>
      </c>
      <c r="CE583" s="415" t="s">
        <v>337</v>
      </c>
      <c r="CH583" s="415" t="s">
        <v>337</v>
      </c>
      <c r="CK583" s="415" t="s">
        <v>337</v>
      </c>
      <c r="CN583" s="415" t="s">
        <v>337</v>
      </c>
      <c r="CQ583" s="415" t="s">
        <v>337</v>
      </c>
      <c r="CT583" s="415" t="s">
        <v>337</v>
      </c>
    </row>
    <row r="584" spans="1:98">
      <c r="A584" s="1" t="s">
        <v>1323</v>
      </c>
      <c r="B584" s="416" t="s">
        <v>5583</v>
      </c>
      <c r="S584" s="213" t="s">
        <v>5584</v>
      </c>
      <c r="T584" s="416" t="s">
        <v>5585</v>
      </c>
      <c r="U584" s="415" t="s">
        <v>337</v>
      </c>
      <c r="X584" s="415"/>
      <c r="AA584" s="415"/>
      <c r="AD584" s="415"/>
      <c r="AE584" s="417" t="s">
        <v>5586</v>
      </c>
      <c r="AF584" s="416" t="s">
        <v>5587</v>
      </c>
      <c r="AG584" s="415"/>
      <c r="AJ584" s="415" t="s">
        <v>337</v>
      </c>
      <c r="AM584" s="415" t="s">
        <v>337</v>
      </c>
      <c r="AP584" s="415" t="s">
        <v>337</v>
      </c>
      <c r="AS584" s="415" t="s">
        <v>337</v>
      </c>
      <c r="AV584" s="415" t="s">
        <v>337</v>
      </c>
      <c r="AY584" s="415" t="s">
        <v>337</v>
      </c>
      <c r="BB584" s="415" t="s">
        <v>337</v>
      </c>
      <c r="BE584" s="415" t="s">
        <v>337</v>
      </c>
      <c r="BH584" s="415" t="s">
        <v>337</v>
      </c>
      <c r="BM584" s="415" t="s">
        <v>337</v>
      </c>
      <c r="BP584" s="415" t="s">
        <v>337</v>
      </c>
      <c r="BS584" s="415"/>
      <c r="BV584" s="415" t="s">
        <v>337</v>
      </c>
      <c r="BY584" s="415" t="s">
        <v>337</v>
      </c>
      <c r="CB584" s="415" t="s">
        <v>337</v>
      </c>
      <c r="CE584" s="415" t="s">
        <v>337</v>
      </c>
      <c r="CH584" s="415" t="s">
        <v>337</v>
      </c>
      <c r="CK584" s="415" t="s">
        <v>337</v>
      </c>
      <c r="CN584" s="415" t="s">
        <v>337</v>
      </c>
      <c r="CQ584" s="415" t="s">
        <v>337</v>
      </c>
      <c r="CT584" s="415" t="s">
        <v>337</v>
      </c>
    </row>
    <row r="585" spans="1:98">
      <c r="A585" s="1" t="s">
        <v>1337</v>
      </c>
      <c r="B585" s="416" t="s">
        <v>5588</v>
      </c>
      <c r="S585" s="213" t="s">
        <v>5589</v>
      </c>
      <c r="T585" s="416" t="s">
        <v>5590</v>
      </c>
      <c r="U585" s="415" t="s">
        <v>337</v>
      </c>
      <c r="X585" s="415"/>
      <c r="AA585" s="415"/>
      <c r="AD585" s="415"/>
      <c r="AE585" s="417" t="s">
        <v>5591</v>
      </c>
      <c r="AF585" s="416" t="s">
        <v>5592</v>
      </c>
      <c r="AG585" s="415"/>
      <c r="AJ585" s="415" t="s">
        <v>337</v>
      </c>
      <c r="AM585" s="415" t="s">
        <v>337</v>
      </c>
      <c r="AP585" s="415" t="s">
        <v>337</v>
      </c>
      <c r="AS585" s="415" t="s">
        <v>337</v>
      </c>
      <c r="AV585" s="415" t="s">
        <v>337</v>
      </c>
      <c r="AY585" s="415" t="s">
        <v>337</v>
      </c>
      <c r="BB585" s="415" t="s">
        <v>337</v>
      </c>
      <c r="BE585" s="415" t="s">
        <v>337</v>
      </c>
      <c r="BH585" s="415" t="s">
        <v>337</v>
      </c>
      <c r="BM585" s="415" t="s">
        <v>337</v>
      </c>
      <c r="BP585" s="415" t="s">
        <v>337</v>
      </c>
      <c r="BS585" s="415"/>
      <c r="BV585" s="415" t="s">
        <v>337</v>
      </c>
      <c r="BY585" s="415" t="s">
        <v>337</v>
      </c>
      <c r="CB585" s="415" t="s">
        <v>337</v>
      </c>
      <c r="CE585" s="415" t="s">
        <v>337</v>
      </c>
      <c r="CH585" s="415" t="s">
        <v>337</v>
      </c>
      <c r="CK585" s="415" t="s">
        <v>337</v>
      </c>
      <c r="CN585" s="415" t="s">
        <v>337</v>
      </c>
      <c r="CQ585" s="415" t="s">
        <v>337</v>
      </c>
      <c r="CT585" s="415" t="s">
        <v>337</v>
      </c>
    </row>
    <row r="586" spans="1:98">
      <c r="A586" s="1" t="s">
        <v>1337</v>
      </c>
      <c r="B586" s="416" t="s">
        <v>5593</v>
      </c>
      <c r="S586" s="213" t="s">
        <v>5594</v>
      </c>
      <c r="T586" s="416" t="s">
        <v>5595</v>
      </c>
      <c r="U586" s="415" t="s">
        <v>337</v>
      </c>
      <c r="X586" s="415"/>
      <c r="AA586" s="415"/>
      <c r="AD586" s="415"/>
      <c r="AE586" s="417" t="s">
        <v>5596</v>
      </c>
      <c r="AF586" s="416" t="s">
        <v>5597</v>
      </c>
      <c r="AG586" s="415"/>
      <c r="AJ586" s="415" t="s">
        <v>337</v>
      </c>
      <c r="AM586" s="415" t="s">
        <v>337</v>
      </c>
      <c r="AP586" s="415" t="s">
        <v>337</v>
      </c>
      <c r="AS586" s="415" t="s">
        <v>337</v>
      </c>
      <c r="AV586" s="415" t="s">
        <v>337</v>
      </c>
      <c r="AY586" s="415" t="s">
        <v>337</v>
      </c>
      <c r="BB586" s="415" t="s">
        <v>337</v>
      </c>
      <c r="BE586" s="415" t="s">
        <v>337</v>
      </c>
      <c r="BH586" s="415" t="s">
        <v>337</v>
      </c>
      <c r="BM586" s="415" t="s">
        <v>337</v>
      </c>
      <c r="BP586" s="415" t="s">
        <v>337</v>
      </c>
      <c r="BS586" s="415"/>
      <c r="BV586" s="415" t="s">
        <v>337</v>
      </c>
      <c r="BY586" s="415" t="s">
        <v>337</v>
      </c>
      <c r="CB586" s="415" t="s">
        <v>337</v>
      </c>
      <c r="CE586" s="415" t="s">
        <v>337</v>
      </c>
      <c r="CH586" s="415" t="s">
        <v>337</v>
      </c>
      <c r="CK586" s="415" t="s">
        <v>337</v>
      </c>
      <c r="CN586" s="415" t="s">
        <v>337</v>
      </c>
      <c r="CQ586" s="415" t="s">
        <v>337</v>
      </c>
      <c r="CT586" s="415" t="s">
        <v>337</v>
      </c>
    </row>
    <row r="587" spans="1:98">
      <c r="A587" s="1" t="s">
        <v>1337</v>
      </c>
      <c r="B587" s="416" t="s">
        <v>5598</v>
      </c>
      <c r="S587" s="213" t="s">
        <v>5599</v>
      </c>
      <c r="T587" s="416" t="s">
        <v>5243</v>
      </c>
      <c r="U587" s="415" t="s">
        <v>337</v>
      </c>
      <c r="X587" s="415"/>
      <c r="AA587" s="415"/>
      <c r="AD587" s="415"/>
      <c r="AE587" s="417" t="s">
        <v>5600</v>
      </c>
      <c r="AF587" s="416" t="s">
        <v>5601</v>
      </c>
      <c r="AG587" s="415"/>
      <c r="AJ587" s="415" t="s">
        <v>337</v>
      </c>
      <c r="AM587" s="415" t="s">
        <v>337</v>
      </c>
      <c r="AP587" s="415" t="s">
        <v>337</v>
      </c>
      <c r="AS587" s="415" t="s">
        <v>337</v>
      </c>
      <c r="AV587" s="415" t="s">
        <v>337</v>
      </c>
      <c r="AY587" s="415" t="s">
        <v>337</v>
      </c>
      <c r="BB587" s="415" t="s">
        <v>337</v>
      </c>
      <c r="BE587" s="415" t="s">
        <v>337</v>
      </c>
      <c r="BH587" s="415" t="s">
        <v>337</v>
      </c>
      <c r="BM587" s="415" t="s">
        <v>337</v>
      </c>
      <c r="BP587" s="415" t="s">
        <v>337</v>
      </c>
      <c r="BS587" s="415"/>
      <c r="BV587" s="415" t="s">
        <v>337</v>
      </c>
      <c r="BY587" s="415" t="s">
        <v>337</v>
      </c>
      <c r="CB587" s="415" t="s">
        <v>337</v>
      </c>
      <c r="CE587" s="415" t="s">
        <v>337</v>
      </c>
      <c r="CH587" s="415" t="s">
        <v>337</v>
      </c>
      <c r="CK587" s="415" t="s">
        <v>337</v>
      </c>
      <c r="CN587" s="415" t="s">
        <v>337</v>
      </c>
      <c r="CQ587" s="415" t="s">
        <v>337</v>
      </c>
      <c r="CT587" s="415" t="s">
        <v>337</v>
      </c>
    </row>
    <row r="588" spans="1:98">
      <c r="A588" s="1" t="s">
        <v>1337</v>
      </c>
      <c r="B588" s="416" t="s">
        <v>5602</v>
      </c>
      <c r="S588" s="213" t="s">
        <v>5603</v>
      </c>
      <c r="T588" s="416" t="s">
        <v>5604</v>
      </c>
      <c r="U588" s="415" t="s">
        <v>337</v>
      </c>
      <c r="X588" s="415"/>
      <c r="AA588" s="415"/>
      <c r="AD588" s="415"/>
      <c r="AE588" s="417" t="s">
        <v>5605</v>
      </c>
      <c r="AF588" s="416" t="s">
        <v>5606</v>
      </c>
      <c r="AG588" s="415"/>
      <c r="AJ588" s="415" t="s">
        <v>337</v>
      </c>
      <c r="AM588" s="415" t="s">
        <v>337</v>
      </c>
      <c r="AP588" s="415" t="s">
        <v>337</v>
      </c>
      <c r="AS588" s="415" t="s">
        <v>337</v>
      </c>
      <c r="AV588" s="415" t="s">
        <v>337</v>
      </c>
      <c r="AY588" s="415" t="s">
        <v>337</v>
      </c>
      <c r="BB588" s="415" t="s">
        <v>337</v>
      </c>
      <c r="BE588" s="415" t="s">
        <v>337</v>
      </c>
      <c r="BH588" s="415" t="s">
        <v>337</v>
      </c>
      <c r="BM588" s="415" t="s">
        <v>337</v>
      </c>
      <c r="BP588" s="415" t="s">
        <v>337</v>
      </c>
      <c r="BS588" s="415"/>
      <c r="BV588" s="415" t="s">
        <v>337</v>
      </c>
      <c r="BY588" s="415" t="s">
        <v>337</v>
      </c>
      <c r="CB588" s="415" t="s">
        <v>337</v>
      </c>
      <c r="CE588" s="415" t="s">
        <v>337</v>
      </c>
      <c r="CH588" s="415" t="s">
        <v>337</v>
      </c>
      <c r="CK588" s="415" t="s">
        <v>337</v>
      </c>
      <c r="CN588" s="415" t="s">
        <v>337</v>
      </c>
      <c r="CQ588" s="415" t="s">
        <v>337</v>
      </c>
      <c r="CT588" s="415" t="s">
        <v>337</v>
      </c>
    </row>
    <row r="589" spans="1:98">
      <c r="A589" s="1" t="s">
        <v>1337</v>
      </c>
      <c r="B589" s="416" t="s">
        <v>5607</v>
      </c>
      <c r="S589" s="213" t="s">
        <v>5608</v>
      </c>
      <c r="T589" s="416" t="s">
        <v>5609</v>
      </c>
      <c r="U589" s="415" t="s">
        <v>337</v>
      </c>
      <c r="X589" s="415"/>
      <c r="AA589" s="415"/>
      <c r="AD589" s="415"/>
      <c r="AE589" s="417" t="s">
        <v>5610</v>
      </c>
      <c r="AF589" s="416" t="s">
        <v>5611</v>
      </c>
      <c r="AG589" s="415"/>
      <c r="AJ589" s="415" t="s">
        <v>337</v>
      </c>
      <c r="AM589" s="415" t="s">
        <v>337</v>
      </c>
      <c r="AP589" s="415" t="s">
        <v>337</v>
      </c>
      <c r="AS589" s="415" t="s">
        <v>337</v>
      </c>
      <c r="AV589" s="415" t="s">
        <v>337</v>
      </c>
      <c r="AY589" s="415" t="s">
        <v>337</v>
      </c>
      <c r="BB589" s="415" t="s">
        <v>337</v>
      </c>
      <c r="BE589" s="415" t="s">
        <v>337</v>
      </c>
      <c r="BH589" s="415" t="s">
        <v>337</v>
      </c>
      <c r="BM589" s="415" t="s">
        <v>337</v>
      </c>
      <c r="BP589" s="415" t="s">
        <v>337</v>
      </c>
      <c r="BS589" s="415"/>
      <c r="BV589" s="415" t="s">
        <v>337</v>
      </c>
      <c r="BY589" s="415" t="s">
        <v>337</v>
      </c>
      <c r="CB589" s="415" t="s">
        <v>337</v>
      </c>
      <c r="CE589" s="415" t="s">
        <v>337</v>
      </c>
      <c r="CH589" s="415" t="s">
        <v>337</v>
      </c>
      <c r="CK589" s="415" t="s">
        <v>337</v>
      </c>
      <c r="CN589" s="415" t="s">
        <v>337</v>
      </c>
      <c r="CQ589" s="415" t="s">
        <v>337</v>
      </c>
      <c r="CT589" s="415" t="s">
        <v>337</v>
      </c>
    </row>
    <row r="590" spans="1:98">
      <c r="A590" s="1" t="s">
        <v>1337</v>
      </c>
      <c r="B590" s="416" t="s">
        <v>5612</v>
      </c>
      <c r="S590" s="213" t="s">
        <v>5613</v>
      </c>
      <c r="T590" s="416" t="s">
        <v>5614</v>
      </c>
      <c r="U590" s="415" t="s">
        <v>337</v>
      </c>
      <c r="X590" s="415"/>
      <c r="AA590" s="415"/>
      <c r="AD590" s="415"/>
      <c r="AE590" s="417" t="s">
        <v>5615</v>
      </c>
      <c r="AF590" s="416" t="s">
        <v>5616</v>
      </c>
      <c r="AG590" s="415"/>
      <c r="AJ590" s="415" t="s">
        <v>337</v>
      </c>
      <c r="AM590" s="415" t="s">
        <v>337</v>
      </c>
      <c r="AP590" s="415" t="s">
        <v>337</v>
      </c>
      <c r="AS590" s="415" t="s">
        <v>337</v>
      </c>
      <c r="AV590" s="415" t="s">
        <v>337</v>
      </c>
      <c r="AY590" s="415" t="s">
        <v>337</v>
      </c>
      <c r="BB590" s="415" t="s">
        <v>337</v>
      </c>
      <c r="BE590" s="415" t="s">
        <v>337</v>
      </c>
      <c r="BH590" s="415" t="s">
        <v>337</v>
      </c>
      <c r="BM590" s="415" t="s">
        <v>337</v>
      </c>
      <c r="BP590" s="415" t="s">
        <v>337</v>
      </c>
      <c r="BS590" s="415"/>
      <c r="BV590" s="415" t="s">
        <v>337</v>
      </c>
      <c r="BY590" s="415" t="s">
        <v>337</v>
      </c>
      <c r="CB590" s="415" t="s">
        <v>337</v>
      </c>
      <c r="CE590" s="415" t="s">
        <v>337</v>
      </c>
      <c r="CH590" s="415" t="s">
        <v>337</v>
      </c>
      <c r="CK590" s="415" t="s">
        <v>337</v>
      </c>
      <c r="CN590" s="415" t="s">
        <v>337</v>
      </c>
      <c r="CQ590" s="415" t="s">
        <v>337</v>
      </c>
      <c r="CT590" s="415" t="s">
        <v>337</v>
      </c>
    </row>
    <row r="591" spans="1:98">
      <c r="A591" s="1" t="s">
        <v>1337</v>
      </c>
      <c r="B591" s="416" t="s">
        <v>5617</v>
      </c>
      <c r="S591" s="213" t="s">
        <v>5618</v>
      </c>
      <c r="T591" s="416" t="s">
        <v>5619</v>
      </c>
      <c r="U591" s="415" t="s">
        <v>337</v>
      </c>
      <c r="X591" s="415"/>
      <c r="AA591" s="415"/>
      <c r="AD591" s="415"/>
      <c r="AE591" s="417" t="s">
        <v>5620</v>
      </c>
      <c r="AF591" s="416" t="s">
        <v>5621</v>
      </c>
      <c r="AG591" s="415"/>
      <c r="AJ591" s="415" t="s">
        <v>337</v>
      </c>
      <c r="AM591" s="415" t="s">
        <v>337</v>
      </c>
      <c r="AP591" s="415" t="s">
        <v>337</v>
      </c>
      <c r="AS591" s="415" t="s">
        <v>337</v>
      </c>
      <c r="AV591" s="415" t="s">
        <v>337</v>
      </c>
      <c r="AY591" s="415" t="s">
        <v>337</v>
      </c>
      <c r="BB591" s="415" t="s">
        <v>337</v>
      </c>
      <c r="BE591" s="415" t="s">
        <v>337</v>
      </c>
      <c r="BH591" s="415" t="s">
        <v>337</v>
      </c>
      <c r="BM591" s="415" t="s">
        <v>337</v>
      </c>
      <c r="BP591" s="415" t="s">
        <v>337</v>
      </c>
      <c r="BS591" s="415"/>
      <c r="BV591" s="415" t="s">
        <v>337</v>
      </c>
      <c r="BY591" s="415" t="s">
        <v>337</v>
      </c>
      <c r="CB591" s="415" t="s">
        <v>337</v>
      </c>
      <c r="CE591" s="415" t="s">
        <v>337</v>
      </c>
      <c r="CH591" s="415" t="s">
        <v>337</v>
      </c>
      <c r="CK591" s="415" t="s">
        <v>337</v>
      </c>
      <c r="CN591" s="415" t="s">
        <v>337</v>
      </c>
      <c r="CQ591" s="415" t="s">
        <v>337</v>
      </c>
      <c r="CT591" s="415" t="s">
        <v>337</v>
      </c>
    </row>
    <row r="592" spans="1:98">
      <c r="A592" s="1" t="s">
        <v>1337</v>
      </c>
      <c r="B592" s="416" t="s">
        <v>5622</v>
      </c>
      <c r="S592" s="213" t="s">
        <v>5623</v>
      </c>
      <c r="T592" s="416" t="s">
        <v>5624</v>
      </c>
      <c r="U592" s="415" t="s">
        <v>337</v>
      </c>
      <c r="X592" s="415"/>
      <c r="AA592" s="415"/>
      <c r="AD592" s="415"/>
      <c r="AE592" s="417" t="s">
        <v>5625</v>
      </c>
      <c r="AF592" s="416" t="s">
        <v>5626</v>
      </c>
      <c r="AG592" s="415"/>
      <c r="AJ592" s="415" t="s">
        <v>337</v>
      </c>
      <c r="AM592" s="415" t="s">
        <v>337</v>
      </c>
      <c r="AP592" s="415" t="s">
        <v>337</v>
      </c>
      <c r="AS592" s="415" t="s">
        <v>337</v>
      </c>
      <c r="AV592" s="415" t="s">
        <v>337</v>
      </c>
      <c r="AY592" s="415" t="s">
        <v>337</v>
      </c>
      <c r="BB592" s="415" t="s">
        <v>337</v>
      </c>
      <c r="BE592" s="415" t="s">
        <v>337</v>
      </c>
      <c r="BH592" s="415" t="s">
        <v>337</v>
      </c>
      <c r="BM592" s="415" t="s">
        <v>337</v>
      </c>
      <c r="BP592" s="415" t="s">
        <v>337</v>
      </c>
      <c r="BS592" s="415"/>
      <c r="BV592" s="415" t="s">
        <v>337</v>
      </c>
      <c r="BY592" s="415" t="s">
        <v>337</v>
      </c>
      <c r="CB592" s="415" t="s">
        <v>337</v>
      </c>
      <c r="CE592" s="415" t="s">
        <v>337</v>
      </c>
      <c r="CH592" s="415" t="s">
        <v>337</v>
      </c>
      <c r="CK592" s="415" t="s">
        <v>337</v>
      </c>
      <c r="CN592" s="415" t="s">
        <v>337</v>
      </c>
      <c r="CQ592" s="415" t="s">
        <v>337</v>
      </c>
      <c r="CT592" s="415" t="s">
        <v>337</v>
      </c>
    </row>
    <row r="593" spans="1:98">
      <c r="A593" s="1" t="s">
        <v>1337</v>
      </c>
      <c r="B593" s="416" t="s">
        <v>5627</v>
      </c>
      <c r="S593" s="213" t="s">
        <v>5628</v>
      </c>
      <c r="T593" s="416" t="s">
        <v>5629</v>
      </c>
      <c r="U593" s="415" t="s">
        <v>337</v>
      </c>
      <c r="X593" s="415"/>
      <c r="AA593" s="415"/>
      <c r="AD593" s="415"/>
      <c r="AE593" s="417" t="s">
        <v>5630</v>
      </c>
      <c r="AF593" s="416" t="s">
        <v>5631</v>
      </c>
      <c r="AG593" s="415"/>
      <c r="AJ593" s="415" t="s">
        <v>337</v>
      </c>
      <c r="AM593" s="415" t="s">
        <v>337</v>
      </c>
      <c r="AP593" s="415" t="s">
        <v>337</v>
      </c>
      <c r="AS593" s="415" t="s">
        <v>337</v>
      </c>
      <c r="AV593" s="415" t="s">
        <v>337</v>
      </c>
      <c r="AY593" s="415" t="s">
        <v>337</v>
      </c>
      <c r="BB593" s="415" t="s">
        <v>337</v>
      </c>
      <c r="BE593" s="415" t="s">
        <v>337</v>
      </c>
      <c r="BH593" s="415" t="s">
        <v>337</v>
      </c>
      <c r="BM593" s="415" t="s">
        <v>337</v>
      </c>
      <c r="BP593" s="415" t="s">
        <v>337</v>
      </c>
      <c r="BS593" s="415"/>
      <c r="BV593" s="415" t="s">
        <v>337</v>
      </c>
      <c r="BY593" s="415" t="s">
        <v>337</v>
      </c>
      <c r="CB593" s="415" t="s">
        <v>337</v>
      </c>
      <c r="CE593" s="415" t="s">
        <v>337</v>
      </c>
      <c r="CH593" s="415" t="s">
        <v>337</v>
      </c>
      <c r="CK593" s="415" t="s">
        <v>337</v>
      </c>
      <c r="CN593" s="415" t="s">
        <v>337</v>
      </c>
      <c r="CQ593" s="415" t="s">
        <v>337</v>
      </c>
      <c r="CT593" s="415" t="s">
        <v>337</v>
      </c>
    </row>
    <row r="594" spans="1:98">
      <c r="A594" s="1" t="s">
        <v>1351</v>
      </c>
      <c r="B594" s="416" t="s">
        <v>5632</v>
      </c>
      <c r="S594" s="213" t="s">
        <v>5633</v>
      </c>
      <c r="T594" s="416" t="s">
        <v>5634</v>
      </c>
      <c r="U594" s="415" t="s">
        <v>337</v>
      </c>
      <c r="X594" s="415"/>
      <c r="AA594" s="415"/>
      <c r="AD594" s="415"/>
      <c r="AE594" s="417" t="s">
        <v>5635</v>
      </c>
      <c r="AF594" s="416" t="s">
        <v>5636</v>
      </c>
      <c r="AG594" s="415"/>
      <c r="AJ594" s="415" t="s">
        <v>337</v>
      </c>
      <c r="AM594" s="415" t="s">
        <v>337</v>
      </c>
      <c r="AP594" s="415" t="s">
        <v>337</v>
      </c>
      <c r="AS594" s="415" t="s">
        <v>337</v>
      </c>
      <c r="AV594" s="415" t="s">
        <v>337</v>
      </c>
      <c r="AY594" s="415" t="s">
        <v>337</v>
      </c>
      <c r="BB594" s="415" t="s">
        <v>337</v>
      </c>
      <c r="BE594" s="415" t="s">
        <v>337</v>
      </c>
      <c r="BH594" s="415" t="s">
        <v>337</v>
      </c>
      <c r="BM594" s="415" t="s">
        <v>337</v>
      </c>
      <c r="BP594" s="415" t="s">
        <v>337</v>
      </c>
      <c r="BS594" s="415"/>
      <c r="BV594" s="415" t="s">
        <v>337</v>
      </c>
      <c r="BY594" s="415" t="s">
        <v>337</v>
      </c>
      <c r="CB594" s="415" t="s">
        <v>337</v>
      </c>
      <c r="CE594" s="415" t="s">
        <v>337</v>
      </c>
      <c r="CH594" s="415" t="s">
        <v>337</v>
      </c>
      <c r="CK594" s="415" t="s">
        <v>337</v>
      </c>
      <c r="CN594" s="415" t="s">
        <v>337</v>
      </c>
      <c r="CQ594" s="415" t="s">
        <v>337</v>
      </c>
      <c r="CT594" s="415" t="s">
        <v>337</v>
      </c>
    </row>
    <row r="595" spans="1:98">
      <c r="A595" s="1" t="s">
        <v>1351</v>
      </c>
      <c r="B595" s="416" t="s">
        <v>5637</v>
      </c>
      <c r="S595" s="213" t="s">
        <v>5638</v>
      </c>
      <c r="T595" s="416" t="s">
        <v>5639</v>
      </c>
      <c r="U595" s="415" t="s">
        <v>337</v>
      </c>
      <c r="X595" s="415"/>
      <c r="AA595" s="415"/>
      <c r="AD595" s="415"/>
      <c r="AE595" s="417" t="s">
        <v>5640</v>
      </c>
      <c r="AF595" s="416" t="s">
        <v>5641</v>
      </c>
      <c r="AG595" s="415"/>
      <c r="AJ595" s="415" t="s">
        <v>337</v>
      </c>
      <c r="AM595" s="415" t="s">
        <v>337</v>
      </c>
      <c r="AP595" s="415" t="s">
        <v>337</v>
      </c>
      <c r="AS595" s="415" t="s">
        <v>337</v>
      </c>
      <c r="AV595" s="415" t="s">
        <v>337</v>
      </c>
      <c r="AY595" s="415" t="s">
        <v>337</v>
      </c>
      <c r="BB595" s="415" t="s">
        <v>337</v>
      </c>
      <c r="BE595" s="415" t="s">
        <v>337</v>
      </c>
      <c r="BH595" s="415" t="s">
        <v>337</v>
      </c>
      <c r="BM595" s="415" t="s">
        <v>337</v>
      </c>
      <c r="BP595" s="415" t="s">
        <v>337</v>
      </c>
      <c r="BS595" s="415"/>
      <c r="BV595" s="415" t="s">
        <v>337</v>
      </c>
      <c r="BY595" s="415" t="s">
        <v>337</v>
      </c>
      <c r="CB595" s="415" t="s">
        <v>337</v>
      </c>
      <c r="CE595" s="415" t="s">
        <v>337</v>
      </c>
      <c r="CH595" s="415" t="s">
        <v>337</v>
      </c>
      <c r="CK595" s="415" t="s">
        <v>337</v>
      </c>
      <c r="CN595" s="415" t="s">
        <v>337</v>
      </c>
      <c r="CQ595" s="415" t="s">
        <v>337</v>
      </c>
      <c r="CT595" s="415" t="s">
        <v>337</v>
      </c>
    </row>
    <row r="596" spans="1:98">
      <c r="A596" s="1" t="s">
        <v>1351</v>
      </c>
      <c r="B596" s="416" t="s">
        <v>5642</v>
      </c>
      <c r="S596" s="213" t="s">
        <v>5643</v>
      </c>
      <c r="T596" s="416" t="s">
        <v>5644</v>
      </c>
      <c r="U596" s="415" t="s">
        <v>337</v>
      </c>
      <c r="X596" s="415"/>
      <c r="AA596" s="415"/>
      <c r="AD596" s="415"/>
      <c r="AE596" s="417" t="s">
        <v>5645</v>
      </c>
      <c r="AF596" s="416" t="s">
        <v>5646</v>
      </c>
      <c r="AG596" s="415"/>
      <c r="AJ596" s="415" t="s">
        <v>337</v>
      </c>
      <c r="AM596" s="415" t="s">
        <v>337</v>
      </c>
      <c r="AP596" s="415" t="s">
        <v>337</v>
      </c>
      <c r="AS596" s="415" t="s">
        <v>337</v>
      </c>
      <c r="AV596" s="415" t="s">
        <v>337</v>
      </c>
      <c r="AY596" s="415" t="s">
        <v>337</v>
      </c>
      <c r="BB596" s="415" t="s">
        <v>337</v>
      </c>
      <c r="BE596" s="415" t="s">
        <v>337</v>
      </c>
      <c r="BH596" s="415" t="s">
        <v>337</v>
      </c>
      <c r="BM596" s="415" t="s">
        <v>337</v>
      </c>
      <c r="BP596" s="415" t="s">
        <v>337</v>
      </c>
      <c r="BS596" s="415"/>
      <c r="BV596" s="415" t="s">
        <v>337</v>
      </c>
      <c r="BY596" s="415" t="s">
        <v>337</v>
      </c>
      <c r="CB596" s="415" t="s">
        <v>337</v>
      </c>
      <c r="CE596" s="415" t="s">
        <v>337</v>
      </c>
      <c r="CH596" s="415" t="s">
        <v>337</v>
      </c>
      <c r="CK596" s="415" t="s">
        <v>337</v>
      </c>
      <c r="CN596" s="415" t="s">
        <v>337</v>
      </c>
      <c r="CQ596" s="415" t="s">
        <v>337</v>
      </c>
      <c r="CT596" s="415" t="s">
        <v>337</v>
      </c>
    </row>
    <row r="597" spans="1:98">
      <c r="A597" s="1" t="s">
        <v>1351</v>
      </c>
      <c r="B597" s="416" t="s">
        <v>5647</v>
      </c>
      <c r="S597" s="213" t="s">
        <v>5648</v>
      </c>
      <c r="T597" s="416" t="s">
        <v>5649</v>
      </c>
      <c r="U597" s="415" t="s">
        <v>337</v>
      </c>
      <c r="X597" s="415"/>
      <c r="AA597" s="415"/>
      <c r="AD597" s="415"/>
      <c r="AE597" s="417" t="s">
        <v>5650</v>
      </c>
      <c r="AF597" s="416" t="s">
        <v>5651</v>
      </c>
      <c r="AG597" s="415"/>
      <c r="AJ597" s="415" t="s">
        <v>337</v>
      </c>
      <c r="AM597" s="415" t="s">
        <v>337</v>
      </c>
      <c r="AP597" s="415" t="s">
        <v>337</v>
      </c>
      <c r="AS597" s="415" t="s">
        <v>337</v>
      </c>
      <c r="AV597" s="415" t="s">
        <v>337</v>
      </c>
      <c r="AY597" s="415" t="s">
        <v>337</v>
      </c>
      <c r="BB597" s="415" t="s">
        <v>337</v>
      </c>
      <c r="BE597" s="415" t="s">
        <v>337</v>
      </c>
      <c r="BH597" s="415" t="s">
        <v>337</v>
      </c>
      <c r="BM597" s="415" t="s">
        <v>337</v>
      </c>
      <c r="BP597" s="415" t="s">
        <v>337</v>
      </c>
      <c r="BS597" s="415"/>
      <c r="BV597" s="415" t="s">
        <v>337</v>
      </c>
      <c r="BY597" s="415" t="s">
        <v>337</v>
      </c>
      <c r="CB597" s="415" t="s">
        <v>337</v>
      </c>
      <c r="CE597" s="415" t="s">
        <v>337</v>
      </c>
      <c r="CH597" s="415" t="s">
        <v>337</v>
      </c>
      <c r="CK597" s="415" t="s">
        <v>337</v>
      </c>
      <c r="CN597" s="415" t="s">
        <v>337</v>
      </c>
      <c r="CQ597" s="415" t="s">
        <v>337</v>
      </c>
      <c r="CT597" s="415" t="s">
        <v>337</v>
      </c>
    </row>
    <row r="598" spans="1:98">
      <c r="A598" s="1" t="s">
        <v>1351</v>
      </c>
      <c r="B598" s="416" t="s">
        <v>5652</v>
      </c>
      <c r="S598" s="213" t="s">
        <v>5653</v>
      </c>
      <c r="T598" s="416" t="s">
        <v>5654</v>
      </c>
      <c r="U598" s="415" t="s">
        <v>337</v>
      </c>
      <c r="X598" s="415"/>
      <c r="AA598" s="415"/>
      <c r="AD598" s="415"/>
      <c r="AE598" s="417" t="s">
        <v>5655</v>
      </c>
      <c r="AF598" s="416" t="s">
        <v>5656</v>
      </c>
      <c r="AG598" s="415"/>
      <c r="AJ598" s="415" t="s">
        <v>337</v>
      </c>
      <c r="AM598" s="415" t="s">
        <v>337</v>
      </c>
      <c r="AP598" s="415" t="s">
        <v>337</v>
      </c>
      <c r="AS598" s="415" t="s">
        <v>337</v>
      </c>
      <c r="AV598" s="415" t="s">
        <v>337</v>
      </c>
      <c r="AY598" s="415" t="s">
        <v>337</v>
      </c>
      <c r="BB598" s="415" t="s">
        <v>337</v>
      </c>
      <c r="BE598" s="415" t="s">
        <v>337</v>
      </c>
      <c r="BH598" s="415" t="s">
        <v>337</v>
      </c>
      <c r="BM598" s="415" t="s">
        <v>337</v>
      </c>
      <c r="BP598" s="415" t="s">
        <v>337</v>
      </c>
      <c r="BS598" s="415"/>
      <c r="BV598" s="415" t="s">
        <v>337</v>
      </c>
      <c r="BY598" s="415" t="s">
        <v>337</v>
      </c>
      <c r="CB598" s="415" t="s">
        <v>337</v>
      </c>
      <c r="CE598" s="415" t="s">
        <v>337</v>
      </c>
      <c r="CH598" s="415" t="s">
        <v>337</v>
      </c>
      <c r="CK598" s="415" t="s">
        <v>337</v>
      </c>
      <c r="CN598" s="415" t="s">
        <v>337</v>
      </c>
      <c r="CQ598" s="415" t="s">
        <v>337</v>
      </c>
      <c r="CT598" s="415" t="s">
        <v>337</v>
      </c>
    </row>
    <row r="599" spans="1:98">
      <c r="A599" s="1" t="s">
        <v>1351</v>
      </c>
      <c r="B599" s="416" t="s">
        <v>5657</v>
      </c>
      <c r="S599" s="213" t="s">
        <v>5658</v>
      </c>
      <c r="T599" s="416" t="s">
        <v>5296</v>
      </c>
      <c r="U599" s="415" t="s">
        <v>337</v>
      </c>
      <c r="X599" s="415"/>
      <c r="AA599" s="415"/>
      <c r="AD599" s="415"/>
      <c r="AE599" s="417" t="s">
        <v>5659</v>
      </c>
      <c r="AF599" s="416" t="s">
        <v>5660</v>
      </c>
      <c r="AG599" s="415"/>
      <c r="AJ599" s="415" t="s">
        <v>337</v>
      </c>
      <c r="AM599" s="415" t="s">
        <v>337</v>
      </c>
      <c r="AP599" s="415" t="s">
        <v>337</v>
      </c>
      <c r="AS599" s="415" t="s">
        <v>337</v>
      </c>
      <c r="AV599" s="415" t="s">
        <v>337</v>
      </c>
      <c r="AY599" s="415" t="s">
        <v>337</v>
      </c>
      <c r="BB599" s="415" t="s">
        <v>337</v>
      </c>
      <c r="BE599" s="415" t="s">
        <v>337</v>
      </c>
      <c r="BH599" s="415" t="s">
        <v>337</v>
      </c>
      <c r="BM599" s="415" t="s">
        <v>337</v>
      </c>
      <c r="BP599" s="415" t="s">
        <v>337</v>
      </c>
      <c r="BS599" s="415"/>
      <c r="BV599" s="415" t="s">
        <v>337</v>
      </c>
      <c r="BY599" s="415" t="s">
        <v>337</v>
      </c>
      <c r="CB599" s="415" t="s">
        <v>337</v>
      </c>
      <c r="CE599" s="415" t="s">
        <v>337</v>
      </c>
      <c r="CH599" s="415" t="s">
        <v>337</v>
      </c>
      <c r="CK599" s="415" t="s">
        <v>337</v>
      </c>
      <c r="CN599" s="415" t="s">
        <v>337</v>
      </c>
      <c r="CQ599" s="415" t="s">
        <v>337</v>
      </c>
      <c r="CT599" s="415" t="s">
        <v>337</v>
      </c>
    </row>
    <row r="600" spans="1:98">
      <c r="A600" s="1" t="s">
        <v>1351</v>
      </c>
      <c r="B600" s="416" t="s">
        <v>5661</v>
      </c>
      <c r="S600" s="213" t="s">
        <v>5662</v>
      </c>
      <c r="T600" s="416" t="s">
        <v>5663</v>
      </c>
      <c r="U600" s="415" t="s">
        <v>337</v>
      </c>
      <c r="X600" s="415"/>
      <c r="AA600" s="415"/>
      <c r="AD600" s="415"/>
      <c r="AE600" s="417" t="s">
        <v>5664</v>
      </c>
      <c r="AF600" s="416" t="s">
        <v>5665</v>
      </c>
      <c r="AG600" s="415"/>
      <c r="AJ600" s="415" t="s">
        <v>337</v>
      </c>
      <c r="AM600" s="415" t="s">
        <v>337</v>
      </c>
      <c r="AP600" s="415" t="s">
        <v>337</v>
      </c>
      <c r="AS600" s="415" t="s">
        <v>337</v>
      </c>
      <c r="AV600" s="415" t="s">
        <v>337</v>
      </c>
      <c r="AY600" s="415" t="s">
        <v>337</v>
      </c>
      <c r="BB600" s="415" t="s">
        <v>337</v>
      </c>
      <c r="BE600" s="415" t="s">
        <v>337</v>
      </c>
      <c r="BH600" s="415" t="s">
        <v>337</v>
      </c>
      <c r="BM600" s="415" t="s">
        <v>337</v>
      </c>
      <c r="BP600" s="415" t="s">
        <v>337</v>
      </c>
      <c r="BS600" s="415"/>
      <c r="BV600" s="415" t="s">
        <v>337</v>
      </c>
      <c r="BY600" s="415" t="s">
        <v>337</v>
      </c>
      <c r="CB600" s="415" t="s">
        <v>337</v>
      </c>
      <c r="CE600" s="415" t="s">
        <v>337</v>
      </c>
      <c r="CH600" s="415" t="s">
        <v>337</v>
      </c>
      <c r="CK600" s="415" t="s">
        <v>337</v>
      </c>
      <c r="CN600" s="415" t="s">
        <v>337</v>
      </c>
      <c r="CQ600" s="415" t="s">
        <v>337</v>
      </c>
      <c r="CT600" s="415" t="s">
        <v>337</v>
      </c>
    </row>
    <row r="601" spans="1:98">
      <c r="A601" s="1" t="s">
        <v>1351</v>
      </c>
      <c r="B601" s="416" t="s">
        <v>5666</v>
      </c>
      <c r="S601" s="213" t="s">
        <v>5667</v>
      </c>
      <c r="T601" s="416" t="s">
        <v>5668</v>
      </c>
      <c r="U601" s="415" t="s">
        <v>337</v>
      </c>
      <c r="X601" s="415"/>
      <c r="AA601" s="415"/>
      <c r="AD601" s="415"/>
      <c r="AE601" s="417" t="s">
        <v>5669</v>
      </c>
      <c r="AF601" s="416" t="s">
        <v>5670</v>
      </c>
      <c r="AG601" s="415"/>
      <c r="AJ601" s="415" t="s">
        <v>337</v>
      </c>
      <c r="AM601" s="415" t="s">
        <v>337</v>
      </c>
      <c r="AP601" s="415" t="s">
        <v>337</v>
      </c>
      <c r="AS601" s="415" t="s">
        <v>337</v>
      </c>
      <c r="AV601" s="415" t="s">
        <v>337</v>
      </c>
      <c r="AY601" s="415" t="s">
        <v>337</v>
      </c>
      <c r="BB601" s="415" t="s">
        <v>337</v>
      </c>
      <c r="BE601" s="415" t="s">
        <v>337</v>
      </c>
      <c r="BH601" s="415" t="s">
        <v>337</v>
      </c>
      <c r="BM601" s="415" t="s">
        <v>337</v>
      </c>
      <c r="BP601" s="415" t="s">
        <v>337</v>
      </c>
      <c r="BS601" s="415"/>
      <c r="BV601" s="415" t="s">
        <v>337</v>
      </c>
      <c r="BY601" s="415" t="s">
        <v>337</v>
      </c>
      <c r="CB601" s="415" t="s">
        <v>337</v>
      </c>
      <c r="CE601" s="415" t="s">
        <v>337</v>
      </c>
      <c r="CH601" s="415" t="s">
        <v>337</v>
      </c>
      <c r="CK601" s="415" t="s">
        <v>337</v>
      </c>
      <c r="CN601" s="415" t="s">
        <v>337</v>
      </c>
      <c r="CQ601" s="415" t="s">
        <v>337</v>
      </c>
      <c r="CT601" s="415" t="s">
        <v>337</v>
      </c>
    </row>
    <row r="602" spans="1:98">
      <c r="A602" s="1" t="s">
        <v>1364</v>
      </c>
      <c r="B602" s="416" t="s">
        <v>5671</v>
      </c>
      <c r="S602" s="213" t="s">
        <v>5672</v>
      </c>
      <c r="T602" s="416" t="s">
        <v>5673</v>
      </c>
      <c r="U602" s="415" t="s">
        <v>337</v>
      </c>
      <c r="X602" s="415"/>
      <c r="AA602" s="415"/>
      <c r="AD602" s="415"/>
      <c r="AE602" s="417" t="s">
        <v>5674</v>
      </c>
      <c r="AF602" s="416" t="s">
        <v>5675</v>
      </c>
      <c r="AG602" s="415"/>
      <c r="AJ602" s="415" t="s">
        <v>337</v>
      </c>
      <c r="AM602" s="415" t="s">
        <v>337</v>
      </c>
      <c r="AP602" s="415" t="s">
        <v>337</v>
      </c>
      <c r="AS602" s="415" t="s">
        <v>337</v>
      </c>
      <c r="AV602" s="415" t="s">
        <v>337</v>
      </c>
      <c r="AY602" s="415" t="s">
        <v>337</v>
      </c>
      <c r="BB602" s="415" t="s">
        <v>337</v>
      </c>
      <c r="BE602" s="415" t="s">
        <v>337</v>
      </c>
      <c r="BH602" s="415" t="s">
        <v>337</v>
      </c>
      <c r="BM602" s="415" t="s">
        <v>337</v>
      </c>
      <c r="BP602" s="415" t="s">
        <v>337</v>
      </c>
      <c r="BS602" s="415"/>
      <c r="BV602" s="415" t="s">
        <v>337</v>
      </c>
      <c r="BY602" s="415" t="s">
        <v>337</v>
      </c>
      <c r="CB602" s="415" t="s">
        <v>337</v>
      </c>
      <c r="CE602" s="415" t="s">
        <v>337</v>
      </c>
      <c r="CH602" s="415" t="s">
        <v>337</v>
      </c>
      <c r="CK602" s="415" t="s">
        <v>337</v>
      </c>
      <c r="CN602" s="415" t="s">
        <v>337</v>
      </c>
      <c r="CQ602" s="415" t="s">
        <v>337</v>
      </c>
      <c r="CT602" s="415" t="s">
        <v>337</v>
      </c>
    </row>
    <row r="603" spans="1:98">
      <c r="A603" s="1" t="s">
        <v>1364</v>
      </c>
      <c r="B603" s="416" t="s">
        <v>3882</v>
      </c>
      <c r="S603" s="213" t="s">
        <v>5676</v>
      </c>
      <c r="T603" s="416" t="s">
        <v>5677</v>
      </c>
      <c r="U603" s="415" t="s">
        <v>337</v>
      </c>
      <c r="X603" s="415"/>
      <c r="AA603" s="415"/>
      <c r="AD603" s="415"/>
      <c r="AE603" s="417" t="s">
        <v>5678</v>
      </c>
      <c r="AF603" s="416" t="s">
        <v>5679</v>
      </c>
      <c r="AG603" s="415"/>
      <c r="AJ603" s="415" t="s">
        <v>337</v>
      </c>
      <c r="AM603" s="415" t="s">
        <v>337</v>
      </c>
      <c r="AP603" s="415" t="s">
        <v>337</v>
      </c>
      <c r="AS603" s="415" t="s">
        <v>337</v>
      </c>
      <c r="AV603" s="415" t="s">
        <v>337</v>
      </c>
      <c r="AY603" s="415" t="s">
        <v>337</v>
      </c>
      <c r="BB603" s="415" t="s">
        <v>337</v>
      </c>
      <c r="BE603" s="415" t="s">
        <v>337</v>
      </c>
      <c r="BH603" s="415" t="s">
        <v>337</v>
      </c>
      <c r="BM603" s="415" t="s">
        <v>337</v>
      </c>
      <c r="BP603" s="415" t="s">
        <v>337</v>
      </c>
      <c r="BS603" s="415"/>
      <c r="BV603" s="415" t="s">
        <v>337</v>
      </c>
      <c r="BY603" s="415" t="s">
        <v>337</v>
      </c>
      <c r="CB603" s="415" t="s">
        <v>337</v>
      </c>
      <c r="CE603" s="415" t="s">
        <v>337</v>
      </c>
      <c r="CH603" s="415" t="s">
        <v>337</v>
      </c>
      <c r="CK603" s="415" t="s">
        <v>337</v>
      </c>
      <c r="CN603" s="415" t="s">
        <v>337</v>
      </c>
      <c r="CQ603" s="415" t="s">
        <v>337</v>
      </c>
      <c r="CT603" s="415" t="s">
        <v>337</v>
      </c>
    </row>
    <row r="604" spans="1:98">
      <c r="A604" s="1" t="s">
        <v>1364</v>
      </c>
      <c r="B604" s="416" t="s">
        <v>5680</v>
      </c>
      <c r="S604" s="213" t="s">
        <v>5681</v>
      </c>
      <c r="T604" s="416" t="s">
        <v>5682</v>
      </c>
      <c r="U604" s="415" t="s">
        <v>337</v>
      </c>
      <c r="X604" s="415"/>
      <c r="AA604" s="415"/>
      <c r="AD604" s="415"/>
      <c r="AE604" s="417" t="s">
        <v>5683</v>
      </c>
      <c r="AF604" s="416" t="s">
        <v>5684</v>
      </c>
      <c r="AG604" s="415"/>
      <c r="AJ604" s="415" t="s">
        <v>337</v>
      </c>
      <c r="AM604" s="415" t="s">
        <v>337</v>
      </c>
      <c r="AP604" s="415" t="s">
        <v>337</v>
      </c>
      <c r="AS604" s="415" t="s">
        <v>337</v>
      </c>
      <c r="AV604" s="415" t="s">
        <v>337</v>
      </c>
      <c r="AY604" s="415" t="s">
        <v>337</v>
      </c>
      <c r="BB604" s="415" t="s">
        <v>337</v>
      </c>
      <c r="BE604" s="415" t="s">
        <v>337</v>
      </c>
      <c r="BH604" s="415" t="s">
        <v>337</v>
      </c>
      <c r="BM604" s="415" t="s">
        <v>337</v>
      </c>
      <c r="BP604" s="415" t="s">
        <v>337</v>
      </c>
      <c r="BS604" s="415"/>
      <c r="BV604" s="415" t="s">
        <v>337</v>
      </c>
      <c r="BY604" s="415" t="s">
        <v>337</v>
      </c>
      <c r="CB604" s="415" t="s">
        <v>337</v>
      </c>
      <c r="CE604" s="415" t="s">
        <v>337</v>
      </c>
      <c r="CH604" s="415" t="s">
        <v>337</v>
      </c>
      <c r="CK604" s="415" t="s">
        <v>337</v>
      </c>
      <c r="CN604" s="415" t="s">
        <v>337</v>
      </c>
      <c r="CQ604" s="415" t="s">
        <v>337</v>
      </c>
      <c r="CT604" s="415" t="s">
        <v>337</v>
      </c>
    </row>
    <row r="605" spans="1:98">
      <c r="A605" s="1" t="s">
        <v>1364</v>
      </c>
      <c r="B605" s="416" t="s">
        <v>5685</v>
      </c>
      <c r="S605" s="213" t="s">
        <v>5686</v>
      </c>
      <c r="T605" s="416" t="s">
        <v>5687</v>
      </c>
      <c r="U605" s="415" t="s">
        <v>337</v>
      </c>
      <c r="X605" s="415"/>
      <c r="AA605" s="415"/>
      <c r="AD605" s="415"/>
      <c r="AE605" s="417" t="s">
        <v>5688</v>
      </c>
      <c r="AF605" s="416" t="s">
        <v>5689</v>
      </c>
      <c r="AG605" s="415"/>
      <c r="AJ605" s="415" t="s">
        <v>337</v>
      </c>
      <c r="AM605" s="415" t="s">
        <v>337</v>
      </c>
      <c r="AP605" s="415" t="s">
        <v>337</v>
      </c>
      <c r="AS605" s="415" t="s">
        <v>337</v>
      </c>
      <c r="AV605" s="415" t="s">
        <v>337</v>
      </c>
      <c r="AY605" s="415" t="s">
        <v>337</v>
      </c>
      <c r="BB605" s="415" t="s">
        <v>337</v>
      </c>
      <c r="BE605" s="415" t="s">
        <v>337</v>
      </c>
      <c r="BH605" s="415" t="s">
        <v>337</v>
      </c>
      <c r="BM605" s="415" t="s">
        <v>337</v>
      </c>
      <c r="BP605" s="415" t="s">
        <v>337</v>
      </c>
      <c r="BS605" s="415"/>
      <c r="BV605" s="415" t="s">
        <v>337</v>
      </c>
      <c r="BY605" s="415" t="s">
        <v>337</v>
      </c>
      <c r="CB605" s="415" t="s">
        <v>337</v>
      </c>
      <c r="CE605" s="415" t="s">
        <v>337</v>
      </c>
      <c r="CH605" s="415" t="s">
        <v>337</v>
      </c>
      <c r="CK605" s="415" t="s">
        <v>337</v>
      </c>
      <c r="CN605" s="415" t="s">
        <v>337</v>
      </c>
      <c r="CQ605" s="415" t="s">
        <v>337</v>
      </c>
      <c r="CT605" s="415" t="s">
        <v>337</v>
      </c>
    </row>
    <row r="606" spans="1:98">
      <c r="A606" s="1" t="s">
        <v>1364</v>
      </c>
      <c r="B606" s="416" t="s">
        <v>3996</v>
      </c>
      <c r="S606" s="213" t="s">
        <v>5690</v>
      </c>
      <c r="T606" s="416" t="s">
        <v>5691</v>
      </c>
      <c r="U606" s="415" t="s">
        <v>337</v>
      </c>
      <c r="X606" s="415"/>
      <c r="AA606" s="415"/>
      <c r="AD606" s="415"/>
      <c r="AE606" s="417" t="s">
        <v>5692</v>
      </c>
      <c r="AF606" s="416" t="s">
        <v>5693</v>
      </c>
      <c r="AG606" s="415"/>
      <c r="AJ606" s="415" t="s">
        <v>337</v>
      </c>
      <c r="AM606" s="415" t="s">
        <v>337</v>
      </c>
      <c r="AP606" s="415" t="s">
        <v>337</v>
      </c>
      <c r="AS606" s="415" t="s">
        <v>337</v>
      </c>
      <c r="AV606" s="415" t="s">
        <v>337</v>
      </c>
      <c r="AY606" s="415" t="s">
        <v>337</v>
      </c>
      <c r="BB606" s="415" t="s">
        <v>337</v>
      </c>
      <c r="BE606" s="415" t="s">
        <v>337</v>
      </c>
      <c r="BH606" s="415" t="s">
        <v>337</v>
      </c>
      <c r="BM606" s="415" t="s">
        <v>337</v>
      </c>
      <c r="BP606" s="415" t="s">
        <v>337</v>
      </c>
      <c r="BS606" s="415"/>
      <c r="BV606" s="415" t="s">
        <v>337</v>
      </c>
      <c r="BY606" s="415" t="s">
        <v>337</v>
      </c>
      <c r="CB606" s="415" t="s">
        <v>337</v>
      </c>
      <c r="CE606" s="415" t="s">
        <v>337</v>
      </c>
      <c r="CH606" s="415" t="s">
        <v>337</v>
      </c>
      <c r="CK606" s="415" t="s">
        <v>337</v>
      </c>
      <c r="CN606" s="415" t="s">
        <v>337</v>
      </c>
      <c r="CQ606" s="415" t="s">
        <v>337</v>
      </c>
      <c r="CT606" s="415" t="s">
        <v>337</v>
      </c>
    </row>
    <row r="607" spans="1:98">
      <c r="A607" s="1" t="s">
        <v>1364</v>
      </c>
      <c r="B607" s="416" t="s">
        <v>5694</v>
      </c>
      <c r="S607" s="213" t="s">
        <v>5695</v>
      </c>
      <c r="T607" s="416" t="s">
        <v>5696</v>
      </c>
      <c r="U607" s="415" t="s">
        <v>337</v>
      </c>
      <c r="X607" s="415"/>
      <c r="AA607" s="415"/>
      <c r="AD607" s="415"/>
      <c r="AE607" s="417" t="s">
        <v>5697</v>
      </c>
      <c r="AF607" s="416" t="s">
        <v>5698</v>
      </c>
      <c r="AG607" s="415"/>
      <c r="AJ607" s="415" t="s">
        <v>337</v>
      </c>
      <c r="AM607" s="415" t="s">
        <v>337</v>
      </c>
      <c r="AP607" s="415" t="s">
        <v>337</v>
      </c>
      <c r="AS607" s="415" t="s">
        <v>337</v>
      </c>
      <c r="AV607" s="415" t="s">
        <v>337</v>
      </c>
      <c r="AY607" s="415" t="s">
        <v>337</v>
      </c>
      <c r="BB607" s="415" t="s">
        <v>337</v>
      </c>
      <c r="BE607" s="415" t="s">
        <v>337</v>
      </c>
      <c r="BH607" s="415" t="s">
        <v>337</v>
      </c>
      <c r="BM607" s="415" t="s">
        <v>337</v>
      </c>
      <c r="BP607" s="415" t="s">
        <v>337</v>
      </c>
      <c r="BS607" s="415"/>
      <c r="BV607" s="415" t="s">
        <v>337</v>
      </c>
      <c r="BY607" s="415" t="s">
        <v>337</v>
      </c>
      <c r="CB607" s="415" t="s">
        <v>337</v>
      </c>
      <c r="CE607" s="415" t="s">
        <v>337</v>
      </c>
      <c r="CH607" s="415" t="s">
        <v>337</v>
      </c>
      <c r="CK607" s="415" t="s">
        <v>337</v>
      </c>
      <c r="CN607" s="415" t="s">
        <v>337</v>
      </c>
      <c r="CQ607" s="415" t="s">
        <v>337</v>
      </c>
      <c r="CT607" s="415" t="s">
        <v>337</v>
      </c>
    </row>
    <row r="608" spans="1:98">
      <c r="A608" s="1" t="s">
        <v>1364</v>
      </c>
      <c r="B608" s="416" t="s">
        <v>5699</v>
      </c>
      <c r="S608" s="213" t="s">
        <v>5700</v>
      </c>
      <c r="T608" s="416" t="s">
        <v>5701</v>
      </c>
      <c r="U608" s="415" t="s">
        <v>337</v>
      </c>
      <c r="X608" s="415"/>
      <c r="AA608" s="415"/>
      <c r="AD608" s="415"/>
      <c r="AE608" s="417" t="s">
        <v>5702</v>
      </c>
      <c r="AF608" s="416" t="s">
        <v>5703</v>
      </c>
      <c r="AG608" s="415"/>
      <c r="AJ608" s="415" t="s">
        <v>337</v>
      </c>
      <c r="AM608" s="415" t="s">
        <v>337</v>
      </c>
      <c r="AP608" s="415" t="s">
        <v>337</v>
      </c>
      <c r="AS608" s="415" t="s">
        <v>337</v>
      </c>
      <c r="AV608" s="415" t="s">
        <v>337</v>
      </c>
      <c r="AY608" s="415" t="s">
        <v>337</v>
      </c>
      <c r="BB608" s="415" t="s">
        <v>337</v>
      </c>
      <c r="BE608" s="415" t="s">
        <v>337</v>
      </c>
      <c r="BH608" s="415" t="s">
        <v>337</v>
      </c>
      <c r="BM608" s="415" t="s">
        <v>337</v>
      </c>
      <c r="BP608" s="415" t="s">
        <v>337</v>
      </c>
      <c r="BS608" s="415"/>
      <c r="BV608" s="415" t="s">
        <v>337</v>
      </c>
      <c r="BY608" s="415" t="s">
        <v>337</v>
      </c>
      <c r="CB608" s="415" t="s">
        <v>337</v>
      </c>
      <c r="CE608" s="415" t="s">
        <v>337</v>
      </c>
      <c r="CH608" s="415" t="s">
        <v>337</v>
      </c>
      <c r="CK608" s="415" t="s">
        <v>337</v>
      </c>
      <c r="CN608" s="415" t="s">
        <v>337</v>
      </c>
      <c r="CQ608" s="415" t="s">
        <v>337</v>
      </c>
      <c r="CT608" s="415" t="s">
        <v>337</v>
      </c>
    </row>
    <row r="609" spans="1:98">
      <c r="A609" s="1" t="s">
        <v>1364</v>
      </c>
      <c r="B609" s="416" t="s">
        <v>5704</v>
      </c>
      <c r="S609" s="213" t="s">
        <v>5705</v>
      </c>
      <c r="T609" s="416" t="s">
        <v>5706</v>
      </c>
      <c r="U609" s="415" t="s">
        <v>337</v>
      </c>
      <c r="X609" s="415"/>
      <c r="AA609" s="415"/>
      <c r="AD609" s="415"/>
      <c r="AE609" s="417" t="s">
        <v>5707</v>
      </c>
      <c r="AF609" s="416" t="s">
        <v>5708</v>
      </c>
      <c r="AG609" s="415"/>
      <c r="AJ609" s="415" t="s">
        <v>337</v>
      </c>
      <c r="AM609" s="415" t="s">
        <v>337</v>
      </c>
      <c r="AP609" s="415" t="s">
        <v>337</v>
      </c>
      <c r="AS609" s="415" t="s">
        <v>337</v>
      </c>
      <c r="AV609" s="415" t="s">
        <v>337</v>
      </c>
      <c r="AY609" s="415" t="s">
        <v>337</v>
      </c>
      <c r="BB609" s="415" t="s">
        <v>337</v>
      </c>
      <c r="BE609" s="415" t="s">
        <v>337</v>
      </c>
      <c r="BH609" s="415" t="s">
        <v>337</v>
      </c>
      <c r="BM609" s="415" t="s">
        <v>337</v>
      </c>
      <c r="BP609" s="415" t="s">
        <v>337</v>
      </c>
      <c r="BS609" s="415"/>
      <c r="BV609" s="415" t="s">
        <v>337</v>
      </c>
      <c r="BY609" s="415" t="s">
        <v>337</v>
      </c>
      <c r="CB609" s="415" t="s">
        <v>337</v>
      </c>
      <c r="CE609" s="415" t="s">
        <v>337</v>
      </c>
      <c r="CH609" s="415" t="s">
        <v>337</v>
      </c>
      <c r="CK609" s="415" t="s">
        <v>337</v>
      </c>
      <c r="CN609" s="415" t="s">
        <v>337</v>
      </c>
      <c r="CQ609" s="415" t="s">
        <v>337</v>
      </c>
      <c r="CT609" s="415" t="s">
        <v>337</v>
      </c>
    </row>
    <row r="610" spans="1:98">
      <c r="A610" s="1" t="s">
        <v>1364</v>
      </c>
      <c r="B610" s="416" t="s">
        <v>5709</v>
      </c>
      <c r="S610" s="213" t="s">
        <v>5710</v>
      </c>
      <c r="T610" s="416" t="s">
        <v>5369</v>
      </c>
      <c r="U610" s="415" t="s">
        <v>337</v>
      </c>
      <c r="X610" s="415"/>
      <c r="AA610" s="415"/>
      <c r="AD610" s="415"/>
      <c r="AE610" s="417" t="s">
        <v>5711</v>
      </c>
      <c r="AF610" s="416" t="s">
        <v>5712</v>
      </c>
      <c r="AG610" s="415"/>
      <c r="AJ610" s="415" t="s">
        <v>337</v>
      </c>
      <c r="AM610" s="415" t="s">
        <v>337</v>
      </c>
      <c r="AP610" s="415" t="s">
        <v>337</v>
      </c>
      <c r="AS610" s="415" t="s">
        <v>337</v>
      </c>
      <c r="AV610" s="415" t="s">
        <v>337</v>
      </c>
      <c r="AY610" s="415" t="s">
        <v>337</v>
      </c>
      <c r="BB610" s="415" t="s">
        <v>337</v>
      </c>
      <c r="BE610" s="415" t="s">
        <v>337</v>
      </c>
      <c r="BH610" s="415" t="s">
        <v>337</v>
      </c>
      <c r="BM610" s="415" t="s">
        <v>337</v>
      </c>
      <c r="BP610" s="415" t="s">
        <v>337</v>
      </c>
      <c r="BS610" s="415"/>
      <c r="BV610" s="415" t="s">
        <v>337</v>
      </c>
      <c r="BY610" s="415" t="s">
        <v>337</v>
      </c>
      <c r="CB610" s="415" t="s">
        <v>337</v>
      </c>
      <c r="CE610" s="415" t="s">
        <v>337</v>
      </c>
      <c r="CH610" s="415" t="s">
        <v>337</v>
      </c>
      <c r="CK610" s="415" t="s">
        <v>337</v>
      </c>
      <c r="CN610" s="415" t="s">
        <v>337</v>
      </c>
      <c r="CQ610" s="415" t="s">
        <v>337</v>
      </c>
      <c r="CT610" s="415" t="s">
        <v>337</v>
      </c>
    </row>
    <row r="611" spans="1:98">
      <c r="A611" s="1" t="s">
        <v>1364</v>
      </c>
      <c r="B611" s="416" t="s">
        <v>5713</v>
      </c>
      <c r="S611" s="213" t="s">
        <v>5714</v>
      </c>
      <c r="T611" s="416" t="s">
        <v>5715</v>
      </c>
      <c r="U611" s="415" t="s">
        <v>337</v>
      </c>
      <c r="X611" s="415"/>
      <c r="AA611" s="415"/>
      <c r="AD611" s="415"/>
      <c r="AE611" s="417" t="s">
        <v>5716</v>
      </c>
      <c r="AF611" s="416" t="s">
        <v>5717</v>
      </c>
      <c r="AG611" s="415"/>
      <c r="AJ611" s="415" t="s">
        <v>337</v>
      </c>
      <c r="AM611" s="415" t="s">
        <v>337</v>
      </c>
      <c r="AP611" s="415" t="s">
        <v>337</v>
      </c>
      <c r="AS611" s="415" t="s">
        <v>337</v>
      </c>
      <c r="AV611" s="415" t="s">
        <v>337</v>
      </c>
      <c r="AY611" s="415" t="s">
        <v>337</v>
      </c>
      <c r="BB611" s="415" t="s">
        <v>337</v>
      </c>
      <c r="BE611" s="415" t="s">
        <v>337</v>
      </c>
      <c r="BH611" s="415" t="s">
        <v>337</v>
      </c>
      <c r="BM611" s="415" t="s">
        <v>337</v>
      </c>
      <c r="BP611" s="415" t="s">
        <v>337</v>
      </c>
      <c r="BS611" s="415"/>
      <c r="BV611" s="415" t="s">
        <v>337</v>
      </c>
      <c r="BY611" s="415" t="s">
        <v>337</v>
      </c>
      <c r="CB611" s="415" t="s">
        <v>337</v>
      </c>
      <c r="CE611" s="415" t="s">
        <v>337</v>
      </c>
      <c r="CH611" s="415" t="s">
        <v>337</v>
      </c>
      <c r="CK611" s="415" t="s">
        <v>337</v>
      </c>
      <c r="CN611" s="415" t="s">
        <v>337</v>
      </c>
      <c r="CQ611" s="415" t="s">
        <v>337</v>
      </c>
      <c r="CT611" s="415" t="s">
        <v>337</v>
      </c>
    </row>
    <row r="612" spans="1:98">
      <c r="A612" s="1" t="s">
        <v>1364</v>
      </c>
      <c r="B612" s="416" t="s">
        <v>5718</v>
      </c>
      <c r="S612" s="213" t="s">
        <v>5719</v>
      </c>
      <c r="T612" s="416" t="s">
        <v>5720</v>
      </c>
      <c r="U612" s="415" t="s">
        <v>337</v>
      </c>
      <c r="X612" s="415"/>
      <c r="AA612" s="415"/>
      <c r="AD612" s="415"/>
      <c r="AE612" s="417" t="s">
        <v>5721</v>
      </c>
      <c r="AF612" s="416" t="s">
        <v>5722</v>
      </c>
      <c r="AG612" s="415"/>
      <c r="AJ612" s="415" t="s">
        <v>337</v>
      </c>
      <c r="AM612" s="415" t="s">
        <v>337</v>
      </c>
      <c r="AP612" s="415" t="s">
        <v>337</v>
      </c>
      <c r="AS612" s="415" t="s">
        <v>337</v>
      </c>
      <c r="AV612" s="415" t="s">
        <v>337</v>
      </c>
      <c r="AY612" s="415" t="s">
        <v>337</v>
      </c>
      <c r="BB612" s="415" t="s">
        <v>337</v>
      </c>
      <c r="BE612" s="415" t="s">
        <v>337</v>
      </c>
      <c r="BH612" s="415" t="s">
        <v>337</v>
      </c>
      <c r="BM612" s="415" t="s">
        <v>337</v>
      </c>
      <c r="BP612" s="415" t="s">
        <v>337</v>
      </c>
      <c r="BS612" s="415"/>
      <c r="BV612" s="415" t="s">
        <v>337</v>
      </c>
      <c r="BY612" s="415" t="s">
        <v>337</v>
      </c>
      <c r="CB612" s="415" t="s">
        <v>337</v>
      </c>
      <c r="CE612" s="415" t="s">
        <v>337</v>
      </c>
      <c r="CH612" s="415" t="s">
        <v>337</v>
      </c>
      <c r="CK612" s="415" t="s">
        <v>337</v>
      </c>
      <c r="CN612" s="415" t="s">
        <v>337</v>
      </c>
      <c r="CQ612" s="415" t="s">
        <v>337</v>
      </c>
      <c r="CT612" s="415" t="s">
        <v>337</v>
      </c>
    </row>
    <row r="613" spans="1:98">
      <c r="A613" s="1" t="s">
        <v>1364</v>
      </c>
      <c r="B613" s="416" t="s">
        <v>5723</v>
      </c>
      <c r="S613" s="213" t="s">
        <v>5724</v>
      </c>
      <c r="T613" s="416" t="s">
        <v>5725</v>
      </c>
      <c r="U613" s="415" t="s">
        <v>337</v>
      </c>
      <c r="X613" s="415"/>
      <c r="AA613" s="415"/>
      <c r="AD613" s="415"/>
      <c r="AE613" s="417" t="s">
        <v>5726</v>
      </c>
      <c r="AF613" s="416" t="s">
        <v>5727</v>
      </c>
      <c r="AG613" s="415"/>
      <c r="AJ613" s="415" t="s">
        <v>337</v>
      </c>
      <c r="AM613" s="415" t="s">
        <v>337</v>
      </c>
      <c r="AP613" s="415" t="s">
        <v>337</v>
      </c>
      <c r="AS613" s="415" t="s">
        <v>337</v>
      </c>
      <c r="AV613" s="415" t="s">
        <v>337</v>
      </c>
      <c r="AY613" s="415" t="s">
        <v>337</v>
      </c>
      <c r="BB613" s="415" t="s">
        <v>337</v>
      </c>
      <c r="BE613" s="415" t="s">
        <v>337</v>
      </c>
      <c r="BH613" s="415" t="s">
        <v>337</v>
      </c>
      <c r="BM613" s="415" t="s">
        <v>337</v>
      </c>
      <c r="BP613" s="415" t="s">
        <v>337</v>
      </c>
      <c r="BS613" s="415"/>
      <c r="BV613" s="415" t="s">
        <v>337</v>
      </c>
      <c r="BY613" s="415" t="s">
        <v>337</v>
      </c>
      <c r="CB613" s="415" t="s">
        <v>337</v>
      </c>
      <c r="CE613" s="415" t="s">
        <v>337</v>
      </c>
      <c r="CH613" s="415" t="s">
        <v>337</v>
      </c>
      <c r="CK613" s="415" t="s">
        <v>337</v>
      </c>
      <c r="CN613" s="415" t="s">
        <v>337</v>
      </c>
      <c r="CQ613" s="415" t="s">
        <v>337</v>
      </c>
      <c r="CT613" s="415" t="s">
        <v>337</v>
      </c>
    </row>
    <row r="614" spans="1:98">
      <c r="A614" s="1" t="s">
        <v>1364</v>
      </c>
      <c r="B614" s="416" t="s">
        <v>3906</v>
      </c>
      <c r="S614" s="213" t="s">
        <v>5728</v>
      </c>
      <c r="T614" s="416" t="s">
        <v>5729</v>
      </c>
      <c r="U614" s="415" t="s">
        <v>337</v>
      </c>
      <c r="X614" s="415"/>
      <c r="AA614" s="415"/>
      <c r="AD614" s="415"/>
      <c r="AE614" s="417" t="s">
        <v>5730</v>
      </c>
      <c r="AF614" s="416" t="s">
        <v>5731</v>
      </c>
      <c r="AG614" s="415"/>
      <c r="AJ614" s="415" t="s">
        <v>337</v>
      </c>
      <c r="AM614" s="415" t="s">
        <v>337</v>
      </c>
      <c r="AP614" s="415" t="s">
        <v>337</v>
      </c>
      <c r="AS614" s="415" t="s">
        <v>337</v>
      </c>
      <c r="AV614" s="415" t="s">
        <v>337</v>
      </c>
      <c r="AY614" s="415" t="s">
        <v>337</v>
      </c>
      <c r="BB614" s="415" t="s">
        <v>337</v>
      </c>
      <c r="BE614" s="415" t="s">
        <v>337</v>
      </c>
      <c r="BH614" s="415" t="s">
        <v>337</v>
      </c>
      <c r="BM614" s="415" t="s">
        <v>337</v>
      </c>
      <c r="BP614" s="415" t="s">
        <v>337</v>
      </c>
      <c r="BS614" s="415"/>
      <c r="BV614" s="415" t="s">
        <v>337</v>
      </c>
      <c r="BY614" s="415" t="s">
        <v>337</v>
      </c>
      <c r="CB614" s="415" t="s">
        <v>337</v>
      </c>
      <c r="CE614" s="415" t="s">
        <v>337</v>
      </c>
      <c r="CH614" s="415" t="s">
        <v>337</v>
      </c>
      <c r="CK614" s="415" t="s">
        <v>337</v>
      </c>
      <c r="CN614" s="415" t="s">
        <v>337</v>
      </c>
      <c r="CQ614" s="415" t="s">
        <v>337</v>
      </c>
      <c r="CT614" s="415" t="s">
        <v>337</v>
      </c>
    </row>
    <row r="615" spans="1:98">
      <c r="A615" s="1" t="s">
        <v>1364</v>
      </c>
      <c r="B615" s="416" t="s">
        <v>5732</v>
      </c>
      <c r="S615" s="213" t="s">
        <v>5733</v>
      </c>
      <c r="T615" s="416" t="s">
        <v>5734</v>
      </c>
      <c r="U615" s="415" t="s">
        <v>337</v>
      </c>
      <c r="X615" s="415"/>
      <c r="AA615" s="415"/>
      <c r="AD615" s="415"/>
      <c r="AE615" s="417" t="s">
        <v>5735</v>
      </c>
      <c r="AF615" s="416" t="s">
        <v>5736</v>
      </c>
      <c r="AG615" s="415"/>
      <c r="AJ615" s="415" t="s">
        <v>337</v>
      </c>
      <c r="AM615" s="415" t="s">
        <v>337</v>
      </c>
      <c r="AP615" s="415" t="s">
        <v>337</v>
      </c>
      <c r="AS615" s="415" t="s">
        <v>337</v>
      </c>
      <c r="AV615" s="415" t="s">
        <v>337</v>
      </c>
      <c r="AY615" s="415" t="s">
        <v>337</v>
      </c>
      <c r="BB615" s="415" t="s">
        <v>337</v>
      </c>
      <c r="BE615" s="415" t="s">
        <v>337</v>
      </c>
      <c r="BH615" s="415" t="s">
        <v>337</v>
      </c>
      <c r="BM615" s="415" t="s">
        <v>337</v>
      </c>
      <c r="BP615" s="415" t="s">
        <v>337</v>
      </c>
      <c r="BS615" s="415"/>
      <c r="BV615" s="415" t="s">
        <v>337</v>
      </c>
      <c r="BY615" s="415" t="s">
        <v>337</v>
      </c>
      <c r="CB615" s="415" t="s">
        <v>337</v>
      </c>
      <c r="CE615" s="415" t="s">
        <v>337</v>
      </c>
      <c r="CH615" s="415" t="s">
        <v>337</v>
      </c>
      <c r="CK615" s="415" t="s">
        <v>337</v>
      </c>
      <c r="CN615" s="415" t="s">
        <v>337</v>
      </c>
      <c r="CQ615" s="415" t="s">
        <v>337</v>
      </c>
      <c r="CT615" s="415" t="s">
        <v>337</v>
      </c>
    </row>
    <row r="616" spans="1:98">
      <c r="A616" s="1" t="s">
        <v>1364</v>
      </c>
      <c r="B616" s="416" t="s">
        <v>5737</v>
      </c>
      <c r="S616" s="213" t="s">
        <v>5738</v>
      </c>
      <c r="T616" s="416" t="s">
        <v>5739</v>
      </c>
      <c r="U616" s="415" t="s">
        <v>337</v>
      </c>
      <c r="X616" s="415"/>
      <c r="AA616" s="415"/>
      <c r="AD616" s="415"/>
      <c r="AE616" s="417" t="s">
        <v>5740</v>
      </c>
      <c r="AF616" s="416" t="s">
        <v>5741</v>
      </c>
      <c r="AG616" s="415"/>
      <c r="AJ616" s="415" t="s">
        <v>337</v>
      </c>
      <c r="AM616" s="415" t="s">
        <v>337</v>
      </c>
      <c r="AP616" s="415" t="s">
        <v>337</v>
      </c>
      <c r="AS616" s="415" t="s">
        <v>337</v>
      </c>
      <c r="AV616" s="415" t="s">
        <v>337</v>
      </c>
      <c r="AY616" s="415" t="s">
        <v>337</v>
      </c>
      <c r="BB616" s="415" t="s">
        <v>337</v>
      </c>
      <c r="BE616" s="415" t="s">
        <v>337</v>
      </c>
      <c r="BH616" s="415" t="s">
        <v>337</v>
      </c>
      <c r="BM616" s="415" t="s">
        <v>337</v>
      </c>
      <c r="BP616" s="415" t="s">
        <v>337</v>
      </c>
      <c r="BS616" s="415"/>
      <c r="BV616" s="415" t="s">
        <v>337</v>
      </c>
      <c r="BY616" s="415" t="s">
        <v>337</v>
      </c>
      <c r="CB616" s="415" t="s">
        <v>337</v>
      </c>
      <c r="CE616" s="415" t="s">
        <v>337</v>
      </c>
      <c r="CH616" s="415" t="s">
        <v>337</v>
      </c>
      <c r="CK616" s="415" t="s">
        <v>337</v>
      </c>
      <c r="CN616" s="415" t="s">
        <v>337</v>
      </c>
      <c r="CQ616" s="415" t="s">
        <v>337</v>
      </c>
      <c r="CT616" s="415" t="s">
        <v>337</v>
      </c>
    </row>
    <row r="617" spans="1:98">
      <c r="A617" s="1" t="s">
        <v>1364</v>
      </c>
      <c r="B617" s="416" t="s">
        <v>5742</v>
      </c>
      <c r="S617" s="213" t="s">
        <v>5743</v>
      </c>
      <c r="T617" s="416" t="s">
        <v>5744</v>
      </c>
      <c r="U617" s="415" t="s">
        <v>337</v>
      </c>
      <c r="X617" s="415"/>
      <c r="AA617" s="415"/>
      <c r="AD617" s="415"/>
      <c r="AE617" s="417" t="s">
        <v>5745</v>
      </c>
      <c r="AF617" s="416" t="s">
        <v>5746</v>
      </c>
      <c r="AG617" s="415"/>
      <c r="AJ617" s="415" t="s">
        <v>337</v>
      </c>
      <c r="AM617" s="415" t="s">
        <v>337</v>
      </c>
      <c r="AP617" s="415" t="s">
        <v>337</v>
      </c>
      <c r="AS617" s="415" t="s">
        <v>337</v>
      </c>
      <c r="AV617" s="415" t="s">
        <v>337</v>
      </c>
      <c r="AY617" s="415" t="s">
        <v>337</v>
      </c>
      <c r="BB617" s="415" t="s">
        <v>337</v>
      </c>
      <c r="BE617" s="415" t="s">
        <v>337</v>
      </c>
      <c r="BH617" s="415" t="s">
        <v>337</v>
      </c>
      <c r="BM617" s="415" t="s">
        <v>337</v>
      </c>
      <c r="BP617" s="415" t="s">
        <v>337</v>
      </c>
      <c r="BS617" s="415"/>
      <c r="BV617" s="415" t="s">
        <v>337</v>
      </c>
      <c r="BY617" s="415" t="s">
        <v>337</v>
      </c>
      <c r="CB617" s="415" t="s">
        <v>337</v>
      </c>
      <c r="CE617" s="415" t="s">
        <v>337</v>
      </c>
      <c r="CH617" s="415" t="s">
        <v>337</v>
      </c>
      <c r="CK617" s="415" t="s">
        <v>337</v>
      </c>
      <c r="CN617" s="415" t="s">
        <v>337</v>
      </c>
      <c r="CQ617" s="415" t="s">
        <v>337</v>
      </c>
      <c r="CT617" s="415" t="s">
        <v>337</v>
      </c>
    </row>
    <row r="618" spans="1:98">
      <c r="A618" s="1" t="s">
        <v>1364</v>
      </c>
      <c r="B618" s="416" t="s">
        <v>5747</v>
      </c>
      <c r="S618" s="213" t="s">
        <v>5748</v>
      </c>
      <c r="T618" s="416" t="s">
        <v>5749</v>
      </c>
      <c r="U618" s="415" t="s">
        <v>337</v>
      </c>
      <c r="X618" s="415"/>
      <c r="AA618" s="415"/>
      <c r="AD618" s="415"/>
      <c r="AE618" s="417" t="s">
        <v>5750</v>
      </c>
      <c r="AF618" s="416" t="s">
        <v>5751</v>
      </c>
      <c r="AG618" s="415"/>
      <c r="AJ618" s="415" t="s">
        <v>337</v>
      </c>
      <c r="AM618" s="415" t="s">
        <v>337</v>
      </c>
      <c r="AP618" s="415" t="s">
        <v>337</v>
      </c>
      <c r="AS618" s="415" t="s">
        <v>337</v>
      </c>
      <c r="AV618" s="415" t="s">
        <v>337</v>
      </c>
      <c r="AY618" s="415" t="s">
        <v>337</v>
      </c>
      <c r="BB618" s="415" t="s">
        <v>337</v>
      </c>
      <c r="BE618" s="415" t="s">
        <v>337</v>
      </c>
      <c r="BH618" s="415" t="s">
        <v>337</v>
      </c>
      <c r="BM618" s="415" t="s">
        <v>337</v>
      </c>
      <c r="BP618" s="415" t="s">
        <v>337</v>
      </c>
      <c r="BS618" s="415"/>
      <c r="BV618" s="415" t="s">
        <v>337</v>
      </c>
      <c r="BY618" s="415" t="s">
        <v>337</v>
      </c>
      <c r="CB618" s="415" t="s">
        <v>337</v>
      </c>
      <c r="CE618" s="415" t="s">
        <v>337</v>
      </c>
      <c r="CH618" s="415" t="s">
        <v>337</v>
      </c>
      <c r="CK618" s="415" t="s">
        <v>337</v>
      </c>
      <c r="CN618" s="415" t="s">
        <v>337</v>
      </c>
      <c r="CQ618" s="415" t="s">
        <v>337</v>
      </c>
      <c r="CT618" s="415" t="s">
        <v>337</v>
      </c>
    </row>
    <row r="619" spans="1:98">
      <c r="A619" s="1" t="s">
        <v>1364</v>
      </c>
      <c r="B619" s="416" t="s">
        <v>5752</v>
      </c>
      <c r="S619" s="213" t="s">
        <v>5753</v>
      </c>
      <c r="T619" s="416" t="s">
        <v>5754</v>
      </c>
      <c r="U619" s="415" t="s">
        <v>337</v>
      </c>
      <c r="X619" s="415"/>
      <c r="AA619" s="415"/>
      <c r="AD619" s="415"/>
      <c r="AE619" s="417" t="s">
        <v>5755</v>
      </c>
      <c r="AF619" s="416" t="s">
        <v>5756</v>
      </c>
      <c r="AG619" s="415"/>
      <c r="AJ619" s="415" t="s">
        <v>337</v>
      </c>
      <c r="AM619" s="415" t="s">
        <v>337</v>
      </c>
      <c r="AP619" s="415" t="s">
        <v>337</v>
      </c>
      <c r="AS619" s="415" t="s">
        <v>337</v>
      </c>
      <c r="AV619" s="415" t="s">
        <v>337</v>
      </c>
      <c r="AY619" s="415" t="s">
        <v>337</v>
      </c>
      <c r="BB619" s="415" t="s">
        <v>337</v>
      </c>
      <c r="BE619" s="415" t="s">
        <v>337</v>
      </c>
      <c r="BH619" s="415" t="s">
        <v>337</v>
      </c>
      <c r="BM619" s="415" t="s">
        <v>337</v>
      </c>
      <c r="BP619" s="415" t="s">
        <v>337</v>
      </c>
      <c r="BS619" s="415"/>
      <c r="BV619" s="415" t="s">
        <v>337</v>
      </c>
      <c r="BY619" s="415" t="s">
        <v>337</v>
      </c>
      <c r="CB619" s="415" t="s">
        <v>337</v>
      </c>
      <c r="CE619" s="415" t="s">
        <v>337</v>
      </c>
      <c r="CH619" s="415" t="s">
        <v>337</v>
      </c>
      <c r="CK619" s="415" t="s">
        <v>337</v>
      </c>
      <c r="CN619" s="415" t="s">
        <v>337</v>
      </c>
      <c r="CQ619" s="415" t="s">
        <v>337</v>
      </c>
      <c r="CT619" s="415" t="s">
        <v>337</v>
      </c>
    </row>
    <row r="620" spans="1:98">
      <c r="A620" s="1" t="s">
        <v>1364</v>
      </c>
      <c r="B620" s="416" t="s">
        <v>5757</v>
      </c>
      <c r="S620" s="213" t="s">
        <v>5758</v>
      </c>
      <c r="T620" s="416" t="s">
        <v>5759</v>
      </c>
      <c r="U620" s="415" t="s">
        <v>337</v>
      </c>
      <c r="X620" s="415"/>
      <c r="AA620" s="415"/>
      <c r="AD620" s="415"/>
      <c r="AE620" s="417" t="s">
        <v>5760</v>
      </c>
      <c r="AF620" s="416" t="s">
        <v>5761</v>
      </c>
      <c r="AG620" s="415"/>
      <c r="AJ620" s="415" t="s">
        <v>337</v>
      </c>
      <c r="AM620" s="415" t="s">
        <v>337</v>
      </c>
      <c r="AP620" s="415" t="s">
        <v>337</v>
      </c>
      <c r="AS620" s="415" t="s">
        <v>337</v>
      </c>
      <c r="AV620" s="415" t="s">
        <v>337</v>
      </c>
      <c r="AY620" s="415" t="s">
        <v>337</v>
      </c>
      <c r="BB620" s="415" t="s">
        <v>337</v>
      </c>
      <c r="BE620" s="415" t="s">
        <v>337</v>
      </c>
      <c r="BH620" s="415" t="s">
        <v>337</v>
      </c>
      <c r="BM620" s="415" t="s">
        <v>337</v>
      </c>
      <c r="BP620" s="415" t="s">
        <v>337</v>
      </c>
      <c r="BS620" s="415"/>
      <c r="BV620" s="415" t="s">
        <v>337</v>
      </c>
      <c r="BY620" s="415" t="s">
        <v>337</v>
      </c>
      <c r="CB620" s="415" t="s">
        <v>337</v>
      </c>
      <c r="CE620" s="415" t="s">
        <v>337</v>
      </c>
      <c r="CH620" s="415" t="s">
        <v>337</v>
      </c>
      <c r="CK620" s="415" t="s">
        <v>337</v>
      </c>
      <c r="CN620" s="415" t="s">
        <v>337</v>
      </c>
      <c r="CQ620" s="415" t="s">
        <v>337</v>
      </c>
      <c r="CT620" s="415" t="s">
        <v>337</v>
      </c>
    </row>
    <row r="621" spans="1:98">
      <c r="A621" s="1" t="s">
        <v>1364</v>
      </c>
      <c r="B621" s="416" t="s">
        <v>5762</v>
      </c>
      <c r="S621" s="213" t="s">
        <v>5763</v>
      </c>
      <c r="T621" s="416" t="s">
        <v>5764</v>
      </c>
      <c r="U621" s="415" t="s">
        <v>337</v>
      </c>
      <c r="X621" s="415"/>
      <c r="AA621" s="415"/>
      <c r="AD621" s="415"/>
      <c r="AE621" s="417" t="s">
        <v>5765</v>
      </c>
      <c r="AF621" s="416" t="s">
        <v>5766</v>
      </c>
      <c r="AG621" s="415"/>
      <c r="AJ621" s="415" t="s">
        <v>337</v>
      </c>
      <c r="AM621" s="415" t="s">
        <v>337</v>
      </c>
      <c r="AP621" s="415" t="s">
        <v>337</v>
      </c>
      <c r="AS621" s="415" t="s">
        <v>337</v>
      </c>
      <c r="AV621" s="415" t="s">
        <v>337</v>
      </c>
      <c r="AY621" s="415" t="s">
        <v>337</v>
      </c>
      <c r="BB621" s="415" t="s">
        <v>337</v>
      </c>
      <c r="BE621" s="415" t="s">
        <v>337</v>
      </c>
      <c r="BH621" s="415" t="s">
        <v>337</v>
      </c>
      <c r="BM621" s="415" t="s">
        <v>337</v>
      </c>
      <c r="BP621" s="415" t="s">
        <v>337</v>
      </c>
      <c r="BS621" s="415"/>
      <c r="BV621" s="415" t="s">
        <v>337</v>
      </c>
      <c r="BY621" s="415" t="s">
        <v>337</v>
      </c>
      <c r="CB621" s="415" t="s">
        <v>337</v>
      </c>
      <c r="CE621" s="415" t="s">
        <v>337</v>
      </c>
      <c r="CH621" s="415" t="s">
        <v>337</v>
      </c>
      <c r="CK621" s="415" t="s">
        <v>337</v>
      </c>
      <c r="CN621" s="415" t="s">
        <v>337</v>
      </c>
      <c r="CQ621" s="415" t="s">
        <v>337</v>
      </c>
      <c r="CT621" s="415" t="s">
        <v>337</v>
      </c>
    </row>
    <row r="622" spans="1:98">
      <c r="A622" s="1" t="s">
        <v>1378</v>
      </c>
      <c r="B622" s="416" t="s">
        <v>5767</v>
      </c>
      <c r="S622" s="213" t="s">
        <v>5768</v>
      </c>
      <c r="T622" s="416" t="s">
        <v>5769</v>
      </c>
      <c r="U622" s="415" t="s">
        <v>337</v>
      </c>
      <c r="X622" s="415"/>
      <c r="AA622" s="415"/>
      <c r="AD622" s="415"/>
      <c r="AE622" s="417" t="s">
        <v>5770</v>
      </c>
      <c r="AF622" s="416" t="s">
        <v>5771</v>
      </c>
      <c r="AG622" s="415"/>
      <c r="AJ622" s="415" t="s">
        <v>337</v>
      </c>
      <c r="AM622" s="415" t="s">
        <v>337</v>
      </c>
      <c r="AP622" s="415" t="s">
        <v>337</v>
      </c>
      <c r="AS622" s="415" t="s">
        <v>337</v>
      </c>
      <c r="AV622" s="415" t="s">
        <v>337</v>
      </c>
      <c r="AY622" s="415" t="s">
        <v>337</v>
      </c>
      <c r="BB622" s="415" t="s">
        <v>337</v>
      </c>
      <c r="BE622" s="415" t="s">
        <v>337</v>
      </c>
      <c r="BH622" s="415" t="s">
        <v>337</v>
      </c>
      <c r="BM622" s="415" t="s">
        <v>337</v>
      </c>
      <c r="BP622" s="415" t="s">
        <v>337</v>
      </c>
      <c r="BS622" s="415"/>
      <c r="BV622" s="415" t="s">
        <v>337</v>
      </c>
      <c r="BY622" s="415" t="s">
        <v>337</v>
      </c>
      <c r="CB622" s="415" t="s">
        <v>337</v>
      </c>
      <c r="CE622" s="415" t="s">
        <v>337</v>
      </c>
      <c r="CH622" s="415" t="s">
        <v>337</v>
      </c>
      <c r="CK622" s="415" t="s">
        <v>337</v>
      </c>
      <c r="CN622" s="415" t="s">
        <v>337</v>
      </c>
      <c r="CQ622" s="415" t="s">
        <v>337</v>
      </c>
      <c r="CT622" s="415" t="s">
        <v>337</v>
      </c>
    </row>
    <row r="623" spans="1:98">
      <c r="A623" s="1" t="s">
        <v>1378</v>
      </c>
      <c r="B623" s="416" t="s">
        <v>5772</v>
      </c>
      <c r="S623" s="213" t="s">
        <v>5773</v>
      </c>
      <c r="T623" s="416" t="s">
        <v>5774</v>
      </c>
      <c r="U623" s="415" t="s">
        <v>337</v>
      </c>
      <c r="X623" s="415"/>
      <c r="AA623" s="415"/>
      <c r="AD623" s="415"/>
      <c r="AE623" s="417" t="s">
        <v>5775</v>
      </c>
      <c r="AF623" s="416" t="s">
        <v>5776</v>
      </c>
      <c r="AG623" s="415"/>
      <c r="AJ623" s="415" t="s">
        <v>337</v>
      </c>
      <c r="AM623" s="415" t="s">
        <v>337</v>
      </c>
      <c r="AP623" s="415" t="s">
        <v>337</v>
      </c>
      <c r="AS623" s="415" t="s">
        <v>337</v>
      </c>
      <c r="AV623" s="415" t="s">
        <v>337</v>
      </c>
      <c r="AY623" s="415" t="s">
        <v>337</v>
      </c>
      <c r="BB623" s="415" t="s">
        <v>337</v>
      </c>
      <c r="BE623" s="415" t="s">
        <v>337</v>
      </c>
      <c r="BH623" s="415" t="s">
        <v>337</v>
      </c>
      <c r="BM623" s="415" t="s">
        <v>337</v>
      </c>
      <c r="BP623" s="415" t="s">
        <v>337</v>
      </c>
      <c r="BS623" s="415"/>
      <c r="BV623" s="415" t="s">
        <v>337</v>
      </c>
      <c r="BY623" s="415" t="s">
        <v>337</v>
      </c>
      <c r="CB623" s="415" t="s">
        <v>337</v>
      </c>
      <c r="CE623" s="415" t="s">
        <v>337</v>
      </c>
      <c r="CH623" s="415" t="s">
        <v>337</v>
      </c>
      <c r="CK623" s="415" t="s">
        <v>337</v>
      </c>
      <c r="CN623" s="415" t="s">
        <v>337</v>
      </c>
      <c r="CQ623" s="415" t="s">
        <v>337</v>
      </c>
      <c r="CT623" s="415" t="s">
        <v>337</v>
      </c>
    </row>
    <row r="624" spans="1:98">
      <c r="A624" s="1" t="s">
        <v>1378</v>
      </c>
      <c r="B624" s="416" t="s">
        <v>5777</v>
      </c>
      <c r="S624" s="213" t="s">
        <v>5778</v>
      </c>
      <c r="T624" s="416" t="s">
        <v>5779</v>
      </c>
      <c r="U624" s="415" t="s">
        <v>337</v>
      </c>
      <c r="X624" s="415"/>
      <c r="AA624" s="415"/>
      <c r="AD624" s="415"/>
      <c r="AE624" s="417" t="s">
        <v>5780</v>
      </c>
      <c r="AF624" s="416" t="s">
        <v>5781</v>
      </c>
      <c r="AG624" s="415"/>
      <c r="AJ624" s="415" t="s">
        <v>337</v>
      </c>
      <c r="AM624" s="415" t="s">
        <v>337</v>
      </c>
      <c r="AP624" s="415" t="s">
        <v>337</v>
      </c>
      <c r="AS624" s="415" t="s">
        <v>337</v>
      </c>
      <c r="AV624" s="415" t="s">
        <v>337</v>
      </c>
      <c r="AY624" s="415" t="s">
        <v>337</v>
      </c>
      <c r="BB624" s="415" t="s">
        <v>337</v>
      </c>
      <c r="BE624" s="415" t="s">
        <v>337</v>
      </c>
      <c r="BH624" s="415" t="s">
        <v>337</v>
      </c>
      <c r="BM624" s="415" t="s">
        <v>337</v>
      </c>
      <c r="BP624" s="415" t="s">
        <v>337</v>
      </c>
      <c r="BS624" s="415"/>
      <c r="BV624" s="415" t="s">
        <v>337</v>
      </c>
      <c r="BY624" s="415" t="s">
        <v>337</v>
      </c>
      <c r="CB624" s="415" t="s">
        <v>337</v>
      </c>
      <c r="CE624" s="415" t="s">
        <v>337</v>
      </c>
      <c r="CH624" s="415" t="s">
        <v>337</v>
      </c>
      <c r="CK624" s="415" t="s">
        <v>337</v>
      </c>
      <c r="CN624" s="415" t="s">
        <v>337</v>
      </c>
      <c r="CQ624" s="415" t="s">
        <v>337</v>
      </c>
      <c r="CT624" s="415" t="s">
        <v>337</v>
      </c>
    </row>
    <row r="625" spans="1:98">
      <c r="A625" s="1" t="s">
        <v>1378</v>
      </c>
      <c r="B625" s="416" t="s">
        <v>5782</v>
      </c>
      <c r="S625" s="213" t="s">
        <v>5783</v>
      </c>
      <c r="T625" s="416" t="s">
        <v>5784</v>
      </c>
      <c r="U625" s="415" t="s">
        <v>337</v>
      </c>
      <c r="X625" s="415"/>
      <c r="AA625" s="415"/>
      <c r="AD625" s="415"/>
      <c r="AE625" s="417" t="s">
        <v>5785</v>
      </c>
      <c r="AF625" s="416" t="s">
        <v>5786</v>
      </c>
      <c r="AG625" s="415"/>
      <c r="AJ625" s="415" t="s">
        <v>337</v>
      </c>
      <c r="AM625" s="415" t="s">
        <v>337</v>
      </c>
      <c r="AP625" s="415" t="s">
        <v>337</v>
      </c>
      <c r="AS625" s="415" t="s">
        <v>337</v>
      </c>
      <c r="AV625" s="415" t="s">
        <v>337</v>
      </c>
      <c r="AY625" s="415" t="s">
        <v>337</v>
      </c>
      <c r="BB625" s="415" t="s">
        <v>337</v>
      </c>
      <c r="BE625" s="415" t="s">
        <v>337</v>
      </c>
      <c r="BH625" s="415" t="s">
        <v>337</v>
      </c>
      <c r="BM625" s="415" t="s">
        <v>337</v>
      </c>
      <c r="BP625" s="415" t="s">
        <v>337</v>
      </c>
      <c r="BS625" s="415"/>
      <c r="BV625" s="415" t="s">
        <v>337</v>
      </c>
      <c r="BY625" s="415" t="s">
        <v>337</v>
      </c>
      <c r="CB625" s="415" t="s">
        <v>337</v>
      </c>
      <c r="CE625" s="415" t="s">
        <v>337</v>
      </c>
      <c r="CH625" s="415" t="s">
        <v>337</v>
      </c>
      <c r="CK625" s="415" t="s">
        <v>337</v>
      </c>
      <c r="CN625" s="415" t="s">
        <v>337</v>
      </c>
      <c r="CQ625" s="415" t="s">
        <v>337</v>
      </c>
      <c r="CT625" s="415" t="s">
        <v>337</v>
      </c>
    </row>
    <row r="626" spans="1:98">
      <c r="A626" s="1" t="s">
        <v>1378</v>
      </c>
      <c r="B626" s="416" t="s">
        <v>5787</v>
      </c>
      <c r="S626" s="213" t="s">
        <v>5788</v>
      </c>
      <c r="T626" s="416" t="s">
        <v>5789</v>
      </c>
      <c r="U626" s="415" t="s">
        <v>337</v>
      </c>
      <c r="X626" s="415"/>
      <c r="AA626" s="415"/>
      <c r="AD626" s="415"/>
      <c r="AE626" s="417" t="s">
        <v>5790</v>
      </c>
      <c r="AF626" s="416" t="s">
        <v>5791</v>
      </c>
      <c r="AG626" s="415"/>
      <c r="AJ626" s="415" t="s">
        <v>337</v>
      </c>
      <c r="AM626" s="415" t="s">
        <v>337</v>
      </c>
      <c r="AP626" s="415" t="s">
        <v>337</v>
      </c>
      <c r="AS626" s="415" t="s">
        <v>337</v>
      </c>
      <c r="AV626" s="415" t="s">
        <v>337</v>
      </c>
      <c r="AY626" s="415" t="s">
        <v>337</v>
      </c>
      <c r="BB626" s="415" t="s">
        <v>337</v>
      </c>
      <c r="BE626" s="415" t="s">
        <v>337</v>
      </c>
      <c r="BH626" s="415" t="s">
        <v>337</v>
      </c>
      <c r="BM626" s="415" t="s">
        <v>337</v>
      </c>
      <c r="BP626" s="415" t="s">
        <v>337</v>
      </c>
      <c r="BS626" s="415"/>
      <c r="BV626" s="415" t="s">
        <v>337</v>
      </c>
      <c r="BY626" s="415" t="s">
        <v>337</v>
      </c>
      <c r="CB626" s="415" t="s">
        <v>337</v>
      </c>
      <c r="CE626" s="415" t="s">
        <v>337</v>
      </c>
      <c r="CH626" s="415" t="s">
        <v>337</v>
      </c>
      <c r="CK626" s="415" t="s">
        <v>337</v>
      </c>
      <c r="CN626" s="415" t="s">
        <v>337</v>
      </c>
      <c r="CQ626" s="415" t="s">
        <v>337</v>
      </c>
      <c r="CT626" s="415" t="s">
        <v>337</v>
      </c>
    </row>
    <row r="627" spans="1:98">
      <c r="A627" s="1" t="s">
        <v>1390</v>
      </c>
      <c r="B627" s="416" t="s">
        <v>5792</v>
      </c>
      <c r="S627" s="213" t="s">
        <v>5793</v>
      </c>
      <c r="T627" s="416" t="s">
        <v>5794</v>
      </c>
      <c r="U627" s="415" t="s">
        <v>337</v>
      </c>
      <c r="X627" s="415"/>
      <c r="AA627" s="415"/>
      <c r="AD627" s="415"/>
      <c r="AE627" s="417" t="s">
        <v>5795</v>
      </c>
      <c r="AF627" s="416" t="s">
        <v>5796</v>
      </c>
      <c r="AG627" s="415"/>
      <c r="AJ627" s="415" t="s">
        <v>337</v>
      </c>
      <c r="AM627" s="415" t="s">
        <v>337</v>
      </c>
      <c r="AP627" s="415" t="s">
        <v>337</v>
      </c>
      <c r="AS627" s="415" t="s">
        <v>337</v>
      </c>
      <c r="AV627" s="415" t="s">
        <v>337</v>
      </c>
      <c r="AY627" s="415" t="s">
        <v>337</v>
      </c>
      <c r="BB627" s="415" t="s">
        <v>337</v>
      </c>
      <c r="BE627" s="415" t="s">
        <v>337</v>
      </c>
      <c r="BH627" s="415" t="s">
        <v>337</v>
      </c>
      <c r="BM627" s="415" t="s">
        <v>337</v>
      </c>
      <c r="BP627" s="415" t="s">
        <v>337</v>
      </c>
      <c r="BS627" s="415"/>
      <c r="BV627" s="415" t="s">
        <v>337</v>
      </c>
      <c r="BY627" s="415" t="s">
        <v>337</v>
      </c>
      <c r="CB627" s="415" t="s">
        <v>337</v>
      </c>
      <c r="CE627" s="415" t="s">
        <v>337</v>
      </c>
      <c r="CH627" s="415" t="s">
        <v>337</v>
      </c>
      <c r="CK627" s="415" t="s">
        <v>337</v>
      </c>
      <c r="CN627" s="415" t="s">
        <v>337</v>
      </c>
      <c r="CQ627" s="415" t="s">
        <v>337</v>
      </c>
      <c r="CT627" s="415" t="s">
        <v>337</v>
      </c>
    </row>
    <row r="628" spans="1:98">
      <c r="A628" s="1" t="s">
        <v>1390</v>
      </c>
      <c r="B628" s="416" t="s">
        <v>5797</v>
      </c>
      <c r="S628" s="213" t="s">
        <v>5798</v>
      </c>
      <c r="T628" s="416" t="s">
        <v>5799</v>
      </c>
      <c r="U628" s="415" t="s">
        <v>337</v>
      </c>
      <c r="X628" s="415"/>
      <c r="AA628" s="415"/>
      <c r="AD628" s="415"/>
      <c r="AE628" s="417" t="s">
        <v>5800</v>
      </c>
      <c r="AF628" s="416" t="s">
        <v>5801</v>
      </c>
      <c r="AG628" s="415"/>
      <c r="AJ628" s="415" t="s">
        <v>337</v>
      </c>
      <c r="AM628" s="415" t="s">
        <v>337</v>
      </c>
      <c r="AP628" s="415" t="s">
        <v>337</v>
      </c>
      <c r="AS628" s="415" t="s">
        <v>337</v>
      </c>
      <c r="AV628" s="415" t="s">
        <v>337</v>
      </c>
      <c r="AY628" s="415" t="s">
        <v>337</v>
      </c>
      <c r="BB628" s="415" t="s">
        <v>337</v>
      </c>
      <c r="BE628" s="415" t="s">
        <v>337</v>
      </c>
      <c r="BH628" s="415" t="s">
        <v>337</v>
      </c>
      <c r="BM628" s="415" t="s">
        <v>337</v>
      </c>
      <c r="BP628" s="415" t="s">
        <v>337</v>
      </c>
      <c r="BS628" s="415"/>
      <c r="BV628" s="415" t="s">
        <v>337</v>
      </c>
      <c r="BY628" s="415" t="s">
        <v>337</v>
      </c>
      <c r="CB628" s="415" t="s">
        <v>337</v>
      </c>
      <c r="CE628" s="415" t="s">
        <v>337</v>
      </c>
      <c r="CH628" s="415" t="s">
        <v>337</v>
      </c>
      <c r="CK628" s="415" t="s">
        <v>337</v>
      </c>
      <c r="CN628" s="415" t="s">
        <v>337</v>
      </c>
      <c r="CQ628" s="415" t="s">
        <v>337</v>
      </c>
      <c r="CT628" s="415" t="s">
        <v>337</v>
      </c>
    </row>
    <row r="629" spans="1:98">
      <c r="A629" s="1" t="s">
        <v>1390</v>
      </c>
      <c r="B629" s="416" t="s">
        <v>5802</v>
      </c>
      <c r="S629" s="213" t="s">
        <v>5803</v>
      </c>
      <c r="T629" s="416" t="s">
        <v>5804</v>
      </c>
      <c r="U629" s="415" t="s">
        <v>337</v>
      </c>
      <c r="X629" s="415"/>
      <c r="AA629" s="415"/>
      <c r="AD629" s="415"/>
      <c r="AE629" s="417" t="s">
        <v>5805</v>
      </c>
      <c r="AF629" s="416" t="s">
        <v>5806</v>
      </c>
      <c r="AG629" s="415"/>
      <c r="AJ629" s="415" t="s">
        <v>337</v>
      </c>
      <c r="AM629" s="415" t="s">
        <v>337</v>
      </c>
      <c r="AP629" s="415" t="s">
        <v>337</v>
      </c>
      <c r="AS629" s="415" t="s">
        <v>337</v>
      </c>
      <c r="AV629" s="415" t="s">
        <v>337</v>
      </c>
      <c r="AY629" s="415" t="s">
        <v>337</v>
      </c>
      <c r="BB629" s="415" t="s">
        <v>337</v>
      </c>
      <c r="BE629" s="415" t="s">
        <v>337</v>
      </c>
      <c r="BH629" s="415" t="s">
        <v>337</v>
      </c>
      <c r="BM629" s="415" t="s">
        <v>337</v>
      </c>
      <c r="BP629" s="415" t="s">
        <v>337</v>
      </c>
      <c r="BS629" s="415"/>
      <c r="BV629" s="415" t="s">
        <v>337</v>
      </c>
      <c r="BY629" s="415" t="s">
        <v>337</v>
      </c>
      <c r="CB629" s="415" t="s">
        <v>337</v>
      </c>
      <c r="CE629" s="415" t="s">
        <v>337</v>
      </c>
      <c r="CH629" s="415" t="s">
        <v>337</v>
      </c>
      <c r="CK629" s="415" t="s">
        <v>337</v>
      </c>
      <c r="CN629" s="415" t="s">
        <v>337</v>
      </c>
      <c r="CQ629" s="415" t="s">
        <v>337</v>
      </c>
      <c r="CT629" s="415" t="s">
        <v>337</v>
      </c>
    </row>
    <row r="630" spans="1:98">
      <c r="A630" s="1" t="s">
        <v>1390</v>
      </c>
      <c r="B630" s="416" t="s">
        <v>5807</v>
      </c>
      <c r="S630" s="213" t="s">
        <v>5808</v>
      </c>
      <c r="T630" s="416" t="s">
        <v>5809</v>
      </c>
      <c r="U630" s="415" t="s">
        <v>337</v>
      </c>
      <c r="X630" s="415"/>
      <c r="AA630" s="415"/>
      <c r="AD630" s="415"/>
      <c r="AE630" s="417" t="s">
        <v>5810</v>
      </c>
      <c r="AF630" s="416" t="s">
        <v>5811</v>
      </c>
      <c r="AG630" s="415"/>
      <c r="AJ630" s="415" t="s">
        <v>337</v>
      </c>
      <c r="AM630" s="415" t="s">
        <v>337</v>
      </c>
      <c r="AP630" s="415" t="s">
        <v>337</v>
      </c>
      <c r="AS630" s="415" t="s">
        <v>337</v>
      </c>
      <c r="AV630" s="415" t="s">
        <v>337</v>
      </c>
      <c r="AY630" s="415" t="s">
        <v>337</v>
      </c>
      <c r="BB630" s="415" t="s">
        <v>337</v>
      </c>
      <c r="BE630" s="415" t="s">
        <v>337</v>
      </c>
      <c r="BH630" s="415" t="s">
        <v>337</v>
      </c>
      <c r="BM630" s="415" t="s">
        <v>337</v>
      </c>
      <c r="BP630" s="415" t="s">
        <v>337</v>
      </c>
      <c r="BS630" s="415"/>
      <c r="BV630" s="415" t="s">
        <v>337</v>
      </c>
      <c r="BY630" s="415" t="s">
        <v>337</v>
      </c>
      <c r="CB630" s="415" t="s">
        <v>337</v>
      </c>
      <c r="CE630" s="415" t="s">
        <v>337</v>
      </c>
      <c r="CH630" s="415" t="s">
        <v>337</v>
      </c>
      <c r="CK630" s="415" t="s">
        <v>337</v>
      </c>
      <c r="CN630" s="415" t="s">
        <v>337</v>
      </c>
      <c r="CQ630" s="415" t="s">
        <v>337</v>
      </c>
      <c r="CT630" s="415" t="s">
        <v>337</v>
      </c>
    </row>
    <row r="631" spans="1:98">
      <c r="A631" s="1" t="s">
        <v>1390</v>
      </c>
      <c r="B631" s="416" t="s">
        <v>5812</v>
      </c>
      <c r="S631" s="213" t="s">
        <v>5813</v>
      </c>
      <c r="T631" s="416" t="s">
        <v>5814</v>
      </c>
      <c r="U631" s="415" t="s">
        <v>337</v>
      </c>
      <c r="X631" s="415"/>
      <c r="AA631" s="415"/>
      <c r="AD631" s="415"/>
      <c r="AE631" s="417" t="s">
        <v>5815</v>
      </c>
      <c r="AF631" s="416" t="s">
        <v>5816</v>
      </c>
      <c r="AG631" s="415"/>
      <c r="AJ631" s="415" t="s">
        <v>337</v>
      </c>
      <c r="AM631" s="415" t="s">
        <v>337</v>
      </c>
      <c r="AP631" s="415" t="s">
        <v>337</v>
      </c>
      <c r="AS631" s="415" t="s">
        <v>337</v>
      </c>
      <c r="AV631" s="415" t="s">
        <v>337</v>
      </c>
      <c r="AY631" s="415" t="s">
        <v>337</v>
      </c>
      <c r="BB631" s="415" t="s">
        <v>337</v>
      </c>
      <c r="BE631" s="415" t="s">
        <v>337</v>
      </c>
      <c r="BH631" s="415" t="s">
        <v>337</v>
      </c>
      <c r="BM631" s="415" t="s">
        <v>337</v>
      </c>
      <c r="BP631" s="415" t="s">
        <v>337</v>
      </c>
      <c r="BS631" s="415"/>
      <c r="BV631" s="415" t="s">
        <v>337</v>
      </c>
      <c r="BY631" s="415" t="s">
        <v>337</v>
      </c>
      <c r="CB631" s="415" t="s">
        <v>337</v>
      </c>
      <c r="CE631" s="415" t="s">
        <v>337</v>
      </c>
      <c r="CH631" s="415" t="s">
        <v>337</v>
      </c>
      <c r="CK631" s="415" t="s">
        <v>337</v>
      </c>
      <c r="CN631" s="415" t="s">
        <v>337</v>
      </c>
      <c r="CQ631" s="415" t="s">
        <v>337</v>
      </c>
      <c r="CT631" s="415" t="s">
        <v>337</v>
      </c>
    </row>
    <row r="632" spans="1:98">
      <c r="A632" s="1" t="s">
        <v>1390</v>
      </c>
      <c r="B632" s="416" t="s">
        <v>5817</v>
      </c>
      <c r="S632" s="213" t="s">
        <v>5818</v>
      </c>
      <c r="T632" s="416" t="s">
        <v>5819</v>
      </c>
      <c r="U632" s="415" t="s">
        <v>337</v>
      </c>
      <c r="X632" s="415"/>
      <c r="AA632" s="415"/>
      <c r="AD632" s="415"/>
      <c r="AE632" s="417" t="s">
        <v>5820</v>
      </c>
      <c r="AF632" s="416" t="s">
        <v>5821</v>
      </c>
      <c r="AG632" s="415"/>
      <c r="AJ632" s="415" t="s">
        <v>337</v>
      </c>
      <c r="AM632" s="415" t="s">
        <v>337</v>
      </c>
      <c r="AP632" s="415" t="s">
        <v>337</v>
      </c>
      <c r="AS632" s="415" t="s">
        <v>337</v>
      </c>
      <c r="AV632" s="415" t="s">
        <v>337</v>
      </c>
      <c r="AY632" s="415" t="s">
        <v>337</v>
      </c>
      <c r="BB632" s="415" t="s">
        <v>337</v>
      </c>
      <c r="BE632" s="415" t="s">
        <v>337</v>
      </c>
      <c r="BH632" s="415" t="s">
        <v>337</v>
      </c>
      <c r="BM632" s="415" t="s">
        <v>337</v>
      </c>
      <c r="BP632" s="415" t="s">
        <v>337</v>
      </c>
      <c r="BS632" s="415"/>
      <c r="BV632" s="415" t="s">
        <v>337</v>
      </c>
      <c r="BY632" s="415" t="s">
        <v>337</v>
      </c>
      <c r="CB632" s="415" t="s">
        <v>337</v>
      </c>
      <c r="CE632" s="415" t="s">
        <v>337</v>
      </c>
      <c r="CH632" s="415" t="s">
        <v>337</v>
      </c>
      <c r="CK632" s="415" t="s">
        <v>337</v>
      </c>
      <c r="CN632" s="415" t="s">
        <v>337</v>
      </c>
      <c r="CQ632" s="415" t="s">
        <v>337</v>
      </c>
      <c r="CT632" s="415" t="s">
        <v>337</v>
      </c>
    </row>
    <row r="633" spans="1:98">
      <c r="A633" s="1" t="s">
        <v>1390</v>
      </c>
      <c r="B633" s="416" t="s">
        <v>5822</v>
      </c>
      <c r="S633" s="213" t="s">
        <v>5823</v>
      </c>
      <c r="T633" s="416" t="s">
        <v>5824</v>
      </c>
      <c r="U633" s="415" t="s">
        <v>337</v>
      </c>
      <c r="X633" s="415"/>
      <c r="AA633" s="415"/>
      <c r="AD633" s="415"/>
      <c r="AE633" s="417" t="s">
        <v>5825</v>
      </c>
      <c r="AF633" s="416" t="s">
        <v>5826</v>
      </c>
      <c r="AG633" s="415"/>
      <c r="AJ633" s="415" t="s">
        <v>337</v>
      </c>
      <c r="AM633" s="415" t="s">
        <v>337</v>
      </c>
      <c r="AP633" s="415" t="s">
        <v>337</v>
      </c>
      <c r="AS633" s="415" t="s">
        <v>337</v>
      </c>
      <c r="AV633" s="415" t="s">
        <v>337</v>
      </c>
      <c r="AY633" s="415" t="s">
        <v>337</v>
      </c>
      <c r="BB633" s="415" t="s">
        <v>337</v>
      </c>
      <c r="BE633" s="415" t="s">
        <v>337</v>
      </c>
      <c r="BH633" s="415" t="s">
        <v>337</v>
      </c>
      <c r="BM633" s="415" t="s">
        <v>337</v>
      </c>
      <c r="BP633" s="415" t="s">
        <v>337</v>
      </c>
      <c r="BS633" s="415"/>
      <c r="BV633" s="415" t="s">
        <v>337</v>
      </c>
      <c r="BY633" s="415" t="s">
        <v>337</v>
      </c>
      <c r="CB633" s="415" t="s">
        <v>337</v>
      </c>
      <c r="CE633" s="415" t="s">
        <v>337</v>
      </c>
      <c r="CH633" s="415" t="s">
        <v>337</v>
      </c>
      <c r="CK633" s="415" t="s">
        <v>337</v>
      </c>
      <c r="CN633" s="415" t="s">
        <v>337</v>
      </c>
      <c r="CQ633" s="415" t="s">
        <v>337</v>
      </c>
      <c r="CT633" s="415" t="s">
        <v>337</v>
      </c>
    </row>
    <row r="634" spans="1:98">
      <c r="A634" s="1" t="s">
        <v>1390</v>
      </c>
      <c r="B634" s="416" t="s">
        <v>5827</v>
      </c>
      <c r="S634" s="213" t="s">
        <v>5828</v>
      </c>
      <c r="T634" s="416" t="s">
        <v>5829</v>
      </c>
      <c r="U634" s="415" t="s">
        <v>337</v>
      </c>
      <c r="X634" s="415"/>
      <c r="AA634" s="415"/>
      <c r="AD634" s="415"/>
      <c r="AE634" s="417" t="s">
        <v>5830</v>
      </c>
      <c r="AF634" s="416" t="s">
        <v>5831</v>
      </c>
      <c r="AG634" s="415"/>
      <c r="AJ634" s="415" t="s">
        <v>337</v>
      </c>
      <c r="AM634" s="415" t="s">
        <v>337</v>
      </c>
      <c r="AP634" s="415" t="s">
        <v>337</v>
      </c>
      <c r="AS634" s="415" t="s">
        <v>337</v>
      </c>
      <c r="AV634" s="415" t="s">
        <v>337</v>
      </c>
      <c r="AY634" s="415" t="s">
        <v>337</v>
      </c>
      <c r="BB634" s="415" t="s">
        <v>337</v>
      </c>
      <c r="BE634" s="415" t="s">
        <v>337</v>
      </c>
      <c r="BH634" s="415" t="s">
        <v>337</v>
      </c>
      <c r="BM634" s="415" t="s">
        <v>337</v>
      </c>
      <c r="BP634" s="415" t="s">
        <v>337</v>
      </c>
      <c r="BS634" s="415"/>
      <c r="BV634" s="415" t="s">
        <v>337</v>
      </c>
      <c r="BY634" s="415" t="s">
        <v>337</v>
      </c>
      <c r="CB634" s="415" t="s">
        <v>337</v>
      </c>
      <c r="CE634" s="415" t="s">
        <v>337</v>
      </c>
      <c r="CH634" s="415" t="s">
        <v>337</v>
      </c>
      <c r="CK634" s="415" t="s">
        <v>337</v>
      </c>
      <c r="CN634" s="415" t="s">
        <v>337</v>
      </c>
      <c r="CQ634" s="415" t="s">
        <v>337</v>
      </c>
      <c r="CT634" s="415" t="s">
        <v>337</v>
      </c>
    </row>
    <row r="635" spans="1:98">
      <c r="A635" s="1" t="s">
        <v>1404</v>
      </c>
      <c r="B635" s="416" t="s">
        <v>5832</v>
      </c>
      <c r="S635" s="213" t="s">
        <v>5833</v>
      </c>
      <c r="T635" s="416" t="s">
        <v>5834</v>
      </c>
      <c r="U635" s="415" t="s">
        <v>337</v>
      </c>
      <c r="X635" s="415"/>
      <c r="AA635" s="415"/>
      <c r="AD635" s="415"/>
      <c r="AE635" s="417" t="s">
        <v>5835</v>
      </c>
      <c r="AF635" s="416" t="s">
        <v>5836</v>
      </c>
      <c r="AG635" s="415"/>
      <c r="AJ635" s="415" t="s">
        <v>337</v>
      </c>
      <c r="AM635" s="415" t="s">
        <v>337</v>
      </c>
      <c r="AP635" s="415" t="s">
        <v>337</v>
      </c>
      <c r="AS635" s="415" t="s">
        <v>337</v>
      </c>
      <c r="AV635" s="415" t="s">
        <v>337</v>
      </c>
      <c r="AY635" s="415" t="s">
        <v>337</v>
      </c>
      <c r="BB635" s="415" t="s">
        <v>337</v>
      </c>
      <c r="BE635" s="415" t="s">
        <v>337</v>
      </c>
      <c r="BH635" s="415" t="s">
        <v>337</v>
      </c>
      <c r="BM635" s="415" t="s">
        <v>337</v>
      </c>
      <c r="BP635" s="415" t="s">
        <v>337</v>
      </c>
      <c r="BS635" s="415"/>
      <c r="BV635" s="415" t="s">
        <v>337</v>
      </c>
      <c r="BY635" s="415" t="s">
        <v>337</v>
      </c>
      <c r="CB635" s="415" t="s">
        <v>337</v>
      </c>
      <c r="CE635" s="415" t="s">
        <v>337</v>
      </c>
      <c r="CH635" s="415" t="s">
        <v>337</v>
      </c>
      <c r="CK635" s="415" t="s">
        <v>337</v>
      </c>
      <c r="CN635" s="415" t="s">
        <v>337</v>
      </c>
      <c r="CQ635" s="415" t="s">
        <v>337</v>
      </c>
      <c r="CT635" s="415" t="s">
        <v>337</v>
      </c>
    </row>
    <row r="636" spans="1:98">
      <c r="A636" s="1" t="s">
        <v>1404</v>
      </c>
      <c r="B636" s="416" t="s">
        <v>5837</v>
      </c>
      <c r="S636" s="213" t="s">
        <v>5838</v>
      </c>
      <c r="T636" s="416" t="s">
        <v>5839</v>
      </c>
      <c r="U636" s="415" t="s">
        <v>337</v>
      </c>
      <c r="X636" s="415"/>
      <c r="AA636" s="415"/>
      <c r="AD636" s="415"/>
      <c r="AE636" s="417" t="s">
        <v>5840</v>
      </c>
      <c r="AF636" s="416" t="s">
        <v>5841</v>
      </c>
      <c r="AG636" s="415"/>
      <c r="AJ636" s="415" t="s">
        <v>337</v>
      </c>
      <c r="AM636" s="415" t="s">
        <v>337</v>
      </c>
      <c r="AP636" s="415" t="s">
        <v>337</v>
      </c>
      <c r="AS636" s="415" t="s">
        <v>337</v>
      </c>
      <c r="AV636" s="415" t="s">
        <v>337</v>
      </c>
      <c r="AY636" s="415" t="s">
        <v>337</v>
      </c>
      <c r="BB636" s="415" t="s">
        <v>337</v>
      </c>
      <c r="BE636" s="415" t="s">
        <v>337</v>
      </c>
      <c r="BH636" s="415" t="s">
        <v>337</v>
      </c>
      <c r="BM636" s="415" t="s">
        <v>337</v>
      </c>
      <c r="BP636" s="415" t="s">
        <v>337</v>
      </c>
      <c r="BS636" s="415"/>
      <c r="BV636" s="415" t="s">
        <v>337</v>
      </c>
      <c r="BY636" s="415" t="s">
        <v>337</v>
      </c>
      <c r="CB636" s="415" t="s">
        <v>337</v>
      </c>
      <c r="CE636" s="415" t="s">
        <v>337</v>
      </c>
      <c r="CH636" s="415" t="s">
        <v>337</v>
      </c>
      <c r="CK636" s="415" t="s">
        <v>337</v>
      </c>
      <c r="CN636" s="415" t="s">
        <v>337</v>
      </c>
      <c r="CQ636" s="415" t="s">
        <v>337</v>
      </c>
      <c r="CT636" s="415" t="s">
        <v>337</v>
      </c>
    </row>
    <row r="637" spans="1:98">
      <c r="A637" s="1" t="s">
        <v>1404</v>
      </c>
      <c r="B637" s="416" t="s">
        <v>5842</v>
      </c>
      <c r="S637" s="213" t="s">
        <v>5843</v>
      </c>
      <c r="T637" s="416" t="s">
        <v>5844</v>
      </c>
      <c r="U637" s="415" t="s">
        <v>337</v>
      </c>
      <c r="X637" s="415"/>
      <c r="AA637" s="415"/>
      <c r="AD637" s="415"/>
      <c r="AE637" s="417" t="s">
        <v>5845</v>
      </c>
      <c r="AF637" s="416" t="s">
        <v>5846</v>
      </c>
      <c r="AG637" s="415"/>
      <c r="AJ637" s="415" t="s">
        <v>337</v>
      </c>
      <c r="AM637" s="415" t="s">
        <v>337</v>
      </c>
      <c r="AP637" s="415" t="s">
        <v>337</v>
      </c>
      <c r="AS637" s="415" t="s">
        <v>337</v>
      </c>
      <c r="AV637" s="415" t="s">
        <v>337</v>
      </c>
      <c r="AY637" s="415" t="s">
        <v>337</v>
      </c>
      <c r="BB637" s="415" t="s">
        <v>337</v>
      </c>
      <c r="BE637" s="415" t="s">
        <v>337</v>
      </c>
      <c r="BH637" s="415" t="s">
        <v>337</v>
      </c>
      <c r="BM637" s="415" t="s">
        <v>337</v>
      </c>
      <c r="BP637" s="415" t="s">
        <v>337</v>
      </c>
      <c r="BS637" s="415"/>
      <c r="BV637" s="415" t="s">
        <v>337</v>
      </c>
      <c r="BY637" s="415" t="s">
        <v>337</v>
      </c>
      <c r="CB637" s="415" t="s">
        <v>337</v>
      </c>
      <c r="CE637" s="415" t="s">
        <v>337</v>
      </c>
      <c r="CH637" s="415" t="s">
        <v>337</v>
      </c>
      <c r="CK637" s="415" t="s">
        <v>337</v>
      </c>
      <c r="CN637" s="415" t="s">
        <v>337</v>
      </c>
      <c r="CQ637" s="415" t="s">
        <v>337</v>
      </c>
      <c r="CT637" s="415" t="s">
        <v>337</v>
      </c>
    </row>
    <row r="638" spans="1:98">
      <c r="A638" s="1" t="s">
        <v>1404</v>
      </c>
      <c r="B638" s="416" t="s">
        <v>5847</v>
      </c>
      <c r="S638" s="213" t="s">
        <v>5848</v>
      </c>
      <c r="T638" s="416" t="s">
        <v>5849</v>
      </c>
      <c r="U638" s="415" t="s">
        <v>337</v>
      </c>
      <c r="X638" s="415"/>
      <c r="AA638" s="415"/>
      <c r="AD638" s="415"/>
      <c r="AE638" s="417" t="s">
        <v>5850</v>
      </c>
      <c r="AF638" s="416" t="s">
        <v>5851</v>
      </c>
      <c r="AG638" s="415"/>
      <c r="AJ638" s="415" t="s">
        <v>337</v>
      </c>
      <c r="AM638" s="415" t="s">
        <v>337</v>
      </c>
      <c r="AP638" s="415" t="s">
        <v>337</v>
      </c>
      <c r="AS638" s="415" t="s">
        <v>337</v>
      </c>
      <c r="AV638" s="415" t="s">
        <v>337</v>
      </c>
      <c r="AY638" s="415" t="s">
        <v>337</v>
      </c>
      <c r="BB638" s="415" t="s">
        <v>337</v>
      </c>
      <c r="BE638" s="415" t="s">
        <v>337</v>
      </c>
      <c r="BH638" s="415" t="s">
        <v>337</v>
      </c>
      <c r="BM638" s="415" t="s">
        <v>337</v>
      </c>
      <c r="BP638" s="415" t="s">
        <v>337</v>
      </c>
      <c r="BS638" s="415"/>
      <c r="BV638" s="415" t="s">
        <v>337</v>
      </c>
      <c r="BY638" s="415" t="s">
        <v>337</v>
      </c>
      <c r="CB638" s="415" t="s">
        <v>337</v>
      </c>
      <c r="CE638" s="415" t="s">
        <v>337</v>
      </c>
      <c r="CH638" s="415" t="s">
        <v>337</v>
      </c>
      <c r="CK638" s="415" t="s">
        <v>337</v>
      </c>
      <c r="CN638" s="415" t="s">
        <v>337</v>
      </c>
      <c r="CQ638" s="415" t="s">
        <v>337</v>
      </c>
      <c r="CT638" s="415" t="s">
        <v>337</v>
      </c>
    </row>
    <row r="639" spans="1:98">
      <c r="A639" s="1" t="s">
        <v>1404</v>
      </c>
      <c r="B639" s="416" t="s">
        <v>5852</v>
      </c>
      <c r="S639" s="213" t="s">
        <v>5853</v>
      </c>
      <c r="T639" s="416" t="s">
        <v>5854</v>
      </c>
      <c r="U639" s="415" t="s">
        <v>337</v>
      </c>
      <c r="X639" s="415"/>
      <c r="AA639" s="415"/>
      <c r="AD639" s="415"/>
      <c r="AE639" s="417" t="s">
        <v>5855</v>
      </c>
      <c r="AF639" s="416" t="s">
        <v>5856</v>
      </c>
      <c r="AG639" s="415"/>
      <c r="AJ639" s="415" t="s">
        <v>337</v>
      </c>
      <c r="AM639" s="415" t="s">
        <v>337</v>
      </c>
      <c r="AP639" s="415" t="s">
        <v>337</v>
      </c>
      <c r="AS639" s="415" t="s">
        <v>337</v>
      </c>
      <c r="AV639" s="415" t="s">
        <v>337</v>
      </c>
      <c r="AY639" s="415" t="s">
        <v>337</v>
      </c>
      <c r="BB639" s="415" t="s">
        <v>337</v>
      </c>
      <c r="BE639" s="415" t="s">
        <v>337</v>
      </c>
      <c r="BH639" s="415" t="s">
        <v>337</v>
      </c>
      <c r="BM639" s="415" t="s">
        <v>337</v>
      </c>
      <c r="BP639" s="415" t="s">
        <v>337</v>
      </c>
      <c r="BS639" s="415"/>
      <c r="BV639" s="415" t="s">
        <v>337</v>
      </c>
      <c r="BY639" s="415" t="s">
        <v>337</v>
      </c>
      <c r="CB639" s="415" t="s">
        <v>337</v>
      </c>
      <c r="CE639" s="415" t="s">
        <v>337</v>
      </c>
      <c r="CH639" s="415" t="s">
        <v>337</v>
      </c>
      <c r="CK639" s="415" t="s">
        <v>337</v>
      </c>
      <c r="CN639" s="415" t="s">
        <v>337</v>
      </c>
      <c r="CQ639" s="415" t="s">
        <v>337</v>
      </c>
      <c r="CT639" s="415" t="s">
        <v>337</v>
      </c>
    </row>
    <row r="640" spans="1:98">
      <c r="A640" s="1" t="s">
        <v>1404</v>
      </c>
      <c r="B640" s="416" t="s">
        <v>5857</v>
      </c>
      <c r="S640" s="213" t="s">
        <v>5858</v>
      </c>
      <c r="T640" s="416" t="s">
        <v>5859</v>
      </c>
      <c r="U640" s="415" t="s">
        <v>337</v>
      </c>
      <c r="X640" s="415"/>
      <c r="AA640" s="415"/>
      <c r="AD640" s="415"/>
      <c r="AE640" s="417" t="s">
        <v>5860</v>
      </c>
      <c r="AF640" s="416" t="s">
        <v>5861</v>
      </c>
      <c r="AG640" s="415"/>
      <c r="AJ640" s="415" t="s">
        <v>337</v>
      </c>
      <c r="AM640" s="415" t="s">
        <v>337</v>
      </c>
      <c r="AP640" s="415" t="s">
        <v>337</v>
      </c>
      <c r="AS640" s="415" t="s">
        <v>337</v>
      </c>
      <c r="AV640" s="415" t="s">
        <v>337</v>
      </c>
      <c r="AY640" s="415" t="s">
        <v>337</v>
      </c>
      <c r="BB640" s="415" t="s">
        <v>337</v>
      </c>
      <c r="BE640" s="415" t="s">
        <v>337</v>
      </c>
      <c r="BH640" s="415" t="s">
        <v>337</v>
      </c>
      <c r="BM640" s="415" t="s">
        <v>337</v>
      </c>
      <c r="BP640" s="415" t="s">
        <v>337</v>
      </c>
      <c r="BS640" s="415"/>
      <c r="BV640" s="415" t="s">
        <v>337</v>
      </c>
      <c r="BY640" s="415" t="s">
        <v>337</v>
      </c>
      <c r="CB640" s="415" t="s">
        <v>337</v>
      </c>
      <c r="CE640" s="415" t="s">
        <v>337</v>
      </c>
      <c r="CH640" s="415" t="s">
        <v>337</v>
      </c>
      <c r="CK640" s="415" t="s">
        <v>337</v>
      </c>
      <c r="CN640" s="415" t="s">
        <v>337</v>
      </c>
      <c r="CQ640" s="415" t="s">
        <v>337</v>
      </c>
      <c r="CT640" s="415" t="s">
        <v>337</v>
      </c>
    </row>
    <row r="641" spans="1:98">
      <c r="A641" s="1" t="s">
        <v>1404</v>
      </c>
      <c r="B641" s="416" t="s">
        <v>5862</v>
      </c>
      <c r="S641" s="213" t="s">
        <v>5863</v>
      </c>
      <c r="T641" s="416" t="s">
        <v>5864</v>
      </c>
      <c r="U641" s="415" t="s">
        <v>337</v>
      </c>
      <c r="X641" s="415"/>
      <c r="AA641" s="415"/>
      <c r="AD641" s="415"/>
      <c r="AE641" s="417" t="s">
        <v>5865</v>
      </c>
      <c r="AF641" s="416" t="s">
        <v>5866</v>
      </c>
      <c r="AG641" s="415"/>
      <c r="AJ641" s="415" t="s">
        <v>337</v>
      </c>
      <c r="AM641" s="415" t="s">
        <v>337</v>
      </c>
      <c r="AP641" s="415" t="s">
        <v>337</v>
      </c>
      <c r="AS641" s="415" t="s">
        <v>337</v>
      </c>
      <c r="AV641" s="415" t="s">
        <v>337</v>
      </c>
      <c r="AY641" s="415" t="s">
        <v>337</v>
      </c>
      <c r="BB641" s="415" t="s">
        <v>337</v>
      </c>
      <c r="BE641" s="415" t="s">
        <v>337</v>
      </c>
      <c r="BH641" s="415" t="s">
        <v>337</v>
      </c>
      <c r="BM641" s="415" t="s">
        <v>337</v>
      </c>
      <c r="BP641" s="415" t="s">
        <v>337</v>
      </c>
      <c r="BS641" s="415"/>
      <c r="BV641" s="415" t="s">
        <v>337</v>
      </c>
      <c r="BY641" s="415" t="s">
        <v>337</v>
      </c>
      <c r="CB641" s="415" t="s">
        <v>337</v>
      </c>
      <c r="CE641" s="415" t="s">
        <v>337</v>
      </c>
      <c r="CH641" s="415" t="s">
        <v>337</v>
      </c>
      <c r="CK641" s="415" t="s">
        <v>337</v>
      </c>
      <c r="CN641" s="415" t="s">
        <v>337</v>
      </c>
      <c r="CQ641" s="415" t="s">
        <v>337</v>
      </c>
      <c r="CT641" s="415" t="s">
        <v>337</v>
      </c>
    </row>
    <row r="642" spans="1:98">
      <c r="A642" s="1" t="s">
        <v>1404</v>
      </c>
      <c r="B642" s="416" t="s">
        <v>1662</v>
      </c>
      <c r="S642" s="213" t="s">
        <v>5867</v>
      </c>
      <c r="T642" s="416" t="s">
        <v>5868</v>
      </c>
      <c r="U642" s="415" t="s">
        <v>337</v>
      </c>
      <c r="X642" s="415"/>
      <c r="AA642" s="415"/>
      <c r="AD642" s="415"/>
      <c r="AE642" s="417" t="s">
        <v>5869</v>
      </c>
      <c r="AF642" s="416" t="s">
        <v>5870</v>
      </c>
      <c r="AG642" s="415"/>
      <c r="AJ642" s="415" t="s">
        <v>337</v>
      </c>
      <c r="AM642" s="415" t="s">
        <v>337</v>
      </c>
      <c r="AP642" s="415" t="s">
        <v>337</v>
      </c>
      <c r="AS642" s="415" t="s">
        <v>337</v>
      </c>
      <c r="AV642" s="415" t="s">
        <v>337</v>
      </c>
      <c r="AY642" s="415" t="s">
        <v>337</v>
      </c>
      <c r="BB642" s="415" t="s">
        <v>337</v>
      </c>
      <c r="BE642" s="415" t="s">
        <v>337</v>
      </c>
      <c r="BH642" s="415" t="s">
        <v>337</v>
      </c>
      <c r="BM642" s="415" t="s">
        <v>337</v>
      </c>
      <c r="BP642" s="415" t="s">
        <v>337</v>
      </c>
      <c r="BS642" s="415"/>
      <c r="BV642" s="415" t="s">
        <v>337</v>
      </c>
      <c r="BY642" s="415" t="s">
        <v>337</v>
      </c>
      <c r="CB642" s="415" t="s">
        <v>337</v>
      </c>
      <c r="CE642" s="415" t="s">
        <v>337</v>
      </c>
      <c r="CH642" s="415" t="s">
        <v>337</v>
      </c>
      <c r="CK642" s="415" t="s">
        <v>337</v>
      </c>
      <c r="CN642" s="415" t="s">
        <v>337</v>
      </c>
      <c r="CQ642" s="415" t="s">
        <v>337</v>
      </c>
      <c r="CT642" s="415" t="s">
        <v>337</v>
      </c>
    </row>
    <row r="643" spans="1:98">
      <c r="A643" s="1" t="s">
        <v>1404</v>
      </c>
      <c r="B643" s="416" t="s">
        <v>5871</v>
      </c>
      <c r="S643" s="213" t="s">
        <v>5872</v>
      </c>
      <c r="T643" s="416" t="s">
        <v>5873</v>
      </c>
      <c r="U643" s="415" t="s">
        <v>337</v>
      </c>
      <c r="X643" s="415"/>
      <c r="AA643" s="415"/>
      <c r="AD643" s="415"/>
      <c r="AE643" s="417" t="s">
        <v>5874</v>
      </c>
      <c r="AF643" s="416" t="s">
        <v>5875</v>
      </c>
      <c r="AG643" s="415"/>
      <c r="AJ643" s="415" t="s">
        <v>337</v>
      </c>
      <c r="AM643" s="415" t="s">
        <v>337</v>
      </c>
      <c r="AP643" s="415" t="s">
        <v>337</v>
      </c>
      <c r="AS643" s="415" t="s">
        <v>337</v>
      </c>
      <c r="AV643" s="415" t="s">
        <v>337</v>
      </c>
      <c r="AY643" s="415" t="s">
        <v>337</v>
      </c>
      <c r="BB643" s="415" t="s">
        <v>337</v>
      </c>
      <c r="BE643" s="415" t="s">
        <v>337</v>
      </c>
      <c r="BH643" s="415" t="s">
        <v>337</v>
      </c>
      <c r="BM643" s="415" t="s">
        <v>337</v>
      </c>
      <c r="BP643" s="415" t="s">
        <v>337</v>
      </c>
      <c r="BS643" s="415"/>
      <c r="BV643" s="415" t="s">
        <v>337</v>
      </c>
      <c r="BY643" s="415" t="s">
        <v>337</v>
      </c>
      <c r="CB643" s="415" t="s">
        <v>337</v>
      </c>
      <c r="CE643" s="415" t="s">
        <v>337</v>
      </c>
      <c r="CH643" s="415" t="s">
        <v>337</v>
      </c>
      <c r="CK643" s="415" t="s">
        <v>337</v>
      </c>
      <c r="CN643" s="415" t="s">
        <v>337</v>
      </c>
      <c r="CQ643" s="415" t="s">
        <v>337</v>
      </c>
      <c r="CT643" s="415" t="s">
        <v>337</v>
      </c>
    </row>
    <row r="644" spans="1:98">
      <c r="A644" s="1" t="s">
        <v>1404</v>
      </c>
      <c r="B644" s="416" t="s">
        <v>5876</v>
      </c>
      <c r="S644" s="213" t="s">
        <v>5877</v>
      </c>
      <c r="T644" s="416" t="s">
        <v>5878</v>
      </c>
      <c r="U644" s="415" t="s">
        <v>337</v>
      </c>
      <c r="X644" s="415"/>
      <c r="AA644" s="415"/>
      <c r="AD644" s="415"/>
      <c r="AE644" s="417" t="s">
        <v>5879</v>
      </c>
      <c r="AF644" s="416" t="s">
        <v>5880</v>
      </c>
      <c r="AG644" s="415"/>
      <c r="AJ644" s="415" t="s">
        <v>337</v>
      </c>
      <c r="AM644" s="415" t="s">
        <v>337</v>
      </c>
      <c r="AP644" s="415" t="s">
        <v>337</v>
      </c>
      <c r="AS644" s="415" t="s">
        <v>337</v>
      </c>
      <c r="AV644" s="415" t="s">
        <v>337</v>
      </c>
      <c r="AY644" s="415" t="s">
        <v>337</v>
      </c>
      <c r="BB644" s="415" t="s">
        <v>337</v>
      </c>
      <c r="BE644" s="415" t="s">
        <v>337</v>
      </c>
      <c r="BH644" s="415" t="s">
        <v>337</v>
      </c>
      <c r="BM644" s="415" t="s">
        <v>337</v>
      </c>
      <c r="BP644" s="415" t="s">
        <v>337</v>
      </c>
      <c r="BS644" s="415"/>
      <c r="BV644" s="415" t="s">
        <v>337</v>
      </c>
      <c r="BY644" s="415" t="s">
        <v>337</v>
      </c>
      <c r="CB644" s="415" t="s">
        <v>337</v>
      </c>
      <c r="CE644" s="415" t="s">
        <v>337</v>
      </c>
      <c r="CH644" s="415" t="s">
        <v>337</v>
      </c>
      <c r="CK644" s="415" t="s">
        <v>337</v>
      </c>
      <c r="CN644" s="415" t="s">
        <v>337</v>
      </c>
      <c r="CQ644" s="415" t="s">
        <v>337</v>
      </c>
      <c r="CT644" s="415" t="s">
        <v>337</v>
      </c>
    </row>
    <row r="645" spans="1:98">
      <c r="A645" s="1" t="s">
        <v>1418</v>
      </c>
      <c r="B645" s="416" t="s">
        <v>5881</v>
      </c>
      <c r="S645" s="213" t="s">
        <v>5882</v>
      </c>
      <c r="T645" s="416" t="s">
        <v>5883</v>
      </c>
      <c r="U645" s="415" t="s">
        <v>337</v>
      </c>
      <c r="X645" s="415"/>
      <c r="AA645" s="415"/>
      <c r="AD645" s="415"/>
      <c r="AE645" s="417" t="s">
        <v>5884</v>
      </c>
      <c r="AF645" s="416" t="s">
        <v>5885</v>
      </c>
      <c r="AG645" s="415"/>
      <c r="AJ645" s="415" t="s">
        <v>337</v>
      </c>
      <c r="AM645" s="415" t="s">
        <v>337</v>
      </c>
      <c r="AP645" s="415" t="s">
        <v>337</v>
      </c>
      <c r="AS645" s="415" t="s">
        <v>337</v>
      </c>
      <c r="AV645" s="415" t="s">
        <v>337</v>
      </c>
      <c r="AY645" s="415" t="s">
        <v>337</v>
      </c>
      <c r="BB645" s="415" t="s">
        <v>337</v>
      </c>
      <c r="BE645" s="415" t="s">
        <v>337</v>
      </c>
      <c r="BH645" s="415" t="s">
        <v>337</v>
      </c>
      <c r="BM645" s="415" t="s">
        <v>337</v>
      </c>
      <c r="BP645" s="415" t="s">
        <v>337</v>
      </c>
      <c r="BS645" s="415"/>
      <c r="BV645" s="415" t="s">
        <v>337</v>
      </c>
      <c r="BY645" s="415" t="s">
        <v>337</v>
      </c>
      <c r="CB645" s="415" t="s">
        <v>337</v>
      </c>
      <c r="CE645" s="415" t="s">
        <v>337</v>
      </c>
      <c r="CH645" s="415" t="s">
        <v>337</v>
      </c>
      <c r="CK645" s="415" t="s">
        <v>337</v>
      </c>
      <c r="CN645" s="415" t="s">
        <v>337</v>
      </c>
      <c r="CQ645" s="415" t="s">
        <v>337</v>
      </c>
      <c r="CT645" s="415" t="s">
        <v>337</v>
      </c>
    </row>
    <row r="646" spans="1:98">
      <c r="A646" s="1" t="s">
        <v>1418</v>
      </c>
      <c r="B646" s="416" t="s">
        <v>5886</v>
      </c>
      <c r="S646" s="213" t="s">
        <v>5887</v>
      </c>
      <c r="T646" s="416" t="s">
        <v>5888</v>
      </c>
      <c r="U646" s="415" t="s">
        <v>337</v>
      </c>
      <c r="X646" s="415"/>
      <c r="AA646" s="415"/>
      <c r="AD646" s="415"/>
      <c r="AE646" s="417" t="s">
        <v>5889</v>
      </c>
      <c r="AF646" s="416" t="s">
        <v>5890</v>
      </c>
      <c r="AG646" s="415"/>
      <c r="AJ646" s="415" t="s">
        <v>337</v>
      </c>
      <c r="AM646" s="415" t="s">
        <v>337</v>
      </c>
      <c r="AP646" s="415" t="s">
        <v>337</v>
      </c>
      <c r="AS646" s="415" t="s">
        <v>337</v>
      </c>
      <c r="AV646" s="415" t="s">
        <v>337</v>
      </c>
      <c r="AY646" s="415" t="s">
        <v>337</v>
      </c>
      <c r="BB646" s="415" t="s">
        <v>337</v>
      </c>
      <c r="BE646" s="415" t="s">
        <v>337</v>
      </c>
      <c r="BH646" s="415" t="s">
        <v>337</v>
      </c>
      <c r="BM646" s="415" t="s">
        <v>337</v>
      </c>
      <c r="BP646" s="415" t="s">
        <v>337</v>
      </c>
      <c r="BS646" s="415"/>
      <c r="BV646" s="415" t="s">
        <v>337</v>
      </c>
      <c r="BY646" s="415" t="s">
        <v>337</v>
      </c>
      <c r="CB646" s="415" t="s">
        <v>337</v>
      </c>
      <c r="CE646" s="415" t="s">
        <v>337</v>
      </c>
      <c r="CH646" s="415" t="s">
        <v>337</v>
      </c>
      <c r="CK646" s="415" t="s">
        <v>337</v>
      </c>
      <c r="CN646" s="415" t="s">
        <v>337</v>
      </c>
      <c r="CQ646" s="415" t="s">
        <v>337</v>
      </c>
      <c r="CT646" s="415" t="s">
        <v>337</v>
      </c>
    </row>
    <row r="647" spans="1:98">
      <c r="A647" s="1" t="s">
        <v>1418</v>
      </c>
      <c r="B647" s="416" t="s">
        <v>5891</v>
      </c>
      <c r="S647" s="213" t="s">
        <v>5892</v>
      </c>
      <c r="T647" s="416" t="s">
        <v>5893</v>
      </c>
      <c r="U647" s="415" t="s">
        <v>337</v>
      </c>
      <c r="X647" s="415"/>
      <c r="AA647" s="415"/>
      <c r="AD647" s="415"/>
      <c r="AE647" s="417" t="s">
        <v>5894</v>
      </c>
      <c r="AF647" s="416" t="s">
        <v>5895</v>
      </c>
      <c r="AG647" s="415"/>
      <c r="AJ647" s="415" t="s">
        <v>337</v>
      </c>
      <c r="AM647" s="415" t="s">
        <v>337</v>
      </c>
      <c r="AP647" s="415" t="s">
        <v>337</v>
      </c>
      <c r="AS647" s="415" t="s">
        <v>337</v>
      </c>
      <c r="AV647" s="415" t="s">
        <v>337</v>
      </c>
      <c r="AY647" s="415" t="s">
        <v>337</v>
      </c>
      <c r="BB647" s="415" t="s">
        <v>337</v>
      </c>
      <c r="BE647" s="415" t="s">
        <v>337</v>
      </c>
      <c r="BH647" s="415" t="s">
        <v>337</v>
      </c>
      <c r="BM647" s="415" t="s">
        <v>337</v>
      </c>
      <c r="BP647" s="415" t="s">
        <v>337</v>
      </c>
      <c r="BS647" s="415"/>
      <c r="BV647" s="415" t="s">
        <v>337</v>
      </c>
      <c r="BY647" s="415" t="s">
        <v>337</v>
      </c>
      <c r="CB647" s="415" t="s">
        <v>337</v>
      </c>
      <c r="CE647" s="415" t="s">
        <v>337</v>
      </c>
      <c r="CH647" s="415" t="s">
        <v>337</v>
      </c>
      <c r="CK647" s="415" t="s">
        <v>337</v>
      </c>
      <c r="CN647" s="415" t="s">
        <v>337</v>
      </c>
      <c r="CQ647" s="415" t="s">
        <v>337</v>
      </c>
      <c r="CT647" s="415" t="s">
        <v>337</v>
      </c>
    </row>
    <row r="648" spans="1:98">
      <c r="A648" s="1" t="s">
        <v>1418</v>
      </c>
      <c r="B648" s="416" t="s">
        <v>5896</v>
      </c>
      <c r="S648" s="213" t="s">
        <v>5897</v>
      </c>
      <c r="T648" s="416" t="s">
        <v>5898</v>
      </c>
      <c r="U648" s="415" t="s">
        <v>337</v>
      </c>
      <c r="X648" s="415"/>
      <c r="AA648" s="415"/>
      <c r="AD648" s="415"/>
      <c r="AE648" s="417" t="s">
        <v>5899</v>
      </c>
      <c r="AF648" s="416" t="s">
        <v>5900</v>
      </c>
      <c r="AG648" s="415"/>
      <c r="AJ648" s="415" t="s">
        <v>337</v>
      </c>
      <c r="AM648" s="415" t="s">
        <v>337</v>
      </c>
      <c r="AP648" s="415" t="s">
        <v>337</v>
      </c>
      <c r="AS648" s="415" t="s">
        <v>337</v>
      </c>
      <c r="AV648" s="415" t="s">
        <v>337</v>
      </c>
      <c r="AY648" s="415" t="s">
        <v>337</v>
      </c>
      <c r="BB648" s="415" t="s">
        <v>337</v>
      </c>
      <c r="BE648" s="415" t="s">
        <v>337</v>
      </c>
      <c r="BH648" s="415" t="s">
        <v>337</v>
      </c>
      <c r="BM648" s="415" t="s">
        <v>337</v>
      </c>
      <c r="BP648" s="415" t="s">
        <v>337</v>
      </c>
      <c r="BS648" s="415"/>
      <c r="BV648" s="415" t="s">
        <v>337</v>
      </c>
      <c r="BY648" s="415" t="s">
        <v>337</v>
      </c>
      <c r="CB648" s="415" t="s">
        <v>337</v>
      </c>
      <c r="CE648" s="415" t="s">
        <v>337</v>
      </c>
      <c r="CH648" s="415" t="s">
        <v>337</v>
      </c>
      <c r="CK648" s="415" t="s">
        <v>337</v>
      </c>
      <c r="CN648" s="415" t="s">
        <v>337</v>
      </c>
      <c r="CQ648" s="415" t="s">
        <v>337</v>
      </c>
      <c r="CT648" s="415" t="s">
        <v>337</v>
      </c>
    </row>
    <row r="649" spans="1:98">
      <c r="A649" s="1" t="s">
        <v>1418</v>
      </c>
      <c r="B649" s="416" t="s">
        <v>5901</v>
      </c>
      <c r="S649" s="213" t="s">
        <v>5902</v>
      </c>
      <c r="T649" s="416" t="s">
        <v>5903</v>
      </c>
      <c r="U649" s="415" t="s">
        <v>337</v>
      </c>
      <c r="X649" s="415"/>
      <c r="AA649" s="415"/>
      <c r="AD649" s="415"/>
      <c r="AE649" s="417" t="s">
        <v>5904</v>
      </c>
      <c r="AF649" s="416" t="s">
        <v>5905</v>
      </c>
      <c r="AG649" s="415"/>
      <c r="AJ649" s="415" t="s">
        <v>337</v>
      </c>
      <c r="AM649" s="415" t="s">
        <v>337</v>
      </c>
      <c r="AP649" s="415" t="s">
        <v>337</v>
      </c>
      <c r="AS649" s="415" t="s">
        <v>337</v>
      </c>
      <c r="AV649" s="415" t="s">
        <v>337</v>
      </c>
      <c r="AY649" s="415" t="s">
        <v>337</v>
      </c>
      <c r="BB649" s="415" t="s">
        <v>337</v>
      </c>
      <c r="BE649" s="415" t="s">
        <v>337</v>
      </c>
      <c r="BH649" s="415" t="s">
        <v>337</v>
      </c>
      <c r="BM649" s="415" t="s">
        <v>337</v>
      </c>
      <c r="BP649" s="415" t="s">
        <v>337</v>
      </c>
      <c r="BS649" s="415"/>
      <c r="BV649" s="415" t="s">
        <v>337</v>
      </c>
      <c r="BY649" s="415" t="s">
        <v>337</v>
      </c>
      <c r="CB649" s="415" t="s">
        <v>337</v>
      </c>
      <c r="CE649" s="415" t="s">
        <v>337</v>
      </c>
      <c r="CH649" s="415" t="s">
        <v>337</v>
      </c>
      <c r="CK649" s="415" t="s">
        <v>337</v>
      </c>
      <c r="CN649" s="415" t="s">
        <v>337</v>
      </c>
      <c r="CQ649" s="415" t="s">
        <v>337</v>
      </c>
      <c r="CT649" s="415" t="s">
        <v>337</v>
      </c>
    </row>
    <row r="650" spans="1:98">
      <c r="A650" s="1" t="s">
        <v>1418</v>
      </c>
      <c r="B650" s="416" t="s">
        <v>5906</v>
      </c>
      <c r="S650" s="213" t="s">
        <v>5907</v>
      </c>
      <c r="T650" s="416" t="s">
        <v>5908</v>
      </c>
      <c r="U650" s="415" t="s">
        <v>337</v>
      </c>
      <c r="X650" s="415"/>
      <c r="AA650" s="415"/>
      <c r="AD650" s="415"/>
      <c r="AE650" s="417" t="s">
        <v>5909</v>
      </c>
      <c r="AF650" s="416" t="s">
        <v>5910</v>
      </c>
      <c r="AG650" s="415"/>
      <c r="AJ650" s="415" t="s">
        <v>337</v>
      </c>
      <c r="AM650" s="415" t="s">
        <v>337</v>
      </c>
      <c r="AP650" s="415" t="s">
        <v>337</v>
      </c>
      <c r="AS650" s="415" t="s">
        <v>337</v>
      </c>
      <c r="AV650" s="415" t="s">
        <v>337</v>
      </c>
      <c r="AY650" s="415" t="s">
        <v>337</v>
      </c>
      <c r="BB650" s="415" t="s">
        <v>337</v>
      </c>
      <c r="BE650" s="415" t="s">
        <v>337</v>
      </c>
      <c r="BH650" s="415" t="s">
        <v>337</v>
      </c>
      <c r="BM650" s="415" t="s">
        <v>337</v>
      </c>
      <c r="BP650" s="415" t="s">
        <v>337</v>
      </c>
      <c r="BS650" s="415"/>
      <c r="BV650" s="415" t="s">
        <v>337</v>
      </c>
      <c r="BY650" s="415" t="s">
        <v>337</v>
      </c>
      <c r="CB650" s="415" t="s">
        <v>337</v>
      </c>
      <c r="CE650" s="415" t="s">
        <v>337</v>
      </c>
      <c r="CH650" s="415" t="s">
        <v>337</v>
      </c>
      <c r="CK650" s="415" t="s">
        <v>337</v>
      </c>
      <c r="CN650" s="415" t="s">
        <v>337</v>
      </c>
      <c r="CQ650" s="415" t="s">
        <v>337</v>
      </c>
      <c r="CT650" s="415" t="s">
        <v>337</v>
      </c>
    </row>
    <row r="651" spans="1:98">
      <c r="A651" s="1" t="s">
        <v>1418</v>
      </c>
      <c r="B651" s="416" t="s">
        <v>5911</v>
      </c>
      <c r="S651" s="213" t="s">
        <v>5912</v>
      </c>
      <c r="T651" s="416" t="s">
        <v>5913</v>
      </c>
      <c r="U651" s="415" t="s">
        <v>337</v>
      </c>
      <c r="X651" s="415"/>
      <c r="AA651" s="415"/>
      <c r="AD651" s="415"/>
      <c r="AE651" s="417" t="s">
        <v>5914</v>
      </c>
      <c r="AF651" s="416" t="s">
        <v>5915</v>
      </c>
      <c r="AG651" s="415"/>
      <c r="AJ651" s="415" t="s">
        <v>337</v>
      </c>
      <c r="AM651" s="415" t="s">
        <v>337</v>
      </c>
      <c r="AP651" s="415" t="s">
        <v>337</v>
      </c>
      <c r="AS651" s="415" t="s">
        <v>337</v>
      </c>
      <c r="AV651" s="415" t="s">
        <v>337</v>
      </c>
      <c r="AY651" s="415" t="s">
        <v>337</v>
      </c>
      <c r="BB651" s="415" t="s">
        <v>337</v>
      </c>
      <c r="BE651" s="415" t="s">
        <v>337</v>
      </c>
      <c r="BH651" s="415" t="s">
        <v>337</v>
      </c>
      <c r="BM651" s="415" t="s">
        <v>337</v>
      </c>
      <c r="BP651" s="415" t="s">
        <v>337</v>
      </c>
      <c r="BS651" s="415"/>
      <c r="BV651" s="415" t="s">
        <v>337</v>
      </c>
      <c r="BY651" s="415" t="s">
        <v>337</v>
      </c>
      <c r="CB651" s="415" t="s">
        <v>337</v>
      </c>
      <c r="CE651" s="415" t="s">
        <v>337</v>
      </c>
      <c r="CH651" s="415" t="s">
        <v>337</v>
      </c>
      <c r="CK651" s="415" t="s">
        <v>337</v>
      </c>
      <c r="CN651" s="415" t="s">
        <v>337</v>
      </c>
      <c r="CQ651" s="415" t="s">
        <v>337</v>
      </c>
      <c r="CT651" s="415" t="s">
        <v>337</v>
      </c>
    </row>
    <row r="652" spans="1:98">
      <c r="A652" s="1" t="s">
        <v>1418</v>
      </c>
      <c r="B652" s="416" t="s">
        <v>5916</v>
      </c>
      <c r="S652" s="213" t="s">
        <v>5917</v>
      </c>
      <c r="T652" s="416" t="s">
        <v>5918</v>
      </c>
      <c r="U652" s="415" t="s">
        <v>337</v>
      </c>
      <c r="X652" s="415"/>
      <c r="AA652" s="415"/>
      <c r="AD652" s="415"/>
      <c r="AE652" s="417" t="s">
        <v>5919</v>
      </c>
      <c r="AF652" s="416" t="s">
        <v>5920</v>
      </c>
      <c r="AG652" s="415"/>
      <c r="AJ652" s="415" t="s">
        <v>337</v>
      </c>
      <c r="AM652" s="415" t="s">
        <v>337</v>
      </c>
      <c r="AP652" s="415" t="s">
        <v>337</v>
      </c>
      <c r="AS652" s="415" t="s">
        <v>337</v>
      </c>
      <c r="AV652" s="415" t="s">
        <v>337</v>
      </c>
      <c r="AY652" s="415" t="s">
        <v>337</v>
      </c>
      <c r="BB652" s="415" t="s">
        <v>337</v>
      </c>
      <c r="BE652" s="415" t="s">
        <v>337</v>
      </c>
      <c r="BH652" s="415" t="s">
        <v>337</v>
      </c>
      <c r="BM652" s="415" t="s">
        <v>337</v>
      </c>
      <c r="BP652" s="415" t="s">
        <v>337</v>
      </c>
      <c r="BS652" s="415"/>
      <c r="BV652" s="415" t="s">
        <v>337</v>
      </c>
      <c r="BY652" s="415" t="s">
        <v>337</v>
      </c>
      <c r="CB652" s="415" t="s">
        <v>337</v>
      </c>
      <c r="CE652" s="415" t="s">
        <v>337</v>
      </c>
      <c r="CH652" s="415" t="s">
        <v>337</v>
      </c>
      <c r="CK652" s="415" t="s">
        <v>337</v>
      </c>
      <c r="CN652" s="415" t="s">
        <v>337</v>
      </c>
      <c r="CQ652" s="415" t="s">
        <v>337</v>
      </c>
      <c r="CT652" s="415" t="s">
        <v>337</v>
      </c>
    </row>
    <row r="653" spans="1:98">
      <c r="A653" s="1" t="s">
        <v>1418</v>
      </c>
      <c r="B653" s="416" t="s">
        <v>5921</v>
      </c>
      <c r="S653" s="213" t="s">
        <v>5922</v>
      </c>
      <c r="T653" s="416" t="s">
        <v>5923</v>
      </c>
      <c r="U653" s="415" t="s">
        <v>337</v>
      </c>
      <c r="X653" s="415"/>
      <c r="AA653" s="415"/>
      <c r="AD653" s="415"/>
      <c r="AE653" s="417" t="s">
        <v>5924</v>
      </c>
      <c r="AF653" s="416" t="s">
        <v>5925</v>
      </c>
      <c r="AG653" s="415"/>
      <c r="AJ653" s="415" t="s">
        <v>337</v>
      </c>
      <c r="AM653" s="415" t="s">
        <v>337</v>
      </c>
      <c r="AP653" s="415" t="s">
        <v>337</v>
      </c>
      <c r="AS653" s="415" t="s">
        <v>337</v>
      </c>
      <c r="AV653" s="415" t="s">
        <v>337</v>
      </c>
      <c r="AY653" s="415" t="s">
        <v>337</v>
      </c>
      <c r="BB653" s="415" t="s">
        <v>337</v>
      </c>
      <c r="BE653" s="415" t="s">
        <v>337</v>
      </c>
      <c r="BH653" s="415" t="s">
        <v>337</v>
      </c>
      <c r="BM653" s="415" t="s">
        <v>337</v>
      </c>
      <c r="BP653" s="415" t="s">
        <v>337</v>
      </c>
      <c r="BS653" s="415"/>
      <c r="BV653" s="415" t="s">
        <v>337</v>
      </c>
      <c r="BY653" s="415" t="s">
        <v>337</v>
      </c>
      <c r="CB653" s="415" t="s">
        <v>337</v>
      </c>
      <c r="CE653" s="415" t="s">
        <v>337</v>
      </c>
      <c r="CH653" s="415" t="s">
        <v>337</v>
      </c>
      <c r="CK653" s="415" t="s">
        <v>337</v>
      </c>
      <c r="CN653" s="415" t="s">
        <v>337</v>
      </c>
      <c r="CQ653" s="415" t="s">
        <v>337</v>
      </c>
      <c r="CT653" s="415" t="s">
        <v>337</v>
      </c>
    </row>
    <row r="654" spans="1:98">
      <c r="A654" s="1" t="s">
        <v>1418</v>
      </c>
      <c r="B654" s="416" t="s">
        <v>5921</v>
      </c>
      <c r="S654" s="213" t="s">
        <v>5926</v>
      </c>
      <c r="T654" s="416" t="s">
        <v>5927</v>
      </c>
      <c r="U654" s="415" t="s">
        <v>337</v>
      </c>
      <c r="X654" s="415"/>
      <c r="AA654" s="415"/>
      <c r="AD654" s="415"/>
      <c r="AE654" s="417" t="s">
        <v>5928</v>
      </c>
      <c r="AF654" s="416" t="s">
        <v>5929</v>
      </c>
      <c r="AG654" s="415"/>
      <c r="AJ654" s="415" t="s">
        <v>337</v>
      </c>
      <c r="AM654" s="415" t="s">
        <v>337</v>
      </c>
      <c r="AP654" s="415" t="s">
        <v>337</v>
      </c>
      <c r="AS654" s="415" t="s">
        <v>337</v>
      </c>
      <c r="AV654" s="415" t="s">
        <v>337</v>
      </c>
      <c r="AY654" s="415" t="s">
        <v>337</v>
      </c>
      <c r="BB654" s="415" t="s">
        <v>337</v>
      </c>
      <c r="BE654" s="415" t="s">
        <v>337</v>
      </c>
      <c r="BH654" s="415" t="s">
        <v>337</v>
      </c>
      <c r="BM654" s="415" t="s">
        <v>337</v>
      </c>
      <c r="BP654" s="415" t="s">
        <v>337</v>
      </c>
      <c r="BS654" s="415"/>
      <c r="BV654" s="415" t="s">
        <v>337</v>
      </c>
      <c r="BY654" s="415" t="s">
        <v>337</v>
      </c>
      <c r="CB654" s="415" t="s">
        <v>337</v>
      </c>
      <c r="CE654" s="415" t="s">
        <v>337</v>
      </c>
      <c r="CH654" s="415" t="s">
        <v>337</v>
      </c>
      <c r="CK654" s="415" t="s">
        <v>337</v>
      </c>
      <c r="CN654" s="415" t="s">
        <v>337</v>
      </c>
      <c r="CQ654" s="415" t="s">
        <v>337</v>
      </c>
      <c r="CT654" s="415" t="s">
        <v>337</v>
      </c>
    </row>
    <row r="655" spans="1:98">
      <c r="A655" s="1" t="s">
        <v>1418</v>
      </c>
      <c r="B655" s="416" t="s">
        <v>5930</v>
      </c>
      <c r="S655" s="213" t="s">
        <v>5931</v>
      </c>
      <c r="T655" s="416" t="s">
        <v>5932</v>
      </c>
      <c r="U655" s="415" t="s">
        <v>337</v>
      </c>
      <c r="X655" s="415"/>
      <c r="AA655" s="415"/>
      <c r="AD655" s="415"/>
      <c r="AE655" s="417" t="s">
        <v>5933</v>
      </c>
      <c r="AF655" s="416" t="s">
        <v>5934</v>
      </c>
      <c r="AG655" s="415"/>
      <c r="AJ655" s="415" t="s">
        <v>337</v>
      </c>
      <c r="AM655" s="415" t="s">
        <v>337</v>
      </c>
      <c r="AP655" s="415" t="s">
        <v>337</v>
      </c>
      <c r="AS655" s="415" t="s">
        <v>337</v>
      </c>
      <c r="AV655" s="415" t="s">
        <v>337</v>
      </c>
      <c r="AY655" s="415" t="s">
        <v>337</v>
      </c>
      <c r="BB655" s="415" t="s">
        <v>337</v>
      </c>
      <c r="BE655" s="415" t="s">
        <v>337</v>
      </c>
      <c r="BH655" s="415" t="s">
        <v>337</v>
      </c>
      <c r="BM655" s="415" t="s">
        <v>337</v>
      </c>
      <c r="BP655" s="415" t="s">
        <v>337</v>
      </c>
      <c r="BS655" s="415"/>
      <c r="BV655" s="415" t="s">
        <v>337</v>
      </c>
      <c r="BY655" s="415" t="s">
        <v>337</v>
      </c>
      <c r="CB655" s="415" t="s">
        <v>337</v>
      </c>
      <c r="CE655" s="415" t="s">
        <v>337</v>
      </c>
      <c r="CH655" s="415" t="s">
        <v>337</v>
      </c>
      <c r="CK655" s="415" t="s">
        <v>337</v>
      </c>
      <c r="CN655" s="415" t="s">
        <v>337</v>
      </c>
      <c r="CQ655" s="415" t="s">
        <v>337</v>
      </c>
      <c r="CT655" s="415" t="s">
        <v>337</v>
      </c>
    </row>
    <row r="656" spans="1:98">
      <c r="A656" s="1" t="s">
        <v>1418</v>
      </c>
      <c r="B656" s="416" t="s">
        <v>5935</v>
      </c>
      <c r="S656" s="213" t="s">
        <v>5936</v>
      </c>
      <c r="T656" s="416" t="s">
        <v>5937</v>
      </c>
      <c r="U656" s="415" t="s">
        <v>337</v>
      </c>
      <c r="X656" s="415"/>
      <c r="AA656" s="415"/>
      <c r="AD656" s="415"/>
      <c r="AE656" s="417" t="s">
        <v>5938</v>
      </c>
      <c r="AF656" s="416" t="s">
        <v>5939</v>
      </c>
      <c r="AG656" s="415"/>
      <c r="AJ656" s="415" t="s">
        <v>337</v>
      </c>
      <c r="AM656" s="415" t="s">
        <v>337</v>
      </c>
      <c r="AP656" s="415" t="s">
        <v>337</v>
      </c>
      <c r="AS656" s="415" t="s">
        <v>337</v>
      </c>
      <c r="AV656" s="415" t="s">
        <v>337</v>
      </c>
      <c r="AY656" s="415" t="s">
        <v>337</v>
      </c>
      <c r="BB656" s="415" t="s">
        <v>337</v>
      </c>
      <c r="BE656" s="415" t="s">
        <v>337</v>
      </c>
      <c r="BH656" s="415" t="s">
        <v>337</v>
      </c>
      <c r="BM656" s="415" t="s">
        <v>337</v>
      </c>
      <c r="BP656" s="415" t="s">
        <v>337</v>
      </c>
      <c r="BS656" s="415"/>
      <c r="BV656" s="415" t="s">
        <v>337</v>
      </c>
      <c r="BY656" s="415" t="s">
        <v>337</v>
      </c>
      <c r="CB656" s="415" t="s">
        <v>337</v>
      </c>
      <c r="CE656" s="415" t="s">
        <v>337</v>
      </c>
      <c r="CH656" s="415" t="s">
        <v>337</v>
      </c>
      <c r="CK656" s="415" t="s">
        <v>337</v>
      </c>
      <c r="CN656" s="415" t="s">
        <v>337</v>
      </c>
      <c r="CQ656" s="415" t="s">
        <v>337</v>
      </c>
      <c r="CT656" s="415" t="s">
        <v>337</v>
      </c>
    </row>
    <row r="657" spans="1:98">
      <c r="A657" s="1" t="s">
        <v>1432</v>
      </c>
      <c r="B657" s="416" t="s">
        <v>5940</v>
      </c>
      <c r="S657" s="213" t="s">
        <v>5941</v>
      </c>
      <c r="T657" s="416" t="s">
        <v>5942</v>
      </c>
      <c r="U657" s="415" t="s">
        <v>337</v>
      </c>
      <c r="X657" s="415"/>
      <c r="AA657" s="415"/>
      <c r="AD657" s="415"/>
      <c r="AE657" s="417" t="s">
        <v>5943</v>
      </c>
      <c r="AF657" s="416" t="s">
        <v>5944</v>
      </c>
      <c r="AG657" s="415"/>
      <c r="AJ657" s="415" t="s">
        <v>337</v>
      </c>
      <c r="AM657" s="415" t="s">
        <v>337</v>
      </c>
      <c r="AP657" s="415" t="s">
        <v>337</v>
      </c>
      <c r="AS657" s="415" t="s">
        <v>337</v>
      </c>
      <c r="AV657" s="415" t="s">
        <v>337</v>
      </c>
      <c r="AY657" s="415" t="s">
        <v>337</v>
      </c>
      <c r="BB657" s="415" t="s">
        <v>337</v>
      </c>
      <c r="BE657" s="415" t="s">
        <v>337</v>
      </c>
      <c r="BH657" s="415" t="s">
        <v>337</v>
      </c>
      <c r="BM657" s="415" t="s">
        <v>337</v>
      </c>
      <c r="BP657" s="415" t="s">
        <v>337</v>
      </c>
      <c r="BS657" s="415"/>
      <c r="BV657" s="415" t="s">
        <v>337</v>
      </c>
      <c r="BY657" s="415" t="s">
        <v>337</v>
      </c>
      <c r="CB657" s="415" t="s">
        <v>337</v>
      </c>
      <c r="CE657" s="415" t="s">
        <v>337</v>
      </c>
      <c r="CH657" s="415" t="s">
        <v>337</v>
      </c>
      <c r="CK657" s="415" t="s">
        <v>337</v>
      </c>
      <c r="CN657" s="415" t="s">
        <v>337</v>
      </c>
      <c r="CQ657" s="415" t="s">
        <v>337</v>
      </c>
      <c r="CT657" s="415" t="s">
        <v>337</v>
      </c>
    </row>
    <row r="658" spans="1:98">
      <c r="A658" s="1" t="s">
        <v>1432</v>
      </c>
      <c r="B658" s="416" t="s">
        <v>5945</v>
      </c>
      <c r="S658" s="213" t="s">
        <v>5946</v>
      </c>
      <c r="T658" s="416" t="s">
        <v>5947</v>
      </c>
      <c r="U658" s="415" t="s">
        <v>337</v>
      </c>
      <c r="X658" s="415"/>
      <c r="AA658" s="415"/>
      <c r="AD658" s="415"/>
      <c r="AE658" s="417" t="s">
        <v>5948</v>
      </c>
      <c r="AF658" s="416" t="s">
        <v>5949</v>
      </c>
      <c r="AG658" s="415"/>
      <c r="AJ658" s="415" t="s">
        <v>337</v>
      </c>
      <c r="AM658" s="415" t="s">
        <v>337</v>
      </c>
      <c r="AP658" s="415" t="s">
        <v>337</v>
      </c>
      <c r="AS658" s="415" t="s">
        <v>337</v>
      </c>
      <c r="AV658" s="415" t="s">
        <v>337</v>
      </c>
      <c r="AY658" s="415" t="s">
        <v>337</v>
      </c>
      <c r="BB658" s="415" t="s">
        <v>337</v>
      </c>
      <c r="BE658" s="415" t="s">
        <v>337</v>
      </c>
      <c r="BH658" s="415" t="s">
        <v>337</v>
      </c>
      <c r="BM658" s="415" t="s">
        <v>337</v>
      </c>
      <c r="BP658" s="415" t="s">
        <v>337</v>
      </c>
      <c r="BS658" s="415"/>
      <c r="BV658" s="415" t="s">
        <v>337</v>
      </c>
      <c r="BY658" s="415" t="s">
        <v>337</v>
      </c>
      <c r="CB658" s="415" t="s">
        <v>337</v>
      </c>
      <c r="CE658" s="415" t="s">
        <v>337</v>
      </c>
      <c r="CH658" s="415" t="s">
        <v>337</v>
      </c>
      <c r="CK658" s="415" t="s">
        <v>337</v>
      </c>
      <c r="CN658" s="415" t="s">
        <v>337</v>
      </c>
      <c r="CQ658" s="415" t="s">
        <v>337</v>
      </c>
      <c r="CT658" s="415" t="s">
        <v>337</v>
      </c>
    </row>
    <row r="659" spans="1:98">
      <c r="A659" s="1" t="s">
        <v>1432</v>
      </c>
      <c r="B659" s="416" t="s">
        <v>5950</v>
      </c>
      <c r="S659" s="213" t="s">
        <v>5951</v>
      </c>
      <c r="T659" s="416" t="s">
        <v>5952</v>
      </c>
      <c r="U659" s="415" t="s">
        <v>337</v>
      </c>
      <c r="X659" s="415"/>
      <c r="AA659" s="415"/>
      <c r="AD659" s="415"/>
      <c r="AE659" s="417" t="s">
        <v>5953</v>
      </c>
      <c r="AF659" s="416" t="s">
        <v>5954</v>
      </c>
      <c r="AG659" s="415"/>
      <c r="AJ659" s="415" t="s">
        <v>337</v>
      </c>
      <c r="AM659" s="415" t="s">
        <v>337</v>
      </c>
      <c r="AP659" s="415" t="s">
        <v>337</v>
      </c>
      <c r="AS659" s="415" t="s">
        <v>337</v>
      </c>
      <c r="AV659" s="415" t="s">
        <v>337</v>
      </c>
      <c r="AY659" s="415" t="s">
        <v>337</v>
      </c>
      <c r="BB659" s="415" t="s">
        <v>337</v>
      </c>
      <c r="BE659" s="415" t="s">
        <v>337</v>
      </c>
      <c r="BH659" s="415" t="s">
        <v>337</v>
      </c>
      <c r="BM659" s="415" t="s">
        <v>337</v>
      </c>
      <c r="BP659" s="415" t="s">
        <v>337</v>
      </c>
      <c r="BS659" s="415"/>
      <c r="BV659" s="415" t="s">
        <v>337</v>
      </c>
      <c r="BY659" s="415" t="s">
        <v>337</v>
      </c>
      <c r="CB659" s="415" t="s">
        <v>337</v>
      </c>
      <c r="CE659" s="415" t="s">
        <v>337</v>
      </c>
      <c r="CH659" s="415" t="s">
        <v>337</v>
      </c>
      <c r="CK659" s="415" t="s">
        <v>337</v>
      </c>
      <c r="CN659" s="415" t="s">
        <v>337</v>
      </c>
      <c r="CQ659" s="415" t="s">
        <v>337</v>
      </c>
      <c r="CT659" s="415" t="s">
        <v>337</v>
      </c>
    </row>
    <row r="660" spans="1:98">
      <c r="A660" s="1" t="s">
        <v>1432</v>
      </c>
      <c r="B660" s="416" t="s">
        <v>5955</v>
      </c>
      <c r="S660" s="213" t="s">
        <v>5956</v>
      </c>
      <c r="T660" s="416" t="s">
        <v>5957</v>
      </c>
      <c r="U660" s="415" t="s">
        <v>337</v>
      </c>
      <c r="X660" s="415"/>
      <c r="AA660" s="415"/>
      <c r="AD660" s="415"/>
      <c r="AE660" s="417" t="s">
        <v>5958</v>
      </c>
      <c r="AF660" s="416" t="s">
        <v>5959</v>
      </c>
      <c r="AG660" s="415"/>
      <c r="AJ660" s="415" t="s">
        <v>337</v>
      </c>
      <c r="AM660" s="415" t="s">
        <v>337</v>
      </c>
      <c r="AP660" s="415" t="s">
        <v>337</v>
      </c>
      <c r="AS660" s="415" t="s">
        <v>337</v>
      </c>
      <c r="AV660" s="415" t="s">
        <v>337</v>
      </c>
      <c r="AY660" s="415" t="s">
        <v>337</v>
      </c>
      <c r="BB660" s="415" t="s">
        <v>337</v>
      </c>
      <c r="BE660" s="415" t="s">
        <v>337</v>
      </c>
      <c r="BH660" s="415" t="s">
        <v>337</v>
      </c>
      <c r="BM660" s="415" t="s">
        <v>337</v>
      </c>
      <c r="BP660" s="415" t="s">
        <v>337</v>
      </c>
      <c r="BS660" s="415"/>
      <c r="BV660" s="415" t="s">
        <v>337</v>
      </c>
      <c r="BY660" s="415" t="s">
        <v>337</v>
      </c>
      <c r="CB660" s="415" t="s">
        <v>337</v>
      </c>
      <c r="CE660" s="415" t="s">
        <v>337</v>
      </c>
      <c r="CH660" s="415" t="s">
        <v>337</v>
      </c>
      <c r="CK660" s="415" t="s">
        <v>337</v>
      </c>
      <c r="CN660" s="415" t="s">
        <v>337</v>
      </c>
      <c r="CQ660" s="415" t="s">
        <v>337</v>
      </c>
      <c r="CT660" s="415" t="s">
        <v>337</v>
      </c>
    </row>
    <row r="661" spans="1:98">
      <c r="A661" s="1" t="s">
        <v>1432</v>
      </c>
      <c r="B661" s="416" t="s">
        <v>5960</v>
      </c>
      <c r="S661" s="213" t="s">
        <v>5961</v>
      </c>
      <c r="T661" s="416" t="s">
        <v>5962</v>
      </c>
      <c r="U661" s="415" t="s">
        <v>337</v>
      </c>
      <c r="X661" s="415"/>
      <c r="AA661" s="415"/>
      <c r="AD661" s="415"/>
      <c r="AE661" s="417" t="s">
        <v>5963</v>
      </c>
      <c r="AF661" s="416" t="s">
        <v>5964</v>
      </c>
      <c r="AG661" s="415"/>
      <c r="AJ661" s="415" t="s">
        <v>337</v>
      </c>
      <c r="AM661" s="415" t="s">
        <v>337</v>
      </c>
      <c r="AP661" s="415" t="s">
        <v>337</v>
      </c>
      <c r="AS661" s="415" t="s">
        <v>337</v>
      </c>
      <c r="AV661" s="415" t="s">
        <v>337</v>
      </c>
      <c r="AY661" s="415" t="s">
        <v>337</v>
      </c>
      <c r="BB661" s="415" t="s">
        <v>337</v>
      </c>
      <c r="BE661" s="415" t="s">
        <v>337</v>
      </c>
      <c r="BH661" s="415" t="s">
        <v>337</v>
      </c>
      <c r="BM661" s="415" t="s">
        <v>337</v>
      </c>
      <c r="BP661" s="415" t="s">
        <v>337</v>
      </c>
      <c r="BS661" s="415"/>
      <c r="BV661" s="415" t="s">
        <v>337</v>
      </c>
      <c r="BY661" s="415" t="s">
        <v>337</v>
      </c>
      <c r="CB661" s="415" t="s">
        <v>337</v>
      </c>
      <c r="CE661" s="415" t="s">
        <v>337</v>
      </c>
      <c r="CH661" s="415" t="s">
        <v>337</v>
      </c>
      <c r="CK661" s="415" t="s">
        <v>337</v>
      </c>
      <c r="CN661" s="415" t="s">
        <v>337</v>
      </c>
      <c r="CQ661" s="415" t="s">
        <v>337</v>
      </c>
      <c r="CT661" s="415" t="s">
        <v>337</v>
      </c>
    </row>
    <row r="662" spans="1:98">
      <c r="A662" s="1" t="s">
        <v>1432</v>
      </c>
      <c r="B662" s="416" t="s">
        <v>5965</v>
      </c>
      <c r="S662" s="213" t="s">
        <v>5966</v>
      </c>
      <c r="T662" s="416" t="s">
        <v>5967</v>
      </c>
      <c r="U662" s="415" t="s">
        <v>337</v>
      </c>
      <c r="X662" s="415"/>
      <c r="AA662" s="415"/>
      <c r="AD662" s="415"/>
      <c r="AE662" s="417" t="s">
        <v>5968</v>
      </c>
      <c r="AF662" s="416" t="s">
        <v>5969</v>
      </c>
      <c r="AG662" s="415"/>
      <c r="AJ662" s="415" t="s">
        <v>337</v>
      </c>
      <c r="AM662" s="415" t="s">
        <v>337</v>
      </c>
      <c r="AP662" s="415" t="s">
        <v>337</v>
      </c>
      <c r="AS662" s="415" t="s">
        <v>337</v>
      </c>
      <c r="AV662" s="415" t="s">
        <v>337</v>
      </c>
      <c r="AY662" s="415" t="s">
        <v>337</v>
      </c>
      <c r="BB662" s="415" t="s">
        <v>337</v>
      </c>
      <c r="BE662" s="415" t="s">
        <v>337</v>
      </c>
      <c r="BH662" s="415" t="s">
        <v>337</v>
      </c>
      <c r="BM662" s="415" t="s">
        <v>337</v>
      </c>
      <c r="BP662" s="415" t="s">
        <v>337</v>
      </c>
      <c r="BS662" s="415"/>
      <c r="BV662" s="415" t="s">
        <v>337</v>
      </c>
      <c r="BY662" s="415" t="s">
        <v>337</v>
      </c>
      <c r="CB662" s="415" t="s">
        <v>337</v>
      </c>
      <c r="CE662" s="415" t="s">
        <v>337</v>
      </c>
      <c r="CH662" s="415" t="s">
        <v>337</v>
      </c>
      <c r="CK662" s="415" t="s">
        <v>337</v>
      </c>
      <c r="CN662" s="415" t="s">
        <v>337</v>
      </c>
      <c r="CQ662" s="415" t="s">
        <v>337</v>
      </c>
      <c r="CT662" s="415" t="s">
        <v>337</v>
      </c>
    </row>
    <row r="663" spans="1:98">
      <c r="A663" s="1" t="s">
        <v>1432</v>
      </c>
      <c r="B663" s="416" t="s">
        <v>5970</v>
      </c>
      <c r="S663" s="213" t="s">
        <v>5971</v>
      </c>
      <c r="T663" s="416" t="s">
        <v>5972</v>
      </c>
      <c r="U663" s="415" t="s">
        <v>337</v>
      </c>
      <c r="X663" s="415"/>
      <c r="AA663" s="415"/>
      <c r="AD663" s="415"/>
      <c r="AE663" s="417" t="s">
        <v>5973</v>
      </c>
      <c r="AF663" s="416" t="s">
        <v>5974</v>
      </c>
      <c r="AG663" s="415"/>
      <c r="AJ663" s="415" t="s">
        <v>337</v>
      </c>
      <c r="AM663" s="415" t="s">
        <v>337</v>
      </c>
      <c r="AP663" s="415" t="s">
        <v>337</v>
      </c>
      <c r="AS663" s="415" t="s">
        <v>337</v>
      </c>
      <c r="AV663" s="415" t="s">
        <v>337</v>
      </c>
      <c r="AY663" s="415" t="s">
        <v>337</v>
      </c>
      <c r="BB663" s="415" t="s">
        <v>337</v>
      </c>
      <c r="BE663" s="415" t="s">
        <v>337</v>
      </c>
      <c r="BH663" s="415" t="s">
        <v>337</v>
      </c>
      <c r="BM663" s="415" t="s">
        <v>337</v>
      </c>
      <c r="BP663" s="415" t="s">
        <v>337</v>
      </c>
      <c r="BS663" s="415"/>
      <c r="BV663" s="415" t="s">
        <v>337</v>
      </c>
      <c r="BY663" s="415" t="s">
        <v>337</v>
      </c>
      <c r="CB663" s="415" t="s">
        <v>337</v>
      </c>
      <c r="CE663" s="415" t="s">
        <v>337</v>
      </c>
      <c r="CH663" s="415" t="s">
        <v>337</v>
      </c>
      <c r="CK663" s="415" t="s">
        <v>337</v>
      </c>
      <c r="CN663" s="415" t="s">
        <v>337</v>
      </c>
      <c r="CQ663" s="415" t="s">
        <v>337</v>
      </c>
      <c r="CT663" s="415" t="s">
        <v>337</v>
      </c>
    </row>
    <row r="664" spans="1:98">
      <c r="A664" s="1" t="s">
        <v>1432</v>
      </c>
      <c r="B664" s="416" t="s">
        <v>5975</v>
      </c>
      <c r="S664" s="213" t="s">
        <v>5976</v>
      </c>
      <c r="T664" s="416" t="s">
        <v>518</v>
      </c>
      <c r="U664" s="415" t="s">
        <v>337</v>
      </c>
      <c r="X664" s="415"/>
      <c r="AA664" s="415"/>
      <c r="AD664" s="415"/>
      <c r="AE664" s="417" t="s">
        <v>5977</v>
      </c>
      <c r="AF664" s="416" t="s">
        <v>5978</v>
      </c>
      <c r="AG664" s="415"/>
      <c r="AJ664" s="415" t="s">
        <v>337</v>
      </c>
      <c r="AM664" s="415" t="s">
        <v>337</v>
      </c>
      <c r="AP664" s="415" t="s">
        <v>337</v>
      </c>
      <c r="AS664" s="415" t="s">
        <v>337</v>
      </c>
      <c r="AV664" s="415" t="s">
        <v>337</v>
      </c>
      <c r="AY664" s="415" t="s">
        <v>337</v>
      </c>
      <c r="BB664" s="415" t="s">
        <v>337</v>
      </c>
      <c r="BE664" s="415" t="s">
        <v>337</v>
      </c>
      <c r="BH664" s="415" t="s">
        <v>337</v>
      </c>
      <c r="BM664" s="415" t="s">
        <v>337</v>
      </c>
      <c r="BP664" s="415" t="s">
        <v>337</v>
      </c>
      <c r="BS664" s="415"/>
      <c r="BV664" s="415" t="s">
        <v>337</v>
      </c>
      <c r="BY664" s="415" t="s">
        <v>337</v>
      </c>
      <c r="CB664" s="415" t="s">
        <v>337</v>
      </c>
      <c r="CE664" s="415" t="s">
        <v>337</v>
      </c>
      <c r="CH664" s="415" t="s">
        <v>337</v>
      </c>
      <c r="CK664" s="415" t="s">
        <v>337</v>
      </c>
      <c r="CN664" s="415" t="s">
        <v>337</v>
      </c>
      <c r="CQ664" s="415" t="s">
        <v>337</v>
      </c>
      <c r="CT664" s="415" t="s">
        <v>337</v>
      </c>
    </row>
    <row r="665" spans="1:98">
      <c r="A665" s="1" t="s">
        <v>1432</v>
      </c>
      <c r="B665" s="416" t="s">
        <v>5979</v>
      </c>
      <c r="S665" s="213" t="s">
        <v>5980</v>
      </c>
      <c r="T665" s="416" t="s">
        <v>5981</v>
      </c>
      <c r="U665" s="415" t="s">
        <v>337</v>
      </c>
      <c r="X665" s="415"/>
      <c r="AA665" s="415"/>
      <c r="AD665" s="415"/>
      <c r="AE665" s="417" t="s">
        <v>5982</v>
      </c>
      <c r="AF665" s="416" t="s">
        <v>5983</v>
      </c>
      <c r="AG665" s="415"/>
      <c r="AJ665" s="415" t="s">
        <v>337</v>
      </c>
      <c r="AM665" s="415" t="s">
        <v>337</v>
      </c>
      <c r="AP665" s="415" t="s">
        <v>337</v>
      </c>
      <c r="AS665" s="415" t="s">
        <v>337</v>
      </c>
      <c r="AV665" s="415" t="s">
        <v>337</v>
      </c>
      <c r="AY665" s="415" t="s">
        <v>337</v>
      </c>
      <c r="BB665" s="415" t="s">
        <v>337</v>
      </c>
      <c r="BE665" s="415" t="s">
        <v>337</v>
      </c>
      <c r="BH665" s="415" t="s">
        <v>337</v>
      </c>
      <c r="BM665" s="415" t="s">
        <v>337</v>
      </c>
      <c r="BP665" s="415" t="s">
        <v>337</v>
      </c>
      <c r="BS665" s="415"/>
      <c r="BV665" s="415" t="s">
        <v>337</v>
      </c>
      <c r="BY665" s="415" t="s">
        <v>337</v>
      </c>
      <c r="CB665" s="415" t="s">
        <v>337</v>
      </c>
      <c r="CE665" s="415" t="s">
        <v>337</v>
      </c>
      <c r="CH665" s="415" t="s">
        <v>337</v>
      </c>
      <c r="CK665" s="415" t="s">
        <v>337</v>
      </c>
      <c r="CN665" s="415" t="s">
        <v>337</v>
      </c>
      <c r="CQ665" s="415" t="s">
        <v>337</v>
      </c>
      <c r="CT665" s="415" t="s">
        <v>337</v>
      </c>
    </row>
    <row r="666" spans="1:98">
      <c r="A666" s="1" t="s">
        <v>1432</v>
      </c>
      <c r="B666" s="416" t="s">
        <v>5984</v>
      </c>
      <c r="S666" s="213" t="s">
        <v>5985</v>
      </c>
      <c r="T666" s="416" t="s">
        <v>5986</v>
      </c>
      <c r="U666" s="415" t="s">
        <v>337</v>
      </c>
      <c r="X666" s="415"/>
      <c r="AA666" s="415"/>
      <c r="AD666" s="415"/>
      <c r="AE666" s="417" t="s">
        <v>5987</v>
      </c>
      <c r="AF666" s="416" t="s">
        <v>5988</v>
      </c>
      <c r="AG666" s="415"/>
      <c r="AJ666" s="415" t="s">
        <v>337</v>
      </c>
      <c r="AM666" s="415" t="s">
        <v>337</v>
      </c>
      <c r="AP666" s="415" t="s">
        <v>337</v>
      </c>
      <c r="AS666" s="415" t="s">
        <v>337</v>
      </c>
      <c r="AV666" s="415" t="s">
        <v>337</v>
      </c>
      <c r="AY666" s="415" t="s">
        <v>337</v>
      </c>
      <c r="BB666" s="415" t="s">
        <v>337</v>
      </c>
      <c r="BE666" s="415" t="s">
        <v>337</v>
      </c>
      <c r="BH666" s="415" t="s">
        <v>337</v>
      </c>
      <c r="BM666" s="415" t="s">
        <v>337</v>
      </c>
      <c r="BP666" s="415" t="s">
        <v>337</v>
      </c>
      <c r="BS666" s="415"/>
      <c r="BV666" s="415" t="s">
        <v>337</v>
      </c>
      <c r="BY666" s="415" t="s">
        <v>337</v>
      </c>
      <c r="CB666" s="415" t="s">
        <v>337</v>
      </c>
      <c r="CE666" s="415" t="s">
        <v>337</v>
      </c>
      <c r="CH666" s="415" t="s">
        <v>337</v>
      </c>
      <c r="CK666" s="415" t="s">
        <v>337</v>
      </c>
      <c r="CN666" s="415" t="s">
        <v>337</v>
      </c>
      <c r="CQ666" s="415" t="s">
        <v>337</v>
      </c>
      <c r="CT666" s="415" t="s">
        <v>337</v>
      </c>
    </row>
    <row r="667" spans="1:98">
      <c r="A667" s="1" t="s">
        <v>1432</v>
      </c>
      <c r="B667" s="416" t="s">
        <v>5989</v>
      </c>
      <c r="S667" s="213" t="s">
        <v>5990</v>
      </c>
      <c r="T667" s="416" t="s">
        <v>5991</v>
      </c>
      <c r="U667" s="415" t="s">
        <v>337</v>
      </c>
      <c r="X667" s="415"/>
      <c r="AA667" s="415"/>
      <c r="AD667" s="415"/>
      <c r="AE667" s="417" t="s">
        <v>5992</v>
      </c>
      <c r="AF667" s="416" t="s">
        <v>5993</v>
      </c>
      <c r="AG667" s="415"/>
      <c r="AJ667" s="415" t="s">
        <v>337</v>
      </c>
      <c r="AM667" s="415" t="s">
        <v>337</v>
      </c>
      <c r="AP667" s="415" t="s">
        <v>337</v>
      </c>
      <c r="AS667" s="415" t="s">
        <v>337</v>
      </c>
      <c r="AV667" s="415" t="s">
        <v>337</v>
      </c>
      <c r="AY667" s="415" t="s">
        <v>337</v>
      </c>
      <c r="BB667" s="415" t="s">
        <v>337</v>
      </c>
      <c r="BE667" s="415" t="s">
        <v>337</v>
      </c>
      <c r="BH667" s="415" t="s">
        <v>337</v>
      </c>
      <c r="BM667" s="415" t="s">
        <v>337</v>
      </c>
      <c r="BP667" s="415" t="s">
        <v>337</v>
      </c>
      <c r="BS667" s="415"/>
      <c r="BV667" s="415" t="s">
        <v>337</v>
      </c>
      <c r="BY667" s="415" t="s">
        <v>337</v>
      </c>
      <c r="CB667" s="415" t="s">
        <v>337</v>
      </c>
      <c r="CE667" s="415" t="s">
        <v>337</v>
      </c>
      <c r="CH667" s="415" t="s">
        <v>337</v>
      </c>
      <c r="CK667" s="415" t="s">
        <v>337</v>
      </c>
      <c r="CN667" s="415" t="s">
        <v>337</v>
      </c>
      <c r="CQ667" s="415" t="s">
        <v>337</v>
      </c>
      <c r="CT667" s="415" t="s">
        <v>337</v>
      </c>
    </row>
    <row r="668" spans="1:98">
      <c r="A668" s="1" t="s">
        <v>1432</v>
      </c>
      <c r="B668" s="416" t="s">
        <v>5994</v>
      </c>
      <c r="S668" s="213" t="s">
        <v>5995</v>
      </c>
      <c r="T668" s="416" t="s">
        <v>5996</v>
      </c>
      <c r="U668" s="415" t="s">
        <v>337</v>
      </c>
      <c r="X668" s="415"/>
      <c r="AA668" s="415"/>
      <c r="AD668" s="415"/>
      <c r="AE668" s="417" t="s">
        <v>5997</v>
      </c>
      <c r="AF668" s="416" t="s">
        <v>5998</v>
      </c>
      <c r="AG668" s="415"/>
      <c r="AJ668" s="415" t="s">
        <v>337</v>
      </c>
      <c r="AM668" s="415" t="s">
        <v>337</v>
      </c>
      <c r="AP668" s="415" t="s">
        <v>337</v>
      </c>
      <c r="AS668" s="415" t="s">
        <v>337</v>
      </c>
      <c r="AV668" s="415" t="s">
        <v>337</v>
      </c>
      <c r="AY668" s="415" t="s">
        <v>337</v>
      </c>
      <c r="BB668" s="415" t="s">
        <v>337</v>
      </c>
      <c r="BE668" s="415" t="s">
        <v>337</v>
      </c>
      <c r="BH668" s="415" t="s">
        <v>337</v>
      </c>
      <c r="BM668" s="415" t="s">
        <v>337</v>
      </c>
      <c r="BP668" s="415" t="s">
        <v>337</v>
      </c>
      <c r="BS668" s="415"/>
      <c r="BV668" s="415" t="s">
        <v>337</v>
      </c>
      <c r="BY668" s="415" t="s">
        <v>337</v>
      </c>
      <c r="CB668" s="415" t="s">
        <v>337</v>
      </c>
      <c r="CE668" s="415" t="s">
        <v>337</v>
      </c>
      <c r="CH668" s="415" t="s">
        <v>337</v>
      </c>
      <c r="CK668" s="415" t="s">
        <v>337</v>
      </c>
      <c r="CN668" s="415" t="s">
        <v>337</v>
      </c>
      <c r="CQ668" s="415" t="s">
        <v>337</v>
      </c>
      <c r="CT668" s="415" t="s">
        <v>337</v>
      </c>
    </row>
    <row r="669" spans="1:98">
      <c r="A669" s="1" t="s">
        <v>1432</v>
      </c>
      <c r="B669" s="416" t="s">
        <v>5999</v>
      </c>
      <c r="S669" s="213" t="s">
        <v>6000</v>
      </c>
      <c r="T669" s="416" t="s">
        <v>2313</v>
      </c>
      <c r="U669" s="415" t="s">
        <v>337</v>
      </c>
      <c r="X669" s="415"/>
      <c r="AA669" s="415"/>
      <c r="AD669" s="415"/>
      <c r="AE669" s="417" t="s">
        <v>6001</v>
      </c>
      <c r="AF669" s="416" t="s">
        <v>6002</v>
      </c>
      <c r="AG669" s="415"/>
      <c r="AJ669" s="415" t="s">
        <v>337</v>
      </c>
      <c r="AM669" s="415" t="s">
        <v>337</v>
      </c>
      <c r="AP669" s="415" t="s">
        <v>337</v>
      </c>
      <c r="AS669" s="415" t="s">
        <v>337</v>
      </c>
      <c r="AV669" s="415" t="s">
        <v>337</v>
      </c>
      <c r="AY669" s="415" t="s">
        <v>337</v>
      </c>
      <c r="BB669" s="415" t="s">
        <v>337</v>
      </c>
      <c r="BE669" s="415" t="s">
        <v>337</v>
      </c>
      <c r="BH669" s="415" t="s">
        <v>337</v>
      </c>
      <c r="BM669" s="415" t="s">
        <v>337</v>
      </c>
      <c r="BP669" s="415" t="s">
        <v>337</v>
      </c>
      <c r="BS669" s="415"/>
      <c r="BV669" s="415" t="s">
        <v>337</v>
      </c>
      <c r="BY669" s="415" t="s">
        <v>337</v>
      </c>
      <c r="CB669" s="415" t="s">
        <v>337</v>
      </c>
      <c r="CE669" s="415" t="s">
        <v>337</v>
      </c>
      <c r="CH669" s="415" t="s">
        <v>337</v>
      </c>
      <c r="CK669" s="415" t="s">
        <v>337</v>
      </c>
      <c r="CN669" s="415" t="s">
        <v>337</v>
      </c>
      <c r="CQ669" s="415" t="s">
        <v>337</v>
      </c>
      <c r="CT669" s="415" t="s">
        <v>337</v>
      </c>
    </row>
    <row r="670" spans="1:98">
      <c r="A670" s="1" t="s">
        <v>1446</v>
      </c>
      <c r="B670" s="416" t="s">
        <v>6003</v>
      </c>
      <c r="S670" s="213" t="s">
        <v>6004</v>
      </c>
      <c r="T670" s="416" t="s">
        <v>6005</v>
      </c>
      <c r="U670" s="415" t="s">
        <v>337</v>
      </c>
      <c r="X670" s="415"/>
      <c r="AA670" s="415"/>
      <c r="AD670" s="415"/>
      <c r="AE670" s="417" t="s">
        <v>6006</v>
      </c>
      <c r="AF670" s="416" t="s">
        <v>6007</v>
      </c>
      <c r="AG670" s="415"/>
      <c r="AJ670" s="415" t="s">
        <v>337</v>
      </c>
      <c r="AM670" s="415" t="s">
        <v>337</v>
      </c>
      <c r="AP670" s="415" t="s">
        <v>337</v>
      </c>
      <c r="AS670" s="415" t="s">
        <v>337</v>
      </c>
      <c r="AV670" s="415" t="s">
        <v>337</v>
      </c>
      <c r="AY670" s="415" t="s">
        <v>337</v>
      </c>
      <c r="BB670" s="415" t="s">
        <v>337</v>
      </c>
      <c r="BE670" s="415" t="s">
        <v>337</v>
      </c>
      <c r="BH670" s="415" t="s">
        <v>337</v>
      </c>
      <c r="BM670" s="415" t="s">
        <v>337</v>
      </c>
      <c r="BP670" s="415" t="s">
        <v>337</v>
      </c>
      <c r="BS670" s="415"/>
      <c r="BV670" s="415" t="s">
        <v>337</v>
      </c>
      <c r="BY670" s="415" t="s">
        <v>337</v>
      </c>
      <c r="CB670" s="415" t="s">
        <v>337</v>
      </c>
      <c r="CE670" s="415" t="s">
        <v>337</v>
      </c>
      <c r="CH670" s="415" t="s">
        <v>337</v>
      </c>
      <c r="CK670" s="415" t="s">
        <v>337</v>
      </c>
      <c r="CN670" s="415" t="s">
        <v>337</v>
      </c>
      <c r="CQ670" s="415" t="s">
        <v>337</v>
      </c>
      <c r="CT670" s="415" t="s">
        <v>337</v>
      </c>
    </row>
    <row r="671" spans="1:98">
      <c r="A671" s="1" t="s">
        <v>1446</v>
      </c>
      <c r="B671" s="416" t="s">
        <v>6008</v>
      </c>
      <c r="S671" s="213" t="s">
        <v>6009</v>
      </c>
      <c r="T671" s="416" t="s">
        <v>6010</v>
      </c>
      <c r="U671" s="415" t="s">
        <v>337</v>
      </c>
      <c r="X671" s="415"/>
      <c r="AA671" s="415"/>
      <c r="AD671" s="415"/>
      <c r="AE671" s="417" t="s">
        <v>6011</v>
      </c>
      <c r="AF671" s="416" t="s">
        <v>6012</v>
      </c>
      <c r="AG671" s="415"/>
      <c r="AJ671" s="415" t="s">
        <v>337</v>
      </c>
      <c r="AM671" s="415" t="s">
        <v>337</v>
      </c>
      <c r="AP671" s="415" t="s">
        <v>337</v>
      </c>
      <c r="AS671" s="415" t="s">
        <v>337</v>
      </c>
      <c r="AV671" s="415" t="s">
        <v>337</v>
      </c>
      <c r="AY671" s="415" t="s">
        <v>337</v>
      </c>
      <c r="BB671" s="415" t="s">
        <v>337</v>
      </c>
      <c r="BE671" s="415" t="s">
        <v>337</v>
      </c>
      <c r="BH671" s="415" t="s">
        <v>337</v>
      </c>
      <c r="BM671" s="415" t="s">
        <v>337</v>
      </c>
      <c r="BP671" s="415" t="s">
        <v>337</v>
      </c>
      <c r="BS671" s="415"/>
      <c r="BV671" s="415" t="s">
        <v>337</v>
      </c>
      <c r="BY671" s="415" t="s">
        <v>337</v>
      </c>
      <c r="CB671" s="415" t="s">
        <v>337</v>
      </c>
      <c r="CE671" s="415" t="s">
        <v>337</v>
      </c>
      <c r="CH671" s="415" t="s">
        <v>337</v>
      </c>
      <c r="CK671" s="415" t="s">
        <v>337</v>
      </c>
      <c r="CN671" s="415" t="s">
        <v>337</v>
      </c>
      <c r="CQ671" s="415" t="s">
        <v>337</v>
      </c>
      <c r="CT671" s="415" t="s">
        <v>337</v>
      </c>
    </row>
    <row r="672" spans="1:98">
      <c r="A672" s="1" t="s">
        <v>1446</v>
      </c>
      <c r="B672" s="416" t="s">
        <v>6013</v>
      </c>
      <c r="S672" s="213" t="s">
        <v>6014</v>
      </c>
      <c r="T672" s="416" t="s">
        <v>6015</v>
      </c>
      <c r="U672" s="415" t="s">
        <v>337</v>
      </c>
      <c r="X672" s="415"/>
      <c r="AA672" s="415"/>
      <c r="AD672" s="415"/>
      <c r="AE672" s="417" t="s">
        <v>6016</v>
      </c>
      <c r="AF672" s="416" t="s">
        <v>6017</v>
      </c>
      <c r="AG672" s="415"/>
      <c r="AJ672" s="415" t="s">
        <v>337</v>
      </c>
      <c r="AM672" s="415" t="s">
        <v>337</v>
      </c>
      <c r="AP672" s="415" t="s">
        <v>337</v>
      </c>
      <c r="AS672" s="415" t="s">
        <v>337</v>
      </c>
      <c r="AV672" s="415" t="s">
        <v>337</v>
      </c>
      <c r="AY672" s="415" t="s">
        <v>337</v>
      </c>
      <c r="BB672" s="415" t="s">
        <v>337</v>
      </c>
      <c r="BE672" s="415" t="s">
        <v>337</v>
      </c>
      <c r="BH672" s="415" t="s">
        <v>337</v>
      </c>
      <c r="BM672" s="415" t="s">
        <v>337</v>
      </c>
      <c r="BP672" s="415" t="s">
        <v>337</v>
      </c>
      <c r="BS672" s="415"/>
      <c r="BV672" s="415" t="s">
        <v>337</v>
      </c>
      <c r="BY672" s="415" t="s">
        <v>337</v>
      </c>
      <c r="CB672" s="415" t="s">
        <v>337</v>
      </c>
      <c r="CE672" s="415" t="s">
        <v>337</v>
      </c>
      <c r="CH672" s="415" t="s">
        <v>337</v>
      </c>
      <c r="CK672" s="415" t="s">
        <v>337</v>
      </c>
      <c r="CN672" s="415" t="s">
        <v>337</v>
      </c>
      <c r="CQ672" s="415" t="s">
        <v>337</v>
      </c>
      <c r="CT672" s="415" t="s">
        <v>337</v>
      </c>
    </row>
    <row r="673" spans="1:98">
      <c r="A673" s="1" t="s">
        <v>1446</v>
      </c>
      <c r="B673" s="416" t="s">
        <v>6018</v>
      </c>
      <c r="S673" s="213" t="s">
        <v>6019</v>
      </c>
      <c r="T673" s="416" t="s">
        <v>6020</v>
      </c>
      <c r="U673" s="415" t="s">
        <v>337</v>
      </c>
      <c r="X673" s="415"/>
      <c r="AA673" s="415"/>
      <c r="AD673" s="415"/>
      <c r="AE673" s="417" t="s">
        <v>6021</v>
      </c>
      <c r="AF673" s="416" t="s">
        <v>6022</v>
      </c>
      <c r="AG673" s="415"/>
      <c r="AJ673" s="415" t="s">
        <v>337</v>
      </c>
      <c r="AM673" s="415" t="s">
        <v>337</v>
      </c>
      <c r="AP673" s="415" t="s">
        <v>337</v>
      </c>
      <c r="AS673" s="415" t="s">
        <v>337</v>
      </c>
      <c r="AV673" s="415" t="s">
        <v>337</v>
      </c>
      <c r="AY673" s="415" t="s">
        <v>337</v>
      </c>
      <c r="BB673" s="415" t="s">
        <v>337</v>
      </c>
      <c r="BE673" s="415" t="s">
        <v>337</v>
      </c>
      <c r="BH673" s="415" t="s">
        <v>337</v>
      </c>
      <c r="BM673" s="415" t="s">
        <v>337</v>
      </c>
      <c r="BP673" s="415" t="s">
        <v>337</v>
      </c>
      <c r="BS673" s="415"/>
      <c r="BV673" s="415" t="s">
        <v>337</v>
      </c>
      <c r="BY673" s="415" t="s">
        <v>337</v>
      </c>
      <c r="CB673" s="415" t="s">
        <v>337</v>
      </c>
      <c r="CE673" s="415" t="s">
        <v>337</v>
      </c>
      <c r="CH673" s="415" t="s">
        <v>337</v>
      </c>
      <c r="CK673" s="415" t="s">
        <v>337</v>
      </c>
      <c r="CN673" s="415" t="s">
        <v>337</v>
      </c>
      <c r="CQ673" s="415" t="s">
        <v>337</v>
      </c>
      <c r="CT673" s="415" t="s">
        <v>337</v>
      </c>
    </row>
    <row r="674" spans="1:98">
      <c r="A674" s="1" t="s">
        <v>1446</v>
      </c>
      <c r="B674" s="416" t="s">
        <v>6023</v>
      </c>
      <c r="S674" s="213" t="s">
        <v>6024</v>
      </c>
      <c r="T674" s="416" t="s">
        <v>6025</v>
      </c>
      <c r="U674" s="415" t="s">
        <v>337</v>
      </c>
      <c r="X674" s="415"/>
      <c r="AA674" s="415"/>
      <c r="AD674" s="415"/>
      <c r="AE674" s="417" t="s">
        <v>6026</v>
      </c>
      <c r="AF674" s="416" t="s">
        <v>6027</v>
      </c>
      <c r="AG674" s="415"/>
      <c r="AJ674" s="415" t="s">
        <v>337</v>
      </c>
      <c r="AM674" s="415" t="s">
        <v>337</v>
      </c>
      <c r="AP674" s="415" t="s">
        <v>337</v>
      </c>
      <c r="AS674" s="415" t="s">
        <v>337</v>
      </c>
      <c r="AV674" s="415" t="s">
        <v>337</v>
      </c>
      <c r="AY674" s="415" t="s">
        <v>337</v>
      </c>
      <c r="BB674" s="415" t="s">
        <v>337</v>
      </c>
      <c r="BE674" s="415" t="s">
        <v>337</v>
      </c>
      <c r="BH674" s="415" t="s">
        <v>337</v>
      </c>
      <c r="BM674" s="415" t="s">
        <v>337</v>
      </c>
      <c r="BP674" s="415" t="s">
        <v>337</v>
      </c>
      <c r="BS674" s="415"/>
      <c r="BV674" s="415" t="s">
        <v>337</v>
      </c>
      <c r="BY674" s="415" t="s">
        <v>337</v>
      </c>
      <c r="CB674" s="415" t="s">
        <v>337</v>
      </c>
      <c r="CE674" s="415" t="s">
        <v>337</v>
      </c>
      <c r="CH674" s="415" t="s">
        <v>337</v>
      </c>
      <c r="CK674" s="415" t="s">
        <v>337</v>
      </c>
      <c r="CN674" s="415" t="s">
        <v>337</v>
      </c>
      <c r="CQ674" s="415" t="s">
        <v>337</v>
      </c>
      <c r="CT674" s="415" t="s">
        <v>337</v>
      </c>
    </row>
    <row r="675" spans="1:98">
      <c r="A675" s="1" t="s">
        <v>1446</v>
      </c>
      <c r="B675" s="416" t="s">
        <v>6028</v>
      </c>
      <c r="S675" s="213" t="s">
        <v>6029</v>
      </c>
      <c r="T675" s="416" t="s">
        <v>6030</v>
      </c>
      <c r="U675" s="415" t="s">
        <v>337</v>
      </c>
      <c r="X675" s="415"/>
      <c r="AA675" s="415"/>
      <c r="AD675" s="415"/>
      <c r="AE675" s="417" t="s">
        <v>6031</v>
      </c>
      <c r="AF675" s="416" t="s">
        <v>6032</v>
      </c>
      <c r="AG675" s="415"/>
      <c r="AJ675" s="415" t="s">
        <v>337</v>
      </c>
      <c r="AM675" s="415" t="s">
        <v>337</v>
      </c>
      <c r="AP675" s="415" t="s">
        <v>337</v>
      </c>
      <c r="AS675" s="415" t="s">
        <v>337</v>
      </c>
      <c r="AV675" s="415" t="s">
        <v>337</v>
      </c>
      <c r="AY675" s="415" t="s">
        <v>337</v>
      </c>
      <c r="BB675" s="415" t="s">
        <v>337</v>
      </c>
      <c r="BE675" s="415" t="s">
        <v>337</v>
      </c>
      <c r="BH675" s="415" t="s">
        <v>337</v>
      </c>
      <c r="BM675" s="415" t="s">
        <v>337</v>
      </c>
      <c r="BP675" s="415" t="s">
        <v>337</v>
      </c>
      <c r="BS675" s="415"/>
      <c r="BV675" s="415" t="s">
        <v>337</v>
      </c>
      <c r="BY675" s="415" t="s">
        <v>337</v>
      </c>
      <c r="CB675" s="415" t="s">
        <v>337</v>
      </c>
      <c r="CE675" s="415" t="s">
        <v>337</v>
      </c>
      <c r="CH675" s="415" t="s">
        <v>337</v>
      </c>
      <c r="CK675" s="415" t="s">
        <v>337</v>
      </c>
      <c r="CN675" s="415" t="s">
        <v>337</v>
      </c>
      <c r="CQ675" s="415" t="s">
        <v>337</v>
      </c>
      <c r="CT675" s="415" t="s">
        <v>337</v>
      </c>
    </row>
    <row r="676" spans="1:98">
      <c r="A676" s="1" t="s">
        <v>1446</v>
      </c>
      <c r="B676" s="416" t="s">
        <v>6033</v>
      </c>
      <c r="S676" s="213" t="s">
        <v>6034</v>
      </c>
      <c r="T676" s="416" t="s">
        <v>6035</v>
      </c>
      <c r="U676" s="415" t="s">
        <v>337</v>
      </c>
      <c r="X676" s="415"/>
      <c r="AA676" s="415"/>
      <c r="AD676" s="415"/>
      <c r="AE676" s="417" t="s">
        <v>6036</v>
      </c>
      <c r="AF676" s="416" t="s">
        <v>6037</v>
      </c>
      <c r="AG676" s="415"/>
      <c r="AJ676" s="415" t="s">
        <v>337</v>
      </c>
      <c r="AM676" s="415" t="s">
        <v>337</v>
      </c>
      <c r="AP676" s="415" t="s">
        <v>337</v>
      </c>
      <c r="AS676" s="415" t="s">
        <v>337</v>
      </c>
      <c r="AV676" s="415" t="s">
        <v>337</v>
      </c>
      <c r="AY676" s="415" t="s">
        <v>337</v>
      </c>
      <c r="BB676" s="415" t="s">
        <v>337</v>
      </c>
      <c r="BE676" s="415" t="s">
        <v>337</v>
      </c>
      <c r="BH676" s="415" t="s">
        <v>337</v>
      </c>
      <c r="BM676" s="415" t="s">
        <v>337</v>
      </c>
      <c r="BP676" s="415" t="s">
        <v>337</v>
      </c>
      <c r="BS676" s="415"/>
      <c r="BV676" s="415" t="s">
        <v>337</v>
      </c>
      <c r="BY676" s="415" t="s">
        <v>337</v>
      </c>
      <c r="CB676" s="415" t="s">
        <v>337</v>
      </c>
      <c r="CE676" s="415" t="s">
        <v>337</v>
      </c>
      <c r="CH676" s="415" t="s">
        <v>337</v>
      </c>
      <c r="CK676" s="415" t="s">
        <v>337</v>
      </c>
      <c r="CN676" s="415" t="s">
        <v>337</v>
      </c>
      <c r="CQ676" s="415" t="s">
        <v>337</v>
      </c>
      <c r="CT676" s="415" t="s">
        <v>337</v>
      </c>
    </row>
    <row r="677" spans="1:98">
      <c r="A677" s="1" t="s">
        <v>1446</v>
      </c>
      <c r="B677" s="416" t="s">
        <v>6038</v>
      </c>
      <c r="S677" s="213" t="s">
        <v>6039</v>
      </c>
      <c r="T677" s="416" t="s">
        <v>4121</v>
      </c>
      <c r="U677" s="415" t="s">
        <v>337</v>
      </c>
      <c r="X677" s="415"/>
      <c r="AA677" s="415"/>
      <c r="AD677" s="415"/>
      <c r="AE677" s="417" t="s">
        <v>6040</v>
      </c>
      <c r="AF677" s="416" t="s">
        <v>6041</v>
      </c>
      <c r="AG677" s="415"/>
      <c r="AJ677" s="415" t="s">
        <v>337</v>
      </c>
      <c r="AM677" s="415" t="s">
        <v>337</v>
      </c>
      <c r="AP677" s="415" t="s">
        <v>337</v>
      </c>
      <c r="AS677" s="415" t="s">
        <v>337</v>
      </c>
      <c r="AV677" s="415" t="s">
        <v>337</v>
      </c>
      <c r="AY677" s="415" t="s">
        <v>337</v>
      </c>
      <c r="BB677" s="415" t="s">
        <v>337</v>
      </c>
      <c r="BE677" s="415" t="s">
        <v>337</v>
      </c>
      <c r="BH677" s="415" t="s">
        <v>337</v>
      </c>
      <c r="BM677" s="415" t="s">
        <v>337</v>
      </c>
      <c r="BP677" s="415" t="s">
        <v>337</v>
      </c>
      <c r="BS677" s="415"/>
      <c r="BV677" s="415" t="s">
        <v>337</v>
      </c>
      <c r="BY677" s="415" t="s">
        <v>337</v>
      </c>
      <c r="CB677" s="415" t="s">
        <v>337</v>
      </c>
      <c r="CE677" s="415" t="s">
        <v>337</v>
      </c>
      <c r="CH677" s="415" t="s">
        <v>337</v>
      </c>
      <c r="CK677" s="415" t="s">
        <v>337</v>
      </c>
      <c r="CN677" s="415" t="s">
        <v>337</v>
      </c>
      <c r="CQ677" s="415" t="s">
        <v>337</v>
      </c>
      <c r="CT677" s="415" t="s">
        <v>337</v>
      </c>
    </row>
    <row r="678" spans="1:98">
      <c r="A678" s="1" t="s">
        <v>1459</v>
      </c>
      <c r="B678" s="416" t="s">
        <v>6042</v>
      </c>
      <c r="S678" s="213" t="s">
        <v>6043</v>
      </c>
      <c r="T678" s="416" t="s">
        <v>6044</v>
      </c>
      <c r="U678" s="415" t="s">
        <v>337</v>
      </c>
      <c r="X678" s="415"/>
      <c r="AA678" s="415"/>
      <c r="AD678" s="415"/>
      <c r="AE678" s="417" t="s">
        <v>6045</v>
      </c>
      <c r="AF678" s="416" t="s">
        <v>6046</v>
      </c>
      <c r="AG678" s="415"/>
      <c r="AJ678" s="415" t="s">
        <v>337</v>
      </c>
      <c r="AM678" s="415" t="s">
        <v>337</v>
      </c>
      <c r="AP678" s="415" t="s">
        <v>337</v>
      </c>
      <c r="AS678" s="415" t="s">
        <v>337</v>
      </c>
      <c r="AV678" s="415" t="s">
        <v>337</v>
      </c>
      <c r="AY678" s="415" t="s">
        <v>337</v>
      </c>
      <c r="BB678" s="415" t="s">
        <v>337</v>
      </c>
      <c r="BE678" s="415" t="s">
        <v>337</v>
      </c>
      <c r="BH678" s="415" t="s">
        <v>337</v>
      </c>
      <c r="BM678" s="415" t="s">
        <v>337</v>
      </c>
      <c r="BP678" s="415" t="s">
        <v>337</v>
      </c>
      <c r="BS678" s="415"/>
      <c r="BV678" s="415" t="s">
        <v>337</v>
      </c>
      <c r="BY678" s="415" t="s">
        <v>337</v>
      </c>
      <c r="CB678" s="415" t="s">
        <v>337</v>
      </c>
      <c r="CE678" s="415" t="s">
        <v>337</v>
      </c>
      <c r="CH678" s="415" t="s">
        <v>337</v>
      </c>
      <c r="CK678" s="415" t="s">
        <v>337</v>
      </c>
      <c r="CN678" s="415" t="s">
        <v>337</v>
      </c>
      <c r="CQ678" s="415" t="s">
        <v>337</v>
      </c>
      <c r="CT678" s="415" t="s">
        <v>337</v>
      </c>
    </row>
    <row r="679" spans="1:98">
      <c r="A679" s="1" t="s">
        <v>1459</v>
      </c>
      <c r="B679" s="416" t="s">
        <v>6047</v>
      </c>
      <c r="S679" s="213" t="s">
        <v>6048</v>
      </c>
      <c r="T679" s="416" t="s">
        <v>6049</v>
      </c>
      <c r="U679" s="415" t="s">
        <v>337</v>
      </c>
      <c r="X679" s="415"/>
      <c r="AA679" s="415"/>
      <c r="AD679" s="415"/>
      <c r="AE679" s="417" t="s">
        <v>6050</v>
      </c>
      <c r="AF679" s="416" t="s">
        <v>6051</v>
      </c>
      <c r="AG679" s="415"/>
      <c r="AJ679" s="415" t="s">
        <v>337</v>
      </c>
      <c r="AM679" s="415" t="s">
        <v>337</v>
      </c>
      <c r="AP679" s="415" t="s">
        <v>337</v>
      </c>
      <c r="AS679" s="415" t="s">
        <v>337</v>
      </c>
      <c r="AV679" s="415" t="s">
        <v>337</v>
      </c>
      <c r="AY679" s="415" t="s">
        <v>337</v>
      </c>
      <c r="BB679" s="415" t="s">
        <v>337</v>
      </c>
      <c r="BE679" s="415" t="s">
        <v>337</v>
      </c>
      <c r="BH679" s="415" t="s">
        <v>337</v>
      </c>
      <c r="BM679" s="415" t="s">
        <v>337</v>
      </c>
      <c r="BP679" s="415" t="s">
        <v>337</v>
      </c>
      <c r="BS679" s="415"/>
      <c r="BV679" s="415" t="s">
        <v>337</v>
      </c>
      <c r="BY679" s="415" t="s">
        <v>337</v>
      </c>
      <c r="CB679" s="415" t="s">
        <v>337</v>
      </c>
      <c r="CE679" s="415" t="s">
        <v>337</v>
      </c>
      <c r="CH679" s="415" t="s">
        <v>337</v>
      </c>
      <c r="CK679" s="415" t="s">
        <v>337</v>
      </c>
      <c r="CN679" s="415" t="s">
        <v>337</v>
      </c>
      <c r="CQ679" s="415" t="s">
        <v>337</v>
      </c>
      <c r="CT679" s="415" t="s">
        <v>337</v>
      </c>
    </row>
    <row r="680" spans="1:98">
      <c r="A680" s="1" t="s">
        <v>1459</v>
      </c>
      <c r="B680" s="416" t="s">
        <v>6052</v>
      </c>
      <c r="S680" s="213" t="s">
        <v>6053</v>
      </c>
      <c r="T680" s="416" t="s">
        <v>6054</v>
      </c>
      <c r="U680" s="415" t="s">
        <v>337</v>
      </c>
      <c r="X680" s="415"/>
      <c r="AA680" s="415"/>
      <c r="AD680" s="415"/>
      <c r="AE680" s="417" t="s">
        <v>6055</v>
      </c>
      <c r="AF680" s="416" t="s">
        <v>6056</v>
      </c>
      <c r="AG680" s="415"/>
      <c r="AJ680" s="415" t="s">
        <v>337</v>
      </c>
      <c r="AM680" s="415" t="s">
        <v>337</v>
      </c>
      <c r="AP680" s="415" t="s">
        <v>337</v>
      </c>
      <c r="AS680" s="415" t="s">
        <v>337</v>
      </c>
      <c r="AV680" s="415" t="s">
        <v>337</v>
      </c>
      <c r="AY680" s="415" t="s">
        <v>337</v>
      </c>
      <c r="BB680" s="415" t="s">
        <v>337</v>
      </c>
      <c r="BE680" s="415" t="s">
        <v>337</v>
      </c>
      <c r="BH680" s="415" t="s">
        <v>337</v>
      </c>
      <c r="BM680" s="415" t="s">
        <v>337</v>
      </c>
      <c r="BP680" s="415" t="s">
        <v>337</v>
      </c>
      <c r="BS680" s="415"/>
      <c r="BV680" s="415" t="s">
        <v>337</v>
      </c>
      <c r="BY680" s="415" t="s">
        <v>337</v>
      </c>
      <c r="CB680" s="415" t="s">
        <v>337</v>
      </c>
      <c r="CE680" s="415" t="s">
        <v>337</v>
      </c>
      <c r="CH680" s="415" t="s">
        <v>337</v>
      </c>
      <c r="CK680" s="415" t="s">
        <v>337</v>
      </c>
      <c r="CN680" s="415" t="s">
        <v>337</v>
      </c>
      <c r="CQ680" s="415" t="s">
        <v>337</v>
      </c>
      <c r="CT680" s="415" t="s">
        <v>337</v>
      </c>
    </row>
    <row r="681" spans="1:98">
      <c r="A681" s="1" t="s">
        <v>1459</v>
      </c>
      <c r="B681" s="416" t="s">
        <v>6057</v>
      </c>
      <c r="S681" s="213" t="s">
        <v>6058</v>
      </c>
      <c r="T681" s="416" t="s">
        <v>6059</v>
      </c>
      <c r="U681" s="415" t="s">
        <v>337</v>
      </c>
      <c r="X681" s="415"/>
      <c r="AA681" s="415"/>
      <c r="AD681" s="415"/>
      <c r="AE681" s="417" t="s">
        <v>6060</v>
      </c>
      <c r="AF681" s="416" t="s">
        <v>6061</v>
      </c>
      <c r="AG681" s="415"/>
      <c r="AJ681" s="415" t="s">
        <v>337</v>
      </c>
      <c r="AM681" s="415" t="s">
        <v>337</v>
      </c>
      <c r="AP681" s="415" t="s">
        <v>337</v>
      </c>
      <c r="AS681" s="415" t="s">
        <v>337</v>
      </c>
      <c r="AV681" s="415" t="s">
        <v>337</v>
      </c>
      <c r="AY681" s="415" t="s">
        <v>337</v>
      </c>
      <c r="BB681" s="415" t="s">
        <v>337</v>
      </c>
      <c r="BE681" s="415" t="s">
        <v>337</v>
      </c>
      <c r="BH681" s="415" t="s">
        <v>337</v>
      </c>
      <c r="BM681" s="415" t="s">
        <v>337</v>
      </c>
      <c r="BP681" s="415" t="s">
        <v>337</v>
      </c>
      <c r="BS681" s="415"/>
      <c r="BV681" s="415" t="s">
        <v>337</v>
      </c>
      <c r="BY681" s="415" t="s">
        <v>337</v>
      </c>
      <c r="CB681" s="415" t="s">
        <v>337</v>
      </c>
      <c r="CE681" s="415" t="s">
        <v>337</v>
      </c>
      <c r="CH681" s="415" t="s">
        <v>337</v>
      </c>
      <c r="CK681" s="415" t="s">
        <v>337</v>
      </c>
      <c r="CN681" s="415" t="s">
        <v>337</v>
      </c>
      <c r="CQ681" s="415" t="s">
        <v>337</v>
      </c>
      <c r="CT681" s="415" t="s">
        <v>337</v>
      </c>
    </row>
    <row r="682" spans="1:98">
      <c r="A682" s="1" t="s">
        <v>1459</v>
      </c>
      <c r="B682" s="416" t="s">
        <v>6062</v>
      </c>
      <c r="S682" s="213" t="s">
        <v>6063</v>
      </c>
      <c r="T682" s="416" t="s">
        <v>6064</v>
      </c>
      <c r="U682" s="415" t="s">
        <v>337</v>
      </c>
      <c r="X682" s="415"/>
      <c r="AA682" s="415"/>
      <c r="AD682" s="415"/>
      <c r="AE682" s="417" t="s">
        <v>6065</v>
      </c>
      <c r="AF682" s="416" t="s">
        <v>6066</v>
      </c>
      <c r="AG682" s="415"/>
      <c r="AJ682" s="415" t="s">
        <v>337</v>
      </c>
      <c r="AM682" s="415" t="s">
        <v>337</v>
      </c>
      <c r="AP682" s="415" t="s">
        <v>337</v>
      </c>
      <c r="AS682" s="415" t="s">
        <v>337</v>
      </c>
      <c r="AV682" s="415" t="s">
        <v>337</v>
      </c>
      <c r="AY682" s="415" t="s">
        <v>337</v>
      </c>
      <c r="BB682" s="415" t="s">
        <v>337</v>
      </c>
      <c r="BE682" s="415" t="s">
        <v>337</v>
      </c>
      <c r="BH682" s="415" t="s">
        <v>337</v>
      </c>
      <c r="BM682" s="415" t="s">
        <v>337</v>
      </c>
      <c r="BP682" s="415" t="s">
        <v>337</v>
      </c>
      <c r="BS682" s="415"/>
      <c r="BV682" s="415" t="s">
        <v>337</v>
      </c>
      <c r="BY682" s="415" t="s">
        <v>337</v>
      </c>
      <c r="CB682" s="415" t="s">
        <v>337</v>
      </c>
      <c r="CE682" s="415" t="s">
        <v>337</v>
      </c>
      <c r="CH682" s="415" t="s">
        <v>337</v>
      </c>
      <c r="CK682" s="415" t="s">
        <v>337</v>
      </c>
      <c r="CN682" s="415" t="s">
        <v>337</v>
      </c>
      <c r="CQ682" s="415" t="s">
        <v>337</v>
      </c>
      <c r="CT682" s="415" t="s">
        <v>337</v>
      </c>
    </row>
    <row r="683" spans="1:98">
      <c r="A683" s="1" t="s">
        <v>1459</v>
      </c>
      <c r="B683" s="416" t="s">
        <v>6067</v>
      </c>
      <c r="S683" s="213" t="s">
        <v>6068</v>
      </c>
      <c r="T683" s="416" t="s">
        <v>6069</v>
      </c>
      <c r="U683" s="415" t="s">
        <v>337</v>
      </c>
      <c r="X683" s="415"/>
      <c r="AA683" s="415"/>
      <c r="AD683" s="415"/>
      <c r="AE683" s="417" t="s">
        <v>6070</v>
      </c>
      <c r="AF683" s="416" t="s">
        <v>6071</v>
      </c>
      <c r="AG683" s="415"/>
      <c r="AJ683" s="415" t="s">
        <v>337</v>
      </c>
      <c r="AM683" s="415" t="s">
        <v>337</v>
      </c>
      <c r="AP683" s="415" t="s">
        <v>337</v>
      </c>
      <c r="AS683" s="415" t="s">
        <v>337</v>
      </c>
      <c r="AV683" s="415" t="s">
        <v>337</v>
      </c>
      <c r="AY683" s="415" t="s">
        <v>337</v>
      </c>
      <c r="BB683" s="415" t="s">
        <v>337</v>
      </c>
      <c r="BE683" s="415" t="s">
        <v>337</v>
      </c>
      <c r="BH683" s="415" t="s">
        <v>337</v>
      </c>
      <c r="BM683" s="415" t="s">
        <v>337</v>
      </c>
      <c r="BP683" s="415" t="s">
        <v>337</v>
      </c>
      <c r="BS683" s="415"/>
      <c r="BV683" s="415" t="s">
        <v>337</v>
      </c>
      <c r="BY683" s="415" t="s">
        <v>337</v>
      </c>
      <c r="CB683" s="415" t="s">
        <v>337</v>
      </c>
      <c r="CE683" s="415" t="s">
        <v>337</v>
      </c>
      <c r="CH683" s="415" t="s">
        <v>337</v>
      </c>
      <c r="CK683" s="415" t="s">
        <v>337</v>
      </c>
      <c r="CN683" s="415" t="s">
        <v>337</v>
      </c>
      <c r="CQ683" s="415" t="s">
        <v>337</v>
      </c>
      <c r="CT683" s="415" t="s">
        <v>337</v>
      </c>
    </row>
    <row r="684" spans="1:98">
      <c r="A684" s="1" t="s">
        <v>1459</v>
      </c>
      <c r="B684" s="416" t="s">
        <v>6072</v>
      </c>
      <c r="S684" s="213" t="s">
        <v>6073</v>
      </c>
      <c r="T684" s="416" t="s">
        <v>4127</v>
      </c>
      <c r="U684" s="415" t="s">
        <v>337</v>
      </c>
      <c r="X684" s="415"/>
      <c r="AA684" s="415"/>
      <c r="AD684" s="415"/>
      <c r="AE684" s="417" t="s">
        <v>6074</v>
      </c>
      <c r="AF684" s="416" t="s">
        <v>6075</v>
      </c>
      <c r="AG684" s="415"/>
      <c r="AJ684" s="415" t="s">
        <v>337</v>
      </c>
      <c r="AM684" s="415" t="s">
        <v>337</v>
      </c>
      <c r="AP684" s="415" t="s">
        <v>337</v>
      </c>
      <c r="AS684" s="415" t="s">
        <v>337</v>
      </c>
      <c r="AV684" s="415" t="s">
        <v>337</v>
      </c>
      <c r="AY684" s="415" t="s">
        <v>337</v>
      </c>
      <c r="BB684" s="415" t="s">
        <v>337</v>
      </c>
      <c r="BE684" s="415" t="s">
        <v>337</v>
      </c>
      <c r="BH684" s="415" t="s">
        <v>337</v>
      </c>
      <c r="BM684" s="415" t="s">
        <v>337</v>
      </c>
      <c r="BP684" s="415" t="s">
        <v>337</v>
      </c>
      <c r="BS684" s="415"/>
      <c r="BV684" s="415" t="s">
        <v>337</v>
      </c>
      <c r="BY684" s="415" t="s">
        <v>337</v>
      </c>
      <c r="CB684" s="415" t="s">
        <v>337</v>
      </c>
      <c r="CE684" s="415" t="s">
        <v>337</v>
      </c>
      <c r="CH684" s="415" t="s">
        <v>337</v>
      </c>
      <c r="CK684" s="415" t="s">
        <v>337</v>
      </c>
      <c r="CN684" s="415" t="s">
        <v>337</v>
      </c>
      <c r="CQ684" s="415" t="s">
        <v>337</v>
      </c>
      <c r="CT684" s="415" t="s">
        <v>337</v>
      </c>
    </row>
    <row r="685" spans="1:98">
      <c r="A685" s="1" t="s">
        <v>1459</v>
      </c>
      <c r="B685" s="416" t="s">
        <v>6076</v>
      </c>
      <c r="S685" s="213" t="s">
        <v>6077</v>
      </c>
      <c r="T685" s="416" t="s">
        <v>6078</v>
      </c>
      <c r="U685" s="415" t="s">
        <v>337</v>
      </c>
      <c r="X685" s="415"/>
      <c r="AA685" s="415"/>
      <c r="AD685" s="415"/>
      <c r="AE685" s="417" t="s">
        <v>6079</v>
      </c>
      <c r="AF685" s="416" t="s">
        <v>6080</v>
      </c>
      <c r="AG685" s="415"/>
      <c r="AJ685" s="415" t="s">
        <v>337</v>
      </c>
      <c r="AM685" s="415" t="s">
        <v>337</v>
      </c>
      <c r="AP685" s="415" t="s">
        <v>337</v>
      </c>
      <c r="AS685" s="415" t="s">
        <v>337</v>
      </c>
      <c r="AV685" s="415" t="s">
        <v>337</v>
      </c>
      <c r="AY685" s="415" t="s">
        <v>337</v>
      </c>
      <c r="BB685" s="415" t="s">
        <v>337</v>
      </c>
      <c r="BE685" s="415" t="s">
        <v>337</v>
      </c>
      <c r="BH685" s="415" t="s">
        <v>337</v>
      </c>
      <c r="BM685" s="415" t="s">
        <v>337</v>
      </c>
      <c r="BP685" s="415" t="s">
        <v>337</v>
      </c>
      <c r="BS685" s="415"/>
      <c r="BV685" s="415" t="s">
        <v>337</v>
      </c>
      <c r="BY685" s="415" t="s">
        <v>337</v>
      </c>
      <c r="CB685" s="415" t="s">
        <v>337</v>
      </c>
      <c r="CE685" s="415" t="s">
        <v>337</v>
      </c>
      <c r="CH685" s="415" t="s">
        <v>337</v>
      </c>
      <c r="CK685" s="415" t="s">
        <v>337</v>
      </c>
      <c r="CN685" s="415" t="s">
        <v>337</v>
      </c>
      <c r="CQ685" s="415" t="s">
        <v>337</v>
      </c>
      <c r="CT685" s="415" t="s">
        <v>337</v>
      </c>
    </row>
    <row r="686" spans="1:98">
      <c r="A686" s="1" t="s">
        <v>1459</v>
      </c>
      <c r="B686" s="416" t="s">
        <v>6081</v>
      </c>
      <c r="S686" s="213" t="s">
        <v>6082</v>
      </c>
      <c r="T686" s="416" t="s">
        <v>6083</v>
      </c>
      <c r="U686" s="415" t="s">
        <v>337</v>
      </c>
      <c r="X686" s="415"/>
      <c r="AA686" s="415"/>
      <c r="AD686" s="415"/>
      <c r="AE686" s="417" t="s">
        <v>6084</v>
      </c>
      <c r="AF686" s="416" t="s">
        <v>6085</v>
      </c>
      <c r="AG686" s="415"/>
      <c r="AJ686" s="415" t="s">
        <v>337</v>
      </c>
      <c r="AM686" s="415" t="s">
        <v>337</v>
      </c>
      <c r="AP686" s="415" t="s">
        <v>337</v>
      </c>
      <c r="AS686" s="415" t="s">
        <v>337</v>
      </c>
      <c r="AV686" s="415" t="s">
        <v>337</v>
      </c>
      <c r="AY686" s="415" t="s">
        <v>337</v>
      </c>
      <c r="BB686" s="415" t="s">
        <v>337</v>
      </c>
      <c r="BE686" s="415" t="s">
        <v>337</v>
      </c>
      <c r="BH686" s="415" t="s">
        <v>337</v>
      </c>
      <c r="BM686" s="415" t="s">
        <v>337</v>
      </c>
      <c r="BP686" s="415" t="s">
        <v>337</v>
      </c>
      <c r="BS686" s="415"/>
      <c r="BV686" s="415" t="s">
        <v>337</v>
      </c>
      <c r="BY686" s="415" t="s">
        <v>337</v>
      </c>
      <c r="CB686" s="415" t="s">
        <v>337</v>
      </c>
      <c r="CE686" s="415" t="s">
        <v>337</v>
      </c>
      <c r="CH686" s="415" t="s">
        <v>337</v>
      </c>
      <c r="CK686" s="415" t="s">
        <v>337</v>
      </c>
      <c r="CN686" s="415" t="s">
        <v>337</v>
      </c>
      <c r="CQ686" s="415" t="s">
        <v>337</v>
      </c>
      <c r="CT686" s="415" t="s">
        <v>337</v>
      </c>
    </row>
    <row r="687" spans="1:98">
      <c r="A687" s="1" t="s">
        <v>1459</v>
      </c>
      <c r="B687" s="416" t="s">
        <v>6086</v>
      </c>
      <c r="S687" s="213" t="s">
        <v>6087</v>
      </c>
      <c r="T687" s="416" t="s">
        <v>6088</v>
      </c>
      <c r="U687" s="415" t="s">
        <v>337</v>
      </c>
      <c r="X687" s="415"/>
      <c r="AA687" s="415"/>
      <c r="AD687" s="415"/>
      <c r="AE687" s="417" t="s">
        <v>6089</v>
      </c>
      <c r="AF687" s="416" t="s">
        <v>6090</v>
      </c>
      <c r="AG687" s="415"/>
      <c r="AJ687" s="415" t="s">
        <v>337</v>
      </c>
      <c r="AM687" s="415" t="s">
        <v>337</v>
      </c>
      <c r="AP687" s="415" t="s">
        <v>337</v>
      </c>
      <c r="AS687" s="415" t="s">
        <v>337</v>
      </c>
      <c r="AV687" s="415" t="s">
        <v>337</v>
      </c>
      <c r="AY687" s="415" t="s">
        <v>337</v>
      </c>
      <c r="BB687" s="415" t="s">
        <v>337</v>
      </c>
      <c r="BE687" s="415" t="s">
        <v>337</v>
      </c>
      <c r="BH687" s="415" t="s">
        <v>337</v>
      </c>
      <c r="BM687" s="415" t="s">
        <v>337</v>
      </c>
      <c r="BP687" s="415" t="s">
        <v>337</v>
      </c>
      <c r="BS687" s="415"/>
      <c r="BV687" s="415" t="s">
        <v>337</v>
      </c>
      <c r="BY687" s="415" t="s">
        <v>337</v>
      </c>
      <c r="CB687" s="415" t="s">
        <v>337</v>
      </c>
      <c r="CE687" s="415" t="s">
        <v>337</v>
      </c>
      <c r="CH687" s="415" t="s">
        <v>337</v>
      </c>
      <c r="CK687" s="415" t="s">
        <v>337</v>
      </c>
      <c r="CN687" s="415" t="s">
        <v>337</v>
      </c>
      <c r="CQ687" s="415" t="s">
        <v>337</v>
      </c>
      <c r="CT687" s="415" t="s">
        <v>337</v>
      </c>
    </row>
    <row r="688" spans="1:98">
      <c r="A688" s="1" t="s">
        <v>1459</v>
      </c>
      <c r="B688" s="416" t="s">
        <v>3216</v>
      </c>
      <c r="S688" s="213" t="s">
        <v>6091</v>
      </c>
      <c r="T688" s="416" t="s">
        <v>6092</v>
      </c>
      <c r="U688" s="415" t="s">
        <v>337</v>
      </c>
      <c r="X688" s="415"/>
      <c r="AA688" s="415"/>
      <c r="AD688" s="415"/>
      <c r="AE688" s="417" t="s">
        <v>6093</v>
      </c>
      <c r="AF688" s="416" t="s">
        <v>6094</v>
      </c>
      <c r="AG688" s="415"/>
      <c r="AJ688" s="415" t="s">
        <v>337</v>
      </c>
      <c r="AM688" s="415" t="s">
        <v>337</v>
      </c>
      <c r="AP688" s="415" t="s">
        <v>337</v>
      </c>
      <c r="AS688" s="415" t="s">
        <v>337</v>
      </c>
      <c r="AV688" s="415" t="s">
        <v>337</v>
      </c>
      <c r="AY688" s="415" t="s">
        <v>337</v>
      </c>
      <c r="BB688" s="415" t="s">
        <v>337</v>
      </c>
      <c r="BE688" s="415" t="s">
        <v>337</v>
      </c>
      <c r="BH688" s="415" t="s">
        <v>337</v>
      </c>
      <c r="BM688" s="415" t="s">
        <v>337</v>
      </c>
      <c r="BP688" s="415" t="s">
        <v>337</v>
      </c>
      <c r="BS688" s="415"/>
      <c r="BV688" s="415" t="s">
        <v>337</v>
      </c>
      <c r="BY688" s="415" t="s">
        <v>337</v>
      </c>
      <c r="CB688" s="415" t="s">
        <v>337</v>
      </c>
      <c r="CE688" s="415" t="s">
        <v>337</v>
      </c>
      <c r="CH688" s="415" t="s">
        <v>337</v>
      </c>
      <c r="CK688" s="415" t="s">
        <v>337</v>
      </c>
      <c r="CN688" s="415" t="s">
        <v>337</v>
      </c>
      <c r="CQ688" s="415" t="s">
        <v>337</v>
      </c>
      <c r="CT688" s="415" t="s">
        <v>337</v>
      </c>
    </row>
    <row r="689" spans="1:98">
      <c r="A689" s="1" t="s">
        <v>1459</v>
      </c>
      <c r="B689" s="416" t="s">
        <v>6095</v>
      </c>
      <c r="S689" s="213" t="s">
        <v>6096</v>
      </c>
      <c r="T689" s="416" t="s">
        <v>6097</v>
      </c>
      <c r="U689" s="415" t="s">
        <v>337</v>
      </c>
      <c r="X689" s="415"/>
      <c r="AA689" s="415"/>
      <c r="AD689" s="415"/>
      <c r="AE689" s="417" t="s">
        <v>6098</v>
      </c>
      <c r="AF689" s="416" t="s">
        <v>6099</v>
      </c>
      <c r="AG689" s="415"/>
      <c r="AJ689" s="415" t="s">
        <v>337</v>
      </c>
      <c r="AM689" s="415" t="s">
        <v>337</v>
      </c>
      <c r="AP689" s="415" t="s">
        <v>337</v>
      </c>
      <c r="AS689" s="415" t="s">
        <v>337</v>
      </c>
      <c r="AV689" s="415" t="s">
        <v>337</v>
      </c>
      <c r="AY689" s="415" t="s">
        <v>337</v>
      </c>
      <c r="BB689" s="415" t="s">
        <v>337</v>
      </c>
      <c r="BE689" s="415" t="s">
        <v>337</v>
      </c>
      <c r="BH689" s="415" t="s">
        <v>337</v>
      </c>
      <c r="BM689" s="415" t="s">
        <v>337</v>
      </c>
      <c r="BP689" s="415" t="s">
        <v>337</v>
      </c>
      <c r="BS689" s="415"/>
      <c r="BV689" s="415" t="s">
        <v>337</v>
      </c>
      <c r="BY689" s="415" t="s">
        <v>337</v>
      </c>
      <c r="CB689" s="415" t="s">
        <v>337</v>
      </c>
      <c r="CE689" s="415" t="s">
        <v>337</v>
      </c>
      <c r="CH689" s="415" t="s">
        <v>337</v>
      </c>
      <c r="CK689" s="415" t="s">
        <v>337</v>
      </c>
      <c r="CN689" s="415" t="s">
        <v>337</v>
      </c>
      <c r="CQ689" s="415" t="s">
        <v>337</v>
      </c>
      <c r="CT689" s="415" t="s">
        <v>337</v>
      </c>
    </row>
    <row r="690" spans="1:98">
      <c r="A690" s="1" t="s">
        <v>1459</v>
      </c>
      <c r="B690" s="416" t="s">
        <v>6100</v>
      </c>
      <c r="S690" s="213" t="s">
        <v>6101</v>
      </c>
      <c r="T690" s="416" t="s">
        <v>6102</v>
      </c>
      <c r="U690" s="415" t="s">
        <v>337</v>
      </c>
      <c r="X690" s="415"/>
      <c r="AA690" s="415"/>
      <c r="AD690" s="415"/>
      <c r="AE690" s="417" t="s">
        <v>6103</v>
      </c>
      <c r="AF690" s="416" t="s">
        <v>6104</v>
      </c>
      <c r="AG690" s="415"/>
      <c r="AJ690" s="415" t="s">
        <v>337</v>
      </c>
      <c r="AM690" s="415" t="s">
        <v>337</v>
      </c>
      <c r="AP690" s="415" t="s">
        <v>337</v>
      </c>
      <c r="AS690" s="415" t="s">
        <v>337</v>
      </c>
      <c r="AV690" s="415" t="s">
        <v>337</v>
      </c>
      <c r="AY690" s="415" t="s">
        <v>337</v>
      </c>
      <c r="BB690" s="415" t="s">
        <v>337</v>
      </c>
      <c r="BE690" s="415" t="s">
        <v>337</v>
      </c>
      <c r="BH690" s="415" t="s">
        <v>337</v>
      </c>
      <c r="BM690" s="415" t="s">
        <v>337</v>
      </c>
      <c r="BP690" s="415" t="s">
        <v>337</v>
      </c>
      <c r="BS690" s="415"/>
      <c r="BV690" s="415" t="s">
        <v>337</v>
      </c>
      <c r="BY690" s="415" t="s">
        <v>337</v>
      </c>
      <c r="CB690" s="415" t="s">
        <v>337</v>
      </c>
      <c r="CE690" s="415" t="s">
        <v>337</v>
      </c>
      <c r="CH690" s="415" t="s">
        <v>337</v>
      </c>
      <c r="CK690" s="415" t="s">
        <v>337</v>
      </c>
      <c r="CN690" s="415" t="s">
        <v>337</v>
      </c>
      <c r="CQ690" s="415" t="s">
        <v>337</v>
      </c>
      <c r="CT690" s="415" t="s">
        <v>337</v>
      </c>
    </row>
    <row r="691" spans="1:98">
      <c r="A691" s="1" t="s">
        <v>1459</v>
      </c>
      <c r="B691" s="416" t="s">
        <v>6105</v>
      </c>
      <c r="S691" s="213" t="s">
        <v>6106</v>
      </c>
      <c r="T691" s="416" t="s">
        <v>6107</v>
      </c>
      <c r="U691" s="415" t="s">
        <v>337</v>
      </c>
      <c r="X691" s="415"/>
      <c r="AA691" s="415"/>
      <c r="AD691" s="415"/>
      <c r="AE691" s="417" t="s">
        <v>6108</v>
      </c>
      <c r="AF691" s="416" t="s">
        <v>6109</v>
      </c>
      <c r="AG691" s="415"/>
      <c r="AJ691" s="415" t="s">
        <v>337</v>
      </c>
      <c r="AM691" s="415" t="s">
        <v>337</v>
      </c>
      <c r="AP691" s="415" t="s">
        <v>337</v>
      </c>
      <c r="AS691" s="415" t="s">
        <v>337</v>
      </c>
      <c r="AV691" s="415" t="s">
        <v>337</v>
      </c>
      <c r="AY691" s="415" t="s">
        <v>337</v>
      </c>
      <c r="BB691" s="415" t="s">
        <v>337</v>
      </c>
      <c r="BE691" s="415" t="s">
        <v>337</v>
      </c>
      <c r="BH691" s="415" t="s">
        <v>337</v>
      </c>
      <c r="BM691" s="415" t="s">
        <v>337</v>
      </c>
      <c r="BP691" s="415" t="s">
        <v>337</v>
      </c>
      <c r="BS691" s="415"/>
      <c r="BV691" s="415" t="s">
        <v>337</v>
      </c>
      <c r="BY691" s="415" t="s">
        <v>337</v>
      </c>
      <c r="CB691" s="415" t="s">
        <v>337</v>
      </c>
      <c r="CE691" s="415" t="s">
        <v>337</v>
      </c>
      <c r="CH691" s="415" t="s">
        <v>337</v>
      </c>
      <c r="CK691" s="415" t="s">
        <v>337</v>
      </c>
      <c r="CN691" s="415" t="s">
        <v>337</v>
      </c>
      <c r="CQ691" s="415" t="s">
        <v>337</v>
      </c>
      <c r="CT691" s="415" t="s">
        <v>337</v>
      </c>
    </row>
    <row r="692" spans="1:98">
      <c r="A692" s="1" t="s">
        <v>1471</v>
      </c>
      <c r="B692" s="416" t="s">
        <v>6110</v>
      </c>
      <c r="S692" s="213" t="s">
        <v>6111</v>
      </c>
      <c r="T692" s="416" t="s">
        <v>6112</v>
      </c>
      <c r="U692" s="415" t="s">
        <v>337</v>
      </c>
      <c r="X692" s="415"/>
      <c r="AA692" s="415"/>
      <c r="AD692" s="415"/>
      <c r="AE692" s="417" t="s">
        <v>6113</v>
      </c>
      <c r="AF692" s="416" t="s">
        <v>6114</v>
      </c>
      <c r="AG692" s="415"/>
      <c r="AJ692" s="415" t="s">
        <v>337</v>
      </c>
      <c r="AM692" s="415" t="s">
        <v>337</v>
      </c>
      <c r="AP692" s="415" t="s">
        <v>337</v>
      </c>
      <c r="AS692" s="415" t="s">
        <v>337</v>
      </c>
      <c r="AV692" s="415" t="s">
        <v>337</v>
      </c>
      <c r="AY692" s="415" t="s">
        <v>337</v>
      </c>
      <c r="BB692" s="415" t="s">
        <v>337</v>
      </c>
      <c r="BE692" s="415" t="s">
        <v>337</v>
      </c>
      <c r="BH692" s="415" t="s">
        <v>337</v>
      </c>
      <c r="BM692" s="415" t="s">
        <v>337</v>
      </c>
      <c r="BP692" s="415" t="s">
        <v>337</v>
      </c>
      <c r="BS692" s="415"/>
      <c r="BV692" s="415" t="s">
        <v>337</v>
      </c>
      <c r="BY692" s="415" t="s">
        <v>337</v>
      </c>
      <c r="CB692" s="415" t="s">
        <v>337</v>
      </c>
      <c r="CE692" s="415" t="s">
        <v>337</v>
      </c>
      <c r="CH692" s="415" t="s">
        <v>337</v>
      </c>
      <c r="CK692" s="415" t="s">
        <v>337</v>
      </c>
      <c r="CN692" s="415" t="s">
        <v>337</v>
      </c>
      <c r="CQ692" s="415" t="s">
        <v>337</v>
      </c>
      <c r="CT692" s="415" t="s">
        <v>337</v>
      </c>
    </row>
    <row r="693" spans="1:98">
      <c r="A693" s="1" t="s">
        <v>1471</v>
      </c>
      <c r="B693" s="416" t="s">
        <v>6115</v>
      </c>
      <c r="S693" s="213" t="s">
        <v>6116</v>
      </c>
      <c r="T693" s="416" t="s">
        <v>4326</v>
      </c>
      <c r="U693" s="415" t="s">
        <v>337</v>
      </c>
      <c r="X693" s="415"/>
      <c r="AA693" s="415"/>
      <c r="AD693" s="415"/>
      <c r="AE693" s="417" t="s">
        <v>6117</v>
      </c>
      <c r="AF693" s="416" t="s">
        <v>6118</v>
      </c>
      <c r="AG693" s="415"/>
      <c r="AJ693" s="415" t="s">
        <v>337</v>
      </c>
      <c r="AM693" s="415" t="s">
        <v>337</v>
      </c>
      <c r="AP693" s="415" t="s">
        <v>337</v>
      </c>
      <c r="AS693" s="415" t="s">
        <v>337</v>
      </c>
      <c r="AV693" s="415" t="s">
        <v>337</v>
      </c>
      <c r="AY693" s="415" t="s">
        <v>337</v>
      </c>
      <c r="BB693" s="415" t="s">
        <v>337</v>
      </c>
      <c r="BE693" s="415" t="s">
        <v>337</v>
      </c>
      <c r="BH693" s="415" t="s">
        <v>337</v>
      </c>
      <c r="BM693" s="415" t="s">
        <v>337</v>
      </c>
      <c r="BP693" s="415" t="s">
        <v>337</v>
      </c>
      <c r="BS693" s="415"/>
      <c r="BV693" s="415" t="s">
        <v>337</v>
      </c>
      <c r="BY693" s="415" t="s">
        <v>337</v>
      </c>
      <c r="CB693" s="415" t="s">
        <v>337</v>
      </c>
      <c r="CE693" s="415" t="s">
        <v>337</v>
      </c>
      <c r="CH693" s="415" t="s">
        <v>337</v>
      </c>
      <c r="CK693" s="415" t="s">
        <v>337</v>
      </c>
      <c r="CN693" s="415" t="s">
        <v>337</v>
      </c>
      <c r="CQ693" s="415" t="s">
        <v>337</v>
      </c>
      <c r="CT693" s="415" t="s">
        <v>337</v>
      </c>
    </row>
    <row r="694" spans="1:98">
      <c r="A694" s="1" t="s">
        <v>1471</v>
      </c>
      <c r="B694" s="416" t="s">
        <v>6119</v>
      </c>
      <c r="S694" s="213" t="s">
        <v>6120</v>
      </c>
      <c r="T694" s="416" t="s">
        <v>6121</v>
      </c>
      <c r="U694" s="415" t="s">
        <v>337</v>
      </c>
      <c r="X694" s="415"/>
      <c r="AA694" s="415"/>
      <c r="AD694" s="415"/>
      <c r="AE694" s="417" t="s">
        <v>6122</v>
      </c>
      <c r="AF694" s="416" t="s">
        <v>6123</v>
      </c>
      <c r="AG694" s="415"/>
      <c r="AJ694" s="415" t="s">
        <v>337</v>
      </c>
      <c r="AM694" s="415" t="s">
        <v>337</v>
      </c>
      <c r="AP694" s="415" t="s">
        <v>337</v>
      </c>
      <c r="AS694" s="415" t="s">
        <v>337</v>
      </c>
      <c r="AV694" s="415" t="s">
        <v>337</v>
      </c>
      <c r="AY694" s="415" t="s">
        <v>337</v>
      </c>
      <c r="BB694" s="415" t="s">
        <v>337</v>
      </c>
      <c r="BE694" s="415" t="s">
        <v>337</v>
      </c>
      <c r="BH694" s="415" t="s">
        <v>337</v>
      </c>
      <c r="BM694" s="415" t="s">
        <v>337</v>
      </c>
      <c r="BP694" s="415" t="s">
        <v>337</v>
      </c>
      <c r="BS694" s="415"/>
      <c r="BV694" s="415" t="s">
        <v>337</v>
      </c>
      <c r="BY694" s="415" t="s">
        <v>337</v>
      </c>
      <c r="CB694" s="415" t="s">
        <v>337</v>
      </c>
      <c r="CE694" s="415" t="s">
        <v>337</v>
      </c>
      <c r="CH694" s="415" t="s">
        <v>337</v>
      </c>
      <c r="CK694" s="415" t="s">
        <v>337</v>
      </c>
      <c r="CN694" s="415" t="s">
        <v>337</v>
      </c>
      <c r="CQ694" s="415" t="s">
        <v>337</v>
      </c>
      <c r="CT694" s="415" t="s">
        <v>337</v>
      </c>
    </row>
    <row r="695" spans="1:98">
      <c r="A695" s="1" t="s">
        <v>1471</v>
      </c>
      <c r="B695" s="416" t="s">
        <v>6124</v>
      </c>
      <c r="S695" s="213" t="s">
        <v>6125</v>
      </c>
      <c r="T695" s="416" t="s">
        <v>6126</v>
      </c>
      <c r="U695" s="415" t="s">
        <v>337</v>
      </c>
      <c r="X695" s="415"/>
      <c r="AA695" s="415"/>
      <c r="AD695" s="415"/>
      <c r="AE695" s="417" t="s">
        <v>6127</v>
      </c>
      <c r="AF695" s="416" t="s">
        <v>6128</v>
      </c>
      <c r="AG695" s="415"/>
      <c r="AJ695" s="415" t="s">
        <v>337</v>
      </c>
      <c r="AM695" s="415" t="s">
        <v>337</v>
      </c>
      <c r="AP695" s="415" t="s">
        <v>337</v>
      </c>
      <c r="AS695" s="415" t="s">
        <v>337</v>
      </c>
      <c r="AV695" s="415" t="s">
        <v>337</v>
      </c>
      <c r="AY695" s="415" t="s">
        <v>337</v>
      </c>
      <c r="BB695" s="415" t="s">
        <v>337</v>
      </c>
      <c r="BE695" s="415" t="s">
        <v>337</v>
      </c>
      <c r="BH695" s="415" t="s">
        <v>337</v>
      </c>
      <c r="BM695" s="415" t="s">
        <v>337</v>
      </c>
      <c r="BP695" s="415" t="s">
        <v>337</v>
      </c>
      <c r="BS695" s="415"/>
      <c r="BV695" s="415" t="s">
        <v>337</v>
      </c>
      <c r="BY695" s="415" t="s">
        <v>337</v>
      </c>
      <c r="CB695" s="415" t="s">
        <v>337</v>
      </c>
      <c r="CE695" s="415" t="s">
        <v>337</v>
      </c>
      <c r="CH695" s="415" t="s">
        <v>337</v>
      </c>
      <c r="CK695" s="415" t="s">
        <v>337</v>
      </c>
      <c r="CN695" s="415" t="s">
        <v>337</v>
      </c>
      <c r="CQ695" s="415" t="s">
        <v>337</v>
      </c>
      <c r="CT695" s="415" t="s">
        <v>337</v>
      </c>
    </row>
    <row r="696" spans="1:98">
      <c r="A696" s="1" t="s">
        <v>1471</v>
      </c>
      <c r="B696" s="416" t="s">
        <v>6129</v>
      </c>
      <c r="S696" s="213" t="s">
        <v>6130</v>
      </c>
      <c r="T696" s="416" t="s">
        <v>6131</v>
      </c>
      <c r="U696" s="415" t="s">
        <v>337</v>
      </c>
      <c r="X696" s="415"/>
      <c r="AA696" s="415"/>
      <c r="AD696" s="415"/>
      <c r="AE696" s="417" t="s">
        <v>6132</v>
      </c>
      <c r="AF696" s="416" t="s">
        <v>6133</v>
      </c>
      <c r="AG696" s="415"/>
      <c r="AJ696" s="415" t="s">
        <v>337</v>
      </c>
      <c r="AM696" s="415" t="s">
        <v>337</v>
      </c>
      <c r="AP696" s="415" t="s">
        <v>337</v>
      </c>
      <c r="AS696" s="415" t="s">
        <v>337</v>
      </c>
      <c r="AV696" s="415" t="s">
        <v>337</v>
      </c>
      <c r="AY696" s="415" t="s">
        <v>337</v>
      </c>
      <c r="BB696" s="415" t="s">
        <v>337</v>
      </c>
      <c r="BE696" s="415" t="s">
        <v>337</v>
      </c>
      <c r="BH696" s="415" t="s">
        <v>337</v>
      </c>
      <c r="BM696" s="415" t="s">
        <v>337</v>
      </c>
      <c r="BP696" s="415" t="s">
        <v>337</v>
      </c>
      <c r="BS696" s="415"/>
      <c r="BV696" s="415" t="s">
        <v>337</v>
      </c>
      <c r="BY696" s="415" t="s">
        <v>337</v>
      </c>
      <c r="CB696" s="415" t="s">
        <v>337</v>
      </c>
      <c r="CE696" s="415" t="s">
        <v>337</v>
      </c>
      <c r="CH696" s="415" t="s">
        <v>337</v>
      </c>
      <c r="CK696" s="415" t="s">
        <v>337</v>
      </c>
      <c r="CN696" s="415" t="s">
        <v>337</v>
      </c>
      <c r="CQ696" s="415" t="s">
        <v>337</v>
      </c>
      <c r="CT696" s="415" t="s">
        <v>337</v>
      </c>
    </row>
    <row r="697" spans="1:98">
      <c r="A697" s="1" t="s">
        <v>1471</v>
      </c>
      <c r="B697" s="416" t="s">
        <v>6134</v>
      </c>
      <c r="S697" s="213" t="s">
        <v>6135</v>
      </c>
      <c r="T697" s="416" t="s">
        <v>6136</v>
      </c>
      <c r="U697" s="415" t="s">
        <v>337</v>
      </c>
      <c r="X697" s="415"/>
      <c r="AA697" s="415"/>
      <c r="AD697" s="415"/>
      <c r="AE697" s="417" t="s">
        <v>6137</v>
      </c>
      <c r="AF697" s="416" t="s">
        <v>6138</v>
      </c>
      <c r="AG697" s="415"/>
      <c r="AJ697" s="415" t="s">
        <v>337</v>
      </c>
      <c r="AM697" s="415" t="s">
        <v>337</v>
      </c>
      <c r="AP697" s="415" t="s">
        <v>337</v>
      </c>
      <c r="AS697" s="415" t="s">
        <v>337</v>
      </c>
      <c r="AV697" s="415" t="s">
        <v>337</v>
      </c>
      <c r="AY697" s="415" t="s">
        <v>337</v>
      </c>
      <c r="BB697" s="415" t="s">
        <v>337</v>
      </c>
      <c r="BE697" s="415" t="s">
        <v>337</v>
      </c>
      <c r="BH697" s="415" t="s">
        <v>337</v>
      </c>
      <c r="BM697" s="415" t="s">
        <v>337</v>
      </c>
      <c r="BP697" s="415" t="s">
        <v>337</v>
      </c>
      <c r="BS697" s="415"/>
      <c r="BV697" s="415" t="s">
        <v>337</v>
      </c>
      <c r="BY697" s="415" t="s">
        <v>337</v>
      </c>
      <c r="CB697" s="415" t="s">
        <v>337</v>
      </c>
      <c r="CE697" s="415" t="s">
        <v>337</v>
      </c>
      <c r="CH697" s="415" t="s">
        <v>337</v>
      </c>
      <c r="CK697" s="415" t="s">
        <v>337</v>
      </c>
      <c r="CN697" s="415" t="s">
        <v>337</v>
      </c>
      <c r="CQ697" s="415" t="s">
        <v>337</v>
      </c>
      <c r="CT697" s="415" t="s">
        <v>337</v>
      </c>
    </row>
    <row r="698" spans="1:98">
      <c r="A698" s="1" t="s">
        <v>1471</v>
      </c>
      <c r="B698" s="416" t="s">
        <v>6139</v>
      </c>
      <c r="S698" s="213" t="s">
        <v>6140</v>
      </c>
      <c r="T698" s="416" t="s">
        <v>6141</v>
      </c>
      <c r="U698" s="415" t="s">
        <v>337</v>
      </c>
      <c r="X698" s="415"/>
      <c r="AA698" s="415"/>
      <c r="AD698" s="415"/>
      <c r="AE698" s="417" t="s">
        <v>6142</v>
      </c>
      <c r="AF698" s="416" t="s">
        <v>6143</v>
      </c>
      <c r="AG698" s="415"/>
      <c r="AJ698" s="415" t="s">
        <v>337</v>
      </c>
      <c r="AM698" s="415" t="s">
        <v>337</v>
      </c>
      <c r="AP698" s="415" t="s">
        <v>337</v>
      </c>
      <c r="AS698" s="415" t="s">
        <v>337</v>
      </c>
      <c r="AV698" s="415" t="s">
        <v>337</v>
      </c>
      <c r="AY698" s="415" t="s">
        <v>337</v>
      </c>
      <c r="BB698" s="415" t="s">
        <v>337</v>
      </c>
      <c r="BE698" s="415" t="s">
        <v>337</v>
      </c>
      <c r="BH698" s="415" t="s">
        <v>337</v>
      </c>
      <c r="BM698" s="415" t="s">
        <v>337</v>
      </c>
      <c r="BP698" s="415" t="s">
        <v>337</v>
      </c>
      <c r="BS698" s="415"/>
      <c r="BV698" s="415" t="s">
        <v>337</v>
      </c>
      <c r="BY698" s="415" t="s">
        <v>337</v>
      </c>
      <c r="CB698" s="415" t="s">
        <v>337</v>
      </c>
      <c r="CE698" s="415" t="s">
        <v>337</v>
      </c>
      <c r="CH698" s="415" t="s">
        <v>337</v>
      </c>
      <c r="CK698" s="415" t="s">
        <v>337</v>
      </c>
      <c r="CN698" s="415" t="s">
        <v>337</v>
      </c>
      <c r="CQ698" s="415" t="s">
        <v>337</v>
      </c>
      <c r="CT698" s="415" t="s">
        <v>337</v>
      </c>
    </row>
    <row r="699" spans="1:98">
      <c r="A699" s="1" t="s">
        <v>1471</v>
      </c>
      <c r="B699" s="416" t="s">
        <v>6144</v>
      </c>
      <c r="S699" s="213" t="s">
        <v>6145</v>
      </c>
      <c r="T699" s="416" t="s">
        <v>6146</v>
      </c>
      <c r="U699" s="415" t="s">
        <v>337</v>
      </c>
      <c r="X699" s="415"/>
      <c r="AA699" s="415"/>
      <c r="AD699" s="415"/>
      <c r="AE699" s="417" t="s">
        <v>6147</v>
      </c>
      <c r="AF699" s="416" t="s">
        <v>6148</v>
      </c>
      <c r="AG699" s="415"/>
      <c r="AJ699" s="415" t="s">
        <v>337</v>
      </c>
      <c r="AM699" s="415" t="s">
        <v>337</v>
      </c>
      <c r="AP699" s="415" t="s">
        <v>337</v>
      </c>
      <c r="AS699" s="415" t="s">
        <v>337</v>
      </c>
      <c r="AV699" s="415" t="s">
        <v>337</v>
      </c>
      <c r="AY699" s="415" t="s">
        <v>337</v>
      </c>
      <c r="BB699" s="415" t="s">
        <v>337</v>
      </c>
      <c r="BE699" s="415" t="s">
        <v>337</v>
      </c>
      <c r="BH699" s="415" t="s">
        <v>337</v>
      </c>
      <c r="BM699" s="415" t="s">
        <v>337</v>
      </c>
      <c r="BP699" s="415" t="s">
        <v>337</v>
      </c>
      <c r="BS699" s="415"/>
      <c r="BV699" s="415" t="s">
        <v>337</v>
      </c>
      <c r="BY699" s="415" t="s">
        <v>337</v>
      </c>
      <c r="CB699" s="415" t="s">
        <v>337</v>
      </c>
      <c r="CE699" s="415" t="s">
        <v>337</v>
      </c>
      <c r="CH699" s="415" t="s">
        <v>337</v>
      </c>
      <c r="CK699" s="415" t="s">
        <v>337</v>
      </c>
      <c r="CN699" s="415" t="s">
        <v>337</v>
      </c>
      <c r="CQ699" s="415" t="s">
        <v>337</v>
      </c>
      <c r="CT699" s="415" t="s">
        <v>337</v>
      </c>
    </row>
    <row r="700" spans="1:98">
      <c r="A700" s="1" t="s">
        <v>1471</v>
      </c>
      <c r="B700" s="416" t="s">
        <v>6149</v>
      </c>
      <c r="S700" s="213" t="s">
        <v>6150</v>
      </c>
      <c r="T700" s="416" t="s">
        <v>6151</v>
      </c>
      <c r="U700" s="415" t="s">
        <v>337</v>
      </c>
      <c r="X700" s="415"/>
      <c r="AA700" s="415"/>
      <c r="AD700" s="415"/>
      <c r="AE700" s="417" t="s">
        <v>6152</v>
      </c>
      <c r="AF700" s="416" t="s">
        <v>6153</v>
      </c>
      <c r="AG700" s="415"/>
      <c r="AJ700" s="415" t="s">
        <v>337</v>
      </c>
      <c r="AM700" s="415" t="s">
        <v>337</v>
      </c>
      <c r="AP700" s="415" t="s">
        <v>337</v>
      </c>
      <c r="AS700" s="415" t="s">
        <v>337</v>
      </c>
      <c r="AV700" s="415" t="s">
        <v>337</v>
      </c>
      <c r="AY700" s="415" t="s">
        <v>337</v>
      </c>
      <c r="BB700" s="415" t="s">
        <v>337</v>
      </c>
      <c r="BE700" s="415" t="s">
        <v>337</v>
      </c>
      <c r="BH700" s="415" t="s">
        <v>337</v>
      </c>
      <c r="BM700" s="415" t="s">
        <v>337</v>
      </c>
      <c r="BP700" s="415" t="s">
        <v>337</v>
      </c>
      <c r="BS700" s="415"/>
      <c r="BV700" s="415" t="s">
        <v>337</v>
      </c>
      <c r="BY700" s="415" t="s">
        <v>337</v>
      </c>
      <c r="CB700" s="415" t="s">
        <v>337</v>
      </c>
      <c r="CE700" s="415" t="s">
        <v>337</v>
      </c>
      <c r="CH700" s="415" t="s">
        <v>337</v>
      </c>
      <c r="CK700" s="415" t="s">
        <v>337</v>
      </c>
      <c r="CN700" s="415" t="s">
        <v>337</v>
      </c>
      <c r="CQ700" s="415" t="s">
        <v>337</v>
      </c>
      <c r="CT700" s="415" t="s">
        <v>337</v>
      </c>
    </row>
    <row r="701" spans="1:98">
      <c r="A701" s="1" t="s">
        <v>1471</v>
      </c>
      <c r="B701" s="416" t="s">
        <v>6154</v>
      </c>
      <c r="S701" s="213" t="s">
        <v>6155</v>
      </c>
      <c r="T701" s="416" t="s">
        <v>6156</v>
      </c>
      <c r="U701" s="415" t="s">
        <v>337</v>
      </c>
      <c r="X701" s="415"/>
      <c r="AA701" s="415"/>
      <c r="AD701" s="415"/>
      <c r="AE701" s="417" t="s">
        <v>6157</v>
      </c>
      <c r="AF701" s="416" t="s">
        <v>6158</v>
      </c>
      <c r="AG701" s="415"/>
      <c r="AJ701" s="415" t="s">
        <v>337</v>
      </c>
      <c r="AM701" s="415" t="s">
        <v>337</v>
      </c>
      <c r="AP701" s="415" t="s">
        <v>337</v>
      </c>
      <c r="AS701" s="415" t="s">
        <v>337</v>
      </c>
      <c r="AV701" s="415" t="s">
        <v>337</v>
      </c>
      <c r="AY701" s="415" t="s">
        <v>337</v>
      </c>
      <c r="BB701" s="415" t="s">
        <v>337</v>
      </c>
      <c r="BE701" s="415" t="s">
        <v>337</v>
      </c>
      <c r="BH701" s="415" t="s">
        <v>337</v>
      </c>
      <c r="BM701" s="415" t="s">
        <v>337</v>
      </c>
      <c r="BP701" s="415" t="s">
        <v>337</v>
      </c>
      <c r="BS701" s="415"/>
      <c r="BV701" s="415" t="s">
        <v>337</v>
      </c>
      <c r="BY701" s="415" t="s">
        <v>337</v>
      </c>
      <c r="CB701" s="415" t="s">
        <v>337</v>
      </c>
      <c r="CE701" s="415" t="s">
        <v>337</v>
      </c>
      <c r="CH701" s="415" t="s">
        <v>337</v>
      </c>
      <c r="CK701" s="415" t="s">
        <v>337</v>
      </c>
      <c r="CN701" s="415" t="s">
        <v>337</v>
      </c>
      <c r="CQ701" s="415" t="s">
        <v>337</v>
      </c>
      <c r="CT701" s="415" t="s">
        <v>337</v>
      </c>
    </row>
    <row r="702" spans="1:98">
      <c r="A702" s="1" t="s">
        <v>1471</v>
      </c>
      <c r="B702" s="416" t="s">
        <v>4321</v>
      </c>
      <c r="S702" s="213" t="s">
        <v>6159</v>
      </c>
      <c r="T702" s="416" t="s">
        <v>6160</v>
      </c>
      <c r="U702" s="415" t="s">
        <v>337</v>
      </c>
      <c r="X702" s="415"/>
      <c r="AA702" s="415"/>
      <c r="AD702" s="415"/>
      <c r="AE702" s="417" t="s">
        <v>6161</v>
      </c>
      <c r="AF702" s="416" t="s">
        <v>6162</v>
      </c>
      <c r="AG702" s="415"/>
      <c r="AJ702" s="415" t="s">
        <v>337</v>
      </c>
      <c r="AM702" s="415" t="s">
        <v>337</v>
      </c>
      <c r="AP702" s="415" t="s">
        <v>337</v>
      </c>
      <c r="AS702" s="415" t="s">
        <v>337</v>
      </c>
      <c r="AV702" s="415" t="s">
        <v>337</v>
      </c>
      <c r="AY702" s="415" t="s">
        <v>337</v>
      </c>
      <c r="BB702" s="415" t="s">
        <v>337</v>
      </c>
      <c r="BE702" s="415" t="s">
        <v>337</v>
      </c>
      <c r="BH702" s="415" t="s">
        <v>337</v>
      </c>
      <c r="BM702" s="415" t="s">
        <v>337</v>
      </c>
      <c r="BP702" s="415" t="s">
        <v>337</v>
      </c>
      <c r="BS702" s="415"/>
      <c r="BV702" s="415" t="s">
        <v>337</v>
      </c>
      <c r="BY702" s="415" t="s">
        <v>337</v>
      </c>
      <c r="CB702" s="415" t="s">
        <v>337</v>
      </c>
      <c r="CE702" s="415" t="s">
        <v>337</v>
      </c>
      <c r="CH702" s="415" t="s">
        <v>337</v>
      </c>
      <c r="CK702" s="415" t="s">
        <v>337</v>
      </c>
      <c r="CN702" s="415" t="s">
        <v>337</v>
      </c>
      <c r="CQ702" s="415" t="s">
        <v>337</v>
      </c>
      <c r="CT702" s="415" t="s">
        <v>337</v>
      </c>
    </row>
    <row r="703" spans="1:98">
      <c r="A703" s="1" t="s">
        <v>1471</v>
      </c>
      <c r="B703" s="416" t="s">
        <v>6163</v>
      </c>
      <c r="S703" s="213" t="s">
        <v>6164</v>
      </c>
      <c r="T703" s="416" t="s">
        <v>6165</v>
      </c>
      <c r="U703" s="415" t="s">
        <v>337</v>
      </c>
      <c r="X703" s="415"/>
      <c r="AA703" s="415"/>
      <c r="AD703" s="415"/>
      <c r="AE703" s="417" t="s">
        <v>6166</v>
      </c>
      <c r="AF703" s="416" t="s">
        <v>6167</v>
      </c>
      <c r="AG703" s="415"/>
      <c r="AJ703" s="415" t="s">
        <v>337</v>
      </c>
      <c r="AM703" s="415" t="s">
        <v>337</v>
      </c>
      <c r="AP703" s="415" t="s">
        <v>337</v>
      </c>
      <c r="AS703" s="415" t="s">
        <v>337</v>
      </c>
      <c r="AV703" s="415" t="s">
        <v>337</v>
      </c>
      <c r="AY703" s="415" t="s">
        <v>337</v>
      </c>
      <c r="BB703" s="415" t="s">
        <v>337</v>
      </c>
      <c r="BE703" s="415" t="s">
        <v>337</v>
      </c>
      <c r="BH703" s="415" t="s">
        <v>337</v>
      </c>
      <c r="BM703" s="415" t="s">
        <v>337</v>
      </c>
      <c r="BP703" s="415" t="s">
        <v>337</v>
      </c>
      <c r="BS703" s="415"/>
      <c r="BV703" s="415" t="s">
        <v>337</v>
      </c>
      <c r="BY703" s="415" t="s">
        <v>337</v>
      </c>
      <c r="CB703" s="415" t="s">
        <v>337</v>
      </c>
      <c r="CE703" s="415" t="s">
        <v>337</v>
      </c>
      <c r="CH703" s="415" t="s">
        <v>337</v>
      </c>
      <c r="CK703" s="415" t="s">
        <v>337</v>
      </c>
      <c r="CN703" s="415" t="s">
        <v>337</v>
      </c>
      <c r="CQ703" s="415" t="s">
        <v>337</v>
      </c>
      <c r="CT703" s="415" t="s">
        <v>337</v>
      </c>
    </row>
    <row r="704" spans="1:98">
      <c r="A704" s="1" t="s">
        <v>1471</v>
      </c>
      <c r="B704" s="416" t="s">
        <v>6168</v>
      </c>
      <c r="S704" s="213" t="s">
        <v>6169</v>
      </c>
      <c r="T704" s="416" t="s">
        <v>6170</v>
      </c>
      <c r="U704" s="415" t="s">
        <v>337</v>
      </c>
      <c r="X704" s="415"/>
      <c r="AA704" s="415"/>
      <c r="AD704" s="415"/>
      <c r="AE704" s="417" t="s">
        <v>6171</v>
      </c>
      <c r="AF704" s="416" t="s">
        <v>6172</v>
      </c>
      <c r="AG704" s="415"/>
      <c r="AJ704" s="415" t="s">
        <v>337</v>
      </c>
      <c r="AM704" s="415" t="s">
        <v>337</v>
      </c>
      <c r="AP704" s="415" t="s">
        <v>337</v>
      </c>
      <c r="AS704" s="415" t="s">
        <v>337</v>
      </c>
      <c r="AV704" s="415" t="s">
        <v>337</v>
      </c>
      <c r="AY704" s="415" t="s">
        <v>337</v>
      </c>
      <c r="BB704" s="415" t="s">
        <v>337</v>
      </c>
      <c r="BE704" s="415" t="s">
        <v>337</v>
      </c>
      <c r="BH704" s="415" t="s">
        <v>337</v>
      </c>
      <c r="BM704" s="415" t="s">
        <v>337</v>
      </c>
      <c r="BP704" s="415" t="s">
        <v>337</v>
      </c>
      <c r="BS704" s="415"/>
      <c r="BV704" s="415" t="s">
        <v>337</v>
      </c>
      <c r="BY704" s="415" t="s">
        <v>337</v>
      </c>
      <c r="CB704" s="415" t="s">
        <v>337</v>
      </c>
      <c r="CE704" s="415" t="s">
        <v>337</v>
      </c>
      <c r="CH704" s="415" t="s">
        <v>337</v>
      </c>
      <c r="CK704" s="415" t="s">
        <v>337</v>
      </c>
      <c r="CN704" s="415" t="s">
        <v>337</v>
      </c>
      <c r="CQ704" s="415" t="s">
        <v>337</v>
      </c>
      <c r="CT704" s="415" t="s">
        <v>337</v>
      </c>
    </row>
    <row r="705" spans="1:98">
      <c r="A705" s="1" t="s">
        <v>1471</v>
      </c>
      <c r="B705" s="416" t="s">
        <v>6173</v>
      </c>
      <c r="S705" s="213" t="s">
        <v>6174</v>
      </c>
      <c r="T705" s="416" t="s">
        <v>6175</v>
      </c>
      <c r="U705" s="415" t="s">
        <v>337</v>
      </c>
      <c r="X705" s="415"/>
      <c r="AA705" s="415"/>
      <c r="AD705" s="415"/>
      <c r="AE705" s="417" t="s">
        <v>6176</v>
      </c>
      <c r="AF705" s="416" t="s">
        <v>6177</v>
      </c>
      <c r="AG705" s="415"/>
      <c r="AJ705" s="415" t="s">
        <v>337</v>
      </c>
      <c r="AM705" s="415" t="s">
        <v>337</v>
      </c>
      <c r="AP705" s="415" t="s">
        <v>337</v>
      </c>
      <c r="AS705" s="415" t="s">
        <v>337</v>
      </c>
      <c r="AV705" s="415" t="s">
        <v>337</v>
      </c>
      <c r="AY705" s="415" t="s">
        <v>337</v>
      </c>
      <c r="BB705" s="415" t="s">
        <v>337</v>
      </c>
      <c r="BE705" s="415" t="s">
        <v>337</v>
      </c>
      <c r="BH705" s="415" t="s">
        <v>337</v>
      </c>
      <c r="BM705" s="415" t="s">
        <v>337</v>
      </c>
      <c r="BP705" s="415" t="s">
        <v>337</v>
      </c>
      <c r="BS705" s="415"/>
      <c r="BV705" s="415" t="s">
        <v>337</v>
      </c>
      <c r="BY705" s="415" t="s">
        <v>337</v>
      </c>
      <c r="CB705" s="415" t="s">
        <v>337</v>
      </c>
      <c r="CE705" s="415" t="s">
        <v>337</v>
      </c>
      <c r="CH705" s="415" t="s">
        <v>337</v>
      </c>
      <c r="CK705" s="415" t="s">
        <v>337</v>
      </c>
      <c r="CN705" s="415" t="s">
        <v>337</v>
      </c>
      <c r="CQ705" s="415" t="s">
        <v>337</v>
      </c>
      <c r="CT705" s="415" t="s">
        <v>337</v>
      </c>
    </row>
    <row r="706" spans="1:98">
      <c r="A706" s="1" t="s">
        <v>1471</v>
      </c>
      <c r="B706" s="416" t="s">
        <v>4297</v>
      </c>
      <c r="S706" s="213" t="s">
        <v>6178</v>
      </c>
      <c r="T706" s="416" t="s">
        <v>6179</v>
      </c>
      <c r="U706" s="415" t="s">
        <v>337</v>
      </c>
      <c r="X706" s="415"/>
      <c r="AA706" s="415"/>
      <c r="AD706" s="415"/>
      <c r="AE706" s="417" t="s">
        <v>6180</v>
      </c>
      <c r="AF706" s="416" t="s">
        <v>6181</v>
      </c>
      <c r="AG706" s="415"/>
      <c r="AJ706" s="415" t="s">
        <v>337</v>
      </c>
      <c r="AM706" s="415" t="s">
        <v>337</v>
      </c>
      <c r="AP706" s="415" t="s">
        <v>337</v>
      </c>
      <c r="AS706" s="415" t="s">
        <v>337</v>
      </c>
      <c r="AV706" s="415" t="s">
        <v>337</v>
      </c>
      <c r="AY706" s="415" t="s">
        <v>337</v>
      </c>
      <c r="BB706" s="415" t="s">
        <v>337</v>
      </c>
      <c r="BE706" s="415" t="s">
        <v>337</v>
      </c>
      <c r="BH706" s="415" t="s">
        <v>337</v>
      </c>
      <c r="BM706" s="415" t="s">
        <v>337</v>
      </c>
      <c r="BP706" s="415" t="s">
        <v>337</v>
      </c>
      <c r="BS706" s="415"/>
      <c r="BV706" s="415" t="s">
        <v>337</v>
      </c>
      <c r="BY706" s="415" t="s">
        <v>337</v>
      </c>
      <c r="CB706" s="415" t="s">
        <v>337</v>
      </c>
      <c r="CE706" s="415" t="s">
        <v>337</v>
      </c>
      <c r="CH706" s="415" t="s">
        <v>337</v>
      </c>
      <c r="CK706" s="415" t="s">
        <v>337</v>
      </c>
      <c r="CN706" s="415" t="s">
        <v>337</v>
      </c>
      <c r="CQ706" s="415" t="s">
        <v>337</v>
      </c>
      <c r="CT706" s="415" t="s">
        <v>337</v>
      </c>
    </row>
    <row r="707" spans="1:98">
      <c r="A707" s="1" t="s">
        <v>1471</v>
      </c>
      <c r="B707" s="416" t="s">
        <v>6182</v>
      </c>
      <c r="S707" s="213" t="s">
        <v>6183</v>
      </c>
      <c r="T707" s="416" t="s">
        <v>6184</v>
      </c>
      <c r="U707" s="415" t="s">
        <v>337</v>
      </c>
      <c r="X707" s="415"/>
      <c r="AA707" s="415"/>
      <c r="AD707" s="415"/>
      <c r="AE707" s="417" t="s">
        <v>6185</v>
      </c>
      <c r="AF707" s="416" t="s">
        <v>6186</v>
      </c>
      <c r="AG707" s="415"/>
      <c r="AJ707" s="415" t="s">
        <v>337</v>
      </c>
      <c r="AM707" s="415" t="s">
        <v>337</v>
      </c>
      <c r="AP707" s="415" t="s">
        <v>337</v>
      </c>
      <c r="AS707" s="415" t="s">
        <v>337</v>
      </c>
      <c r="AV707" s="415" t="s">
        <v>337</v>
      </c>
      <c r="AY707" s="415" t="s">
        <v>337</v>
      </c>
      <c r="BB707" s="415" t="s">
        <v>337</v>
      </c>
      <c r="BE707" s="415" t="s">
        <v>337</v>
      </c>
      <c r="BH707" s="415" t="s">
        <v>337</v>
      </c>
      <c r="BM707" s="415" t="s">
        <v>337</v>
      </c>
      <c r="BP707" s="415" t="s">
        <v>337</v>
      </c>
      <c r="BS707" s="415"/>
      <c r="BV707" s="415" t="s">
        <v>337</v>
      </c>
      <c r="BY707" s="415" t="s">
        <v>337</v>
      </c>
      <c r="CB707" s="415" t="s">
        <v>337</v>
      </c>
      <c r="CE707" s="415" t="s">
        <v>337</v>
      </c>
      <c r="CH707" s="415" t="s">
        <v>337</v>
      </c>
      <c r="CK707" s="415" t="s">
        <v>337</v>
      </c>
      <c r="CN707" s="415" t="s">
        <v>337</v>
      </c>
      <c r="CQ707" s="415" t="s">
        <v>337</v>
      </c>
      <c r="CT707" s="415" t="s">
        <v>337</v>
      </c>
    </row>
    <row r="708" spans="1:98">
      <c r="A708" s="1" t="s">
        <v>1471</v>
      </c>
      <c r="B708" s="416" t="s">
        <v>6187</v>
      </c>
      <c r="S708" s="213" t="s">
        <v>6188</v>
      </c>
      <c r="T708" s="416" t="s">
        <v>6189</v>
      </c>
      <c r="U708" s="415" t="s">
        <v>337</v>
      </c>
      <c r="X708" s="415"/>
      <c r="AA708" s="415"/>
      <c r="AD708" s="415"/>
      <c r="AE708" s="417" t="s">
        <v>6190</v>
      </c>
      <c r="AF708" s="416" t="s">
        <v>6191</v>
      </c>
      <c r="AG708" s="415"/>
      <c r="AJ708" s="415" t="s">
        <v>337</v>
      </c>
      <c r="AM708" s="415" t="s">
        <v>337</v>
      </c>
      <c r="AP708" s="415" t="s">
        <v>337</v>
      </c>
      <c r="AS708" s="415" t="s">
        <v>337</v>
      </c>
      <c r="AV708" s="415" t="s">
        <v>337</v>
      </c>
      <c r="AY708" s="415" t="s">
        <v>337</v>
      </c>
      <c r="BB708" s="415" t="s">
        <v>337</v>
      </c>
      <c r="BE708" s="415" t="s">
        <v>337</v>
      </c>
      <c r="BH708" s="415" t="s">
        <v>337</v>
      </c>
      <c r="BM708" s="415" t="s">
        <v>337</v>
      </c>
      <c r="BP708" s="415" t="s">
        <v>337</v>
      </c>
      <c r="BS708" s="415"/>
      <c r="BV708" s="415" t="s">
        <v>337</v>
      </c>
      <c r="BY708" s="415" t="s">
        <v>337</v>
      </c>
      <c r="CB708" s="415" t="s">
        <v>337</v>
      </c>
      <c r="CE708" s="415" t="s">
        <v>337</v>
      </c>
      <c r="CH708" s="415" t="s">
        <v>337</v>
      </c>
      <c r="CK708" s="415" t="s">
        <v>337</v>
      </c>
      <c r="CN708" s="415" t="s">
        <v>337</v>
      </c>
      <c r="CQ708" s="415" t="s">
        <v>337</v>
      </c>
      <c r="CT708" s="415" t="s">
        <v>337</v>
      </c>
    </row>
    <row r="709" spans="1:98">
      <c r="A709" s="1" t="s">
        <v>1471</v>
      </c>
      <c r="B709" s="416" t="s">
        <v>6192</v>
      </c>
      <c r="S709" s="213" t="s">
        <v>6193</v>
      </c>
      <c r="T709" s="416" t="s">
        <v>6194</v>
      </c>
      <c r="U709" s="415" t="s">
        <v>337</v>
      </c>
      <c r="X709" s="415"/>
      <c r="AA709" s="415"/>
      <c r="AD709" s="415"/>
      <c r="AE709" s="417" t="s">
        <v>6195</v>
      </c>
      <c r="AF709" s="416" t="s">
        <v>6196</v>
      </c>
      <c r="AG709" s="415"/>
      <c r="AJ709" s="415" t="s">
        <v>337</v>
      </c>
      <c r="AM709" s="415" t="s">
        <v>337</v>
      </c>
      <c r="AP709" s="415" t="s">
        <v>337</v>
      </c>
      <c r="AS709" s="415" t="s">
        <v>337</v>
      </c>
      <c r="AV709" s="415" t="s">
        <v>337</v>
      </c>
      <c r="AY709" s="415" t="s">
        <v>337</v>
      </c>
      <c r="BB709" s="415" t="s">
        <v>337</v>
      </c>
      <c r="BE709" s="415" t="s">
        <v>337</v>
      </c>
      <c r="BH709" s="415" t="s">
        <v>337</v>
      </c>
      <c r="BM709" s="415" t="s">
        <v>337</v>
      </c>
      <c r="BP709" s="415" t="s">
        <v>337</v>
      </c>
      <c r="BS709" s="415"/>
      <c r="BV709" s="415" t="s">
        <v>337</v>
      </c>
      <c r="BY709" s="415" t="s">
        <v>337</v>
      </c>
      <c r="CB709" s="415" t="s">
        <v>337</v>
      </c>
      <c r="CE709" s="415" t="s">
        <v>337</v>
      </c>
      <c r="CH709" s="415" t="s">
        <v>337</v>
      </c>
      <c r="CK709" s="415" t="s">
        <v>337</v>
      </c>
      <c r="CN709" s="415" t="s">
        <v>337</v>
      </c>
      <c r="CQ709" s="415" t="s">
        <v>337</v>
      </c>
      <c r="CT709" s="415" t="s">
        <v>337</v>
      </c>
    </row>
    <row r="710" spans="1:98">
      <c r="A710" s="1" t="s">
        <v>1471</v>
      </c>
      <c r="B710" s="416" t="s">
        <v>6197</v>
      </c>
      <c r="S710" s="213" t="s">
        <v>6198</v>
      </c>
      <c r="T710" s="416" t="s">
        <v>6199</v>
      </c>
      <c r="U710" s="415" t="s">
        <v>337</v>
      </c>
      <c r="X710" s="415"/>
      <c r="AA710" s="415"/>
      <c r="AD710" s="415"/>
      <c r="AE710" s="417" t="s">
        <v>6200</v>
      </c>
      <c r="AF710" s="416" t="s">
        <v>6201</v>
      </c>
      <c r="AG710" s="415"/>
      <c r="AJ710" s="415" t="s">
        <v>337</v>
      </c>
      <c r="AM710" s="415" t="s">
        <v>337</v>
      </c>
      <c r="AP710" s="415" t="s">
        <v>337</v>
      </c>
      <c r="AS710" s="415" t="s">
        <v>337</v>
      </c>
      <c r="AV710" s="415" t="s">
        <v>337</v>
      </c>
      <c r="AY710" s="415" t="s">
        <v>337</v>
      </c>
      <c r="BB710" s="415" t="s">
        <v>337</v>
      </c>
      <c r="BE710" s="415" t="s">
        <v>337</v>
      </c>
      <c r="BH710" s="415" t="s">
        <v>337</v>
      </c>
      <c r="BM710" s="415" t="s">
        <v>337</v>
      </c>
      <c r="BP710" s="415" t="s">
        <v>337</v>
      </c>
      <c r="BS710" s="415"/>
      <c r="BV710" s="415" t="s">
        <v>337</v>
      </c>
      <c r="BY710" s="415" t="s">
        <v>337</v>
      </c>
      <c r="CB710" s="415" t="s">
        <v>337</v>
      </c>
      <c r="CE710" s="415" t="s">
        <v>337</v>
      </c>
      <c r="CH710" s="415" t="s">
        <v>337</v>
      </c>
      <c r="CK710" s="415" t="s">
        <v>337</v>
      </c>
      <c r="CN710" s="415" t="s">
        <v>337</v>
      </c>
      <c r="CQ710" s="415" t="s">
        <v>337</v>
      </c>
      <c r="CT710" s="415" t="s">
        <v>337</v>
      </c>
    </row>
    <row r="711" spans="1:98">
      <c r="A711" s="1" t="s">
        <v>1471</v>
      </c>
      <c r="B711" s="416" t="s">
        <v>6202</v>
      </c>
      <c r="S711" s="213" t="s">
        <v>6203</v>
      </c>
      <c r="T711" s="416" t="s">
        <v>6204</v>
      </c>
      <c r="U711" s="415" t="s">
        <v>337</v>
      </c>
      <c r="X711" s="415"/>
      <c r="AA711" s="415"/>
      <c r="AD711" s="415"/>
      <c r="AE711" s="417" t="s">
        <v>6205</v>
      </c>
      <c r="AF711" s="416" t="s">
        <v>6206</v>
      </c>
      <c r="AG711" s="415"/>
      <c r="AJ711" s="415" t="s">
        <v>337</v>
      </c>
      <c r="AM711" s="415" t="s">
        <v>337</v>
      </c>
      <c r="AP711" s="415" t="s">
        <v>337</v>
      </c>
      <c r="AS711" s="415" t="s">
        <v>337</v>
      </c>
      <c r="AV711" s="415" t="s">
        <v>337</v>
      </c>
      <c r="AY711" s="415" t="s">
        <v>337</v>
      </c>
      <c r="BB711" s="415" t="s">
        <v>337</v>
      </c>
      <c r="BE711" s="415" t="s">
        <v>337</v>
      </c>
      <c r="BH711" s="415" t="s">
        <v>337</v>
      </c>
      <c r="BM711" s="415" t="s">
        <v>337</v>
      </c>
      <c r="BP711" s="415" t="s">
        <v>337</v>
      </c>
      <c r="BS711" s="415"/>
      <c r="BV711" s="415" t="s">
        <v>337</v>
      </c>
      <c r="BY711" s="415" t="s">
        <v>337</v>
      </c>
      <c r="CB711" s="415" t="s">
        <v>337</v>
      </c>
      <c r="CE711" s="415" t="s">
        <v>337</v>
      </c>
      <c r="CH711" s="415" t="s">
        <v>337</v>
      </c>
      <c r="CK711" s="415" t="s">
        <v>337</v>
      </c>
      <c r="CN711" s="415" t="s">
        <v>337</v>
      </c>
      <c r="CQ711" s="415" t="s">
        <v>337</v>
      </c>
      <c r="CT711" s="415" t="s">
        <v>337</v>
      </c>
    </row>
    <row r="712" spans="1:98">
      <c r="A712" s="1" t="s">
        <v>1471</v>
      </c>
      <c r="B712" s="416" t="s">
        <v>6207</v>
      </c>
      <c r="S712" s="213" t="s">
        <v>6208</v>
      </c>
      <c r="T712" s="416" t="s">
        <v>6209</v>
      </c>
      <c r="U712" s="415" t="s">
        <v>337</v>
      </c>
      <c r="X712" s="415"/>
      <c r="AA712" s="415"/>
      <c r="AD712" s="415"/>
      <c r="AE712" s="417" t="s">
        <v>6210</v>
      </c>
      <c r="AF712" s="416" t="s">
        <v>6211</v>
      </c>
      <c r="AG712" s="415"/>
      <c r="AJ712" s="415" t="s">
        <v>337</v>
      </c>
      <c r="AM712" s="415" t="s">
        <v>337</v>
      </c>
      <c r="AP712" s="415" t="s">
        <v>337</v>
      </c>
      <c r="AS712" s="415" t="s">
        <v>337</v>
      </c>
      <c r="AV712" s="415" t="s">
        <v>337</v>
      </c>
      <c r="AY712" s="415" t="s">
        <v>337</v>
      </c>
      <c r="BB712" s="415" t="s">
        <v>337</v>
      </c>
      <c r="BE712" s="415" t="s">
        <v>337</v>
      </c>
      <c r="BH712" s="415" t="s">
        <v>337</v>
      </c>
      <c r="BM712" s="415" t="s">
        <v>337</v>
      </c>
      <c r="BP712" s="415" t="s">
        <v>337</v>
      </c>
      <c r="BS712" s="415"/>
      <c r="BV712" s="415" t="s">
        <v>337</v>
      </c>
      <c r="BY712" s="415" t="s">
        <v>337</v>
      </c>
      <c r="CB712" s="415" t="s">
        <v>337</v>
      </c>
      <c r="CE712" s="415" t="s">
        <v>337</v>
      </c>
      <c r="CH712" s="415" t="s">
        <v>337</v>
      </c>
      <c r="CK712" s="415" t="s">
        <v>337</v>
      </c>
      <c r="CN712" s="415" t="s">
        <v>337</v>
      </c>
      <c r="CQ712" s="415" t="s">
        <v>337</v>
      </c>
      <c r="CT712" s="415" t="s">
        <v>337</v>
      </c>
    </row>
    <row r="713" spans="1:98">
      <c r="A713" s="1" t="s">
        <v>1471</v>
      </c>
      <c r="B713" s="416" t="s">
        <v>6212</v>
      </c>
      <c r="S713" s="213" t="s">
        <v>6213</v>
      </c>
      <c r="T713" s="416" t="s">
        <v>6214</v>
      </c>
      <c r="U713" s="415" t="s">
        <v>337</v>
      </c>
      <c r="X713" s="415"/>
      <c r="AA713" s="415"/>
      <c r="AD713" s="415"/>
      <c r="AE713" s="417" t="s">
        <v>6215</v>
      </c>
      <c r="AF713" s="416" t="s">
        <v>6216</v>
      </c>
      <c r="AG713" s="415"/>
      <c r="AJ713" s="415" t="s">
        <v>337</v>
      </c>
      <c r="AM713" s="415" t="s">
        <v>337</v>
      </c>
      <c r="AP713" s="415" t="s">
        <v>337</v>
      </c>
      <c r="AS713" s="415" t="s">
        <v>337</v>
      </c>
      <c r="AV713" s="415" t="s">
        <v>337</v>
      </c>
      <c r="AY713" s="415" t="s">
        <v>337</v>
      </c>
      <c r="BB713" s="415" t="s">
        <v>337</v>
      </c>
      <c r="BE713" s="415" t="s">
        <v>337</v>
      </c>
      <c r="BH713" s="415" t="s">
        <v>337</v>
      </c>
      <c r="BM713" s="415" t="s">
        <v>337</v>
      </c>
      <c r="BP713" s="415" t="s">
        <v>337</v>
      </c>
      <c r="BS713" s="415"/>
      <c r="BV713" s="415" t="s">
        <v>337</v>
      </c>
      <c r="BY713" s="415" t="s">
        <v>337</v>
      </c>
      <c r="CB713" s="415" t="s">
        <v>337</v>
      </c>
      <c r="CE713" s="415" t="s">
        <v>337</v>
      </c>
      <c r="CH713" s="415" t="s">
        <v>337</v>
      </c>
      <c r="CK713" s="415" t="s">
        <v>337</v>
      </c>
      <c r="CN713" s="415" t="s">
        <v>337</v>
      </c>
      <c r="CQ713" s="415" t="s">
        <v>337</v>
      </c>
      <c r="CT713" s="415" t="s">
        <v>337</v>
      </c>
    </row>
    <row r="714" spans="1:98">
      <c r="A714" s="1" t="s">
        <v>1485</v>
      </c>
      <c r="B714" s="416" t="s">
        <v>6217</v>
      </c>
      <c r="S714" s="213" t="s">
        <v>6218</v>
      </c>
      <c r="T714" s="416" t="s">
        <v>6219</v>
      </c>
      <c r="U714" s="415" t="s">
        <v>337</v>
      </c>
      <c r="X714" s="415"/>
      <c r="AA714" s="415"/>
      <c r="AD714" s="415"/>
      <c r="AE714" s="417" t="s">
        <v>6220</v>
      </c>
      <c r="AF714" s="416" t="s">
        <v>6221</v>
      </c>
      <c r="AG714" s="415"/>
      <c r="AJ714" s="415" t="s">
        <v>337</v>
      </c>
      <c r="AM714" s="415" t="s">
        <v>337</v>
      </c>
      <c r="AP714" s="415" t="s">
        <v>337</v>
      </c>
      <c r="AS714" s="415" t="s">
        <v>337</v>
      </c>
      <c r="AV714" s="415" t="s">
        <v>337</v>
      </c>
      <c r="AY714" s="415" t="s">
        <v>337</v>
      </c>
      <c r="BB714" s="415" t="s">
        <v>337</v>
      </c>
      <c r="BE714" s="415" t="s">
        <v>337</v>
      </c>
      <c r="BH714" s="415" t="s">
        <v>337</v>
      </c>
      <c r="BM714" s="415" t="s">
        <v>337</v>
      </c>
      <c r="BP714" s="415" t="s">
        <v>337</v>
      </c>
      <c r="BS714" s="415"/>
      <c r="BV714" s="415" t="s">
        <v>337</v>
      </c>
      <c r="BY714" s="415" t="s">
        <v>337</v>
      </c>
      <c r="CB714" s="415" t="s">
        <v>337</v>
      </c>
      <c r="CE714" s="415" t="s">
        <v>337</v>
      </c>
      <c r="CH714" s="415" t="s">
        <v>337</v>
      </c>
      <c r="CK714" s="415" t="s">
        <v>337</v>
      </c>
      <c r="CN714" s="415" t="s">
        <v>337</v>
      </c>
      <c r="CQ714" s="415" t="s">
        <v>337</v>
      </c>
      <c r="CT714" s="415" t="s">
        <v>337</v>
      </c>
    </row>
    <row r="715" spans="1:98">
      <c r="A715" s="1" t="s">
        <v>1485</v>
      </c>
      <c r="B715" s="416" t="s">
        <v>6222</v>
      </c>
      <c r="S715" s="213" t="s">
        <v>6223</v>
      </c>
      <c r="T715" s="416" t="s">
        <v>6224</v>
      </c>
      <c r="U715" s="415" t="s">
        <v>337</v>
      </c>
      <c r="X715" s="415"/>
      <c r="AA715" s="415"/>
      <c r="AD715" s="415"/>
      <c r="AE715" s="417" t="s">
        <v>6225</v>
      </c>
      <c r="AF715" s="416" t="s">
        <v>6226</v>
      </c>
      <c r="AG715" s="415"/>
      <c r="AJ715" s="415" t="s">
        <v>337</v>
      </c>
      <c r="AM715" s="415" t="s">
        <v>337</v>
      </c>
      <c r="AP715" s="415" t="s">
        <v>337</v>
      </c>
      <c r="AS715" s="415" t="s">
        <v>337</v>
      </c>
      <c r="AV715" s="415" t="s">
        <v>337</v>
      </c>
      <c r="AY715" s="415" t="s">
        <v>337</v>
      </c>
      <c r="BB715" s="415" t="s">
        <v>337</v>
      </c>
      <c r="BE715" s="415" t="s">
        <v>337</v>
      </c>
      <c r="BH715" s="415" t="s">
        <v>337</v>
      </c>
      <c r="BM715" s="415" t="s">
        <v>337</v>
      </c>
      <c r="BP715" s="415" t="s">
        <v>337</v>
      </c>
      <c r="BS715" s="415"/>
      <c r="BV715" s="415" t="s">
        <v>337</v>
      </c>
      <c r="BY715" s="415" t="s">
        <v>337</v>
      </c>
      <c r="CB715" s="415" t="s">
        <v>337</v>
      </c>
      <c r="CE715" s="415" t="s">
        <v>337</v>
      </c>
      <c r="CH715" s="415" t="s">
        <v>337</v>
      </c>
      <c r="CK715" s="415" t="s">
        <v>337</v>
      </c>
      <c r="CN715" s="415" t="s">
        <v>337</v>
      </c>
      <c r="CQ715" s="415" t="s">
        <v>337</v>
      </c>
      <c r="CT715" s="415" t="s">
        <v>337</v>
      </c>
    </row>
    <row r="716" spans="1:98">
      <c r="A716" s="1" t="s">
        <v>1485</v>
      </c>
      <c r="B716" s="416" t="s">
        <v>6227</v>
      </c>
      <c r="S716" s="213" t="s">
        <v>6228</v>
      </c>
      <c r="T716" s="416" t="s">
        <v>6229</v>
      </c>
      <c r="U716" s="415" t="s">
        <v>337</v>
      </c>
      <c r="X716" s="415"/>
      <c r="AA716" s="415"/>
      <c r="AD716" s="415"/>
      <c r="AE716" s="417" t="s">
        <v>6230</v>
      </c>
      <c r="AF716" s="416" t="s">
        <v>6231</v>
      </c>
      <c r="AG716" s="415"/>
      <c r="AJ716" s="415" t="s">
        <v>337</v>
      </c>
      <c r="AM716" s="415" t="s">
        <v>337</v>
      </c>
      <c r="AP716" s="415" t="s">
        <v>337</v>
      </c>
      <c r="AS716" s="415" t="s">
        <v>337</v>
      </c>
      <c r="AV716" s="415" t="s">
        <v>337</v>
      </c>
      <c r="AY716" s="415" t="s">
        <v>337</v>
      </c>
      <c r="BB716" s="415" t="s">
        <v>337</v>
      </c>
      <c r="BE716" s="415" t="s">
        <v>337</v>
      </c>
      <c r="BH716" s="415" t="s">
        <v>337</v>
      </c>
      <c r="BM716" s="415" t="s">
        <v>337</v>
      </c>
      <c r="BP716" s="415" t="s">
        <v>337</v>
      </c>
      <c r="BS716" s="415"/>
      <c r="BV716" s="415" t="s">
        <v>337</v>
      </c>
      <c r="BY716" s="415" t="s">
        <v>337</v>
      </c>
      <c r="CB716" s="415" t="s">
        <v>337</v>
      </c>
      <c r="CE716" s="415" t="s">
        <v>337</v>
      </c>
      <c r="CH716" s="415" t="s">
        <v>337</v>
      </c>
      <c r="CK716" s="415" t="s">
        <v>337</v>
      </c>
      <c r="CN716" s="415" t="s">
        <v>337</v>
      </c>
      <c r="CQ716" s="415" t="s">
        <v>337</v>
      </c>
      <c r="CT716" s="415" t="s">
        <v>337</v>
      </c>
    </row>
    <row r="717" spans="1:98">
      <c r="A717" s="1" t="s">
        <v>1485</v>
      </c>
      <c r="B717" s="416" t="s">
        <v>6232</v>
      </c>
      <c r="S717" s="213" t="s">
        <v>6233</v>
      </c>
      <c r="T717" s="416" t="s">
        <v>6234</v>
      </c>
      <c r="U717" s="415" t="s">
        <v>337</v>
      </c>
      <c r="X717" s="415"/>
      <c r="AA717" s="415"/>
      <c r="AD717" s="415"/>
      <c r="AE717" s="417" t="s">
        <v>6235</v>
      </c>
      <c r="AF717" s="416" t="s">
        <v>6236</v>
      </c>
      <c r="AG717" s="415"/>
      <c r="AJ717" s="415" t="s">
        <v>337</v>
      </c>
      <c r="AM717" s="415" t="s">
        <v>337</v>
      </c>
      <c r="AP717" s="415" t="s">
        <v>337</v>
      </c>
      <c r="AS717" s="415" t="s">
        <v>337</v>
      </c>
      <c r="AV717" s="415" t="s">
        <v>337</v>
      </c>
      <c r="AY717" s="415" t="s">
        <v>337</v>
      </c>
      <c r="BB717" s="415" t="s">
        <v>337</v>
      </c>
      <c r="BE717" s="415" t="s">
        <v>337</v>
      </c>
      <c r="BH717" s="415" t="s">
        <v>337</v>
      </c>
      <c r="BM717" s="415" t="s">
        <v>337</v>
      </c>
      <c r="BP717" s="415" t="s">
        <v>337</v>
      </c>
      <c r="BS717" s="415"/>
      <c r="BV717" s="415" t="s">
        <v>337</v>
      </c>
      <c r="BY717" s="415" t="s">
        <v>337</v>
      </c>
      <c r="CB717" s="415" t="s">
        <v>337</v>
      </c>
      <c r="CE717" s="415" t="s">
        <v>337</v>
      </c>
      <c r="CH717" s="415" t="s">
        <v>337</v>
      </c>
      <c r="CK717" s="415" t="s">
        <v>337</v>
      </c>
      <c r="CN717" s="415" t="s">
        <v>337</v>
      </c>
      <c r="CQ717" s="415" t="s">
        <v>337</v>
      </c>
      <c r="CT717" s="415" t="s">
        <v>337</v>
      </c>
    </row>
    <row r="718" spans="1:98">
      <c r="A718" s="1" t="s">
        <v>1485</v>
      </c>
      <c r="B718" s="416" t="s">
        <v>6237</v>
      </c>
      <c r="S718" s="213" t="s">
        <v>6238</v>
      </c>
      <c r="T718" s="416" t="s">
        <v>6239</v>
      </c>
      <c r="U718" s="415" t="s">
        <v>337</v>
      </c>
      <c r="X718" s="415"/>
      <c r="AA718" s="415"/>
      <c r="AD718" s="415"/>
      <c r="AE718" s="417" t="s">
        <v>6240</v>
      </c>
      <c r="AF718" s="416" t="s">
        <v>6241</v>
      </c>
      <c r="AG718" s="415"/>
      <c r="AJ718" s="415" t="s">
        <v>337</v>
      </c>
      <c r="AM718" s="415" t="s">
        <v>337</v>
      </c>
      <c r="AP718" s="415" t="s">
        <v>337</v>
      </c>
      <c r="AS718" s="415" t="s">
        <v>337</v>
      </c>
      <c r="AV718" s="415" t="s">
        <v>337</v>
      </c>
      <c r="AY718" s="415" t="s">
        <v>337</v>
      </c>
      <c r="BB718" s="415" t="s">
        <v>337</v>
      </c>
      <c r="BE718" s="415" t="s">
        <v>337</v>
      </c>
      <c r="BH718" s="415" t="s">
        <v>337</v>
      </c>
      <c r="BM718" s="415" t="s">
        <v>337</v>
      </c>
      <c r="BP718" s="415" t="s">
        <v>337</v>
      </c>
      <c r="BS718" s="415"/>
      <c r="BV718" s="415" t="s">
        <v>337</v>
      </c>
      <c r="BY718" s="415" t="s">
        <v>337</v>
      </c>
      <c r="CB718" s="415" t="s">
        <v>337</v>
      </c>
      <c r="CE718" s="415" t="s">
        <v>337</v>
      </c>
      <c r="CH718" s="415" t="s">
        <v>337</v>
      </c>
      <c r="CK718" s="415" t="s">
        <v>337</v>
      </c>
      <c r="CN718" s="415" t="s">
        <v>337</v>
      </c>
      <c r="CQ718" s="415" t="s">
        <v>337</v>
      </c>
      <c r="CT718" s="415" t="s">
        <v>337</v>
      </c>
    </row>
    <row r="719" spans="1:98">
      <c r="A719" s="1" t="s">
        <v>1485</v>
      </c>
      <c r="B719" s="416" t="s">
        <v>6242</v>
      </c>
      <c r="S719" s="213" t="s">
        <v>6243</v>
      </c>
      <c r="T719" s="416" t="s">
        <v>6244</v>
      </c>
      <c r="U719" s="415" t="s">
        <v>337</v>
      </c>
      <c r="X719" s="415"/>
      <c r="AA719" s="415"/>
      <c r="AD719" s="415"/>
      <c r="AE719" s="417" t="s">
        <v>6245</v>
      </c>
      <c r="AF719" s="416" t="s">
        <v>6246</v>
      </c>
      <c r="AG719" s="415"/>
      <c r="AJ719" s="415" t="s">
        <v>337</v>
      </c>
      <c r="AM719" s="415" t="s">
        <v>337</v>
      </c>
      <c r="AP719" s="415" t="s">
        <v>337</v>
      </c>
      <c r="AS719" s="415" t="s">
        <v>337</v>
      </c>
      <c r="AV719" s="415" t="s">
        <v>337</v>
      </c>
      <c r="AY719" s="415" t="s">
        <v>337</v>
      </c>
      <c r="BB719" s="415" t="s">
        <v>337</v>
      </c>
      <c r="BE719" s="415" t="s">
        <v>337</v>
      </c>
      <c r="BH719" s="415" t="s">
        <v>337</v>
      </c>
      <c r="BM719" s="415" t="s">
        <v>337</v>
      </c>
      <c r="BP719" s="415" t="s">
        <v>337</v>
      </c>
      <c r="BS719" s="415"/>
      <c r="BV719" s="415" t="s">
        <v>337</v>
      </c>
      <c r="BY719" s="415" t="s">
        <v>337</v>
      </c>
      <c r="CB719" s="415" t="s">
        <v>337</v>
      </c>
      <c r="CE719" s="415" t="s">
        <v>337</v>
      </c>
      <c r="CH719" s="415" t="s">
        <v>337</v>
      </c>
      <c r="CK719" s="415" t="s">
        <v>337</v>
      </c>
      <c r="CN719" s="415" t="s">
        <v>337</v>
      </c>
      <c r="CQ719" s="415" t="s">
        <v>337</v>
      </c>
      <c r="CT719" s="415" t="s">
        <v>337</v>
      </c>
    </row>
    <row r="720" spans="1:98">
      <c r="A720" s="1" t="s">
        <v>1485</v>
      </c>
      <c r="B720" s="416" t="s">
        <v>6247</v>
      </c>
      <c r="S720" s="213" t="s">
        <v>6248</v>
      </c>
      <c r="T720" s="416" t="s">
        <v>6249</v>
      </c>
      <c r="U720" s="415" t="s">
        <v>337</v>
      </c>
      <c r="X720" s="415"/>
      <c r="AA720" s="415"/>
      <c r="AD720" s="415"/>
      <c r="AE720" s="417" t="s">
        <v>6250</v>
      </c>
      <c r="AF720" s="416" t="s">
        <v>6251</v>
      </c>
      <c r="AG720" s="415"/>
      <c r="AJ720" s="415" t="s">
        <v>337</v>
      </c>
      <c r="AM720" s="415" t="s">
        <v>337</v>
      </c>
      <c r="AP720" s="415" t="s">
        <v>337</v>
      </c>
      <c r="AS720" s="415" t="s">
        <v>337</v>
      </c>
      <c r="AV720" s="415" t="s">
        <v>337</v>
      </c>
      <c r="AY720" s="415" t="s">
        <v>337</v>
      </c>
      <c r="BB720" s="415" t="s">
        <v>337</v>
      </c>
      <c r="BE720" s="415" t="s">
        <v>337</v>
      </c>
      <c r="BH720" s="415" t="s">
        <v>337</v>
      </c>
      <c r="BM720" s="415" t="s">
        <v>337</v>
      </c>
      <c r="BP720" s="415" t="s">
        <v>337</v>
      </c>
      <c r="BS720" s="415"/>
      <c r="BV720" s="415" t="s">
        <v>337</v>
      </c>
      <c r="BY720" s="415" t="s">
        <v>337</v>
      </c>
      <c r="CB720" s="415" t="s">
        <v>337</v>
      </c>
      <c r="CE720" s="415" t="s">
        <v>337</v>
      </c>
      <c r="CH720" s="415" t="s">
        <v>337</v>
      </c>
      <c r="CK720" s="415" t="s">
        <v>337</v>
      </c>
      <c r="CN720" s="415" t="s">
        <v>337</v>
      </c>
      <c r="CQ720" s="415" t="s">
        <v>337</v>
      </c>
      <c r="CT720" s="415" t="s">
        <v>337</v>
      </c>
    </row>
    <row r="721" spans="1:98">
      <c r="A721" s="1" t="s">
        <v>1485</v>
      </c>
      <c r="B721" s="416" t="s">
        <v>6252</v>
      </c>
      <c r="S721" s="213" t="s">
        <v>6253</v>
      </c>
      <c r="T721" s="416" t="s">
        <v>6254</v>
      </c>
      <c r="U721" s="415" t="s">
        <v>337</v>
      </c>
      <c r="X721" s="415"/>
      <c r="AA721" s="415"/>
      <c r="AD721" s="415"/>
      <c r="AE721" s="417" t="s">
        <v>6255</v>
      </c>
      <c r="AF721" s="416" t="s">
        <v>6256</v>
      </c>
      <c r="AG721" s="415"/>
      <c r="AJ721" s="415" t="s">
        <v>337</v>
      </c>
      <c r="AM721" s="415" t="s">
        <v>337</v>
      </c>
      <c r="AP721" s="415" t="s">
        <v>337</v>
      </c>
      <c r="AS721" s="415" t="s">
        <v>337</v>
      </c>
      <c r="AV721" s="415" t="s">
        <v>337</v>
      </c>
      <c r="AY721" s="415" t="s">
        <v>337</v>
      </c>
      <c r="BB721" s="415" t="s">
        <v>337</v>
      </c>
      <c r="BE721" s="415" t="s">
        <v>337</v>
      </c>
      <c r="BH721" s="415" t="s">
        <v>337</v>
      </c>
      <c r="BM721" s="415" t="s">
        <v>337</v>
      </c>
      <c r="BP721" s="415" t="s">
        <v>337</v>
      </c>
      <c r="BS721" s="415"/>
      <c r="BV721" s="415" t="s">
        <v>337</v>
      </c>
      <c r="BY721" s="415" t="s">
        <v>337</v>
      </c>
      <c r="CB721" s="415" t="s">
        <v>337</v>
      </c>
      <c r="CE721" s="415" t="s">
        <v>337</v>
      </c>
      <c r="CH721" s="415" t="s">
        <v>337</v>
      </c>
      <c r="CK721" s="415" t="s">
        <v>337</v>
      </c>
      <c r="CN721" s="415" t="s">
        <v>337</v>
      </c>
      <c r="CQ721" s="415" t="s">
        <v>337</v>
      </c>
      <c r="CT721" s="415" t="s">
        <v>337</v>
      </c>
    </row>
    <row r="722" spans="1:98">
      <c r="A722" s="1" t="s">
        <v>1485</v>
      </c>
      <c r="B722" s="416" t="s">
        <v>6257</v>
      </c>
      <c r="S722" s="213" t="s">
        <v>6258</v>
      </c>
      <c r="T722" s="416" t="s">
        <v>6259</v>
      </c>
      <c r="U722" s="415" t="s">
        <v>337</v>
      </c>
      <c r="X722" s="415"/>
      <c r="AA722" s="415"/>
      <c r="AD722" s="415"/>
      <c r="AE722" s="417" t="s">
        <v>6260</v>
      </c>
      <c r="AF722" s="416" t="s">
        <v>6261</v>
      </c>
      <c r="AG722" s="415"/>
      <c r="AJ722" s="415" t="s">
        <v>337</v>
      </c>
      <c r="AM722" s="415" t="s">
        <v>337</v>
      </c>
      <c r="AP722" s="415" t="s">
        <v>337</v>
      </c>
      <c r="AS722" s="415" t="s">
        <v>337</v>
      </c>
      <c r="AV722" s="415" t="s">
        <v>337</v>
      </c>
      <c r="AY722" s="415" t="s">
        <v>337</v>
      </c>
      <c r="BB722" s="415" t="s">
        <v>337</v>
      </c>
      <c r="BE722" s="415" t="s">
        <v>337</v>
      </c>
      <c r="BH722" s="415" t="s">
        <v>337</v>
      </c>
      <c r="BM722" s="415" t="s">
        <v>337</v>
      </c>
      <c r="BP722" s="415" t="s">
        <v>337</v>
      </c>
      <c r="BS722" s="415"/>
      <c r="BV722" s="415" t="s">
        <v>337</v>
      </c>
      <c r="BY722" s="415" t="s">
        <v>337</v>
      </c>
      <c r="CB722" s="415" t="s">
        <v>337</v>
      </c>
      <c r="CE722" s="415" t="s">
        <v>337</v>
      </c>
      <c r="CH722" s="415" t="s">
        <v>337</v>
      </c>
      <c r="CK722" s="415" t="s">
        <v>337</v>
      </c>
      <c r="CN722" s="415" t="s">
        <v>337</v>
      </c>
      <c r="CQ722" s="415" t="s">
        <v>337</v>
      </c>
      <c r="CT722" s="415" t="s">
        <v>337</v>
      </c>
    </row>
    <row r="723" spans="1:98">
      <c r="A723" s="1" t="s">
        <v>1485</v>
      </c>
      <c r="B723" s="416" t="s">
        <v>6262</v>
      </c>
      <c r="S723" s="213" t="s">
        <v>6263</v>
      </c>
      <c r="T723" s="416" t="s">
        <v>6264</v>
      </c>
      <c r="U723" s="415" t="s">
        <v>337</v>
      </c>
      <c r="X723" s="415"/>
      <c r="AA723" s="415"/>
      <c r="AD723" s="415"/>
      <c r="AE723" s="417" t="s">
        <v>6265</v>
      </c>
      <c r="AF723" s="416" t="s">
        <v>6266</v>
      </c>
      <c r="AG723" s="415"/>
      <c r="AJ723" s="415" t="s">
        <v>337</v>
      </c>
      <c r="AM723" s="415" t="s">
        <v>337</v>
      </c>
      <c r="AP723" s="415" t="s">
        <v>337</v>
      </c>
      <c r="AS723" s="415" t="s">
        <v>337</v>
      </c>
      <c r="AV723" s="415" t="s">
        <v>337</v>
      </c>
      <c r="AY723" s="415" t="s">
        <v>337</v>
      </c>
      <c r="BB723" s="415" t="s">
        <v>337</v>
      </c>
      <c r="BE723" s="415" t="s">
        <v>337</v>
      </c>
      <c r="BH723" s="415" t="s">
        <v>337</v>
      </c>
      <c r="BM723" s="415" t="s">
        <v>337</v>
      </c>
      <c r="BP723" s="415" t="s">
        <v>337</v>
      </c>
      <c r="BS723" s="415"/>
      <c r="BV723" s="415" t="s">
        <v>337</v>
      </c>
      <c r="BY723" s="415" t="s">
        <v>337</v>
      </c>
      <c r="CB723" s="415" t="s">
        <v>337</v>
      </c>
      <c r="CE723" s="415" t="s">
        <v>337</v>
      </c>
      <c r="CH723" s="415" t="s">
        <v>337</v>
      </c>
      <c r="CK723" s="415" t="s">
        <v>337</v>
      </c>
      <c r="CN723" s="415" t="s">
        <v>337</v>
      </c>
      <c r="CQ723" s="415" t="s">
        <v>337</v>
      </c>
      <c r="CT723" s="415" t="s">
        <v>337</v>
      </c>
    </row>
    <row r="724" spans="1:98">
      <c r="A724" s="1" t="s">
        <v>1485</v>
      </c>
      <c r="B724" s="416" t="s">
        <v>6267</v>
      </c>
      <c r="S724" s="213" t="s">
        <v>6268</v>
      </c>
      <c r="T724" s="416" t="s">
        <v>6269</v>
      </c>
      <c r="U724" s="415" t="s">
        <v>337</v>
      </c>
      <c r="X724" s="415"/>
      <c r="AA724" s="415"/>
      <c r="AD724" s="415"/>
      <c r="AE724" s="417" t="s">
        <v>6270</v>
      </c>
      <c r="AF724" s="416" t="s">
        <v>6271</v>
      </c>
      <c r="AG724" s="415"/>
      <c r="AJ724" s="415" t="s">
        <v>337</v>
      </c>
      <c r="AM724" s="415" t="s">
        <v>337</v>
      </c>
      <c r="AP724" s="415" t="s">
        <v>337</v>
      </c>
      <c r="AS724" s="415" t="s">
        <v>337</v>
      </c>
      <c r="AV724" s="415" t="s">
        <v>337</v>
      </c>
      <c r="AY724" s="415" t="s">
        <v>337</v>
      </c>
      <c r="BB724" s="415" t="s">
        <v>337</v>
      </c>
      <c r="BE724" s="415" t="s">
        <v>337</v>
      </c>
      <c r="BH724" s="415" t="s">
        <v>337</v>
      </c>
      <c r="BM724" s="415" t="s">
        <v>337</v>
      </c>
      <c r="BP724" s="415" t="s">
        <v>337</v>
      </c>
      <c r="BS724" s="415"/>
      <c r="BV724" s="415" t="s">
        <v>337</v>
      </c>
      <c r="BY724" s="415" t="s">
        <v>337</v>
      </c>
      <c r="CB724" s="415" t="s">
        <v>337</v>
      </c>
      <c r="CE724" s="415" t="s">
        <v>337</v>
      </c>
      <c r="CH724" s="415" t="s">
        <v>337</v>
      </c>
      <c r="CK724" s="415" t="s">
        <v>337</v>
      </c>
      <c r="CN724" s="415" t="s">
        <v>337</v>
      </c>
      <c r="CQ724" s="415" t="s">
        <v>337</v>
      </c>
      <c r="CT724" s="415" t="s">
        <v>337</v>
      </c>
    </row>
    <row r="725" spans="1:98">
      <c r="A725" s="1" t="s">
        <v>1485</v>
      </c>
      <c r="B725" s="416" t="s">
        <v>6272</v>
      </c>
      <c r="S725" s="213" t="s">
        <v>6273</v>
      </c>
      <c r="T725" s="416" t="s">
        <v>6274</v>
      </c>
      <c r="U725" s="415" t="s">
        <v>337</v>
      </c>
      <c r="X725" s="415"/>
      <c r="AA725" s="415"/>
      <c r="AD725" s="415"/>
      <c r="AE725" s="417" t="s">
        <v>6275</v>
      </c>
      <c r="AF725" s="416" t="s">
        <v>6276</v>
      </c>
      <c r="AG725" s="415"/>
      <c r="AJ725" s="415" t="s">
        <v>337</v>
      </c>
      <c r="AM725" s="415" t="s">
        <v>337</v>
      </c>
      <c r="AP725" s="415" t="s">
        <v>337</v>
      </c>
      <c r="AS725" s="415" t="s">
        <v>337</v>
      </c>
      <c r="AV725" s="415" t="s">
        <v>337</v>
      </c>
      <c r="AY725" s="415" t="s">
        <v>337</v>
      </c>
      <c r="BB725" s="415" t="s">
        <v>337</v>
      </c>
      <c r="BE725" s="415" t="s">
        <v>337</v>
      </c>
      <c r="BH725" s="415" t="s">
        <v>337</v>
      </c>
      <c r="BM725" s="415" t="s">
        <v>337</v>
      </c>
      <c r="BP725" s="415" t="s">
        <v>337</v>
      </c>
      <c r="BS725" s="415"/>
      <c r="BV725" s="415" t="s">
        <v>337</v>
      </c>
      <c r="BY725" s="415" t="s">
        <v>337</v>
      </c>
      <c r="CB725" s="415" t="s">
        <v>337</v>
      </c>
      <c r="CE725" s="415" t="s">
        <v>337</v>
      </c>
      <c r="CH725" s="415" t="s">
        <v>337</v>
      </c>
      <c r="CK725" s="415" t="s">
        <v>337</v>
      </c>
      <c r="CN725" s="415" t="s">
        <v>337</v>
      </c>
      <c r="CQ725" s="415" t="s">
        <v>337</v>
      </c>
      <c r="CT725" s="415" t="s">
        <v>337</v>
      </c>
    </row>
    <row r="726" spans="1:98">
      <c r="A726" s="1" t="s">
        <v>1485</v>
      </c>
      <c r="B726" s="416" t="s">
        <v>6277</v>
      </c>
      <c r="S726" s="213" t="s">
        <v>6278</v>
      </c>
      <c r="T726" s="416" t="s">
        <v>6279</v>
      </c>
      <c r="U726" s="415" t="s">
        <v>337</v>
      </c>
      <c r="X726" s="415"/>
      <c r="AA726" s="415"/>
      <c r="AD726" s="415"/>
      <c r="AE726" s="417" t="s">
        <v>6280</v>
      </c>
      <c r="AF726" s="416" t="s">
        <v>6281</v>
      </c>
      <c r="AG726" s="415"/>
      <c r="AJ726" s="415" t="s">
        <v>337</v>
      </c>
      <c r="AM726" s="415" t="s">
        <v>337</v>
      </c>
      <c r="AP726" s="415" t="s">
        <v>337</v>
      </c>
      <c r="AS726" s="415" t="s">
        <v>337</v>
      </c>
      <c r="AV726" s="415" t="s">
        <v>337</v>
      </c>
      <c r="AY726" s="415" t="s">
        <v>337</v>
      </c>
      <c r="BB726" s="415" t="s">
        <v>337</v>
      </c>
      <c r="BE726" s="415" t="s">
        <v>337</v>
      </c>
      <c r="BH726" s="415" t="s">
        <v>337</v>
      </c>
      <c r="BM726" s="415" t="s">
        <v>337</v>
      </c>
      <c r="BP726" s="415" t="s">
        <v>337</v>
      </c>
      <c r="BS726" s="415"/>
      <c r="BV726" s="415" t="s">
        <v>337</v>
      </c>
      <c r="BY726" s="415" t="s">
        <v>337</v>
      </c>
      <c r="CB726" s="415" t="s">
        <v>337</v>
      </c>
      <c r="CE726" s="415" t="s">
        <v>337</v>
      </c>
      <c r="CH726" s="415" t="s">
        <v>337</v>
      </c>
      <c r="CK726" s="415" t="s">
        <v>337</v>
      </c>
      <c r="CN726" s="415" t="s">
        <v>337</v>
      </c>
      <c r="CQ726" s="415" t="s">
        <v>337</v>
      </c>
      <c r="CT726" s="415" t="s">
        <v>337</v>
      </c>
    </row>
    <row r="727" spans="1:98">
      <c r="A727" s="1" t="s">
        <v>1485</v>
      </c>
      <c r="B727" s="416" t="s">
        <v>6282</v>
      </c>
      <c r="S727" s="213" t="s">
        <v>6283</v>
      </c>
      <c r="T727" s="416" t="s">
        <v>6284</v>
      </c>
      <c r="U727" s="415" t="s">
        <v>337</v>
      </c>
      <c r="X727" s="415"/>
      <c r="AA727" s="415"/>
      <c r="AD727" s="415"/>
      <c r="AE727" s="417" t="s">
        <v>6285</v>
      </c>
      <c r="AF727" s="416" t="s">
        <v>6286</v>
      </c>
      <c r="AG727" s="415"/>
      <c r="AJ727" s="415" t="s">
        <v>337</v>
      </c>
      <c r="AM727" s="415" t="s">
        <v>337</v>
      </c>
      <c r="AP727" s="415" t="s">
        <v>337</v>
      </c>
      <c r="AS727" s="415" t="s">
        <v>337</v>
      </c>
      <c r="AV727" s="415" t="s">
        <v>337</v>
      </c>
      <c r="AY727" s="415" t="s">
        <v>337</v>
      </c>
      <c r="BB727" s="415" t="s">
        <v>337</v>
      </c>
      <c r="BE727" s="415" t="s">
        <v>337</v>
      </c>
      <c r="BH727" s="415" t="s">
        <v>337</v>
      </c>
      <c r="BM727" s="415" t="s">
        <v>337</v>
      </c>
      <c r="BP727" s="415" t="s">
        <v>337</v>
      </c>
      <c r="BS727" s="415"/>
      <c r="BV727" s="415" t="s">
        <v>337</v>
      </c>
      <c r="BY727" s="415" t="s">
        <v>337</v>
      </c>
      <c r="CB727" s="415" t="s">
        <v>337</v>
      </c>
      <c r="CE727" s="415" t="s">
        <v>337</v>
      </c>
      <c r="CH727" s="415" t="s">
        <v>337</v>
      </c>
      <c r="CK727" s="415" t="s">
        <v>337</v>
      </c>
      <c r="CN727" s="415" t="s">
        <v>337</v>
      </c>
      <c r="CQ727" s="415" t="s">
        <v>337</v>
      </c>
      <c r="CT727" s="415" t="s">
        <v>337</v>
      </c>
    </row>
    <row r="728" spans="1:98">
      <c r="A728" s="1" t="s">
        <v>1485</v>
      </c>
      <c r="B728" s="416" t="s">
        <v>6287</v>
      </c>
      <c r="S728" s="213" t="s">
        <v>6288</v>
      </c>
      <c r="T728" s="416" t="s">
        <v>6289</v>
      </c>
      <c r="U728" s="415" t="s">
        <v>337</v>
      </c>
      <c r="X728" s="415"/>
      <c r="AA728" s="415"/>
      <c r="AD728" s="415"/>
      <c r="AE728" s="417" t="s">
        <v>6290</v>
      </c>
      <c r="AF728" s="416" t="s">
        <v>6291</v>
      </c>
      <c r="AG728" s="415"/>
      <c r="AJ728" s="415" t="s">
        <v>337</v>
      </c>
      <c r="AM728" s="415" t="s">
        <v>337</v>
      </c>
      <c r="AP728" s="415" t="s">
        <v>337</v>
      </c>
      <c r="AS728" s="415" t="s">
        <v>337</v>
      </c>
      <c r="AV728" s="415" t="s">
        <v>337</v>
      </c>
      <c r="AY728" s="415" t="s">
        <v>337</v>
      </c>
      <c r="BB728" s="415" t="s">
        <v>337</v>
      </c>
      <c r="BE728" s="415" t="s">
        <v>337</v>
      </c>
      <c r="BH728" s="415" t="s">
        <v>337</v>
      </c>
      <c r="BM728" s="415" t="s">
        <v>337</v>
      </c>
      <c r="BP728" s="415" t="s">
        <v>337</v>
      </c>
      <c r="BS728" s="415"/>
      <c r="BV728" s="415" t="s">
        <v>337</v>
      </c>
      <c r="BY728" s="415" t="s">
        <v>337</v>
      </c>
      <c r="CB728" s="415" t="s">
        <v>337</v>
      </c>
      <c r="CE728" s="415" t="s">
        <v>337</v>
      </c>
      <c r="CH728" s="415" t="s">
        <v>337</v>
      </c>
      <c r="CK728" s="415" t="s">
        <v>337</v>
      </c>
      <c r="CN728" s="415" t="s">
        <v>337</v>
      </c>
      <c r="CQ728" s="415" t="s">
        <v>337</v>
      </c>
      <c r="CT728" s="415" t="s">
        <v>337</v>
      </c>
    </row>
    <row r="729" spans="1:98">
      <c r="A729" s="1" t="s">
        <v>1485</v>
      </c>
      <c r="B729" s="416" t="s">
        <v>6292</v>
      </c>
      <c r="S729" s="213" t="s">
        <v>6293</v>
      </c>
      <c r="T729" s="416" t="s">
        <v>6294</v>
      </c>
      <c r="U729" s="415" t="s">
        <v>337</v>
      </c>
      <c r="X729" s="415"/>
      <c r="AA729" s="415"/>
      <c r="AD729" s="415"/>
      <c r="AE729" s="417" t="s">
        <v>6295</v>
      </c>
      <c r="AF729" s="416" t="s">
        <v>6296</v>
      </c>
      <c r="AG729" s="415"/>
      <c r="AJ729" s="415" t="s">
        <v>337</v>
      </c>
      <c r="AM729" s="415" t="s">
        <v>337</v>
      </c>
      <c r="AP729" s="415" t="s">
        <v>337</v>
      </c>
      <c r="AS729" s="415" t="s">
        <v>337</v>
      </c>
      <c r="AV729" s="415" t="s">
        <v>337</v>
      </c>
      <c r="AY729" s="415" t="s">
        <v>337</v>
      </c>
      <c r="BB729" s="415" t="s">
        <v>337</v>
      </c>
      <c r="BE729" s="415" t="s">
        <v>337</v>
      </c>
      <c r="BH729" s="415" t="s">
        <v>337</v>
      </c>
      <c r="BM729" s="415" t="s">
        <v>337</v>
      </c>
      <c r="BP729" s="415" t="s">
        <v>337</v>
      </c>
      <c r="BS729" s="415"/>
      <c r="BV729" s="415" t="s">
        <v>337</v>
      </c>
      <c r="BY729" s="415" t="s">
        <v>337</v>
      </c>
      <c r="CB729" s="415" t="s">
        <v>337</v>
      </c>
      <c r="CE729" s="415" t="s">
        <v>337</v>
      </c>
      <c r="CH729" s="415" t="s">
        <v>337</v>
      </c>
      <c r="CK729" s="415" t="s">
        <v>337</v>
      </c>
      <c r="CN729" s="415" t="s">
        <v>337</v>
      </c>
      <c r="CQ729" s="415" t="s">
        <v>337</v>
      </c>
      <c r="CT729" s="415" t="s">
        <v>337</v>
      </c>
    </row>
    <row r="730" spans="1:98">
      <c r="A730" s="1" t="s">
        <v>1485</v>
      </c>
      <c r="B730" s="416" t="s">
        <v>6297</v>
      </c>
      <c r="S730" s="213" t="s">
        <v>6298</v>
      </c>
      <c r="T730" s="416" t="s">
        <v>4900</v>
      </c>
      <c r="U730" s="415" t="s">
        <v>337</v>
      </c>
      <c r="X730" s="415"/>
      <c r="AA730" s="415"/>
      <c r="AD730" s="415"/>
      <c r="AE730" s="417" t="s">
        <v>6299</v>
      </c>
      <c r="AF730" s="416" t="s">
        <v>6300</v>
      </c>
      <c r="AG730" s="415"/>
      <c r="AJ730" s="415" t="s">
        <v>337</v>
      </c>
      <c r="AM730" s="415" t="s">
        <v>337</v>
      </c>
      <c r="AP730" s="415" t="s">
        <v>337</v>
      </c>
      <c r="AS730" s="415" t="s">
        <v>337</v>
      </c>
      <c r="AV730" s="415" t="s">
        <v>337</v>
      </c>
      <c r="AY730" s="415" t="s">
        <v>337</v>
      </c>
      <c r="BB730" s="415" t="s">
        <v>337</v>
      </c>
      <c r="BE730" s="415" t="s">
        <v>337</v>
      </c>
      <c r="BH730" s="415" t="s">
        <v>337</v>
      </c>
      <c r="BM730" s="415" t="s">
        <v>337</v>
      </c>
      <c r="BP730" s="415" t="s">
        <v>337</v>
      </c>
      <c r="BS730" s="415"/>
      <c r="BV730" s="415" t="s">
        <v>337</v>
      </c>
      <c r="BY730" s="415" t="s">
        <v>337</v>
      </c>
      <c r="CB730" s="415" t="s">
        <v>337</v>
      </c>
      <c r="CE730" s="415" t="s">
        <v>337</v>
      </c>
      <c r="CH730" s="415" t="s">
        <v>337</v>
      </c>
      <c r="CK730" s="415" t="s">
        <v>337</v>
      </c>
      <c r="CN730" s="415" t="s">
        <v>337</v>
      </c>
      <c r="CQ730" s="415" t="s">
        <v>337</v>
      </c>
      <c r="CT730" s="415" t="s">
        <v>337</v>
      </c>
    </row>
    <row r="731" spans="1:98">
      <c r="A731" s="1" t="s">
        <v>1485</v>
      </c>
      <c r="B731" s="416" t="s">
        <v>6301</v>
      </c>
      <c r="S731" s="213" t="s">
        <v>6302</v>
      </c>
      <c r="T731" s="416" t="s">
        <v>6303</v>
      </c>
      <c r="U731" s="415" t="s">
        <v>337</v>
      </c>
      <c r="X731" s="415"/>
      <c r="AA731" s="415"/>
      <c r="AD731" s="415"/>
      <c r="AE731" s="417" t="s">
        <v>6304</v>
      </c>
      <c r="AF731" s="416" t="s">
        <v>6305</v>
      </c>
      <c r="AG731" s="415"/>
      <c r="AJ731" s="415" t="s">
        <v>337</v>
      </c>
      <c r="AM731" s="415" t="s">
        <v>337</v>
      </c>
      <c r="AP731" s="415" t="s">
        <v>337</v>
      </c>
      <c r="AS731" s="415" t="s">
        <v>337</v>
      </c>
      <c r="AV731" s="415" t="s">
        <v>337</v>
      </c>
      <c r="AY731" s="415" t="s">
        <v>337</v>
      </c>
      <c r="BB731" s="415" t="s">
        <v>337</v>
      </c>
      <c r="BE731" s="415" t="s">
        <v>337</v>
      </c>
      <c r="BH731" s="415" t="s">
        <v>337</v>
      </c>
      <c r="BM731" s="415" t="s">
        <v>337</v>
      </c>
      <c r="BP731" s="415" t="s">
        <v>337</v>
      </c>
      <c r="BS731" s="415"/>
      <c r="BV731" s="415" t="s">
        <v>337</v>
      </c>
      <c r="BY731" s="415" t="s">
        <v>337</v>
      </c>
      <c r="CB731" s="415" t="s">
        <v>337</v>
      </c>
      <c r="CE731" s="415" t="s">
        <v>337</v>
      </c>
      <c r="CH731" s="415" t="s">
        <v>337</v>
      </c>
      <c r="CK731" s="415" t="s">
        <v>337</v>
      </c>
      <c r="CN731" s="415" t="s">
        <v>337</v>
      </c>
      <c r="CQ731" s="415" t="s">
        <v>337</v>
      </c>
      <c r="CT731" s="415" t="s">
        <v>337</v>
      </c>
    </row>
    <row r="732" spans="1:98">
      <c r="A732" s="1" t="s">
        <v>1498</v>
      </c>
      <c r="B732" s="416" t="s">
        <v>6306</v>
      </c>
      <c r="S732" s="213" t="s">
        <v>6307</v>
      </c>
      <c r="T732" s="416" t="s">
        <v>6308</v>
      </c>
      <c r="U732" s="415" t="s">
        <v>337</v>
      </c>
      <c r="X732" s="415"/>
      <c r="AA732" s="415"/>
      <c r="AD732" s="415"/>
      <c r="AE732" s="417" t="s">
        <v>6309</v>
      </c>
      <c r="AF732" s="416" t="s">
        <v>6310</v>
      </c>
      <c r="AG732" s="415"/>
      <c r="AJ732" s="415" t="s">
        <v>337</v>
      </c>
      <c r="AM732" s="415" t="s">
        <v>337</v>
      </c>
      <c r="AP732" s="415" t="s">
        <v>337</v>
      </c>
      <c r="AS732" s="415" t="s">
        <v>337</v>
      </c>
      <c r="AV732" s="415" t="s">
        <v>337</v>
      </c>
      <c r="AY732" s="415" t="s">
        <v>337</v>
      </c>
      <c r="BB732" s="415" t="s">
        <v>337</v>
      </c>
      <c r="BE732" s="415" t="s">
        <v>337</v>
      </c>
      <c r="BH732" s="415" t="s">
        <v>337</v>
      </c>
      <c r="BM732" s="415" t="s">
        <v>337</v>
      </c>
      <c r="BP732" s="415" t="s">
        <v>337</v>
      </c>
      <c r="BS732" s="415"/>
      <c r="BV732" s="415" t="s">
        <v>337</v>
      </c>
      <c r="BY732" s="415" t="s">
        <v>337</v>
      </c>
      <c r="CB732" s="415" t="s">
        <v>337</v>
      </c>
      <c r="CE732" s="415" t="s">
        <v>337</v>
      </c>
      <c r="CH732" s="415" t="s">
        <v>337</v>
      </c>
      <c r="CK732" s="415" t="s">
        <v>337</v>
      </c>
      <c r="CN732" s="415" t="s">
        <v>337</v>
      </c>
      <c r="CQ732" s="415" t="s">
        <v>337</v>
      </c>
      <c r="CT732" s="415" t="s">
        <v>337</v>
      </c>
    </row>
    <row r="733" spans="1:98">
      <c r="A733" s="1" t="s">
        <v>1498</v>
      </c>
      <c r="B733" s="416" t="s">
        <v>6311</v>
      </c>
      <c r="S733" s="213" t="s">
        <v>6312</v>
      </c>
      <c r="T733" s="416" t="s">
        <v>6313</v>
      </c>
      <c r="U733" s="415" t="s">
        <v>337</v>
      </c>
      <c r="X733" s="415"/>
      <c r="AA733" s="415"/>
      <c r="AD733" s="415"/>
      <c r="AE733" s="417" t="s">
        <v>6314</v>
      </c>
      <c r="AF733" s="416" t="s">
        <v>6315</v>
      </c>
      <c r="AG733" s="415"/>
      <c r="AJ733" s="415" t="s">
        <v>337</v>
      </c>
      <c r="AM733" s="415" t="s">
        <v>337</v>
      </c>
      <c r="AP733" s="415" t="s">
        <v>337</v>
      </c>
      <c r="AS733" s="415" t="s">
        <v>337</v>
      </c>
      <c r="AV733" s="415" t="s">
        <v>337</v>
      </c>
      <c r="AY733" s="415" t="s">
        <v>337</v>
      </c>
      <c r="BB733" s="415" t="s">
        <v>337</v>
      </c>
      <c r="BE733" s="415" t="s">
        <v>337</v>
      </c>
      <c r="BH733" s="415" t="s">
        <v>337</v>
      </c>
      <c r="BM733" s="415" t="s">
        <v>337</v>
      </c>
      <c r="BP733" s="415" t="s">
        <v>337</v>
      </c>
      <c r="BS733" s="415"/>
      <c r="BV733" s="415" t="s">
        <v>337</v>
      </c>
      <c r="BY733" s="415" t="s">
        <v>337</v>
      </c>
      <c r="CB733" s="415" t="s">
        <v>337</v>
      </c>
      <c r="CE733" s="415" t="s">
        <v>337</v>
      </c>
      <c r="CH733" s="415" t="s">
        <v>337</v>
      </c>
      <c r="CK733" s="415" t="s">
        <v>337</v>
      </c>
      <c r="CN733" s="415" t="s">
        <v>337</v>
      </c>
      <c r="CQ733" s="415" t="s">
        <v>337</v>
      </c>
      <c r="CT733" s="415" t="s">
        <v>337</v>
      </c>
    </row>
    <row r="734" spans="1:98">
      <c r="A734" s="1" t="s">
        <v>1498</v>
      </c>
      <c r="B734" s="416" t="s">
        <v>6316</v>
      </c>
      <c r="S734" s="213" t="s">
        <v>6317</v>
      </c>
      <c r="T734" s="416" t="s">
        <v>6318</v>
      </c>
      <c r="U734" s="415" t="s">
        <v>337</v>
      </c>
      <c r="X734" s="415"/>
      <c r="AA734" s="415"/>
      <c r="AD734" s="415"/>
      <c r="AE734" s="417" t="s">
        <v>6319</v>
      </c>
      <c r="AF734" s="416" t="s">
        <v>6320</v>
      </c>
      <c r="AG734" s="415"/>
      <c r="AJ734" s="415" t="s">
        <v>337</v>
      </c>
      <c r="AM734" s="415" t="s">
        <v>337</v>
      </c>
      <c r="AP734" s="415" t="s">
        <v>337</v>
      </c>
      <c r="AS734" s="415" t="s">
        <v>337</v>
      </c>
      <c r="AV734" s="415" t="s">
        <v>337</v>
      </c>
      <c r="AY734" s="415" t="s">
        <v>337</v>
      </c>
      <c r="BB734" s="415" t="s">
        <v>337</v>
      </c>
      <c r="BE734" s="415" t="s">
        <v>337</v>
      </c>
      <c r="BH734" s="415" t="s">
        <v>337</v>
      </c>
      <c r="BM734" s="415" t="s">
        <v>337</v>
      </c>
      <c r="BP734" s="415" t="s">
        <v>337</v>
      </c>
      <c r="BS734" s="415"/>
      <c r="BV734" s="415" t="s">
        <v>337</v>
      </c>
      <c r="BY734" s="415" t="s">
        <v>337</v>
      </c>
      <c r="CB734" s="415" t="s">
        <v>337</v>
      </c>
      <c r="CE734" s="415" t="s">
        <v>337</v>
      </c>
      <c r="CH734" s="415" t="s">
        <v>337</v>
      </c>
      <c r="CK734" s="415" t="s">
        <v>337</v>
      </c>
      <c r="CN734" s="415" t="s">
        <v>337</v>
      </c>
      <c r="CQ734" s="415" t="s">
        <v>337</v>
      </c>
      <c r="CT734" s="415" t="s">
        <v>337</v>
      </c>
    </row>
    <row r="735" spans="1:98">
      <c r="A735" s="1" t="s">
        <v>1498</v>
      </c>
      <c r="B735" s="416" t="s">
        <v>6321</v>
      </c>
      <c r="S735" s="213" t="s">
        <v>6322</v>
      </c>
      <c r="T735" s="416" t="s">
        <v>6323</v>
      </c>
      <c r="U735" s="415" t="s">
        <v>337</v>
      </c>
      <c r="X735" s="415"/>
      <c r="AA735" s="415"/>
      <c r="AD735" s="415"/>
      <c r="AE735" s="417" t="s">
        <v>6324</v>
      </c>
      <c r="AF735" s="416" t="s">
        <v>6325</v>
      </c>
      <c r="AG735" s="415"/>
      <c r="AJ735" s="415" t="s">
        <v>337</v>
      </c>
      <c r="AM735" s="415" t="s">
        <v>337</v>
      </c>
      <c r="AP735" s="415" t="s">
        <v>337</v>
      </c>
      <c r="AS735" s="415" t="s">
        <v>337</v>
      </c>
      <c r="AV735" s="415" t="s">
        <v>337</v>
      </c>
      <c r="AY735" s="415" t="s">
        <v>337</v>
      </c>
      <c r="BB735" s="415" t="s">
        <v>337</v>
      </c>
      <c r="BE735" s="415" t="s">
        <v>337</v>
      </c>
      <c r="BH735" s="415" t="s">
        <v>337</v>
      </c>
      <c r="BM735" s="415" t="s">
        <v>337</v>
      </c>
      <c r="BP735" s="415" t="s">
        <v>337</v>
      </c>
      <c r="BS735" s="415"/>
      <c r="BV735" s="415" t="s">
        <v>337</v>
      </c>
      <c r="BY735" s="415" t="s">
        <v>337</v>
      </c>
      <c r="CB735" s="415" t="s">
        <v>337</v>
      </c>
      <c r="CE735" s="415" t="s">
        <v>337</v>
      </c>
      <c r="CH735" s="415" t="s">
        <v>337</v>
      </c>
      <c r="CK735" s="415" t="s">
        <v>337</v>
      </c>
      <c r="CN735" s="415" t="s">
        <v>337</v>
      </c>
      <c r="CQ735" s="415" t="s">
        <v>337</v>
      </c>
      <c r="CT735" s="415" t="s">
        <v>337</v>
      </c>
    </row>
    <row r="736" spans="1:98">
      <c r="A736" s="1" t="s">
        <v>1498</v>
      </c>
      <c r="B736" s="416" t="s">
        <v>6326</v>
      </c>
      <c r="S736" s="213" t="s">
        <v>6327</v>
      </c>
      <c r="T736" s="416" t="s">
        <v>6328</v>
      </c>
      <c r="U736" s="415" t="s">
        <v>337</v>
      </c>
      <c r="X736" s="415"/>
      <c r="AA736" s="415"/>
      <c r="AD736" s="415"/>
      <c r="AE736" s="417" t="s">
        <v>6329</v>
      </c>
      <c r="AF736" s="416" t="s">
        <v>6330</v>
      </c>
      <c r="AG736" s="415"/>
      <c r="AJ736" s="415" t="s">
        <v>337</v>
      </c>
      <c r="AM736" s="415" t="s">
        <v>337</v>
      </c>
      <c r="AP736" s="415" t="s">
        <v>337</v>
      </c>
      <c r="AS736" s="415" t="s">
        <v>337</v>
      </c>
      <c r="AV736" s="415" t="s">
        <v>337</v>
      </c>
      <c r="AY736" s="415" t="s">
        <v>337</v>
      </c>
      <c r="BB736" s="415" t="s">
        <v>337</v>
      </c>
      <c r="BE736" s="415" t="s">
        <v>337</v>
      </c>
      <c r="BH736" s="415" t="s">
        <v>337</v>
      </c>
      <c r="BM736" s="415" t="s">
        <v>337</v>
      </c>
      <c r="BP736" s="415" t="s">
        <v>337</v>
      </c>
      <c r="BS736" s="415"/>
      <c r="BV736" s="415" t="s">
        <v>337</v>
      </c>
      <c r="BY736" s="415" t="s">
        <v>337</v>
      </c>
      <c r="CB736" s="415" t="s">
        <v>337</v>
      </c>
      <c r="CE736" s="415" t="s">
        <v>337</v>
      </c>
      <c r="CH736" s="415" t="s">
        <v>337</v>
      </c>
      <c r="CK736" s="415" t="s">
        <v>337</v>
      </c>
      <c r="CN736" s="415" t="s">
        <v>337</v>
      </c>
      <c r="CQ736" s="415" t="s">
        <v>337</v>
      </c>
      <c r="CT736" s="415" t="s">
        <v>337</v>
      </c>
    </row>
    <row r="737" spans="1:98">
      <c r="A737" s="1" t="s">
        <v>1498</v>
      </c>
      <c r="B737" s="416" t="s">
        <v>6331</v>
      </c>
      <c r="S737" s="213" t="s">
        <v>6332</v>
      </c>
      <c r="T737" s="416" t="s">
        <v>6333</v>
      </c>
      <c r="U737" s="415" t="s">
        <v>337</v>
      </c>
      <c r="X737" s="415"/>
      <c r="AA737" s="415"/>
      <c r="AD737" s="415"/>
      <c r="AE737" s="417" t="s">
        <v>6334</v>
      </c>
      <c r="AF737" s="416" t="s">
        <v>6335</v>
      </c>
      <c r="AG737" s="415"/>
      <c r="AJ737" s="415" t="s">
        <v>337</v>
      </c>
      <c r="AM737" s="415" t="s">
        <v>337</v>
      </c>
      <c r="AP737" s="415" t="s">
        <v>337</v>
      </c>
      <c r="AS737" s="415" t="s">
        <v>337</v>
      </c>
      <c r="AV737" s="415" t="s">
        <v>337</v>
      </c>
      <c r="AY737" s="415" t="s">
        <v>337</v>
      </c>
      <c r="BB737" s="415" t="s">
        <v>337</v>
      </c>
      <c r="BE737" s="415" t="s">
        <v>337</v>
      </c>
      <c r="BH737" s="415" t="s">
        <v>337</v>
      </c>
      <c r="BM737" s="415" t="s">
        <v>337</v>
      </c>
      <c r="BP737" s="415" t="s">
        <v>337</v>
      </c>
      <c r="BS737" s="415"/>
      <c r="BV737" s="415" t="s">
        <v>337</v>
      </c>
      <c r="BY737" s="415" t="s">
        <v>337</v>
      </c>
      <c r="CB737" s="415" t="s">
        <v>337</v>
      </c>
      <c r="CE737" s="415" t="s">
        <v>337</v>
      </c>
      <c r="CH737" s="415" t="s">
        <v>337</v>
      </c>
      <c r="CK737" s="415" t="s">
        <v>337</v>
      </c>
      <c r="CN737" s="415" t="s">
        <v>337</v>
      </c>
      <c r="CQ737" s="415" t="s">
        <v>337</v>
      </c>
      <c r="CT737" s="415" t="s">
        <v>337</v>
      </c>
    </row>
    <row r="738" spans="1:98">
      <c r="A738" s="1" t="s">
        <v>1498</v>
      </c>
      <c r="B738" s="416" t="s">
        <v>6336</v>
      </c>
      <c r="S738" s="213" t="s">
        <v>6337</v>
      </c>
      <c r="T738" s="416" t="s">
        <v>6338</v>
      </c>
      <c r="U738" s="415" t="s">
        <v>337</v>
      </c>
      <c r="X738" s="415"/>
      <c r="AA738" s="415"/>
      <c r="AD738" s="415"/>
      <c r="AE738" s="417" t="s">
        <v>6339</v>
      </c>
      <c r="AF738" s="416" t="s">
        <v>6340</v>
      </c>
      <c r="AG738" s="415"/>
      <c r="AJ738" s="415" t="s">
        <v>337</v>
      </c>
      <c r="AM738" s="415" t="s">
        <v>337</v>
      </c>
      <c r="AP738" s="415" t="s">
        <v>337</v>
      </c>
      <c r="AS738" s="415" t="s">
        <v>337</v>
      </c>
      <c r="AV738" s="415" t="s">
        <v>337</v>
      </c>
      <c r="AY738" s="415" t="s">
        <v>337</v>
      </c>
      <c r="BB738" s="415" t="s">
        <v>337</v>
      </c>
      <c r="BE738" s="415" t="s">
        <v>337</v>
      </c>
      <c r="BH738" s="415" t="s">
        <v>337</v>
      </c>
      <c r="BM738" s="415" t="s">
        <v>337</v>
      </c>
      <c r="BP738" s="415" t="s">
        <v>337</v>
      </c>
      <c r="BS738" s="415"/>
      <c r="BV738" s="415" t="s">
        <v>337</v>
      </c>
      <c r="BY738" s="415" t="s">
        <v>337</v>
      </c>
      <c r="CB738" s="415" t="s">
        <v>337</v>
      </c>
      <c r="CE738" s="415" t="s">
        <v>337</v>
      </c>
      <c r="CH738" s="415" t="s">
        <v>337</v>
      </c>
      <c r="CK738" s="415" t="s">
        <v>337</v>
      </c>
      <c r="CN738" s="415" t="s">
        <v>337</v>
      </c>
      <c r="CQ738" s="415" t="s">
        <v>337</v>
      </c>
      <c r="CT738" s="415" t="s">
        <v>337</v>
      </c>
    </row>
    <row r="739" spans="1:98">
      <c r="A739" s="1" t="s">
        <v>1498</v>
      </c>
      <c r="B739" s="416" t="s">
        <v>6341</v>
      </c>
      <c r="S739" s="213" t="s">
        <v>6342</v>
      </c>
      <c r="T739" s="416" t="s">
        <v>6343</v>
      </c>
      <c r="U739" s="415" t="s">
        <v>337</v>
      </c>
      <c r="X739" s="415"/>
      <c r="AA739" s="415"/>
      <c r="AD739" s="415"/>
      <c r="AE739" s="417" t="s">
        <v>6344</v>
      </c>
      <c r="AF739" s="416" t="s">
        <v>6345</v>
      </c>
      <c r="AG739" s="415"/>
      <c r="AJ739" s="415" t="s">
        <v>337</v>
      </c>
      <c r="AM739" s="415" t="s">
        <v>337</v>
      </c>
      <c r="AP739" s="415" t="s">
        <v>337</v>
      </c>
      <c r="AS739" s="415" t="s">
        <v>337</v>
      </c>
      <c r="AV739" s="415" t="s">
        <v>337</v>
      </c>
      <c r="AY739" s="415" t="s">
        <v>337</v>
      </c>
      <c r="BB739" s="415" t="s">
        <v>337</v>
      </c>
      <c r="BE739" s="415" t="s">
        <v>337</v>
      </c>
      <c r="BH739" s="415" t="s">
        <v>337</v>
      </c>
      <c r="BM739" s="415" t="s">
        <v>337</v>
      </c>
      <c r="BP739" s="415" t="s">
        <v>337</v>
      </c>
      <c r="BS739" s="415"/>
      <c r="BV739" s="415" t="s">
        <v>337</v>
      </c>
      <c r="BY739" s="415" t="s">
        <v>337</v>
      </c>
      <c r="CB739" s="415" t="s">
        <v>337</v>
      </c>
      <c r="CE739" s="415" t="s">
        <v>337</v>
      </c>
      <c r="CH739" s="415" t="s">
        <v>337</v>
      </c>
      <c r="CK739" s="415" t="s">
        <v>337</v>
      </c>
      <c r="CN739" s="415" t="s">
        <v>337</v>
      </c>
      <c r="CQ739" s="415" t="s">
        <v>337</v>
      </c>
      <c r="CT739" s="415" t="s">
        <v>337</v>
      </c>
    </row>
    <row r="740" spans="1:98">
      <c r="A740" s="1" t="s">
        <v>1498</v>
      </c>
      <c r="B740" s="416" t="s">
        <v>6346</v>
      </c>
      <c r="S740" s="213" t="s">
        <v>6347</v>
      </c>
      <c r="T740" s="416" t="s">
        <v>5777</v>
      </c>
      <c r="U740" s="415" t="s">
        <v>337</v>
      </c>
      <c r="X740" s="415"/>
      <c r="AA740" s="415"/>
      <c r="AD740" s="415"/>
      <c r="AE740" s="417" t="s">
        <v>6348</v>
      </c>
      <c r="AF740" s="416" t="s">
        <v>6349</v>
      </c>
      <c r="AG740" s="415"/>
      <c r="AJ740" s="415" t="s">
        <v>337</v>
      </c>
      <c r="AM740" s="415" t="s">
        <v>337</v>
      </c>
      <c r="AP740" s="415" t="s">
        <v>337</v>
      </c>
      <c r="AS740" s="415" t="s">
        <v>337</v>
      </c>
      <c r="AV740" s="415" t="s">
        <v>337</v>
      </c>
      <c r="AY740" s="415" t="s">
        <v>337</v>
      </c>
      <c r="BB740" s="415" t="s">
        <v>337</v>
      </c>
      <c r="BE740" s="415" t="s">
        <v>337</v>
      </c>
      <c r="BH740" s="415" t="s">
        <v>337</v>
      </c>
      <c r="BM740" s="415" t="s">
        <v>337</v>
      </c>
      <c r="BP740" s="415" t="s">
        <v>337</v>
      </c>
      <c r="BS740" s="415"/>
      <c r="BV740" s="415" t="s">
        <v>337</v>
      </c>
      <c r="BY740" s="415" t="s">
        <v>337</v>
      </c>
      <c r="CB740" s="415" t="s">
        <v>337</v>
      </c>
      <c r="CE740" s="415" t="s">
        <v>337</v>
      </c>
      <c r="CH740" s="415" t="s">
        <v>337</v>
      </c>
      <c r="CK740" s="415" t="s">
        <v>337</v>
      </c>
      <c r="CN740" s="415" t="s">
        <v>337</v>
      </c>
      <c r="CQ740" s="415" t="s">
        <v>337</v>
      </c>
      <c r="CT740" s="415" t="s">
        <v>337</v>
      </c>
    </row>
    <row r="741" spans="1:98">
      <c r="A741" s="1" t="s">
        <v>1498</v>
      </c>
      <c r="B741" s="416" t="s">
        <v>6350</v>
      </c>
      <c r="S741" s="213" t="s">
        <v>6351</v>
      </c>
      <c r="T741" s="416" t="s">
        <v>6352</v>
      </c>
      <c r="U741" s="415" t="s">
        <v>337</v>
      </c>
      <c r="X741" s="415"/>
      <c r="AA741" s="415"/>
      <c r="AD741" s="415"/>
      <c r="AE741" s="417" t="s">
        <v>6353</v>
      </c>
      <c r="AF741" s="416" t="s">
        <v>6354</v>
      </c>
      <c r="AG741" s="415"/>
      <c r="AJ741" s="415" t="s">
        <v>337</v>
      </c>
      <c r="AM741" s="415" t="s">
        <v>337</v>
      </c>
      <c r="AP741" s="415" t="s">
        <v>337</v>
      </c>
      <c r="AS741" s="415" t="s">
        <v>337</v>
      </c>
      <c r="AV741" s="415" t="s">
        <v>337</v>
      </c>
      <c r="AY741" s="415" t="s">
        <v>337</v>
      </c>
      <c r="BB741" s="415" t="s">
        <v>337</v>
      </c>
      <c r="BE741" s="415" t="s">
        <v>337</v>
      </c>
      <c r="BH741" s="415" t="s">
        <v>337</v>
      </c>
      <c r="BM741" s="415" t="s">
        <v>337</v>
      </c>
      <c r="BP741" s="415" t="s">
        <v>337</v>
      </c>
      <c r="BS741" s="415"/>
      <c r="BV741" s="415" t="s">
        <v>337</v>
      </c>
      <c r="BY741" s="415" t="s">
        <v>337</v>
      </c>
      <c r="CB741" s="415" t="s">
        <v>337</v>
      </c>
      <c r="CE741" s="415" t="s">
        <v>337</v>
      </c>
      <c r="CH741" s="415" t="s">
        <v>337</v>
      </c>
      <c r="CK741" s="415" t="s">
        <v>337</v>
      </c>
      <c r="CN741" s="415" t="s">
        <v>337</v>
      </c>
      <c r="CQ741" s="415" t="s">
        <v>337</v>
      </c>
      <c r="CT741" s="415" t="s">
        <v>337</v>
      </c>
    </row>
    <row r="742" spans="1:98">
      <c r="A742" s="1" t="s">
        <v>1498</v>
      </c>
      <c r="B742" s="416" t="s">
        <v>6355</v>
      </c>
      <c r="S742" s="213" t="s">
        <v>6356</v>
      </c>
      <c r="T742" s="416" t="s">
        <v>6357</v>
      </c>
      <c r="U742" s="415" t="s">
        <v>337</v>
      </c>
      <c r="X742" s="415"/>
      <c r="AA742" s="415"/>
      <c r="AD742" s="415"/>
      <c r="AE742" s="417" t="s">
        <v>6358</v>
      </c>
      <c r="AF742" s="416" t="s">
        <v>6359</v>
      </c>
      <c r="AG742" s="415"/>
      <c r="AJ742" s="415" t="s">
        <v>337</v>
      </c>
      <c r="AM742" s="415" t="s">
        <v>337</v>
      </c>
      <c r="AP742" s="415" t="s">
        <v>337</v>
      </c>
      <c r="AS742" s="415" t="s">
        <v>337</v>
      </c>
      <c r="AV742" s="415" t="s">
        <v>337</v>
      </c>
      <c r="AY742" s="415" t="s">
        <v>337</v>
      </c>
      <c r="BB742" s="415" t="s">
        <v>337</v>
      </c>
      <c r="BE742" s="415" t="s">
        <v>337</v>
      </c>
      <c r="BH742" s="415" t="s">
        <v>337</v>
      </c>
      <c r="BM742" s="415" t="s">
        <v>337</v>
      </c>
      <c r="BP742" s="415" t="s">
        <v>337</v>
      </c>
      <c r="BS742" s="415"/>
      <c r="BV742" s="415" t="s">
        <v>337</v>
      </c>
      <c r="BY742" s="415" t="s">
        <v>337</v>
      </c>
      <c r="CB742" s="415" t="s">
        <v>337</v>
      </c>
      <c r="CE742" s="415" t="s">
        <v>337</v>
      </c>
      <c r="CH742" s="415" t="s">
        <v>337</v>
      </c>
      <c r="CK742" s="415" t="s">
        <v>337</v>
      </c>
      <c r="CN742" s="415" t="s">
        <v>337</v>
      </c>
      <c r="CQ742" s="415" t="s">
        <v>337</v>
      </c>
      <c r="CT742" s="415" t="s">
        <v>337</v>
      </c>
    </row>
    <row r="743" spans="1:98">
      <c r="A743" s="1" t="s">
        <v>1498</v>
      </c>
      <c r="B743" s="416" t="s">
        <v>6360</v>
      </c>
      <c r="S743" s="213" t="s">
        <v>6361</v>
      </c>
      <c r="T743" s="416" t="s">
        <v>6362</v>
      </c>
      <c r="U743" s="415" t="s">
        <v>337</v>
      </c>
      <c r="X743" s="415"/>
      <c r="AA743" s="415"/>
      <c r="AD743" s="415"/>
      <c r="AE743" s="417" t="s">
        <v>6363</v>
      </c>
      <c r="AF743" s="416" t="s">
        <v>6364</v>
      </c>
      <c r="AG743" s="415"/>
      <c r="AJ743" s="415" t="s">
        <v>337</v>
      </c>
      <c r="AM743" s="415" t="s">
        <v>337</v>
      </c>
      <c r="AP743" s="415" t="s">
        <v>337</v>
      </c>
      <c r="AS743" s="415" t="s">
        <v>337</v>
      </c>
      <c r="AV743" s="415" t="s">
        <v>337</v>
      </c>
      <c r="AY743" s="415" t="s">
        <v>337</v>
      </c>
      <c r="BB743" s="415" t="s">
        <v>337</v>
      </c>
      <c r="BE743" s="415" t="s">
        <v>337</v>
      </c>
      <c r="BH743" s="415" t="s">
        <v>337</v>
      </c>
      <c r="BM743" s="415" t="s">
        <v>337</v>
      </c>
      <c r="BP743" s="415" t="s">
        <v>337</v>
      </c>
      <c r="BS743" s="415"/>
      <c r="BV743" s="415" t="s">
        <v>337</v>
      </c>
      <c r="BY743" s="415" t="s">
        <v>337</v>
      </c>
      <c r="CB743" s="415" t="s">
        <v>337</v>
      </c>
      <c r="CE743" s="415" t="s">
        <v>337</v>
      </c>
      <c r="CH743" s="415" t="s">
        <v>337</v>
      </c>
      <c r="CK743" s="415" t="s">
        <v>337</v>
      </c>
      <c r="CN743" s="415" t="s">
        <v>337</v>
      </c>
      <c r="CQ743" s="415" t="s">
        <v>337</v>
      </c>
      <c r="CT743" s="415" t="s">
        <v>337</v>
      </c>
    </row>
    <row r="744" spans="1:98">
      <c r="A744" s="1" t="s">
        <v>1498</v>
      </c>
      <c r="B744" s="416" t="s">
        <v>6365</v>
      </c>
      <c r="S744" s="213" t="s">
        <v>6366</v>
      </c>
      <c r="T744" s="416" t="s">
        <v>6367</v>
      </c>
      <c r="U744" s="415" t="s">
        <v>337</v>
      </c>
      <c r="X744" s="415"/>
      <c r="AA744" s="415"/>
      <c r="AD744" s="415"/>
      <c r="AE744" s="417" t="s">
        <v>6368</v>
      </c>
      <c r="AF744" s="416" t="s">
        <v>6369</v>
      </c>
      <c r="AG744" s="415"/>
      <c r="AJ744" s="415" t="s">
        <v>337</v>
      </c>
      <c r="AM744" s="415" t="s">
        <v>337</v>
      </c>
      <c r="AP744" s="415" t="s">
        <v>337</v>
      </c>
      <c r="AS744" s="415" t="s">
        <v>337</v>
      </c>
      <c r="AV744" s="415" t="s">
        <v>337</v>
      </c>
      <c r="AY744" s="415" t="s">
        <v>337</v>
      </c>
      <c r="BB744" s="415" t="s">
        <v>337</v>
      </c>
      <c r="BE744" s="415" t="s">
        <v>337</v>
      </c>
      <c r="BH744" s="415" t="s">
        <v>337</v>
      </c>
      <c r="BM744" s="415" t="s">
        <v>337</v>
      </c>
      <c r="BP744" s="415" t="s">
        <v>337</v>
      </c>
      <c r="BS744" s="415"/>
      <c r="BV744" s="415" t="s">
        <v>337</v>
      </c>
      <c r="BY744" s="415" t="s">
        <v>337</v>
      </c>
      <c r="CB744" s="415" t="s">
        <v>337</v>
      </c>
      <c r="CE744" s="415" t="s">
        <v>337</v>
      </c>
      <c r="CH744" s="415" t="s">
        <v>337</v>
      </c>
      <c r="CK744" s="415" t="s">
        <v>337</v>
      </c>
      <c r="CN744" s="415" t="s">
        <v>337</v>
      </c>
      <c r="CQ744" s="415" t="s">
        <v>337</v>
      </c>
      <c r="CT744" s="415" t="s">
        <v>337</v>
      </c>
    </row>
    <row r="745" spans="1:98">
      <c r="A745" s="1" t="s">
        <v>1498</v>
      </c>
      <c r="B745" s="416" t="s">
        <v>6370</v>
      </c>
      <c r="S745" s="213" t="s">
        <v>6371</v>
      </c>
      <c r="T745" s="416" t="s">
        <v>6372</v>
      </c>
      <c r="U745" s="415" t="s">
        <v>337</v>
      </c>
      <c r="X745" s="415"/>
      <c r="AA745" s="415"/>
      <c r="AD745" s="415"/>
      <c r="AE745" s="417" t="s">
        <v>6373</v>
      </c>
      <c r="AF745" s="416" t="s">
        <v>6374</v>
      </c>
      <c r="AG745" s="415"/>
      <c r="AJ745" s="415" t="s">
        <v>337</v>
      </c>
      <c r="AM745" s="415" t="s">
        <v>337</v>
      </c>
      <c r="AP745" s="415" t="s">
        <v>337</v>
      </c>
      <c r="AS745" s="415" t="s">
        <v>337</v>
      </c>
      <c r="AV745" s="415" t="s">
        <v>337</v>
      </c>
      <c r="AY745" s="415" t="s">
        <v>337</v>
      </c>
      <c r="BB745" s="415" t="s">
        <v>337</v>
      </c>
      <c r="BE745" s="415" t="s">
        <v>337</v>
      </c>
      <c r="BH745" s="415" t="s">
        <v>337</v>
      </c>
      <c r="BM745" s="415" t="s">
        <v>337</v>
      </c>
      <c r="BP745" s="415" t="s">
        <v>337</v>
      </c>
      <c r="BS745" s="415"/>
      <c r="BV745" s="415" t="s">
        <v>337</v>
      </c>
      <c r="BY745" s="415" t="s">
        <v>337</v>
      </c>
      <c r="CB745" s="415" t="s">
        <v>337</v>
      </c>
      <c r="CE745" s="415" t="s">
        <v>337</v>
      </c>
      <c r="CH745" s="415" t="s">
        <v>337</v>
      </c>
      <c r="CK745" s="415" t="s">
        <v>337</v>
      </c>
      <c r="CN745" s="415" t="s">
        <v>337</v>
      </c>
      <c r="CQ745" s="415" t="s">
        <v>337</v>
      </c>
      <c r="CT745" s="415" t="s">
        <v>337</v>
      </c>
    </row>
    <row r="746" spans="1:98">
      <c r="A746" s="1" t="s">
        <v>1498</v>
      </c>
      <c r="B746" s="416" t="s">
        <v>6375</v>
      </c>
      <c r="S746" s="213" t="s">
        <v>6376</v>
      </c>
      <c r="T746" s="416" t="s">
        <v>6377</v>
      </c>
      <c r="U746" s="415" t="s">
        <v>337</v>
      </c>
      <c r="X746" s="415"/>
      <c r="AA746" s="415"/>
      <c r="AD746" s="415"/>
      <c r="AE746" s="417" t="s">
        <v>6378</v>
      </c>
      <c r="AF746" s="416" t="s">
        <v>6379</v>
      </c>
      <c r="AG746" s="415"/>
      <c r="AJ746" s="415" t="s">
        <v>337</v>
      </c>
      <c r="AM746" s="415" t="s">
        <v>337</v>
      </c>
      <c r="AP746" s="415" t="s">
        <v>337</v>
      </c>
      <c r="AS746" s="415" t="s">
        <v>337</v>
      </c>
      <c r="AV746" s="415" t="s">
        <v>337</v>
      </c>
      <c r="AY746" s="415" t="s">
        <v>337</v>
      </c>
      <c r="BB746" s="415" t="s">
        <v>337</v>
      </c>
      <c r="BE746" s="415" t="s">
        <v>337</v>
      </c>
      <c r="BH746" s="415" t="s">
        <v>337</v>
      </c>
      <c r="BM746" s="415" t="s">
        <v>337</v>
      </c>
      <c r="BP746" s="415" t="s">
        <v>337</v>
      </c>
      <c r="BS746" s="415"/>
      <c r="BV746" s="415" t="s">
        <v>337</v>
      </c>
      <c r="BY746" s="415" t="s">
        <v>337</v>
      </c>
      <c r="CB746" s="415" t="s">
        <v>337</v>
      </c>
      <c r="CE746" s="415" t="s">
        <v>337</v>
      </c>
      <c r="CH746" s="415" t="s">
        <v>337</v>
      </c>
      <c r="CK746" s="415" t="s">
        <v>337</v>
      </c>
      <c r="CN746" s="415" t="s">
        <v>337</v>
      </c>
      <c r="CQ746" s="415" t="s">
        <v>337</v>
      </c>
      <c r="CT746" s="415" t="s">
        <v>337</v>
      </c>
    </row>
    <row r="747" spans="1:98">
      <c r="A747" s="1" t="s">
        <v>1498</v>
      </c>
      <c r="B747" s="416" t="s">
        <v>6380</v>
      </c>
      <c r="S747" s="213" t="s">
        <v>6381</v>
      </c>
      <c r="T747" s="416" t="s">
        <v>6382</v>
      </c>
      <c r="U747" s="415" t="s">
        <v>337</v>
      </c>
      <c r="X747" s="415"/>
      <c r="AA747" s="415"/>
      <c r="AD747" s="415"/>
      <c r="AE747" s="417" t="s">
        <v>6383</v>
      </c>
      <c r="AF747" s="416" t="s">
        <v>6384</v>
      </c>
      <c r="AG747" s="415"/>
      <c r="AJ747" s="415" t="s">
        <v>337</v>
      </c>
      <c r="AM747" s="415" t="s">
        <v>337</v>
      </c>
      <c r="AP747" s="415" t="s">
        <v>337</v>
      </c>
      <c r="AS747" s="415" t="s">
        <v>337</v>
      </c>
      <c r="AV747" s="415" t="s">
        <v>337</v>
      </c>
      <c r="AY747" s="415" t="s">
        <v>337</v>
      </c>
      <c r="BB747" s="415" t="s">
        <v>337</v>
      </c>
      <c r="BE747" s="415" t="s">
        <v>337</v>
      </c>
      <c r="BH747" s="415" t="s">
        <v>337</v>
      </c>
      <c r="BM747" s="415" t="s">
        <v>337</v>
      </c>
      <c r="BP747" s="415" t="s">
        <v>337</v>
      </c>
      <c r="BS747" s="415"/>
      <c r="BV747" s="415" t="s">
        <v>337</v>
      </c>
      <c r="BY747" s="415" t="s">
        <v>337</v>
      </c>
      <c r="CB747" s="415" t="s">
        <v>337</v>
      </c>
      <c r="CE747" s="415" t="s">
        <v>337</v>
      </c>
      <c r="CH747" s="415" t="s">
        <v>337</v>
      </c>
      <c r="CK747" s="415" t="s">
        <v>337</v>
      </c>
      <c r="CN747" s="415" t="s">
        <v>337</v>
      </c>
      <c r="CQ747" s="415" t="s">
        <v>337</v>
      </c>
      <c r="CT747" s="415" t="s">
        <v>337</v>
      </c>
    </row>
    <row r="748" spans="1:98">
      <c r="A748" s="1" t="s">
        <v>1511</v>
      </c>
      <c r="B748" s="416" t="s">
        <v>6385</v>
      </c>
      <c r="S748" s="213" t="s">
        <v>6386</v>
      </c>
      <c r="T748" s="416" t="s">
        <v>6387</v>
      </c>
      <c r="U748" s="415" t="s">
        <v>337</v>
      </c>
      <c r="X748" s="415"/>
      <c r="AA748" s="415"/>
      <c r="AD748" s="415"/>
      <c r="AE748" s="417" t="s">
        <v>6388</v>
      </c>
      <c r="AF748" s="416" t="s">
        <v>6389</v>
      </c>
      <c r="AG748" s="415"/>
      <c r="AJ748" s="415" t="s">
        <v>337</v>
      </c>
      <c r="AM748" s="415" t="s">
        <v>337</v>
      </c>
      <c r="AP748" s="415" t="s">
        <v>337</v>
      </c>
      <c r="AS748" s="415" t="s">
        <v>337</v>
      </c>
      <c r="AV748" s="415" t="s">
        <v>337</v>
      </c>
      <c r="AY748" s="415" t="s">
        <v>337</v>
      </c>
      <c r="BB748" s="415" t="s">
        <v>337</v>
      </c>
      <c r="BE748" s="415" t="s">
        <v>337</v>
      </c>
      <c r="BH748" s="415" t="s">
        <v>337</v>
      </c>
      <c r="BM748" s="415" t="s">
        <v>337</v>
      </c>
      <c r="BP748" s="415" t="s">
        <v>337</v>
      </c>
      <c r="BS748" s="415"/>
      <c r="BV748" s="415" t="s">
        <v>337</v>
      </c>
      <c r="BY748" s="415" t="s">
        <v>337</v>
      </c>
      <c r="CB748" s="415" t="s">
        <v>337</v>
      </c>
      <c r="CE748" s="415" t="s">
        <v>337</v>
      </c>
      <c r="CH748" s="415" t="s">
        <v>337</v>
      </c>
      <c r="CK748" s="415" t="s">
        <v>337</v>
      </c>
      <c r="CN748" s="415" t="s">
        <v>337</v>
      </c>
      <c r="CQ748" s="415" t="s">
        <v>337</v>
      </c>
      <c r="CT748" s="415" t="s">
        <v>337</v>
      </c>
    </row>
    <row r="749" spans="1:98">
      <c r="A749" s="1" t="s">
        <v>1511</v>
      </c>
      <c r="B749" s="416" t="s">
        <v>6390</v>
      </c>
      <c r="S749" s="213" t="s">
        <v>6391</v>
      </c>
      <c r="T749" s="416" t="s">
        <v>6392</v>
      </c>
      <c r="U749" s="415" t="s">
        <v>337</v>
      </c>
      <c r="X749" s="415"/>
      <c r="AA749" s="415"/>
      <c r="AD749" s="415"/>
      <c r="AE749" s="417" t="s">
        <v>6393</v>
      </c>
      <c r="AF749" s="416" t="s">
        <v>6394</v>
      </c>
      <c r="AG749" s="415"/>
      <c r="AJ749" s="415" t="s">
        <v>337</v>
      </c>
      <c r="AM749" s="415" t="s">
        <v>337</v>
      </c>
      <c r="AP749" s="415" t="s">
        <v>337</v>
      </c>
      <c r="AS749" s="415" t="s">
        <v>337</v>
      </c>
      <c r="AV749" s="415" t="s">
        <v>337</v>
      </c>
      <c r="AY749" s="415" t="s">
        <v>337</v>
      </c>
      <c r="BB749" s="415" t="s">
        <v>337</v>
      </c>
      <c r="BE749" s="415" t="s">
        <v>337</v>
      </c>
      <c r="BH749" s="415" t="s">
        <v>337</v>
      </c>
      <c r="BM749" s="415" t="s">
        <v>337</v>
      </c>
      <c r="BP749" s="415" t="s">
        <v>337</v>
      </c>
      <c r="BS749" s="415"/>
      <c r="BV749" s="415" t="s">
        <v>337</v>
      </c>
      <c r="BY749" s="415" t="s">
        <v>337</v>
      </c>
      <c r="CB749" s="415" t="s">
        <v>337</v>
      </c>
      <c r="CE749" s="415" t="s">
        <v>337</v>
      </c>
      <c r="CH749" s="415" t="s">
        <v>337</v>
      </c>
      <c r="CK749" s="415" t="s">
        <v>337</v>
      </c>
      <c r="CN749" s="415" t="s">
        <v>337</v>
      </c>
      <c r="CQ749" s="415" t="s">
        <v>337</v>
      </c>
      <c r="CT749" s="415" t="s">
        <v>337</v>
      </c>
    </row>
    <row r="750" spans="1:98">
      <c r="A750" s="1" t="s">
        <v>1511</v>
      </c>
      <c r="B750" s="416" t="s">
        <v>6395</v>
      </c>
      <c r="S750" s="213" t="s">
        <v>6396</v>
      </c>
      <c r="T750" s="416" t="s">
        <v>6397</v>
      </c>
      <c r="U750" s="415" t="s">
        <v>337</v>
      </c>
      <c r="X750" s="415"/>
      <c r="AA750" s="415"/>
      <c r="AD750" s="415"/>
      <c r="AE750" s="417" t="s">
        <v>6398</v>
      </c>
      <c r="AF750" s="416" t="s">
        <v>6399</v>
      </c>
      <c r="AG750" s="415"/>
      <c r="AJ750" s="415" t="s">
        <v>337</v>
      </c>
      <c r="AM750" s="415" t="s">
        <v>337</v>
      </c>
      <c r="AP750" s="415" t="s">
        <v>337</v>
      </c>
      <c r="AS750" s="415" t="s">
        <v>337</v>
      </c>
      <c r="AV750" s="415" t="s">
        <v>337</v>
      </c>
      <c r="AY750" s="415" t="s">
        <v>337</v>
      </c>
      <c r="BB750" s="415" t="s">
        <v>337</v>
      </c>
      <c r="BE750" s="415" t="s">
        <v>337</v>
      </c>
      <c r="BH750" s="415" t="s">
        <v>337</v>
      </c>
      <c r="BM750" s="415" t="s">
        <v>337</v>
      </c>
      <c r="BP750" s="415" t="s">
        <v>337</v>
      </c>
      <c r="BS750" s="415"/>
      <c r="BV750" s="415" t="s">
        <v>337</v>
      </c>
      <c r="BY750" s="415" t="s">
        <v>337</v>
      </c>
      <c r="CB750" s="415" t="s">
        <v>337</v>
      </c>
      <c r="CE750" s="415" t="s">
        <v>337</v>
      </c>
      <c r="CH750" s="415" t="s">
        <v>337</v>
      </c>
      <c r="CK750" s="415" t="s">
        <v>337</v>
      </c>
      <c r="CN750" s="415" t="s">
        <v>337</v>
      </c>
      <c r="CQ750" s="415" t="s">
        <v>337</v>
      </c>
      <c r="CT750" s="415" t="s">
        <v>337</v>
      </c>
    </row>
    <row r="751" spans="1:98">
      <c r="A751" s="1" t="s">
        <v>1511</v>
      </c>
      <c r="B751" s="416" t="s">
        <v>6400</v>
      </c>
      <c r="S751" s="213" t="s">
        <v>6401</v>
      </c>
      <c r="T751" s="416" t="s">
        <v>6402</v>
      </c>
      <c r="U751" s="415" t="s">
        <v>337</v>
      </c>
      <c r="X751" s="415"/>
      <c r="AA751" s="415"/>
      <c r="AD751" s="415"/>
      <c r="AE751" s="417" t="s">
        <v>6403</v>
      </c>
      <c r="AF751" s="416" t="s">
        <v>6404</v>
      </c>
      <c r="AG751" s="415"/>
      <c r="AJ751" s="415" t="s">
        <v>337</v>
      </c>
      <c r="AM751" s="415" t="s">
        <v>337</v>
      </c>
      <c r="AP751" s="415" t="s">
        <v>337</v>
      </c>
      <c r="AS751" s="415" t="s">
        <v>337</v>
      </c>
      <c r="AV751" s="415" t="s">
        <v>337</v>
      </c>
      <c r="AY751" s="415" t="s">
        <v>337</v>
      </c>
      <c r="BB751" s="415" t="s">
        <v>337</v>
      </c>
      <c r="BE751" s="415" t="s">
        <v>337</v>
      </c>
      <c r="BH751" s="415" t="s">
        <v>337</v>
      </c>
      <c r="BM751" s="415" t="s">
        <v>337</v>
      </c>
      <c r="BP751" s="415" t="s">
        <v>337</v>
      </c>
      <c r="BS751" s="415"/>
      <c r="BV751" s="415" t="s">
        <v>337</v>
      </c>
      <c r="BY751" s="415" t="s">
        <v>337</v>
      </c>
      <c r="CB751" s="415" t="s">
        <v>337</v>
      </c>
      <c r="CE751" s="415" t="s">
        <v>337</v>
      </c>
      <c r="CH751" s="415" t="s">
        <v>337</v>
      </c>
      <c r="CK751" s="415" t="s">
        <v>337</v>
      </c>
      <c r="CN751" s="415" t="s">
        <v>337</v>
      </c>
      <c r="CQ751" s="415" t="s">
        <v>337</v>
      </c>
      <c r="CT751" s="415" t="s">
        <v>337</v>
      </c>
    </row>
    <row r="752" spans="1:98">
      <c r="A752" s="1" t="s">
        <v>1511</v>
      </c>
      <c r="B752" s="416" t="s">
        <v>6405</v>
      </c>
      <c r="S752" s="213" t="s">
        <v>6406</v>
      </c>
      <c r="T752" s="416" t="s">
        <v>6407</v>
      </c>
      <c r="U752" s="415" t="s">
        <v>337</v>
      </c>
      <c r="X752" s="415"/>
      <c r="AA752" s="415"/>
      <c r="AD752" s="415"/>
      <c r="AE752" s="417" t="s">
        <v>6408</v>
      </c>
      <c r="AF752" s="416" t="s">
        <v>6409</v>
      </c>
      <c r="AG752" s="415"/>
      <c r="AJ752" s="415" t="s">
        <v>337</v>
      </c>
      <c r="AM752" s="415" t="s">
        <v>337</v>
      </c>
      <c r="AP752" s="415" t="s">
        <v>337</v>
      </c>
      <c r="AS752" s="415" t="s">
        <v>337</v>
      </c>
      <c r="AV752" s="415" t="s">
        <v>337</v>
      </c>
      <c r="AY752" s="415" t="s">
        <v>337</v>
      </c>
      <c r="BB752" s="415" t="s">
        <v>337</v>
      </c>
      <c r="BE752" s="415" t="s">
        <v>337</v>
      </c>
      <c r="BH752" s="415" t="s">
        <v>337</v>
      </c>
      <c r="BM752" s="415" t="s">
        <v>337</v>
      </c>
      <c r="BP752" s="415" t="s">
        <v>337</v>
      </c>
      <c r="BS752" s="415"/>
      <c r="BV752" s="415" t="s">
        <v>337</v>
      </c>
      <c r="BY752" s="415" t="s">
        <v>337</v>
      </c>
      <c r="CB752" s="415" t="s">
        <v>337</v>
      </c>
      <c r="CE752" s="415" t="s">
        <v>337</v>
      </c>
      <c r="CH752" s="415" t="s">
        <v>337</v>
      </c>
      <c r="CK752" s="415" t="s">
        <v>337</v>
      </c>
      <c r="CN752" s="415" t="s">
        <v>337</v>
      </c>
      <c r="CQ752" s="415" t="s">
        <v>337</v>
      </c>
      <c r="CT752" s="415" t="s">
        <v>337</v>
      </c>
    </row>
    <row r="753" spans="1:98">
      <c r="A753" s="1" t="s">
        <v>1511</v>
      </c>
      <c r="B753" s="416" t="s">
        <v>6410</v>
      </c>
      <c r="S753" s="213" t="s">
        <v>6411</v>
      </c>
      <c r="T753" s="416" t="s">
        <v>6412</v>
      </c>
      <c r="U753" s="415" t="s">
        <v>337</v>
      </c>
      <c r="X753" s="415"/>
      <c r="AA753" s="415"/>
      <c r="AD753" s="415"/>
      <c r="AE753" s="417" t="s">
        <v>6413</v>
      </c>
      <c r="AF753" s="416" t="s">
        <v>6414</v>
      </c>
      <c r="AG753" s="415"/>
      <c r="AJ753" s="415" t="s">
        <v>337</v>
      </c>
      <c r="AM753" s="415" t="s">
        <v>337</v>
      </c>
      <c r="AP753" s="415" t="s">
        <v>337</v>
      </c>
      <c r="AS753" s="415" t="s">
        <v>337</v>
      </c>
      <c r="AV753" s="415" t="s">
        <v>337</v>
      </c>
      <c r="AY753" s="415" t="s">
        <v>337</v>
      </c>
      <c r="BB753" s="415" t="s">
        <v>337</v>
      </c>
      <c r="BE753" s="415" t="s">
        <v>337</v>
      </c>
      <c r="BH753" s="415" t="s">
        <v>337</v>
      </c>
      <c r="BM753" s="415" t="s">
        <v>337</v>
      </c>
      <c r="BP753" s="415" t="s">
        <v>337</v>
      </c>
      <c r="BS753" s="415"/>
      <c r="BV753" s="415" t="s">
        <v>337</v>
      </c>
      <c r="BY753" s="415" t="s">
        <v>337</v>
      </c>
      <c r="CB753" s="415" t="s">
        <v>337</v>
      </c>
      <c r="CE753" s="415" t="s">
        <v>337</v>
      </c>
      <c r="CH753" s="415" t="s">
        <v>337</v>
      </c>
      <c r="CK753" s="415" t="s">
        <v>337</v>
      </c>
      <c r="CN753" s="415" t="s">
        <v>337</v>
      </c>
      <c r="CQ753" s="415" t="s">
        <v>337</v>
      </c>
      <c r="CT753" s="415" t="s">
        <v>337</v>
      </c>
    </row>
    <row r="754" spans="1:98">
      <c r="A754" s="1" t="s">
        <v>1511</v>
      </c>
      <c r="B754" s="416" t="s">
        <v>6415</v>
      </c>
      <c r="S754" s="213" t="s">
        <v>6416</v>
      </c>
      <c r="T754" s="416" t="s">
        <v>6417</v>
      </c>
      <c r="U754" s="415" t="s">
        <v>337</v>
      </c>
      <c r="X754" s="415"/>
      <c r="AA754" s="415"/>
      <c r="AD754" s="415"/>
      <c r="AE754" s="417" t="s">
        <v>6418</v>
      </c>
      <c r="AF754" s="416" t="s">
        <v>6419</v>
      </c>
      <c r="AG754" s="415"/>
      <c r="AJ754" s="415" t="s">
        <v>337</v>
      </c>
      <c r="AM754" s="415" t="s">
        <v>337</v>
      </c>
      <c r="AP754" s="415" t="s">
        <v>337</v>
      </c>
      <c r="AS754" s="415" t="s">
        <v>337</v>
      </c>
      <c r="AV754" s="415" t="s">
        <v>337</v>
      </c>
      <c r="AY754" s="415" t="s">
        <v>337</v>
      </c>
      <c r="BB754" s="415" t="s">
        <v>337</v>
      </c>
      <c r="BE754" s="415" t="s">
        <v>337</v>
      </c>
      <c r="BH754" s="415" t="s">
        <v>337</v>
      </c>
      <c r="BM754" s="415" t="s">
        <v>337</v>
      </c>
      <c r="BP754" s="415" t="s">
        <v>337</v>
      </c>
      <c r="BS754" s="415"/>
      <c r="BV754" s="415" t="s">
        <v>337</v>
      </c>
      <c r="BY754" s="415" t="s">
        <v>337</v>
      </c>
      <c r="CB754" s="415" t="s">
        <v>337</v>
      </c>
      <c r="CE754" s="415" t="s">
        <v>337</v>
      </c>
      <c r="CH754" s="415" t="s">
        <v>337</v>
      </c>
      <c r="CK754" s="415" t="s">
        <v>337</v>
      </c>
      <c r="CN754" s="415" t="s">
        <v>337</v>
      </c>
      <c r="CQ754" s="415" t="s">
        <v>337</v>
      </c>
      <c r="CT754" s="415" t="s">
        <v>337</v>
      </c>
    </row>
    <row r="755" spans="1:98">
      <c r="A755" s="1" t="s">
        <v>1523</v>
      </c>
      <c r="B755" s="416" t="s">
        <v>6420</v>
      </c>
      <c r="S755" s="213" t="s">
        <v>6421</v>
      </c>
      <c r="T755" s="416" t="s">
        <v>6422</v>
      </c>
      <c r="U755" s="415" t="s">
        <v>337</v>
      </c>
      <c r="X755" s="415"/>
      <c r="AA755" s="415"/>
      <c r="AD755" s="415"/>
      <c r="AE755" s="417" t="s">
        <v>6423</v>
      </c>
      <c r="AF755" s="416" t="s">
        <v>6424</v>
      </c>
      <c r="AG755" s="415"/>
      <c r="AJ755" s="415" t="s">
        <v>337</v>
      </c>
      <c r="AM755" s="415" t="s">
        <v>337</v>
      </c>
      <c r="AP755" s="415" t="s">
        <v>337</v>
      </c>
      <c r="AS755" s="415" t="s">
        <v>337</v>
      </c>
      <c r="AV755" s="415" t="s">
        <v>337</v>
      </c>
      <c r="AY755" s="415" t="s">
        <v>337</v>
      </c>
      <c r="BB755" s="415" t="s">
        <v>337</v>
      </c>
      <c r="BE755" s="415" t="s">
        <v>337</v>
      </c>
      <c r="BH755" s="415" t="s">
        <v>337</v>
      </c>
      <c r="BM755" s="415" t="s">
        <v>337</v>
      </c>
      <c r="BP755" s="415" t="s">
        <v>337</v>
      </c>
      <c r="BS755" s="415"/>
      <c r="BV755" s="415" t="s">
        <v>337</v>
      </c>
      <c r="BY755" s="415" t="s">
        <v>337</v>
      </c>
      <c r="CB755" s="415" t="s">
        <v>337</v>
      </c>
      <c r="CE755" s="415" t="s">
        <v>337</v>
      </c>
      <c r="CH755" s="415" t="s">
        <v>337</v>
      </c>
      <c r="CK755" s="415" t="s">
        <v>337</v>
      </c>
      <c r="CN755" s="415" t="s">
        <v>337</v>
      </c>
      <c r="CQ755" s="415" t="s">
        <v>337</v>
      </c>
      <c r="CT755" s="415" t="s">
        <v>337</v>
      </c>
    </row>
    <row r="756" spans="1:98">
      <c r="A756" s="1" t="s">
        <v>1523</v>
      </c>
      <c r="B756" s="416" t="s">
        <v>6425</v>
      </c>
      <c r="S756" s="213" t="s">
        <v>6426</v>
      </c>
      <c r="T756" s="416" t="s">
        <v>6427</v>
      </c>
      <c r="U756" s="415" t="s">
        <v>337</v>
      </c>
      <c r="X756" s="415"/>
      <c r="AA756" s="415"/>
      <c r="AD756" s="415"/>
      <c r="AE756" s="417" t="s">
        <v>6428</v>
      </c>
      <c r="AF756" s="416" t="s">
        <v>6429</v>
      </c>
      <c r="AG756" s="415"/>
      <c r="AJ756" s="415" t="s">
        <v>337</v>
      </c>
      <c r="AM756" s="415" t="s">
        <v>337</v>
      </c>
      <c r="AP756" s="415" t="s">
        <v>337</v>
      </c>
      <c r="AS756" s="415" t="s">
        <v>337</v>
      </c>
      <c r="AV756" s="415" t="s">
        <v>337</v>
      </c>
      <c r="AY756" s="415" t="s">
        <v>337</v>
      </c>
      <c r="BB756" s="415" t="s">
        <v>337</v>
      </c>
      <c r="BE756" s="415" t="s">
        <v>337</v>
      </c>
      <c r="BH756" s="415" t="s">
        <v>337</v>
      </c>
      <c r="BM756" s="415" t="s">
        <v>337</v>
      </c>
      <c r="BP756" s="415" t="s">
        <v>337</v>
      </c>
      <c r="BS756" s="415"/>
      <c r="BV756" s="415" t="s">
        <v>337</v>
      </c>
      <c r="BY756" s="415" t="s">
        <v>337</v>
      </c>
      <c r="CB756" s="415" t="s">
        <v>337</v>
      </c>
      <c r="CE756" s="415" t="s">
        <v>337</v>
      </c>
      <c r="CH756" s="415" t="s">
        <v>337</v>
      </c>
      <c r="CK756" s="415" t="s">
        <v>337</v>
      </c>
      <c r="CN756" s="415" t="s">
        <v>337</v>
      </c>
      <c r="CQ756" s="415" t="s">
        <v>337</v>
      </c>
      <c r="CT756" s="415" t="s">
        <v>337</v>
      </c>
    </row>
    <row r="757" spans="1:98">
      <c r="A757" s="1" t="s">
        <v>1523</v>
      </c>
      <c r="B757" s="416" t="s">
        <v>6430</v>
      </c>
      <c r="S757" s="213" t="s">
        <v>6431</v>
      </c>
      <c r="T757" s="416" t="s">
        <v>6432</v>
      </c>
      <c r="U757" s="415" t="s">
        <v>337</v>
      </c>
      <c r="X757" s="415"/>
      <c r="AA757" s="415"/>
      <c r="AD757" s="415"/>
      <c r="AE757" s="417" t="s">
        <v>6433</v>
      </c>
      <c r="AF757" s="416" t="s">
        <v>6434</v>
      </c>
      <c r="AG757" s="415"/>
      <c r="AJ757" s="415" t="s">
        <v>337</v>
      </c>
      <c r="AM757" s="415" t="s">
        <v>337</v>
      </c>
      <c r="AP757" s="415" t="s">
        <v>337</v>
      </c>
      <c r="AS757" s="415" t="s">
        <v>337</v>
      </c>
      <c r="AV757" s="415" t="s">
        <v>337</v>
      </c>
      <c r="AY757" s="415" t="s">
        <v>337</v>
      </c>
      <c r="BB757" s="415" t="s">
        <v>337</v>
      </c>
      <c r="BE757" s="415" t="s">
        <v>337</v>
      </c>
      <c r="BH757" s="415" t="s">
        <v>337</v>
      </c>
      <c r="BM757" s="415" t="s">
        <v>337</v>
      </c>
      <c r="BP757" s="415" t="s">
        <v>337</v>
      </c>
      <c r="BS757" s="415"/>
      <c r="BV757" s="415" t="s">
        <v>337</v>
      </c>
      <c r="BY757" s="415" t="s">
        <v>337</v>
      </c>
      <c r="CB757" s="415" t="s">
        <v>337</v>
      </c>
      <c r="CE757" s="415" t="s">
        <v>337</v>
      </c>
      <c r="CH757" s="415" t="s">
        <v>337</v>
      </c>
      <c r="CK757" s="415" t="s">
        <v>337</v>
      </c>
      <c r="CN757" s="415" t="s">
        <v>337</v>
      </c>
      <c r="CQ757" s="415" t="s">
        <v>337</v>
      </c>
      <c r="CT757" s="415" t="s">
        <v>337</v>
      </c>
    </row>
    <row r="758" spans="1:98">
      <c r="A758" s="1" t="s">
        <v>1523</v>
      </c>
      <c r="B758" s="416" t="s">
        <v>6435</v>
      </c>
      <c r="S758" s="213" t="s">
        <v>6436</v>
      </c>
      <c r="T758" s="416" t="s">
        <v>6437</v>
      </c>
      <c r="U758" s="415" t="s">
        <v>337</v>
      </c>
      <c r="X758" s="415"/>
      <c r="AA758" s="415"/>
      <c r="AD758" s="415"/>
      <c r="AE758" s="417" t="s">
        <v>6438</v>
      </c>
      <c r="AF758" s="416" t="s">
        <v>6439</v>
      </c>
      <c r="AG758" s="415"/>
      <c r="AJ758" s="415" t="s">
        <v>337</v>
      </c>
      <c r="AM758" s="415" t="s">
        <v>337</v>
      </c>
      <c r="AP758" s="415" t="s">
        <v>337</v>
      </c>
      <c r="AS758" s="415" t="s">
        <v>337</v>
      </c>
      <c r="AV758" s="415" t="s">
        <v>337</v>
      </c>
      <c r="AY758" s="415" t="s">
        <v>337</v>
      </c>
      <c r="BB758" s="415" t="s">
        <v>337</v>
      </c>
      <c r="BE758" s="415" t="s">
        <v>337</v>
      </c>
      <c r="BH758" s="415" t="s">
        <v>337</v>
      </c>
      <c r="BM758" s="415" t="s">
        <v>337</v>
      </c>
      <c r="BP758" s="415" t="s">
        <v>337</v>
      </c>
      <c r="BS758" s="415"/>
      <c r="BV758" s="415" t="s">
        <v>337</v>
      </c>
      <c r="BY758" s="415" t="s">
        <v>337</v>
      </c>
      <c r="CB758" s="415" t="s">
        <v>337</v>
      </c>
      <c r="CE758" s="415" t="s">
        <v>337</v>
      </c>
      <c r="CH758" s="415" t="s">
        <v>337</v>
      </c>
      <c r="CK758" s="415" t="s">
        <v>337</v>
      </c>
      <c r="CN758" s="415" t="s">
        <v>337</v>
      </c>
      <c r="CQ758" s="415" t="s">
        <v>337</v>
      </c>
      <c r="CT758" s="415" t="s">
        <v>337</v>
      </c>
    </row>
    <row r="759" spans="1:98">
      <c r="A759" s="1" t="s">
        <v>1523</v>
      </c>
      <c r="B759" s="416" t="s">
        <v>6440</v>
      </c>
      <c r="S759" s="213" t="s">
        <v>6441</v>
      </c>
      <c r="T759" s="416" t="s">
        <v>6442</v>
      </c>
      <c r="U759" s="415" t="s">
        <v>337</v>
      </c>
      <c r="X759" s="415"/>
      <c r="AA759" s="415"/>
      <c r="AD759" s="415"/>
      <c r="AE759" s="417" t="s">
        <v>6443</v>
      </c>
      <c r="AF759" s="416" t="s">
        <v>6444</v>
      </c>
      <c r="AG759" s="415"/>
      <c r="AJ759" s="415" t="s">
        <v>337</v>
      </c>
      <c r="AM759" s="415" t="s">
        <v>337</v>
      </c>
      <c r="AP759" s="415" t="s">
        <v>337</v>
      </c>
      <c r="AS759" s="415" t="s">
        <v>337</v>
      </c>
      <c r="AV759" s="415" t="s">
        <v>337</v>
      </c>
      <c r="AY759" s="415" t="s">
        <v>337</v>
      </c>
      <c r="BB759" s="415" t="s">
        <v>337</v>
      </c>
      <c r="BE759" s="415" t="s">
        <v>337</v>
      </c>
      <c r="BH759" s="415" t="s">
        <v>337</v>
      </c>
      <c r="BM759" s="415" t="s">
        <v>337</v>
      </c>
      <c r="BP759" s="415" t="s">
        <v>337</v>
      </c>
      <c r="BS759" s="415"/>
      <c r="BV759" s="415" t="s">
        <v>337</v>
      </c>
      <c r="BY759" s="415" t="s">
        <v>337</v>
      </c>
      <c r="CB759" s="415" t="s">
        <v>337</v>
      </c>
      <c r="CE759" s="415" t="s">
        <v>337</v>
      </c>
      <c r="CH759" s="415" t="s">
        <v>337</v>
      </c>
      <c r="CK759" s="415" t="s">
        <v>337</v>
      </c>
      <c r="CN759" s="415" t="s">
        <v>337</v>
      </c>
      <c r="CQ759" s="415" t="s">
        <v>337</v>
      </c>
      <c r="CT759" s="415" t="s">
        <v>337</v>
      </c>
    </row>
    <row r="760" spans="1:98">
      <c r="A760" s="1" t="s">
        <v>1523</v>
      </c>
      <c r="B760" s="416" t="s">
        <v>6445</v>
      </c>
      <c r="S760" s="213" t="s">
        <v>6446</v>
      </c>
      <c r="T760" s="416" t="s">
        <v>6447</v>
      </c>
      <c r="U760" s="415" t="s">
        <v>337</v>
      </c>
      <c r="X760" s="415"/>
      <c r="AA760" s="415"/>
      <c r="AD760" s="415"/>
      <c r="AE760" s="417" t="s">
        <v>6448</v>
      </c>
      <c r="AF760" s="416" t="s">
        <v>6449</v>
      </c>
      <c r="AG760" s="415"/>
      <c r="AJ760" s="415" t="s">
        <v>337</v>
      </c>
      <c r="AM760" s="415" t="s">
        <v>337</v>
      </c>
      <c r="AP760" s="415" t="s">
        <v>337</v>
      </c>
      <c r="AS760" s="415" t="s">
        <v>337</v>
      </c>
      <c r="AV760" s="415" t="s">
        <v>337</v>
      </c>
      <c r="AY760" s="415" t="s">
        <v>337</v>
      </c>
      <c r="BB760" s="415" t="s">
        <v>337</v>
      </c>
      <c r="BE760" s="415" t="s">
        <v>337</v>
      </c>
      <c r="BH760" s="415" t="s">
        <v>337</v>
      </c>
      <c r="BM760" s="415" t="s">
        <v>337</v>
      </c>
      <c r="BP760" s="415" t="s">
        <v>337</v>
      </c>
      <c r="BS760" s="415"/>
      <c r="BV760" s="415" t="s">
        <v>337</v>
      </c>
      <c r="BY760" s="415" t="s">
        <v>337</v>
      </c>
      <c r="CB760" s="415" t="s">
        <v>337</v>
      </c>
      <c r="CE760" s="415" t="s">
        <v>337</v>
      </c>
      <c r="CH760" s="415" t="s">
        <v>337</v>
      </c>
      <c r="CK760" s="415" t="s">
        <v>337</v>
      </c>
      <c r="CN760" s="415" t="s">
        <v>337</v>
      </c>
      <c r="CQ760" s="415" t="s">
        <v>337</v>
      </c>
      <c r="CT760" s="415" t="s">
        <v>337</v>
      </c>
    </row>
    <row r="761" spans="1:98">
      <c r="A761" s="1" t="s">
        <v>1535</v>
      </c>
      <c r="B761" s="416" t="s">
        <v>6450</v>
      </c>
      <c r="S761" s="213" t="s">
        <v>6451</v>
      </c>
      <c r="T761" s="416" t="s">
        <v>6452</v>
      </c>
      <c r="U761" s="415" t="s">
        <v>337</v>
      </c>
      <c r="X761" s="415"/>
      <c r="AA761" s="415"/>
      <c r="AD761" s="415"/>
      <c r="AE761" s="417" t="s">
        <v>6453</v>
      </c>
      <c r="AF761" s="416" t="s">
        <v>6454</v>
      </c>
      <c r="AG761" s="415"/>
      <c r="AJ761" s="415" t="s">
        <v>337</v>
      </c>
      <c r="AM761" s="415" t="s">
        <v>337</v>
      </c>
      <c r="AP761" s="415" t="s">
        <v>337</v>
      </c>
      <c r="AS761" s="415" t="s">
        <v>337</v>
      </c>
      <c r="AV761" s="415" t="s">
        <v>337</v>
      </c>
      <c r="AY761" s="415" t="s">
        <v>337</v>
      </c>
      <c r="BB761" s="415" t="s">
        <v>337</v>
      </c>
      <c r="BE761" s="415" t="s">
        <v>337</v>
      </c>
      <c r="BH761" s="415" t="s">
        <v>337</v>
      </c>
      <c r="BM761" s="415" t="s">
        <v>337</v>
      </c>
      <c r="BP761" s="415" t="s">
        <v>337</v>
      </c>
      <c r="BS761" s="415"/>
      <c r="BV761" s="415" t="s">
        <v>337</v>
      </c>
      <c r="BY761" s="415" t="s">
        <v>337</v>
      </c>
      <c r="CB761" s="415" t="s">
        <v>337</v>
      </c>
      <c r="CE761" s="415" t="s">
        <v>337</v>
      </c>
      <c r="CH761" s="415" t="s">
        <v>337</v>
      </c>
      <c r="CK761" s="415" t="s">
        <v>337</v>
      </c>
      <c r="CN761" s="415" t="s">
        <v>337</v>
      </c>
      <c r="CQ761" s="415" t="s">
        <v>337</v>
      </c>
      <c r="CT761" s="415" t="s">
        <v>337</v>
      </c>
    </row>
    <row r="762" spans="1:98">
      <c r="A762" s="1" t="s">
        <v>1535</v>
      </c>
      <c r="B762" s="416" t="s">
        <v>6455</v>
      </c>
      <c r="S762" s="213" t="s">
        <v>6456</v>
      </c>
      <c r="T762" s="416" t="s">
        <v>6457</v>
      </c>
      <c r="U762" s="415" t="s">
        <v>337</v>
      </c>
      <c r="X762" s="415"/>
      <c r="AA762" s="415"/>
      <c r="AD762" s="415"/>
      <c r="AE762" s="417" t="s">
        <v>6458</v>
      </c>
      <c r="AF762" s="416" t="s">
        <v>6459</v>
      </c>
      <c r="AG762" s="415"/>
      <c r="AJ762" s="415" t="s">
        <v>337</v>
      </c>
      <c r="AM762" s="415" t="s">
        <v>337</v>
      </c>
      <c r="AP762" s="415" t="s">
        <v>337</v>
      </c>
      <c r="AS762" s="415" t="s">
        <v>337</v>
      </c>
      <c r="AV762" s="415" t="s">
        <v>337</v>
      </c>
      <c r="AY762" s="415" t="s">
        <v>337</v>
      </c>
      <c r="BB762" s="415" t="s">
        <v>337</v>
      </c>
      <c r="BE762" s="415" t="s">
        <v>337</v>
      </c>
      <c r="BH762" s="415" t="s">
        <v>337</v>
      </c>
      <c r="BM762" s="415" t="s">
        <v>337</v>
      </c>
      <c r="BP762" s="415" t="s">
        <v>337</v>
      </c>
      <c r="BS762" s="415"/>
      <c r="BV762" s="415" t="s">
        <v>337</v>
      </c>
      <c r="BY762" s="415" t="s">
        <v>337</v>
      </c>
      <c r="CB762" s="415" t="s">
        <v>337</v>
      </c>
      <c r="CE762" s="415" t="s">
        <v>337</v>
      </c>
      <c r="CH762" s="415" t="s">
        <v>337</v>
      </c>
      <c r="CK762" s="415" t="s">
        <v>337</v>
      </c>
      <c r="CN762" s="415" t="s">
        <v>337</v>
      </c>
      <c r="CQ762" s="415" t="s">
        <v>337</v>
      </c>
      <c r="CT762" s="415" t="s">
        <v>337</v>
      </c>
    </row>
    <row r="763" spans="1:98">
      <c r="A763" s="1" t="s">
        <v>1535</v>
      </c>
      <c r="B763" s="416" t="s">
        <v>6460</v>
      </c>
      <c r="S763" s="213" t="s">
        <v>6461</v>
      </c>
      <c r="T763" s="416" t="s">
        <v>6462</v>
      </c>
      <c r="U763" s="415" t="s">
        <v>337</v>
      </c>
      <c r="X763" s="415"/>
      <c r="AA763" s="415"/>
      <c r="AD763" s="415"/>
      <c r="AE763" s="417" t="s">
        <v>6463</v>
      </c>
      <c r="AF763" s="416" t="s">
        <v>6464</v>
      </c>
      <c r="AG763" s="415"/>
      <c r="AJ763" s="415" t="s">
        <v>337</v>
      </c>
      <c r="AM763" s="415" t="s">
        <v>337</v>
      </c>
      <c r="AP763" s="415" t="s">
        <v>337</v>
      </c>
      <c r="AS763" s="415" t="s">
        <v>337</v>
      </c>
      <c r="AV763" s="415" t="s">
        <v>337</v>
      </c>
      <c r="AY763" s="415" t="s">
        <v>337</v>
      </c>
      <c r="BB763" s="415" t="s">
        <v>337</v>
      </c>
      <c r="BE763" s="415" t="s">
        <v>337</v>
      </c>
      <c r="BH763" s="415" t="s">
        <v>337</v>
      </c>
      <c r="BM763" s="415" t="s">
        <v>337</v>
      </c>
      <c r="BP763" s="415" t="s">
        <v>337</v>
      </c>
      <c r="BS763" s="415"/>
      <c r="BV763" s="415" t="s">
        <v>337</v>
      </c>
      <c r="BY763" s="415" t="s">
        <v>337</v>
      </c>
      <c r="CB763" s="415" t="s">
        <v>337</v>
      </c>
      <c r="CE763" s="415" t="s">
        <v>337</v>
      </c>
      <c r="CH763" s="415" t="s">
        <v>337</v>
      </c>
      <c r="CK763" s="415" t="s">
        <v>337</v>
      </c>
      <c r="CN763" s="415" t="s">
        <v>337</v>
      </c>
      <c r="CQ763" s="415" t="s">
        <v>337</v>
      </c>
      <c r="CT763" s="415" t="s">
        <v>337</v>
      </c>
    </row>
    <row r="764" spans="1:98">
      <c r="A764" s="1" t="s">
        <v>1547</v>
      </c>
      <c r="B764" s="416" t="s">
        <v>6465</v>
      </c>
      <c r="S764" s="213" t="s">
        <v>6466</v>
      </c>
      <c r="T764" s="416" t="s">
        <v>6467</v>
      </c>
      <c r="U764" s="415" t="s">
        <v>337</v>
      </c>
      <c r="X764" s="415"/>
      <c r="AA764" s="415"/>
      <c r="AD764" s="415"/>
      <c r="AE764" s="417" t="s">
        <v>6468</v>
      </c>
      <c r="AF764" s="416" t="s">
        <v>6469</v>
      </c>
      <c r="AG764" s="415"/>
      <c r="AJ764" s="415" t="s">
        <v>337</v>
      </c>
      <c r="AM764" s="415" t="s">
        <v>337</v>
      </c>
      <c r="AP764" s="415" t="s">
        <v>337</v>
      </c>
      <c r="AS764" s="415" t="s">
        <v>337</v>
      </c>
      <c r="AV764" s="415" t="s">
        <v>337</v>
      </c>
      <c r="AY764" s="415" t="s">
        <v>337</v>
      </c>
      <c r="BB764" s="415" t="s">
        <v>337</v>
      </c>
      <c r="BE764" s="415" t="s">
        <v>337</v>
      </c>
      <c r="BH764" s="415" t="s">
        <v>337</v>
      </c>
      <c r="BM764" s="415" t="s">
        <v>337</v>
      </c>
      <c r="BP764" s="415" t="s">
        <v>337</v>
      </c>
      <c r="BS764" s="415"/>
      <c r="BV764" s="415" t="s">
        <v>337</v>
      </c>
      <c r="BY764" s="415" t="s">
        <v>337</v>
      </c>
      <c r="CB764" s="415" t="s">
        <v>337</v>
      </c>
      <c r="CE764" s="415" t="s">
        <v>337</v>
      </c>
      <c r="CH764" s="415" t="s">
        <v>337</v>
      </c>
      <c r="CK764" s="415" t="s">
        <v>337</v>
      </c>
      <c r="CN764" s="415" t="s">
        <v>337</v>
      </c>
      <c r="CQ764" s="415" t="s">
        <v>337</v>
      </c>
      <c r="CT764" s="415" t="s">
        <v>337</v>
      </c>
    </row>
    <row r="765" spans="1:98">
      <c r="A765" s="1" t="s">
        <v>1547</v>
      </c>
      <c r="B765" s="416" t="s">
        <v>6470</v>
      </c>
      <c r="S765" s="213" t="s">
        <v>6471</v>
      </c>
      <c r="T765" s="416" t="s">
        <v>6472</v>
      </c>
      <c r="U765" s="415" t="s">
        <v>337</v>
      </c>
      <c r="X765" s="415"/>
      <c r="AA765" s="415"/>
      <c r="AD765" s="415"/>
      <c r="AE765" s="417" t="s">
        <v>6473</v>
      </c>
      <c r="AF765" s="416" t="s">
        <v>6474</v>
      </c>
      <c r="AG765" s="415"/>
      <c r="AJ765" s="415" t="s">
        <v>337</v>
      </c>
      <c r="AM765" s="415" t="s">
        <v>337</v>
      </c>
      <c r="AP765" s="415" t="s">
        <v>337</v>
      </c>
      <c r="AS765" s="415" t="s">
        <v>337</v>
      </c>
      <c r="AV765" s="415" t="s">
        <v>337</v>
      </c>
      <c r="AY765" s="415" t="s">
        <v>337</v>
      </c>
      <c r="BB765" s="415" t="s">
        <v>337</v>
      </c>
      <c r="BE765" s="415" t="s">
        <v>337</v>
      </c>
      <c r="BH765" s="415" t="s">
        <v>337</v>
      </c>
      <c r="BM765" s="415" t="s">
        <v>337</v>
      </c>
      <c r="BP765" s="415" t="s">
        <v>337</v>
      </c>
      <c r="BS765" s="415"/>
      <c r="BV765" s="415" t="s">
        <v>337</v>
      </c>
      <c r="BY765" s="415" t="s">
        <v>337</v>
      </c>
      <c r="CB765" s="415" t="s">
        <v>337</v>
      </c>
      <c r="CE765" s="415" t="s">
        <v>337</v>
      </c>
      <c r="CH765" s="415" t="s">
        <v>337</v>
      </c>
      <c r="CK765" s="415" t="s">
        <v>337</v>
      </c>
      <c r="CN765" s="415" t="s">
        <v>337</v>
      </c>
      <c r="CQ765" s="415" t="s">
        <v>337</v>
      </c>
      <c r="CT765" s="415" t="s">
        <v>337</v>
      </c>
    </row>
    <row r="766" spans="1:98">
      <c r="A766" s="1" t="s">
        <v>1547</v>
      </c>
      <c r="B766" s="416" t="s">
        <v>5061</v>
      </c>
      <c r="S766" s="213" t="s">
        <v>6475</v>
      </c>
      <c r="T766" s="416" t="s">
        <v>6476</v>
      </c>
      <c r="U766" s="415" t="s">
        <v>337</v>
      </c>
      <c r="X766" s="415"/>
      <c r="AA766" s="415"/>
      <c r="AD766" s="415"/>
      <c r="AE766" s="417" t="s">
        <v>6477</v>
      </c>
      <c r="AF766" s="416" t="s">
        <v>6478</v>
      </c>
      <c r="AG766" s="415"/>
      <c r="AJ766" s="415" t="s">
        <v>337</v>
      </c>
      <c r="AM766" s="415" t="s">
        <v>337</v>
      </c>
      <c r="AP766" s="415" t="s">
        <v>337</v>
      </c>
      <c r="AS766" s="415" t="s">
        <v>337</v>
      </c>
      <c r="AV766" s="415" t="s">
        <v>337</v>
      </c>
      <c r="AY766" s="415" t="s">
        <v>337</v>
      </c>
      <c r="BB766" s="415" t="s">
        <v>337</v>
      </c>
      <c r="BE766" s="415" t="s">
        <v>337</v>
      </c>
      <c r="BH766" s="415" t="s">
        <v>337</v>
      </c>
      <c r="BM766" s="415" t="s">
        <v>337</v>
      </c>
      <c r="BP766" s="415" t="s">
        <v>337</v>
      </c>
      <c r="BS766" s="415"/>
      <c r="BV766" s="415" t="s">
        <v>337</v>
      </c>
      <c r="BY766" s="415" t="s">
        <v>337</v>
      </c>
      <c r="CB766" s="415" t="s">
        <v>337</v>
      </c>
      <c r="CE766" s="415" t="s">
        <v>337</v>
      </c>
      <c r="CH766" s="415" t="s">
        <v>337</v>
      </c>
      <c r="CK766" s="415" t="s">
        <v>337</v>
      </c>
      <c r="CN766" s="415" t="s">
        <v>337</v>
      </c>
      <c r="CQ766" s="415" t="s">
        <v>337</v>
      </c>
      <c r="CT766" s="415" t="s">
        <v>337</v>
      </c>
    </row>
    <row r="767" spans="1:98">
      <c r="A767" s="1" t="s">
        <v>1558</v>
      </c>
      <c r="B767" s="416" t="s">
        <v>6479</v>
      </c>
      <c r="S767" s="213" t="s">
        <v>6480</v>
      </c>
      <c r="T767" s="416" t="s">
        <v>6481</v>
      </c>
      <c r="U767" s="415" t="s">
        <v>337</v>
      </c>
      <c r="X767" s="415"/>
      <c r="AA767" s="415"/>
      <c r="AD767" s="415"/>
      <c r="AE767" s="417" t="s">
        <v>6482</v>
      </c>
      <c r="AF767" s="416" t="s">
        <v>6483</v>
      </c>
      <c r="AG767" s="415"/>
      <c r="AJ767" s="415" t="s">
        <v>337</v>
      </c>
      <c r="AM767" s="415" t="s">
        <v>337</v>
      </c>
      <c r="AP767" s="415" t="s">
        <v>337</v>
      </c>
      <c r="AS767" s="415" t="s">
        <v>337</v>
      </c>
      <c r="AV767" s="415" t="s">
        <v>337</v>
      </c>
      <c r="AY767" s="415" t="s">
        <v>337</v>
      </c>
      <c r="BB767" s="415" t="s">
        <v>337</v>
      </c>
      <c r="BE767" s="415" t="s">
        <v>337</v>
      </c>
      <c r="BH767" s="415" t="s">
        <v>337</v>
      </c>
      <c r="BM767" s="415" t="s">
        <v>337</v>
      </c>
      <c r="BP767" s="415" t="s">
        <v>337</v>
      </c>
      <c r="BS767" s="415"/>
      <c r="BV767" s="415" t="s">
        <v>337</v>
      </c>
      <c r="BY767" s="415" t="s">
        <v>337</v>
      </c>
      <c r="CB767" s="415" t="s">
        <v>337</v>
      </c>
      <c r="CE767" s="415" t="s">
        <v>337</v>
      </c>
      <c r="CH767" s="415" t="s">
        <v>337</v>
      </c>
      <c r="CK767" s="415" t="s">
        <v>337</v>
      </c>
      <c r="CN767" s="415" t="s">
        <v>337</v>
      </c>
      <c r="CQ767" s="415" t="s">
        <v>337</v>
      </c>
      <c r="CT767" s="415" t="s">
        <v>337</v>
      </c>
    </row>
    <row r="768" spans="1:98">
      <c r="A768" s="1" t="s">
        <v>1558</v>
      </c>
      <c r="B768" s="416" t="s">
        <v>6484</v>
      </c>
      <c r="S768" s="213" t="s">
        <v>6485</v>
      </c>
      <c r="T768" s="416" t="s">
        <v>6486</v>
      </c>
      <c r="U768" s="415" t="s">
        <v>337</v>
      </c>
      <c r="X768" s="415"/>
      <c r="AA768" s="415"/>
      <c r="AD768" s="415"/>
      <c r="AE768" s="417" t="s">
        <v>6487</v>
      </c>
      <c r="AF768" s="416" t="s">
        <v>6488</v>
      </c>
      <c r="AG768" s="415"/>
      <c r="AJ768" s="415" t="s">
        <v>337</v>
      </c>
      <c r="AM768" s="415" t="s">
        <v>337</v>
      </c>
      <c r="AP768" s="415" t="s">
        <v>337</v>
      </c>
      <c r="AS768" s="415" t="s">
        <v>337</v>
      </c>
      <c r="AV768" s="415" t="s">
        <v>337</v>
      </c>
      <c r="AY768" s="415" t="s">
        <v>337</v>
      </c>
      <c r="BB768" s="415" t="s">
        <v>337</v>
      </c>
      <c r="BE768" s="415" t="s">
        <v>337</v>
      </c>
      <c r="BH768" s="415" t="s">
        <v>337</v>
      </c>
      <c r="BM768" s="415" t="s">
        <v>337</v>
      </c>
      <c r="BP768" s="415" t="s">
        <v>337</v>
      </c>
      <c r="BS768" s="415"/>
      <c r="BV768" s="415" t="s">
        <v>337</v>
      </c>
      <c r="BY768" s="415" t="s">
        <v>337</v>
      </c>
      <c r="CB768" s="415" t="s">
        <v>337</v>
      </c>
      <c r="CE768" s="415" t="s">
        <v>337</v>
      </c>
      <c r="CH768" s="415" t="s">
        <v>337</v>
      </c>
      <c r="CK768" s="415" t="s">
        <v>337</v>
      </c>
      <c r="CN768" s="415" t="s">
        <v>337</v>
      </c>
      <c r="CQ768" s="415" t="s">
        <v>337</v>
      </c>
      <c r="CT768" s="415" t="s">
        <v>337</v>
      </c>
    </row>
    <row r="769" spans="1:98">
      <c r="A769" s="1" t="s">
        <v>1558</v>
      </c>
      <c r="B769" s="416" t="s">
        <v>6489</v>
      </c>
      <c r="S769" s="213" t="s">
        <v>6490</v>
      </c>
      <c r="T769" s="416" t="s">
        <v>6491</v>
      </c>
      <c r="U769" s="415" t="s">
        <v>337</v>
      </c>
      <c r="X769" s="415"/>
      <c r="AA769" s="415"/>
      <c r="AD769" s="415"/>
      <c r="AE769" s="417" t="s">
        <v>6492</v>
      </c>
      <c r="AF769" s="416" t="s">
        <v>6493</v>
      </c>
      <c r="AG769" s="415"/>
      <c r="AJ769" s="415" t="s">
        <v>337</v>
      </c>
      <c r="AM769" s="415" t="s">
        <v>337</v>
      </c>
      <c r="AP769" s="415" t="s">
        <v>337</v>
      </c>
      <c r="AS769" s="415" t="s">
        <v>337</v>
      </c>
      <c r="AV769" s="415" t="s">
        <v>337</v>
      </c>
      <c r="AY769" s="415" t="s">
        <v>337</v>
      </c>
      <c r="BB769" s="415" t="s">
        <v>337</v>
      </c>
      <c r="BE769" s="415" t="s">
        <v>337</v>
      </c>
      <c r="BH769" s="415" t="s">
        <v>337</v>
      </c>
      <c r="BM769" s="415" t="s">
        <v>337</v>
      </c>
      <c r="BP769" s="415" t="s">
        <v>337</v>
      </c>
      <c r="BS769" s="415"/>
      <c r="BV769" s="415" t="s">
        <v>337</v>
      </c>
      <c r="BY769" s="415" t="s">
        <v>337</v>
      </c>
      <c r="CB769" s="415" t="s">
        <v>337</v>
      </c>
      <c r="CE769" s="415" t="s">
        <v>337</v>
      </c>
      <c r="CH769" s="415" t="s">
        <v>337</v>
      </c>
      <c r="CK769" s="415" t="s">
        <v>337</v>
      </c>
      <c r="CN769" s="415" t="s">
        <v>337</v>
      </c>
      <c r="CQ769" s="415" t="s">
        <v>337</v>
      </c>
      <c r="CT769" s="415" t="s">
        <v>337</v>
      </c>
    </row>
    <row r="770" spans="1:98">
      <c r="A770" s="1" t="s">
        <v>1558</v>
      </c>
      <c r="B770" s="416" t="s">
        <v>6494</v>
      </c>
      <c r="S770" s="213" t="s">
        <v>6495</v>
      </c>
      <c r="T770" s="416" t="s">
        <v>6496</v>
      </c>
      <c r="U770" s="415" t="s">
        <v>337</v>
      </c>
      <c r="X770" s="415"/>
      <c r="AA770" s="415"/>
      <c r="AD770" s="415"/>
      <c r="AE770" s="417" t="s">
        <v>6497</v>
      </c>
      <c r="AF770" s="416" t="s">
        <v>6498</v>
      </c>
      <c r="AG770" s="415"/>
      <c r="AJ770" s="415" t="s">
        <v>337</v>
      </c>
      <c r="AM770" s="415" t="s">
        <v>337</v>
      </c>
      <c r="AP770" s="415" t="s">
        <v>337</v>
      </c>
      <c r="AS770" s="415" t="s">
        <v>337</v>
      </c>
      <c r="AV770" s="415" t="s">
        <v>337</v>
      </c>
      <c r="AY770" s="415" t="s">
        <v>337</v>
      </c>
      <c r="BB770" s="415" t="s">
        <v>337</v>
      </c>
      <c r="BE770" s="415" t="s">
        <v>337</v>
      </c>
      <c r="BH770" s="415" t="s">
        <v>337</v>
      </c>
      <c r="BM770" s="415" t="s">
        <v>337</v>
      </c>
      <c r="BP770" s="415" t="s">
        <v>337</v>
      </c>
      <c r="BS770" s="415"/>
      <c r="BV770" s="415" t="s">
        <v>337</v>
      </c>
      <c r="BY770" s="415" t="s">
        <v>337</v>
      </c>
      <c r="CB770" s="415" t="s">
        <v>337</v>
      </c>
      <c r="CE770" s="415" t="s">
        <v>337</v>
      </c>
      <c r="CH770" s="415" t="s">
        <v>337</v>
      </c>
      <c r="CK770" s="415" t="s">
        <v>337</v>
      </c>
      <c r="CN770" s="415" t="s">
        <v>337</v>
      </c>
      <c r="CQ770" s="415" t="s">
        <v>337</v>
      </c>
      <c r="CT770" s="415" t="s">
        <v>337</v>
      </c>
    </row>
    <row r="771" spans="1:98">
      <c r="A771" s="1" t="s">
        <v>1558</v>
      </c>
      <c r="B771" s="416" t="s">
        <v>1848</v>
      </c>
      <c r="S771" s="213" t="s">
        <v>6499</v>
      </c>
      <c r="T771" s="416" t="s">
        <v>6500</v>
      </c>
      <c r="U771" s="415" t="s">
        <v>337</v>
      </c>
      <c r="X771" s="415"/>
      <c r="AA771" s="415"/>
      <c r="AD771" s="415"/>
      <c r="AE771" s="417" t="s">
        <v>6501</v>
      </c>
      <c r="AF771" s="416" t="s">
        <v>6502</v>
      </c>
      <c r="AG771" s="415"/>
      <c r="AJ771" s="415" t="s">
        <v>337</v>
      </c>
      <c r="AM771" s="415" t="s">
        <v>337</v>
      </c>
      <c r="AP771" s="415" t="s">
        <v>337</v>
      </c>
      <c r="AS771" s="415" t="s">
        <v>337</v>
      </c>
      <c r="AV771" s="415" t="s">
        <v>337</v>
      </c>
      <c r="AY771" s="415" t="s">
        <v>337</v>
      </c>
      <c r="BB771" s="415" t="s">
        <v>337</v>
      </c>
      <c r="BE771" s="415" t="s">
        <v>337</v>
      </c>
      <c r="BH771" s="415" t="s">
        <v>337</v>
      </c>
      <c r="BM771" s="415" t="s">
        <v>337</v>
      </c>
      <c r="BP771" s="415" t="s">
        <v>337</v>
      </c>
      <c r="BS771" s="415"/>
      <c r="BV771" s="415" t="s">
        <v>337</v>
      </c>
      <c r="BY771" s="415" t="s">
        <v>337</v>
      </c>
      <c r="CB771" s="415" t="s">
        <v>337</v>
      </c>
      <c r="CE771" s="415" t="s">
        <v>337</v>
      </c>
      <c r="CH771" s="415" t="s">
        <v>337</v>
      </c>
      <c r="CK771" s="415" t="s">
        <v>337</v>
      </c>
      <c r="CN771" s="415" t="s">
        <v>337</v>
      </c>
      <c r="CQ771" s="415" t="s">
        <v>337</v>
      </c>
      <c r="CT771" s="415" t="s">
        <v>337</v>
      </c>
    </row>
    <row r="772" spans="1:98">
      <c r="A772" s="1" t="s">
        <v>1558</v>
      </c>
      <c r="B772" s="416" t="s">
        <v>6503</v>
      </c>
      <c r="S772" s="213" t="s">
        <v>6504</v>
      </c>
      <c r="T772" s="416" t="s">
        <v>6505</v>
      </c>
      <c r="U772" s="415" t="s">
        <v>337</v>
      </c>
      <c r="X772" s="415"/>
      <c r="AA772" s="415"/>
      <c r="AD772" s="415"/>
      <c r="AE772" s="417" t="s">
        <v>6506</v>
      </c>
      <c r="AF772" s="416" t="s">
        <v>6507</v>
      </c>
      <c r="AG772" s="415"/>
      <c r="AJ772" s="415" t="s">
        <v>337</v>
      </c>
      <c r="AM772" s="415" t="s">
        <v>337</v>
      </c>
      <c r="AP772" s="415" t="s">
        <v>337</v>
      </c>
      <c r="AS772" s="415" t="s">
        <v>337</v>
      </c>
      <c r="AV772" s="415" t="s">
        <v>337</v>
      </c>
      <c r="AY772" s="415" t="s">
        <v>337</v>
      </c>
      <c r="BB772" s="415" t="s">
        <v>337</v>
      </c>
      <c r="BE772" s="415" t="s">
        <v>337</v>
      </c>
      <c r="BH772" s="415" t="s">
        <v>337</v>
      </c>
      <c r="BM772" s="415" t="s">
        <v>337</v>
      </c>
      <c r="BP772" s="415" t="s">
        <v>337</v>
      </c>
      <c r="BS772" s="415"/>
      <c r="BV772" s="415" t="s">
        <v>337</v>
      </c>
      <c r="BY772" s="415" t="s">
        <v>337</v>
      </c>
      <c r="CB772" s="415" t="s">
        <v>337</v>
      </c>
      <c r="CE772" s="415" t="s">
        <v>337</v>
      </c>
      <c r="CH772" s="415" t="s">
        <v>337</v>
      </c>
      <c r="CK772" s="415" t="s">
        <v>337</v>
      </c>
      <c r="CN772" s="415" t="s">
        <v>337</v>
      </c>
      <c r="CQ772" s="415" t="s">
        <v>337</v>
      </c>
      <c r="CT772" s="415" t="s">
        <v>337</v>
      </c>
    </row>
    <row r="773" spans="1:98">
      <c r="A773" s="1" t="s">
        <v>1558</v>
      </c>
      <c r="B773" s="416" t="s">
        <v>6508</v>
      </c>
      <c r="S773" s="213" t="s">
        <v>6509</v>
      </c>
      <c r="T773" s="416" t="s">
        <v>6510</v>
      </c>
      <c r="U773" s="415" t="s">
        <v>337</v>
      </c>
      <c r="X773" s="415"/>
      <c r="AA773" s="415"/>
      <c r="AD773" s="415"/>
      <c r="AE773" s="417" t="s">
        <v>6511</v>
      </c>
      <c r="AF773" s="416" t="s">
        <v>6512</v>
      </c>
      <c r="AG773" s="415"/>
      <c r="AJ773" s="415" t="s">
        <v>337</v>
      </c>
      <c r="AM773" s="415" t="s">
        <v>337</v>
      </c>
      <c r="AP773" s="415" t="s">
        <v>337</v>
      </c>
      <c r="AS773" s="415" t="s">
        <v>337</v>
      </c>
      <c r="AV773" s="415" t="s">
        <v>337</v>
      </c>
      <c r="AY773" s="415" t="s">
        <v>337</v>
      </c>
      <c r="BB773" s="415" t="s">
        <v>337</v>
      </c>
      <c r="BE773" s="415" t="s">
        <v>337</v>
      </c>
      <c r="BH773" s="415" t="s">
        <v>337</v>
      </c>
      <c r="BM773" s="415" t="s">
        <v>337</v>
      </c>
      <c r="BP773" s="415" t="s">
        <v>337</v>
      </c>
      <c r="BS773" s="415"/>
      <c r="BV773" s="415" t="s">
        <v>337</v>
      </c>
      <c r="BY773" s="415" t="s">
        <v>337</v>
      </c>
      <c r="CB773" s="415" t="s">
        <v>337</v>
      </c>
      <c r="CE773" s="415" t="s">
        <v>337</v>
      </c>
      <c r="CH773" s="415" t="s">
        <v>337</v>
      </c>
      <c r="CK773" s="415" t="s">
        <v>337</v>
      </c>
      <c r="CN773" s="415" t="s">
        <v>337</v>
      </c>
      <c r="CQ773" s="415" t="s">
        <v>337</v>
      </c>
      <c r="CT773" s="415" t="s">
        <v>337</v>
      </c>
    </row>
    <row r="774" spans="1:98">
      <c r="A774" s="1" t="s">
        <v>1558</v>
      </c>
      <c r="B774" s="416" t="s">
        <v>6513</v>
      </c>
      <c r="S774" s="213" t="s">
        <v>6514</v>
      </c>
      <c r="T774" s="416" t="s">
        <v>6515</v>
      </c>
      <c r="U774" s="415" t="s">
        <v>337</v>
      </c>
      <c r="X774" s="415"/>
      <c r="AA774" s="415"/>
      <c r="AD774" s="415"/>
      <c r="AE774" s="417" t="s">
        <v>6516</v>
      </c>
      <c r="AF774" s="416" t="s">
        <v>6517</v>
      </c>
      <c r="AG774" s="415"/>
      <c r="AJ774" s="415" t="s">
        <v>337</v>
      </c>
      <c r="AM774" s="415" t="s">
        <v>337</v>
      </c>
      <c r="AP774" s="415" t="s">
        <v>337</v>
      </c>
      <c r="AS774" s="415" t="s">
        <v>337</v>
      </c>
      <c r="AV774" s="415" t="s">
        <v>337</v>
      </c>
      <c r="AY774" s="415" t="s">
        <v>337</v>
      </c>
      <c r="BB774" s="415" t="s">
        <v>337</v>
      </c>
      <c r="BE774" s="415" t="s">
        <v>337</v>
      </c>
      <c r="BH774" s="415" t="s">
        <v>337</v>
      </c>
      <c r="BM774" s="415" t="s">
        <v>337</v>
      </c>
      <c r="BP774" s="415" t="s">
        <v>337</v>
      </c>
      <c r="BS774" s="415"/>
      <c r="BV774" s="415" t="s">
        <v>337</v>
      </c>
      <c r="BY774" s="415" t="s">
        <v>337</v>
      </c>
      <c r="CB774" s="415" t="s">
        <v>337</v>
      </c>
      <c r="CE774" s="415" t="s">
        <v>337</v>
      </c>
      <c r="CH774" s="415" t="s">
        <v>337</v>
      </c>
      <c r="CK774" s="415" t="s">
        <v>337</v>
      </c>
      <c r="CN774" s="415" t="s">
        <v>337</v>
      </c>
      <c r="CQ774" s="415" t="s">
        <v>337</v>
      </c>
      <c r="CT774" s="415" t="s">
        <v>337</v>
      </c>
    </row>
    <row r="775" spans="1:98">
      <c r="A775" s="1" t="s">
        <v>1558</v>
      </c>
      <c r="B775" s="416" t="s">
        <v>6518</v>
      </c>
      <c r="S775" s="213" t="s">
        <v>6519</v>
      </c>
      <c r="T775" s="416" t="s">
        <v>6520</v>
      </c>
      <c r="U775" s="415" t="s">
        <v>337</v>
      </c>
      <c r="X775" s="415"/>
      <c r="AA775" s="415"/>
      <c r="AD775" s="415"/>
      <c r="AE775" s="417" t="s">
        <v>6521</v>
      </c>
      <c r="AF775" s="416" t="s">
        <v>6522</v>
      </c>
      <c r="AG775" s="415"/>
      <c r="AJ775" s="415" t="s">
        <v>337</v>
      </c>
      <c r="AM775" s="415" t="s">
        <v>337</v>
      </c>
      <c r="AP775" s="415" t="s">
        <v>337</v>
      </c>
      <c r="AS775" s="415" t="s">
        <v>337</v>
      </c>
      <c r="AV775" s="415" t="s">
        <v>337</v>
      </c>
      <c r="AY775" s="415" t="s">
        <v>337</v>
      </c>
      <c r="BB775" s="415" t="s">
        <v>337</v>
      </c>
      <c r="BE775" s="415" t="s">
        <v>337</v>
      </c>
      <c r="BH775" s="415" t="s">
        <v>337</v>
      </c>
      <c r="BM775" s="415" t="s">
        <v>337</v>
      </c>
      <c r="BP775" s="415" t="s">
        <v>337</v>
      </c>
      <c r="BS775" s="415"/>
      <c r="BV775" s="415" t="s">
        <v>337</v>
      </c>
      <c r="BY775" s="415" t="s">
        <v>337</v>
      </c>
      <c r="CB775" s="415" t="s">
        <v>337</v>
      </c>
      <c r="CE775" s="415" t="s">
        <v>337</v>
      </c>
      <c r="CH775" s="415" t="s">
        <v>337</v>
      </c>
      <c r="CK775" s="415" t="s">
        <v>337</v>
      </c>
      <c r="CN775" s="415" t="s">
        <v>337</v>
      </c>
      <c r="CQ775" s="415" t="s">
        <v>337</v>
      </c>
      <c r="CT775" s="415" t="s">
        <v>337</v>
      </c>
    </row>
    <row r="776" spans="1:98">
      <c r="A776" s="1" t="s">
        <v>1569</v>
      </c>
      <c r="B776" s="416" t="s">
        <v>6523</v>
      </c>
      <c r="S776" s="213" t="s">
        <v>6524</v>
      </c>
      <c r="T776" s="416" t="s">
        <v>6525</v>
      </c>
      <c r="U776" s="415" t="s">
        <v>337</v>
      </c>
      <c r="X776" s="415"/>
      <c r="AA776" s="415"/>
      <c r="AD776" s="415"/>
      <c r="AE776" s="417" t="s">
        <v>6526</v>
      </c>
      <c r="AF776" s="416" t="s">
        <v>6527</v>
      </c>
      <c r="AG776" s="415"/>
      <c r="AJ776" s="415" t="s">
        <v>337</v>
      </c>
      <c r="AM776" s="415" t="s">
        <v>337</v>
      </c>
      <c r="AP776" s="415" t="s">
        <v>337</v>
      </c>
      <c r="AS776" s="415" t="s">
        <v>337</v>
      </c>
      <c r="AV776" s="415" t="s">
        <v>337</v>
      </c>
      <c r="AY776" s="415" t="s">
        <v>337</v>
      </c>
      <c r="BB776" s="415" t="s">
        <v>337</v>
      </c>
      <c r="BE776" s="415" t="s">
        <v>337</v>
      </c>
      <c r="BH776" s="415" t="s">
        <v>337</v>
      </c>
      <c r="BM776" s="415" t="s">
        <v>337</v>
      </c>
      <c r="BP776" s="415" t="s">
        <v>337</v>
      </c>
      <c r="BS776" s="415"/>
      <c r="BV776" s="415" t="s">
        <v>337</v>
      </c>
      <c r="BY776" s="415" t="s">
        <v>337</v>
      </c>
      <c r="CB776" s="415" t="s">
        <v>337</v>
      </c>
      <c r="CE776" s="415" t="s">
        <v>337</v>
      </c>
      <c r="CH776" s="415" t="s">
        <v>337</v>
      </c>
      <c r="CK776" s="415" t="s">
        <v>337</v>
      </c>
      <c r="CN776" s="415" t="s">
        <v>337</v>
      </c>
      <c r="CQ776" s="415" t="s">
        <v>337</v>
      </c>
      <c r="CT776" s="415" t="s">
        <v>337</v>
      </c>
    </row>
    <row r="777" spans="1:98">
      <c r="A777" s="1" t="s">
        <v>1569</v>
      </c>
      <c r="B777" s="416" t="s">
        <v>2313</v>
      </c>
      <c r="S777" s="213" t="s">
        <v>6528</v>
      </c>
      <c r="T777" s="416" t="s">
        <v>6529</v>
      </c>
      <c r="U777" s="415" t="s">
        <v>337</v>
      </c>
      <c r="X777" s="415"/>
      <c r="AA777" s="415"/>
      <c r="AD777" s="415"/>
      <c r="AE777" s="417" t="s">
        <v>6530</v>
      </c>
      <c r="AF777" s="416" t="s">
        <v>6531</v>
      </c>
      <c r="AG777" s="415"/>
      <c r="AJ777" s="415" t="s">
        <v>337</v>
      </c>
      <c r="AM777" s="415" t="s">
        <v>337</v>
      </c>
      <c r="AP777" s="415" t="s">
        <v>337</v>
      </c>
      <c r="AS777" s="415" t="s">
        <v>337</v>
      </c>
      <c r="AV777" s="415" t="s">
        <v>337</v>
      </c>
      <c r="AY777" s="415" t="s">
        <v>337</v>
      </c>
      <c r="BB777" s="415" t="s">
        <v>337</v>
      </c>
      <c r="BE777" s="415" t="s">
        <v>337</v>
      </c>
      <c r="BH777" s="415" t="s">
        <v>337</v>
      </c>
      <c r="BM777" s="415" t="s">
        <v>337</v>
      </c>
      <c r="BP777" s="415" t="s">
        <v>337</v>
      </c>
      <c r="BS777" s="415"/>
      <c r="BV777" s="415" t="s">
        <v>337</v>
      </c>
      <c r="BY777" s="415" t="s">
        <v>337</v>
      </c>
      <c r="CB777" s="415" t="s">
        <v>337</v>
      </c>
      <c r="CE777" s="415" t="s">
        <v>337</v>
      </c>
      <c r="CH777" s="415" t="s">
        <v>337</v>
      </c>
      <c r="CK777" s="415" t="s">
        <v>337</v>
      </c>
      <c r="CN777" s="415" t="s">
        <v>337</v>
      </c>
      <c r="CQ777" s="415" t="s">
        <v>337</v>
      </c>
      <c r="CT777" s="415" t="s">
        <v>337</v>
      </c>
    </row>
    <row r="778" spans="1:98">
      <c r="A778" s="1" t="s">
        <v>1569</v>
      </c>
      <c r="B778" s="416" t="s">
        <v>6532</v>
      </c>
      <c r="S778" s="213" t="s">
        <v>6533</v>
      </c>
      <c r="T778" s="416" t="s">
        <v>6534</v>
      </c>
      <c r="U778" s="415" t="s">
        <v>337</v>
      </c>
      <c r="X778" s="415"/>
      <c r="AA778" s="415"/>
      <c r="AD778" s="415"/>
      <c r="AE778" s="417" t="s">
        <v>6535</v>
      </c>
      <c r="AF778" s="416" t="s">
        <v>6536</v>
      </c>
      <c r="AG778" s="415"/>
      <c r="AJ778" s="415" t="s">
        <v>337</v>
      </c>
      <c r="AM778" s="415" t="s">
        <v>337</v>
      </c>
      <c r="AP778" s="415" t="s">
        <v>337</v>
      </c>
      <c r="AS778" s="415" t="s">
        <v>337</v>
      </c>
      <c r="AV778" s="415" t="s">
        <v>337</v>
      </c>
      <c r="AY778" s="415" t="s">
        <v>337</v>
      </c>
      <c r="BB778" s="415" t="s">
        <v>337</v>
      </c>
      <c r="BE778" s="415" t="s">
        <v>337</v>
      </c>
      <c r="BH778" s="415" t="s">
        <v>337</v>
      </c>
      <c r="BM778" s="415" t="s">
        <v>337</v>
      </c>
      <c r="BP778" s="415" t="s">
        <v>337</v>
      </c>
      <c r="BS778" s="415"/>
      <c r="BV778" s="415" t="s">
        <v>337</v>
      </c>
      <c r="BY778" s="415" t="s">
        <v>337</v>
      </c>
      <c r="CB778" s="415" t="s">
        <v>337</v>
      </c>
      <c r="CE778" s="415" t="s">
        <v>337</v>
      </c>
      <c r="CH778" s="415" t="s">
        <v>337</v>
      </c>
      <c r="CK778" s="415" t="s">
        <v>337</v>
      </c>
      <c r="CN778" s="415" t="s">
        <v>337</v>
      </c>
      <c r="CQ778" s="415" t="s">
        <v>337</v>
      </c>
      <c r="CT778" s="415" t="s">
        <v>337</v>
      </c>
    </row>
    <row r="779" spans="1:98">
      <c r="A779" s="1" t="s">
        <v>1569</v>
      </c>
      <c r="B779" s="416" t="s">
        <v>6537</v>
      </c>
      <c r="S779" s="213" t="s">
        <v>6538</v>
      </c>
      <c r="T779" s="416" t="s">
        <v>6539</v>
      </c>
      <c r="U779" s="415" t="s">
        <v>337</v>
      </c>
      <c r="X779" s="415"/>
      <c r="AA779" s="415"/>
      <c r="AD779" s="415"/>
      <c r="AE779" s="417" t="s">
        <v>6540</v>
      </c>
      <c r="AF779" s="416" t="s">
        <v>6541</v>
      </c>
      <c r="AG779" s="415"/>
      <c r="AJ779" s="415" t="s">
        <v>337</v>
      </c>
      <c r="AM779" s="415" t="s">
        <v>337</v>
      </c>
      <c r="AP779" s="415" t="s">
        <v>337</v>
      </c>
      <c r="AS779" s="415" t="s">
        <v>337</v>
      </c>
      <c r="AV779" s="415" t="s">
        <v>337</v>
      </c>
      <c r="AY779" s="415" t="s">
        <v>337</v>
      </c>
      <c r="BB779" s="415" t="s">
        <v>337</v>
      </c>
      <c r="BE779" s="415" t="s">
        <v>337</v>
      </c>
      <c r="BH779" s="415" t="s">
        <v>337</v>
      </c>
      <c r="BM779" s="415" t="s">
        <v>337</v>
      </c>
      <c r="BP779" s="415" t="s">
        <v>337</v>
      </c>
      <c r="BS779" s="415"/>
      <c r="BV779" s="415" t="s">
        <v>337</v>
      </c>
      <c r="BY779" s="415" t="s">
        <v>337</v>
      </c>
      <c r="CB779" s="415" t="s">
        <v>337</v>
      </c>
      <c r="CE779" s="415" t="s">
        <v>337</v>
      </c>
      <c r="CH779" s="415" t="s">
        <v>337</v>
      </c>
      <c r="CK779" s="415" t="s">
        <v>337</v>
      </c>
      <c r="CN779" s="415" t="s">
        <v>337</v>
      </c>
      <c r="CQ779" s="415" t="s">
        <v>337</v>
      </c>
      <c r="CT779" s="415" t="s">
        <v>337</v>
      </c>
    </row>
    <row r="780" spans="1:98">
      <c r="A780" s="1" t="s">
        <v>1569</v>
      </c>
      <c r="B780" s="416" t="s">
        <v>6542</v>
      </c>
      <c r="S780" s="213" t="s">
        <v>6543</v>
      </c>
      <c r="T780" s="416" t="s">
        <v>6544</v>
      </c>
      <c r="U780" s="415" t="s">
        <v>337</v>
      </c>
      <c r="X780" s="415"/>
      <c r="AA780" s="415"/>
      <c r="AD780" s="415"/>
      <c r="AE780" s="417" t="s">
        <v>6545</v>
      </c>
      <c r="AF780" s="416" t="s">
        <v>6546</v>
      </c>
      <c r="AG780" s="415"/>
      <c r="AJ780" s="415" t="s">
        <v>337</v>
      </c>
      <c r="AM780" s="415" t="s">
        <v>337</v>
      </c>
      <c r="AP780" s="415" t="s">
        <v>337</v>
      </c>
      <c r="AS780" s="415" t="s">
        <v>337</v>
      </c>
      <c r="AV780" s="415" t="s">
        <v>337</v>
      </c>
      <c r="AY780" s="415" t="s">
        <v>337</v>
      </c>
      <c r="BB780" s="415" t="s">
        <v>337</v>
      </c>
      <c r="BE780" s="415" t="s">
        <v>337</v>
      </c>
      <c r="BH780" s="415" t="s">
        <v>337</v>
      </c>
      <c r="BM780" s="415" t="s">
        <v>337</v>
      </c>
      <c r="BP780" s="415" t="s">
        <v>337</v>
      </c>
      <c r="BS780" s="415"/>
      <c r="BV780" s="415" t="s">
        <v>337</v>
      </c>
      <c r="BY780" s="415" t="s">
        <v>337</v>
      </c>
      <c r="CB780" s="415" t="s">
        <v>337</v>
      </c>
      <c r="CE780" s="415" t="s">
        <v>337</v>
      </c>
      <c r="CH780" s="415" t="s">
        <v>337</v>
      </c>
      <c r="CK780" s="415" t="s">
        <v>337</v>
      </c>
      <c r="CN780" s="415" t="s">
        <v>337</v>
      </c>
      <c r="CQ780" s="415" t="s">
        <v>337</v>
      </c>
      <c r="CT780" s="415" t="s">
        <v>337</v>
      </c>
    </row>
    <row r="781" spans="1:98">
      <c r="A781" s="1" t="s">
        <v>1569</v>
      </c>
      <c r="B781" s="416" t="s">
        <v>6547</v>
      </c>
      <c r="S781" s="213" t="s">
        <v>6548</v>
      </c>
      <c r="T781" s="416" t="s">
        <v>6549</v>
      </c>
      <c r="U781" s="415" t="s">
        <v>337</v>
      </c>
      <c r="X781" s="415"/>
      <c r="AA781" s="415"/>
      <c r="AD781" s="415"/>
      <c r="AE781" s="417" t="s">
        <v>6550</v>
      </c>
      <c r="AF781" s="416" t="s">
        <v>6551</v>
      </c>
      <c r="AG781" s="415"/>
      <c r="AJ781" s="415" t="s">
        <v>337</v>
      </c>
      <c r="AM781" s="415" t="s">
        <v>337</v>
      </c>
      <c r="AP781" s="415" t="s">
        <v>337</v>
      </c>
      <c r="AS781" s="415" t="s">
        <v>337</v>
      </c>
      <c r="AV781" s="415" t="s">
        <v>337</v>
      </c>
      <c r="AY781" s="415" t="s">
        <v>337</v>
      </c>
      <c r="BB781" s="415" t="s">
        <v>337</v>
      </c>
      <c r="BE781" s="415" t="s">
        <v>337</v>
      </c>
      <c r="BH781" s="415" t="s">
        <v>337</v>
      </c>
      <c r="BM781" s="415" t="s">
        <v>337</v>
      </c>
      <c r="BP781" s="415" t="s">
        <v>337</v>
      </c>
      <c r="BS781" s="415"/>
      <c r="BV781" s="415" t="s">
        <v>337</v>
      </c>
      <c r="BY781" s="415" t="s">
        <v>337</v>
      </c>
      <c r="CB781" s="415" t="s">
        <v>337</v>
      </c>
      <c r="CE781" s="415" t="s">
        <v>337</v>
      </c>
      <c r="CH781" s="415" t="s">
        <v>337</v>
      </c>
      <c r="CK781" s="415" t="s">
        <v>337</v>
      </c>
      <c r="CN781" s="415" t="s">
        <v>337</v>
      </c>
      <c r="CQ781" s="415" t="s">
        <v>337</v>
      </c>
      <c r="CT781" s="415" t="s">
        <v>337</v>
      </c>
    </row>
    <row r="782" spans="1:98">
      <c r="A782" s="1" t="s">
        <v>1569</v>
      </c>
      <c r="B782" s="416" t="s">
        <v>6552</v>
      </c>
      <c r="S782" s="213" t="s">
        <v>6553</v>
      </c>
      <c r="T782" s="416" t="s">
        <v>6554</v>
      </c>
      <c r="U782" s="415" t="s">
        <v>337</v>
      </c>
      <c r="X782" s="415"/>
      <c r="AA782" s="415"/>
      <c r="AD782" s="415"/>
      <c r="AE782" s="417" t="s">
        <v>6555</v>
      </c>
      <c r="AF782" s="416" t="s">
        <v>6556</v>
      </c>
      <c r="AG782" s="415"/>
      <c r="AJ782" s="415" t="s">
        <v>337</v>
      </c>
      <c r="AM782" s="415" t="s">
        <v>337</v>
      </c>
      <c r="AP782" s="415" t="s">
        <v>337</v>
      </c>
      <c r="AS782" s="415" t="s">
        <v>337</v>
      </c>
      <c r="AV782" s="415" t="s">
        <v>337</v>
      </c>
      <c r="AY782" s="415" t="s">
        <v>337</v>
      </c>
      <c r="BB782" s="415" t="s">
        <v>337</v>
      </c>
      <c r="BE782" s="415" t="s">
        <v>337</v>
      </c>
      <c r="BH782" s="415" t="s">
        <v>337</v>
      </c>
      <c r="BM782" s="415" t="s">
        <v>337</v>
      </c>
      <c r="BP782" s="415" t="s">
        <v>337</v>
      </c>
      <c r="BS782" s="415"/>
      <c r="BV782" s="415" t="s">
        <v>337</v>
      </c>
      <c r="BY782" s="415" t="s">
        <v>337</v>
      </c>
      <c r="CB782" s="415" t="s">
        <v>337</v>
      </c>
      <c r="CE782" s="415" t="s">
        <v>337</v>
      </c>
      <c r="CH782" s="415" t="s">
        <v>337</v>
      </c>
      <c r="CK782" s="415" t="s">
        <v>337</v>
      </c>
      <c r="CN782" s="415" t="s">
        <v>337</v>
      </c>
      <c r="CQ782" s="415" t="s">
        <v>337</v>
      </c>
      <c r="CT782" s="415" t="s">
        <v>337</v>
      </c>
    </row>
    <row r="783" spans="1:98">
      <c r="A783" s="1" t="s">
        <v>1569</v>
      </c>
      <c r="B783" s="416" t="s">
        <v>6557</v>
      </c>
      <c r="S783" s="213" t="s">
        <v>6558</v>
      </c>
      <c r="T783" s="416" t="s">
        <v>6559</v>
      </c>
      <c r="U783" s="415" t="s">
        <v>337</v>
      </c>
      <c r="X783" s="415"/>
      <c r="AA783" s="415"/>
      <c r="AD783" s="415"/>
      <c r="AE783" s="417" t="s">
        <v>6560</v>
      </c>
      <c r="AF783" s="416" t="s">
        <v>6561</v>
      </c>
      <c r="AG783" s="415"/>
      <c r="AJ783" s="415" t="s">
        <v>337</v>
      </c>
      <c r="AM783" s="415" t="s">
        <v>337</v>
      </c>
      <c r="AP783" s="415" t="s">
        <v>337</v>
      </c>
      <c r="AS783" s="415" t="s">
        <v>337</v>
      </c>
      <c r="AV783" s="415" t="s">
        <v>337</v>
      </c>
      <c r="AY783" s="415" t="s">
        <v>337</v>
      </c>
      <c r="BB783" s="415" t="s">
        <v>337</v>
      </c>
      <c r="BE783" s="415" t="s">
        <v>337</v>
      </c>
      <c r="BH783" s="415" t="s">
        <v>337</v>
      </c>
      <c r="BM783" s="415" t="s">
        <v>337</v>
      </c>
      <c r="BP783" s="415" t="s">
        <v>337</v>
      </c>
      <c r="BS783" s="415"/>
      <c r="BV783" s="415" t="s">
        <v>337</v>
      </c>
      <c r="BY783" s="415" t="s">
        <v>337</v>
      </c>
      <c r="CB783" s="415" t="s">
        <v>337</v>
      </c>
      <c r="CE783" s="415" t="s">
        <v>337</v>
      </c>
      <c r="CH783" s="415" t="s">
        <v>337</v>
      </c>
      <c r="CK783" s="415" t="s">
        <v>337</v>
      </c>
      <c r="CN783" s="415" t="s">
        <v>337</v>
      </c>
      <c r="CQ783" s="415" t="s">
        <v>337</v>
      </c>
      <c r="CT783" s="415" t="s">
        <v>337</v>
      </c>
    </row>
    <row r="784" spans="1:98">
      <c r="A784" s="1" t="s">
        <v>1569</v>
      </c>
      <c r="B784" s="416" t="s">
        <v>6562</v>
      </c>
      <c r="S784" s="213" t="s">
        <v>6563</v>
      </c>
      <c r="T784" s="416" t="s">
        <v>6564</v>
      </c>
      <c r="U784" s="415" t="s">
        <v>337</v>
      </c>
      <c r="X784" s="415"/>
      <c r="AA784" s="415"/>
      <c r="AD784" s="415"/>
      <c r="AE784" s="417" t="s">
        <v>6565</v>
      </c>
      <c r="AF784" s="416" t="s">
        <v>6566</v>
      </c>
      <c r="AG784" s="415"/>
      <c r="AJ784" s="415" t="s">
        <v>337</v>
      </c>
      <c r="AM784" s="415" t="s">
        <v>337</v>
      </c>
      <c r="AP784" s="415" t="s">
        <v>337</v>
      </c>
      <c r="AS784" s="415" t="s">
        <v>337</v>
      </c>
      <c r="AV784" s="415" t="s">
        <v>337</v>
      </c>
      <c r="AY784" s="415" t="s">
        <v>337</v>
      </c>
      <c r="BB784" s="415" t="s">
        <v>337</v>
      </c>
      <c r="BE784" s="415" t="s">
        <v>337</v>
      </c>
      <c r="BH784" s="415" t="s">
        <v>337</v>
      </c>
      <c r="BM784" s="415" t="s">
        <v>337</v>
      </c>
      <c r="BP784" s="415" t="s">
        <v>337</v>
      </c>
      <c r="BS784" s="415"/>
      <c r="BV784" s="415" t="s">
        <v>337</v>
      </c>
      <c r="BY784" s="415" t="s">
        <v>337</v>
      </c>
      <c r="CB784" s="415" t="s">
        <v>337</v>
      </c>
      <c r="CE784" s="415" t="s">
        <v>337</v>
      </c>
      <c r="CH784" s="415" t="s">
        <v>337</v>
      </c>
      <c r="CK784" s="415" t="s">
        <v>337</v>
      </c>
      <c r="CN784" s="415" t="s">
        <v>337</v>
      </c>
      <c r="CQ784" s="415" t="s">
        <v>337</v>
      </c>
      <c r="CT784" s="415" t="s">
        <v>337</v>
      </c>
    </row>
    <row r="785" spans="1:98">
      <c r="A785" s="1" t="s">
        <v>1569</v>
      </c>
      <c r="B785" s="416" t="s">
        <v>6567</v>
      </c>
      <c r="S785" s="213" t="s">
        <v>6568</v>
      </c>
      <c r="T785" s="416" t="s">
        <v>6569</v>
      </c>
      <c r="U785" s="415" t="s">
        <v>337</v>
      </c>
      <c r="X785" s="415"/>
      <c r="AA785" s="415"/>
      <c r="AD785" s="415"/>
      <c r="AE785" s="417" t="s">
        <v>6570</v>
      </c>
      <c r="AF785" s="416" t="s">
        <v>6571</v>
      </c>
      <c r="AG785" s="415"/>
      <c r="AJ785" s="415" t="s">
        <v>337</v>
      </c>
      <c r="AM785" s="415" t="s">
        <v>337</v>
      </c>
      <c r="AP785" s="415" t="s">
        <v>337</v>
      </c>
      <c r="AS785" s="415" t="s">
        <v>337</v>
      </c>
      <c r="AV785" s="415" t="s">
        <v>337</v>
      </c>
      <c r="AY785" s="415" t="s">
        <v>337</v>
      </c>
      <c r="BB785" s="415" t="s">
        <v>337</v>
      </c>
      <c r="BE785" s="415" t="s">
        <v>337</v>
      </c>
      <c r="BH785" s="415" t="s">
        <v>337</v>
      </c>
      <c r="BM785" s="415" t="s">
        <v>337</v>
      </c>
      <c r="BP785" s="415" t="s">
        <v>337</v>
      </c>
      <c r="BS785" s="415"/>
      <c r="BV785" s="415" t="s">
        <v>337</v>
      </c>
      <c r="BY785" s="415" t="s">
        <v>337</v>
      </c>
      <c r="CB785" s="415" t="s">
        <v>337</v>
      </c>
      <c r="CE785" s="415" t="s">
        <v>337</v>
      </c>
      <c r="CH785" s="415" t="s">
        <v>337</v>
      </c>
      <c r="CK785" s="415" t="s">
        <v>337</v>
      </c>
      <c r="CN785" s="415" t="s">
        <v>337</v>
      </c>
      <c r="CQ785" s="415" t="s">
        <v>337</v>
      </c>
      <c r="CT785" s="415" t="s">
        <v>337</v>
      </c>
    </row>
    <row r="786" spans="1:98">
      <c r="A786" s="1" t="s">
        <v>1569</v>
      </c>
      <c r="B786" s="416" t="s">
        <v>6572</v>
      </c>
      <c r="S786" s="213" t="s">
        <v>6573</v>
      </c>
      <c r="T786" s="416" t="s">
        <v>6574</v>
      </c>
      <c r="U786" s="415" t="s">
        <v>337</v>
      </c>
      <c r="X786" s="415"/>
      <c r="AA786" s="415"/>
      <c r="AD786" s="415"/>
      <c r="AE786" s="417" t="s">
        <v>6575</v>
      </c>
      <c r="AF786" s="416" t="s">
        <v>6576</v>
      </c>
      <c r="AG786" s="415"/>
      <c r="AJ786" s="415" t="s">
        <v>337</v>
      </c>
      <c r="AM786" s="415" t="s">
        <v>337</v>
      </c>
      <c r="AP786" s="415" t="s">
        <v>337</v>
      </c>
      <c r="AS786" s="415" t="s">
        <v>337</v>
      </c>
      <c r="AV786" s="415" t="s">
        <v>337</v>
      </c>
      <c r="AY786" s="415" t="s">
        <v>337</v>
      </c>
      <c r="BB786" s="415" t="s">
        <v>337</v>
      </c>
      <c r="BE786" s="415" t="s">
        <v>337</v>
      </c>
      <c r="BH786" s="415" t="s">
        <v>337</v>
      </c>
      <c r="BM786" s="415" t="s">
        <v>337</v>
      </c>
      <c r="BP786" s="415" t="s">
        <v>337</v>
      </c>
      <c r="BS786" s="415"/>
      <c r="BV786" s="415" t="s">
        <v>337</v>
      </c>
      <c r="BY786" s="415" t="s">
        <v>337</v>
      </c>
      <c r="CB786" s="415" t="s">
        <v>337</v>
      </c>
      <c r="CE786" s="415" t="s">
        <v>337</v>
      </c>
      <c r="CH786" s="415" t="s">
        <v>337</v>
      </c>
      <c r="CK786" s="415" t="s">
        <v>337</v>
      </c>
      <c r="CN786" s="415" t="s">
        <v>337</v>
      </c>
      <c r="CQ786" s="415" t="s">
        <v>337</v>
      </c>
      <c r="CT786" s="415" t="s">
        <v>337</v>
      </c>
    </row>
    <row r="787" spans="1:98">
      <c r="A787" s="1" t="s">
        <v>1569</v>
      </c>
      <c r="B787" s="416" t="s">
        <v>6577</v>
      </c>
      <c r="S787" s="213" t="s">
        <v>6578</v>
      </c>
      <c r="T787" s="416" t="s">
        <v>6579</v>
      </c>
      <c r="U787" s="415" t="s">
        <v>337</v>
      </c>
      <c r="X787" s="415"/>
      <c r="AA787" s="415"/>
      <c r="AD787" s="415"/>
      <c r="AE787" s="417" t="s">
        <v>6580</v>
      </c>
      <c r="AF787" s="416" t="s">
        <v>6581</v>
      </c>
      <c r="AG787" s="415"/>
      <c r="AJ787" s="415" t="s">
        <v>337</v>
      </c>
      <c r="AM787" s="415" t="s">
        <v>337</v>
      </c>
      <c r="AP787" s="415" t="s">
        <v>337</v>
      </c>
      <c r="AS787" s="415" t="s">
        <v>337</v>
      </c>
      <c r="AV787" s="415" t="s">
        <v>337</v>
      </c>
      <c r="AY787" s="415" t="s">
        <v>337</v>
      </c>
      <c r="BB787" s="415" t="s">
        <v>337</v>
      </c>
      <c r="BE787" s="415" t="s">
        <v>337</v>
      </c>
      <c r="BH787" s="415" t="s">
        <v>337</v>
      </c>
      <c r="BM787" s="415" t="s">
        <v>337</v>
      </c>
      <c r="BP787" s="415" t="s">
        <v>337</v>
      </c>
      <c r="BS787" s="415"/>
      <c r="BV787" s="415" t="s">
        <v>337</v>
      </c>
      <c r="BY787" s="415" t="s">
        <v>337</v>
      </c>
      <c r="CB787" s="415" t="s">
        <v>337</v>
      </c>
      <c r="CE787" s="415" t="s">
        <v>337</v>
      </c>
      <c r="CH787" s="415" t="s">
        <v>337</v>
      </c>
      <c r="CK787" s="415" t="s">
        <v>337</v>
      </c>
      <c r="CN787" s="415" t="s">
        <v>337</v>
      </c>
      <c r="CQ787" s="415" t="s">
        <v>337</v>
      </c>
      <c r="CT787" s="415" t="s">
        <v>337</v>
      </c>
    </row>
    <row r="788" spans="1:98">
      <c r="A788" s="1" t="s">
        <v>1569</v>
      </c>
      <c r="B788" s="416" t="s">
        <v>6582</v>
      </c>
      <c r="S788" s="213" t="s">
        <v>6583</v>
      </c>
      <c r="T788" s="416" t="s">
        <v>6584</v>
      </c>
      <c r="U788" s="415" t="s">
        <v>337</v>
      </c>
      <c r="X788" s="415"/>
      <c r="AA788" s="415"/>
      <c r="AD788" s="415"/>
      <c r="AE788" s="417" t="s">
        <v>6585</v>
      </c>
      <c r="AF788" s="416" t="s">
        <v>6586</v>
      </c>
      <c r="AG788" s="415"/>
      <c r="AJ788" s="415" t="s">
        <v>337</v>
      </c>
      <c r="AM788" s="415" t="s">
        <v>337</v>
      </c>
      <c r="AP788" s="415" t="s">
        <v>337</v>
      </c>
      <c r="AS788" s="415" t="s">
        <v>337</v>
      </c>
      <c r="AV788" s="415" t="s">
        <v>337</v>
      </c>
      <c r="AY788" s="415" t="s">
        <v>337</v>
      </c>
      <c r="BB788" s="415" t="s">
        <v>337</v>
      </c>
      <c r="BE788" s="415" t="s">
        <v>337</v>
      </c>
      <c r="BH788" s="415" t="s">
        <v>337</v>
      </c>
      <c r="BM788" s="415" t="s">
        <v>337</v>
      </c>
      <c r="BP788" s="415" t="s">
        <v>337</v>
      </c>
      <c r="BS788" s="415"/>
      <c r="BV788" s="415" t="s">
        <v>337</v>
      </c>
      <c r="BY788" s="415" t="s">
        <v>337</v>
      </c>
      <c r="CB788" s="415" t="s">
        <v>337</v>
      </c>
      <c r="CE788" s="415" t="s">
        <v>337</v>
      </c>
      <c r="CH788" s="415" t="s">
        <v>337</v>
      </c>
      <c r="CK788" s="415" t="s">
        <v>337</v>
      </c>
      <c r="CN788" s="415" t="s">
        <v>337</v>
      </c>
      <c r="CQ788" s="415" t="s">
        <v>337</v>
      </c>
      <c r="CT788" s="415" t="s">
        <v>337</v>
      </c>
    </row>
    <row r="789" spans="1:98">
      <c r="A789" s="1" t="s">
        <v>1569</v>
      </c>
      <c r="B789" s="416" t="s">
        <v>6587</v>
      </c>
      <c r="S789" s="213" t="s">
        <v>6588</v>
      </c>
      <c r="T789" s="416" t="s">
        <v>6589</v>
      </c>
      <c r="U789" s="415" t="s">
        <v>337</v>
      </c>
      <c r="X789" s="415"/>
      <c r="AA789" s="415"/>
      <c r="AD789" s="415"/>
      <c r="AE789" s="417" t="s">
        <v>6590</v>
      </c>
      <c r="AF789" s="416" t="s">
        <v>6591</v>
      </c>
      <c r="AG789" s="415"/>
      <c r="AJ789" s="415" t="s">
        <v>337</v>
      </c>
      <c r="AM789" s="415" t="s">
        <v>337</v>
      </c>
      <c r="AP789" s="415" t="s">
        <v>337</v>
      </c>
      <c r="AS789" s="415" t="s">
        <v>337</v>
      </c>
      <c r="AV789" s="415" t="s">
        <v>337</v>
      </c>
      <c r="AY789" s="415" t="s">
        <v>337</v>
      </c>
      <c r="BB789" s="415" t="s">
        <v>337</v>
      </c>
      <c r="BE789" s="415" t="s">
        <v>337</v>
      </c>
      <c r="BH789" s="415" t="s">
        <v>337</v>
      </c>
      <c r="BM789" s="415" t="s">
        <v>337</v>
      </c>
      <c r="BP789" s="415" t="s">
        <v>337</v>
      </c>
      <c r="BS789" s="415"/>
      <c r="BV789" s="415" t="s">
        <v>337</v>
      </c>
      <c r="BY789" s="415" t="s">
        <v>337</v>
      </c>
      <c r="CB789" s="415" t="s">
        <v>337</v>
      </c>
      <c r="CE789" s="415" t="s">
        <v>337</v>
      </c>
      <c r="CH789" s="415" t="s">
        <v>337</v>
      </c>
      <c r="CK789" s="415" t="s">
        <v>337</v>
      </c>
      <c r="CN789" s="415" t="s">
        <v>337</v>
      </c>
      <c r="CQ789" s="415" t="s">
        <v>337</v>
      </c>
      <c r="CT789" s="415" t="s">
        <v>337</v>
      </c>
    </row>
    <row r="790" spans="1:98">
      <c r="A790" s="1" t="s">
        <v>1581</v>
      </c>
      <c r="B790" s="416" t="s">
        <v>6592</v>
      </c>
      <c r="S790" s="213" t="s">
        <v>6593</v>
      </c>
      <c r="T790" s="416" t="s">
        <v>6594</v>
      </c>
      <c r="U790" s="415" t="s">
        <v>337</v>
      </c>
      <c r="X790" s="415"/>
      <c r="AA790" s="415"/>
      <c r="AD790" s="415"/>
      <c r="AE790" s="417" t="s">
        <v>6595</v>
      </c>
      <c r="AF790" s="416" t="s">
        <v>6596</v>
      </c>
      <c r="AG790" s="415"/>
      <c r="AJ790" s="415" t="s">
        <v>337</v>
      </c>
      <c r="AM790" s="415" t="s">
        <v>337</v>
      </c>
      <c r="AP790" s="415" t="s">
        <v>337</v>
      </c>
      <c r="AS790" s="415" t="s">
        <v>337</v>
      </c>
      <c r="AV790" s="415" t="s">
        <v>337</v>
      </c>
      <c r="AY790" s="415" t="s">
        <v>337</v>
      </c>
      <c r="BB790" s="415" t="s">
        <v>337</v>
      </c>
      <c r="BE790" s="415" t="s">
        <v>337</v>
      </c>
      <c r="BH790" s="415" t="s">
        <v>337</v>
      </c>
      <c r="BM790" s="415" t="s">
        <v>337</v>
      </c>
      <c r="BP790" s="415" t="s">
        <v>337</v>
      </c>
      <c r="BS790" s="415"/>
      <c r="BV790" s="415" t="s">
        <v>337</v>
      </c>
      <c r="BY790" s="415" t="s">
        <v>337</v>
      </c>
      <c r="CB790" s="415" t="s">
        <v>337</v>
      </c>
      <c r="CE790" s="415" t="s">
        <v>337</v>
      </c>
      <c r="CH790" s="415" t="s">
        <v>337</v>
      </c>
      <c r="CK790" s="415" t="s">
        <v>337</v>
      </c>
      <c r="CN790" s="415" t="s">
        <v>337</v>
      </c>
      <c r="CQ790" s="415" t="s">
        <v>337</v>
      </c>
      <c r="CT790" s="415" t="s">
        <v>337</v>
      </c>
    </row>
    <row r="791" spans="1:98">
      <c r="A791" s="1" t="s">
        <v>1581</v>
      </c>
      <c r="B791" s="416" t="s">
        <v>6597</v>
      </c>
      <c r="S791" s="213" t="s">
        <v>6598</v>
      </c>
      <c r="T791" s="416" t="s">
        <v>6599</v>
      </c>
      <c r="U791" s="415" t="s">
        <v>337</v>
      </c>
      <c r="X791" s="415"/>
      <c r="AA791" s="415"/>
      <c r="AD791" s="415"/>
      <c r="AE791" s="417" t="s">
        <v>6600</v>
      </c>
      <c r="AF791" s="416" t="s">
        <v>6601</v>
      </c>
      <c r="AG791" s="415"/>
      <c r="AJ791" s="415" t="s">
        <v>337</v>
      </c>
      <c r="AM791" s="415" t="s">
        <v>337</v>
      </c>
      <c r="AP791" s="415" t="s">
        <v>337</v>
      </c>
      <c r="AS791" s="415" t="s">
        <v>337</v>
      </c>
      <c r="AV791" s="415" t="s">
        <v>337</v>
      </c>
      <c r="AY791" s="415" t="s">
        <v>337</v>
      </c>
      <c r="BB791" s="415" t="s">
        <v>337</v>
      </c>
      <c r="BE791" s="415" t="s">
        <v>337</v>
      </c>
      <c r="BH791" s="415" t="s">
        <v>337</v>
      </c>
      <c r="BM791" s="415" t="s">
        <v>337</v>
      </c>
      <c r="BP791" s="415" t="s">
        <v>337</v>
      </c>
      <c r="BS791" s="415"/>
      <c r="BV791" s="415" t="s">
        <v>337</v>
      </c>
      <c r="BY791" s="415" t="s">
        <v>337</v>
      </c>
      <c r="CB791" s="415" t="s">
        <v>337</v>
      </c>
      <c r="CE791" s="415" t="s">
        <v>337</v>
      </c>
      <c r="CH791" s="415" t="s">
        <v>337</v>
      </c>
      <c r="CK791" s="415" t="s">
        <v>337</v>
      </c>
      <c r="CN791" s="415" t="s">
        <v>337</v>
      </c>
      <c r="CQ791" s="415" t="s">
        <v>337</v>
      </c>
      <c r="CT791" s="415" t="s">
        <v>337</v>
      </c>
    </row>
    <row r="792" spans="1:98">
      <c r="A792" s="1" t="s">
        <v>1581</v>
      </c>
      <c r="B792" s="416" t="s">
        <v>6602</v>
      </c>
      <c r="S792" s="213" t="s">
        <v>6603</v>
      </c>
      <c r="T792" s="416" t="s">
        <v>6604</v>
      </c>
      <c r="U792" s="415" t="s">
        <v>337</v>
      </c>
      <c r="X792" s="415"/>
      <c r="AA792" s="415"/>
      <c r="AD792" s="415"/>
      <c r="AE792" s="417" t="s">
        <v>6605</v>
      </c>
      <c r="AF792" s="416" t="s">
        <v>6606</v>
      </c>
      <c r="AG792" s="415"/>
      <c r="AJ792" s="415" t="s">
        <v>337</v>
      </c>
      <c r="AM792" s="415" t="s">
        <v>337</v>
      </c>
      <c r="AP792" s="415" t="s">
        <v>337</v>
      </c>
      <c r="AS792" s="415" t="s">
        <v>337</v>
      </c>
      <c r="AV792" s="415" t="s">
        <v>337</v>
      </c>
      <c r="AY792" s="415" t="s">
        <v>337</v>
      </c>
      <c r="BB792" s="415" t="s">
        <v>337</v>
      </c>
      <c r="BE792" s="415" t="s">
        <v>337</v>
      </c>
      <c r="BH792" s="415" t="s">
        <v>337</v>
      </c>
      <c r="BM792" s="415" t="s">
        <v>337</v>
      </c>
      <c r="BP792" s="415" t="s">
        <v>337</v>
      </c>
      <c r="BS792" s="415"/>
      <c r="BV792" s="415" t="s">
        <v>337</v>
      </c>
      <c r="BY792" s="415" t="s">
        <v>337</v>
      </c>
      <c r="CB792" s="415" t="s">
        <v>337</v>
      </c>
      <c r="CE792" s="415" t="s">
        <v>337</v>
      </c>
      <c r="CH792" s="415" t="s">
        <v>337</v>
      </c>
      <c r="CK792" s="415" t="s">
        <v>337</v>
      </c>
      <c r="CN792" s="415" t="s">
        <v>337</v>
      </c>
      <c r="CQ792" s="415" t="s">
        <v>337</v>
      </c>
      <c r="CT792" s="415" t="s">
        <v>337</v>
      </c>
    </row>
    <row r="793" spans="1:98">
      <c r="A793" s="1" t="s">
        <v>1581</v>
      </c>
      <c r="B793" s="416" t="s">
        <v>6607</v>
      </c>
      <c r="S793" s="213" t="s">
        <v>6608</v>
      </c>
      <c r="T793" s="416" t="s">
        <v>6609</v>
      </c>
      <c r="U793" s="415" t="s">
        <v>337</v>
      </c>
      <c r="X793" s="415"/>
      <c r="AA793" s="415"/>
      <c r="AD793" s="415"/>
      <c r="AE793" s="417" t="s">
        <v>6610</v>
      </c>
      <c r="AF793" s="416" t="s">
        <v>6611</v>
      </c>
      <c r="AG793" s="415"/>
      <c r="AJ793" s="415" t="s">
        <v>337</v>
      </c>
      <c r="AM793" s="415" t="s">
        <v>337</v>
      </c>
      <c r="AP793" s="415" t="s">
        <v>337</v>
      </c>
      <c r="AS793" s="415" t="s">
        <v>337</v>
      </c>
      <c r="AV793" s="415" t="s">
        <v>337</v>
      </c>
      <c r="AY793" s="415" t="s">
        <v>337</v>
      </c>
      <c r="BB793" s="415" t="s">
        <v>337</v>
      </c>
      <c r="BE793" s="415" t="s">
        <v>337</v>
      </c>
      <c r="BH793" s="415" t="s">
        <v>337</v>
      </c>
      <c r="BM793" s="415" t="s">
        <v>337</v>
      </c>
      <c r="BP793" s="415" t="s">
        <v>337</v>
      </c>
      <c r="BS793" s="415"/>
      <c r="BV793" s="415" t="s">
        <v>337</v>
      </c>
      <c r="BY793" s="415" t="s">
        <v>337</v>
      </c>
      <c r="CB793" s="415" t="s">
        <v>337</v>
      </c>
      <c r="CE793" s="415" t="s">
        <v>337</v>
      </c>
      <c r="CH793" s="415" t="s">
        <v>337</v>
      </c>
      <c r="CK793" s="415" t="s">
        <v>337</v>
      </c>
      <c r="CN793" s="415" t="s">
        <v>337</v>
      </c>
      <c r="CQ793" s="415" t="s">
        <v>337</v>
      </c>
      <c r="CT793" s="415" t="s">
        <v>337</v>
      </c>
    </row>
    <row r="794" spans="1:98">
      <c r="A794" s="1" t="s">
        <v>1581</v>
      </c>
      <c r="B794" s="416" t="s">
        <v>6612</v>
      </c>
      <c r="S794" s="213" t="s">
        <v>6613</v>
      </c>
      <c r="T794" s="416" t="s">
        <v>6614</v>
      </c>
      <c r="U794" s="415" t="s">
        <v>337</v>
      </c>
      <c r="X794" s="415"/>
      <c r="AA794" s="415"/>
      <c r="AD794" s="415"/>
      <c r="AE794" s="417" t="s">
        <v>6615</v>
      </c>
      <c r="AF794" s="416" t="s">
        <v>6616</v>
      </c>
      <c r="AG794" s="415"/>
      <c r="AJ794" s="415" t="s">
        <v>337</v>
      </c>
      <c r="AM794" s="415" t="s">
        <v>337</v>
      </c>
      <c r="AP794" s="415" t="s">
        <v>337</v>
      </c>
      <c r="AS794" s="415" t="s">
        <v>337</v>
      </c>
      <c r="AV794" s="415" t="s">
        <v>337</v>
      </c>
      <c r="AY794" s="415" t="s">
        <v>337</v>
      </c>
      <c r="BB794" s="415" t="s">
        <v>337</v>
      </c>
      <c r="BE794" s="415" t="s">
        <v>337</v>
      </c>
      <c r="BH794" s="415" t="s">
        <v>337</v>
      </c>
      <c r="BM794" s="415" t="s">
        <v>337</v>
      </c>
      <c r="BP794" s="415" t="s">
        <v>337</v>
      </c>
      <c r="BS794" s="415"/>
      <c r="BV794" s="415" t="s">
        <v>337</v>
      </c>
      <c r="BY794" s="415" t="s">
        <v>337</v>
      </c>
      <c r="CB794" s="415" t="s">
        <v>337</v>
      </c>
      <c r="CE794" s="415" t="s">
        <v>337</v>
      </c>
      <c r="CH794" s="415" t="s">
        <v>337</v>
      </c>
      <c r="CK794" s="415" t="s">
        <v>337</v>
      </c>
      <c r="CN794" s="415" t="s">
        <v>337</v>
      </c>
      <c r="CQ794" s="415" t="s">
        <v>337</v>
      </c>
      <c r="CT794" s="415" t="s">
        <v>337</v>
      </c>
    </row>
    <row r="795" spans="1:98">
      <c r="A795" s="1" t="s">
        <v>1581</v>
      </c>
      <c r="B795" s="416" t="s">
        <v>1810</v>
      </c>
      <c r="S795" s="213" t="s">
        <v>6617</v>
      </c>
      <c r="T795" s="416" t="s">
        <v>6618</v>
      </c>
      <c r="U795" s="415" t="s">
        <v>337</v>
      </c>
      <c r="X795" s="415"/>
      <c r="AA795" s="415"/>
      <c r="AD795" s="415"/>
      <c r="AE795" s="417" t="s">
        <v>6619</v>
      </c>
      <c r="AF795" s="416" t="s">
        <v>6620</v>
      </c>
      <c r="AG795" s="415"/>
      <c r="AJ795" s="415" t="s">
        <v>337</v>
      </c>
      <c r="AM795" s="415" t="s">
        <v>337</v>
      </c>
      <c r="AP795" s="415" t="s">
        <v>337</v>
      </c>
      <c r="AS795" s="415" t="s">
        <v>337</v>
      </c>
      <c r="AV795" s="415" t="s">
        <v>337</v>
      </c>
      <c r="AY795" s="415" t="s">
        <v>337</v>
      </c>
      <c r="BB795" s="415" t="s">
        <v>337</v>
      </c>
      <c r="BE795" s="415" t="s">
        <v>337</v>
      </c>
      <c r="BH795" s="415" t="s">
        <v>337</v>
      </c>
      <c r="BM795" s="415" t="s">
        <v>337</v>
      </c>
      <c r="BP795" s="415" t="s">
        <v>337</v>
      </c>
      <c r="BS795" s="415"/>
      <c r="BV795" s="415" t="s">
        <v>337</v>
      </c>
      <c r="BY795" s="415" t="s">
        <v>337</v>
      </c>
      <c r="CB795" s="415" t="s">
        <v>337</v>
      </c>
      <c r="CE795" s="415" t="s">
        <v>337</v>
      </c>
      <c r="CH795" s="415" t="s">
        <v>337</v>
      </c>
      <c r="CK795" s="415" t="s">
        <v>337</v>
      </c>
      <c r="CN795" s="415" t="s">
        <v>337</v>
      </c>
      <c r="CQ795" s="415" t="s">
        <v>337</v>
      </c>
      <c r="CT795" s="415" t="s">
        <v>337</v>
      </c>
    </row>
    <row r="796" spans="1:98">
      <c r="A796" s="1" t="s">
        <v>1591</v>
      </c>
      <c r="B796" s="416" t="s">
        <v>6621</v>
      </c>
      <c r="S796" s="213" t="s">
        <v>6622</v>
      </c>
      <c r="T796" s="416" t="s">
        <v>6623</v>
      </c>
      <c r="U796" s="415" t="s">
        <v>337</v>
      </c>
      <c r="X796" s="415"/>
      <c r="AA796" s="415"/>
      <c r="AD796" s="415"/>
      <c r="AE796" s="417" t="s">
        <v>6624</v>
      </c>
      <c r="AF796" s="416" t="s">
        <v>6625</v>
      </c>
      <c r="AG796" s="415"/>
      <c r="AJ796" s="415" t="s">
        <v>337</v>
      </c>
      <c r="AM796" s="415" t="s">
        <v>337</v>
      </c>
      <c r="AP796" s="415" t="s">
        <v>337</v>
      </c>
      <c r="AS796" s="415" t="s">
        <v>337</v>
      </c>
      <c r="AV796" s="415" t="s">
        <v>337</v>
      </c>
      <c r="AY796" s="415" t="s">
        <v>337</v>
      </c>
      <c r="BB796" s="415" t="s">
        <v>337</v>
      </c>
      <c r="BE796" s="415" t="s">
        <v>337</v>
      </c>
      <c r="BH796" s="415" t="s">
        <v>337</v>
      </c>
      <c r="BM796" s="415" t="s">
        <v>337</v>
      </c>
      <c r="BP796" s="415" t="s">
        <v>337</v>
      </c>
      <c r="BS796" s="415"/>
      <c r="BV796" s="415" t="s">
        <v>337</v>
      </c>
      <c r="BY796" s="415" t="s">
        <v>337</v>
      </c>
      <c r="CB796" s="415" t="s">
        <v>337</v>
      </c>
      <c r="CE796" s="415" t="s">
        <v>337</v>
      </c>
      <c r="CH796" s="415" t="s">
        <v>337</v>
      </c>
      <c r="CK796" s="415" t="s">
        <v>337</v>
      </c>
      <c r="CN796" s="415" t="s">
        <v>337</v>
      </c>
      <c r="CQ796" s="415" t="s">
        <v>337</v>
      </c>
      <c r="CT796" s="415" t="s">
        <v>337</v>
      </c>
    </row>
    <row r="797" spans="1:98">
      <c r="A797" s="1" t="s">
        <v>1591</v>
      </c>
      <c r="B797" s="416" t="s">
        <v>6626</v>
      </c>
      <c r="S797" s="213" t="s">
        <v>6627</v>
      </c>
      <c r="T797" s="416" t="s">
        <v>6628</v>
      </c>
      <c r="U797" s="415" t="s">
        <v>337</v>
      </c>
      <c r="X797" s="415"/>
      <c r="AA797" s="415"/>
      <c r="AD797" s="415"/>
      <c r="AE797" s="417" t="s">
        <v>6629</v>
      </c>
      <c r="AF797" s="416" t="s">
        <v>6630</v>
      </c>
      <c r="AG797" s="415"/>
      <c r="AJ797" s="415" t="s">
        <v>337</v>
      </c>
      <c r="AM797" s="415" t="s">
        <v>337</v>
      </c>
      <c r="AP797" s="415" t="s">
        <v>337</v>
      </c>
      <c r="AS797" s="415" t="s">
        <v>337</v>
      </c>
      <c r="AV797" s="415" t="s">
        <v>337</v>
      </c>
      <c r="AY797" s="415" t="s">
        <v>337</v>
      </c>
      <c r="BB797" s="415" t="s">
        <v>337</v>
      </c>
      <c r="BE797" s="415" t="s">
        <v>337</v>
      </c>
      <c r="BH797" s="415" t="s">
        <v>337</v>
      </c>
      <c r="BM797" s="415" t="s">
        <v>337</v>
      </c>
      <c r="BP797" s="415" t="s">
        <v>337</v>
      </c>
      <c r="BS797" s="415"/>
      <c r="BV797" s="415" t="s">
        <v>337</v>
      </c>
      <c r="BY797" s="415" t="s">
        <v>337</v>
      </c>
      <c r="CB797" s="415" t="s">
        <v>337</v>
      </c>
      <c r="CE797" s="415" t="s">
        <v>337</v>
      </c>
      <c r="CH797" s="415" t="s">
        <v>337</v>
      </c>
      <c r="CK797" s="415" t="s">
        <v>337</v>
      </c>
      <c r="CN797" s="415" t="s">
        <v>337</v>
      </c>
      <c r="CQ797" s="415" t="s">
        <v>337</v>
      </c>
      <c r="CT797" s="415" t="s">
        <v>337</v>
      </c>
    </row>
    <row r="798" spans="1:98">
      <c r="A798" s="1" t="s">
        <v>1591</v>
      </c>
      <c r="B798" s="416" t="s">
        <v>6631</v>
      </c>
      <c r="S798" s="213" t="s">
        <v>6632</v>
      </c>
      <c r="T798" s="416" t="s">
        <v>6633</v>
      </c>
      <c r="U798" s="415" t="s">
        <v>337</v>
      </c>
      <c r="X798" s="415"/>
      <c r="AA798" s="415"/>
      <c r="AD798" s="415"/>
      <c r="AE798" s="417" t="s">
        <v>6634</v>
      </c>
      <c r="AF798" s="416" t="s">
        <v>6635</v>
      </c>
      <c r="AG798" s="415"/>
      <c r="AJ798" s="415" t="s">
        <v>337</v>
      </c>
      <c r="AM798" s="415" t="s">
        <v>337</v>
      </c>
      <c r="AP798" s="415" t="s">
        <v>337</v>
      </c>
      <c r="AS798" s="415" t="s">
        <v>337</v>
      </c>
      <c r="AV798" s="415" t="s">
        <v>337</v>
      </c>
      <c r="AY798" s="415" t="s">
        <v>337</v>
      </c>
      <c r="BB798" s="415" t="s">
        <v>337</v>
      </c>
      <c r="BE798" s="415" t="s">
        <v>337</v>
      </c>
      <c r="BH798" s="415" t="s">
        <v>337</v>
      </c>
      <c r="BM798" s="415" t="s">
        <v>337</v>
      </c>
      <c r="BP798" s="415" t="s">
        <v>337</v>
      </c>
      <c r="BS798" s="415"/>
      <c r="BV798" s="415" t="s">
        <v>337</v>
      </c>
      <c r="BY798" s="415" t="s">
        <v>337</v>
      </c>
      <c r="CB798" s="415" t="s">
        <v>337</v>
      </c>
      <c r="CE798" s="415" t="s">
        <v>337</v>
      </c>
      <c r="CH798" s="415" t="s">
        <v>337</v>
      </c>
      <c r="CK798" s="415" t="s">
        <v>337</v>
      </c>
      <c r="CN798" s="415" t="s">
        <v>337</v>
      </c>
      <c r="CQ798" s="415" t="s">
        <v>337</v>
      </c>
      <c r="CT798" s="415" t="s">
        <v>337</v>
      </c>
    </row>
    <row r="799" spans="1:98">
      <c r="A799" s="1" t="s">
        <v>1591</v>
      </c>
      <c r="B799" s="416" t="s">
        <v>5824</v>
      </c>
      <c r="S799" s="213" t="s">
        <v>6636</v>
      </c>
      <c r="T799" s="416" t="s">
        <v>6637</v>
      </c>
      <c r="U799" s="415" t="s">
        <v>337</v>
      </c>
      <c r="X799" s="415"/>
      <c r="AA799" s="415"/>
      <c r="AD799" s="415"/>
      <c r="AE799" s="417" t="s">
        <v>6638</v>
      </c>
      <c r="AF799" s="416" t="s">
        <v>6639</v>
      </c>
      <c r="AG799" s="415"/>
      <c r="AJ799" s="415" t="s">
        <v>337</v>
      </c>
      <c r="AM799" s="415" t="s">
        <v>337</v>
      </c>
      <c r="AP799" s="415" t="s">
        <v>337</v>
      </c>
      <c r="AS799" s="415" t="s">
        <v>337</v>
      </c>
      <c r="AV799" s="415" t="s">
        <v>337</v>
      </c>
      <c r="AY799" s="415" t="s">
        <v>337</v>
      </c>
      <c r="BB799" s="415" t="s">
        <v>337</v>
      </c>
      <c r="BE799" s="415" t="s">
        <v>337</v>
      </c>
      <c r="BH799" s="415" t="s">
        <v>337</v>
      </c>
      <c r="BM799" s="415" t="s">
        <v>337</v>
      </c>
      <c r="BP799" s="415" t="s">
        <v>337</v>
      </c>
      <c r="BS799" s="415"/>
      <c r="BV799" s="415" t="s">
        <v>337</v>
      </c>
      <c r="BY799" s="415" t="s">
        <v>337</v>
      </c>
      <c r="CB799" s="415" t="s">
        <v>337</v>
      </c>
      <c r="CE799" s="415" t="s">
        <v>337</v>
      </c>
      <c r="CH799" s="415" t="s">
        <v>337</v>
      </c>
      <c r="CK799" s="415" t="s">
        <v>337</v>
      </c>
      <c r="CN799" s="415" t="s">
        <v>337</v>
      </c>
      <c r="CQ799" s="415" t="s">
        <v>337</v>
      </c>
      <c r="CT799" s="415" t="s">
        <v>337</v>
      </c>
    </row>
    <row r="800" spans="1:98">
      <c r="A800" s="1" t="s">
        <v>1591</v>
      </c>
      <c r="B800" s="416" t="s">
        <v>6640</v>
      </c>
      <c r="S800" s="213" t="s">
        <v>6641</v>
      </c>
      <c r="T800" s="416" t="s">
        <v>6642</v>
      </c>
      <c r="U800" s="415" t="s">
        <v>337</v>
      </c>
      <c r="X800" s="415"/>
      <c r="AA800" s="415"/>
      <c r="AD800" s="415"/>
      <c r="AE800" s="417" t="s">
        <v>6643</v>
      </c>
      <c r="AF800" s="416" t="s">
        <v>6644</v>
      </c>
      <c r="AG800" s="415"/>
      <c r="AJ800" s="415" t="s">
        <v>337</v>
      </c>
      <c r="AM800" s="415" t="s">
        <v>337</v>
      </c>
      <c r="AP800" s="415" t="s">
        <v>337</v>
      </c>
      <c r="AS800" s="415" t="s">
        <v>337</v>
      </c>
      <c r="AV800" s="415" t="s">
        <v>337</v>
      </c>
      <c r="AY800" s="415" t="s">
        <v>337</v>
      </c>
      <c r="BB800" s="415" t="s">
        <v>337</v>
      </c>
      <c r="BE800" s="415" t="s">
        <v>337</v>
      </c>
      <c r="BH800" s="415" t="s">
        <v>337</v>
      </c>
      <c r="BM800" s="415" t="s">
        <v>337</v>
      </c>
      <c r="BP800" s="415" t="s">
        <v>337</v>
      </c>
      <c r="BS800" s="415"/>
      <c r="BV800" s="415" t="s">
        <v>337</v>
      </c>
      <c r="BY800" s="415" t="s">
        <v>337</v>
      </c>
      <c r="CB800" s="415" t="s">
        <v>337</v>
      </c>
      <c r="CE800" s="415" t="s">
        <v>337</v>
      </c>
      <c r="CH800" s="415" t="s">
        <v>337</v>
      </c>
      <c r="CK800" s="415" t="s">
        <v>337</v>
      </c>
      <c r="CN800" s="415" t="s">
        <v>337</v>
      </c>
      <c r="CQ800" s="415" t="s">
        <v>337</v>
      </c>
      <c r="CT800" s="415" t="s">
        <v>337</v>
      </c>
    </row>
    <row r="801" spans="1:98">
      <c r="A801" s="1" t="s">
        <v>1591</v>
      </c>
      <c r="B801" s="416" t="s">
        <v>6645</v>
      </c>
      <c r="S801" s="213" t="s">
        <v>6646</v>
      </c>
      <c r="T801" s="416" t="s">
        <v>6647</v>
      </c>
      <c r="U801" s="415" t="s">
        <v>337</v>
      </c>
      <c r="X801" s="415"/>
      <c r="AA801" s="415"/>
      <c r="AD801" s="415"/>
      <c r="AE801" s="417" t="s">
        <v>6648</v>
      </c>
      <c r="AF801" s="416" t="s">
        <v>6649</v>
      </c>
      <c r="AG801" s="415"/>
      <c r="AJ801" s="415" t="s">
        <v>337</v>
      </c>
      <c r="AM801" s="415" t="s">
        <v>337</v>
      </c>
      <c r="AP801" s="415" t="s">
        <v>337</v>
      </c>
      <c r="AS801" s="415" t="s">
        <v>337</v>
      </c>
      <c r="AV801" s="415" t="s">
        <v>337</v>
      </c>
      <c r="AY801" s="415" t="s">
        <v>337</v>
      </c>
      <c r="BB801" s="415" t="s">
        <v>337</v>
      </c>
      <c r="BE801" s="415" t="s">
        <v>337</v>
      </c>
      <c r="BH801" s="415" t="s">
        <v>337</v>
      </c>
      <c r="BM801" s="415" t="s">
        <v>337</v>
      </c>
      <c r="BP801" s="415" t="s">
        <v>337</v>
      </c>
      <c r="BS801" s="415"/>
      <c r="BV801" s="415" t="s">
        <v>337</v>
      </c>
      <c r="BY801" s="415" t="s">
        <v>337</v>
      </c>
      <c r="CB801" s="415" t="s">
        <v>337</v>
      </c>
      <c r="CE801" s="415" t="s">
        <v>337</v>
      </c>
      <c r="CH801" s="415" t="s">
        <v>337</v>
      </c>
      <c r="CK801" s="415" t="s">
        <v>337</v>
      </c>
      <c r="CN801" s="415" t="s">
        <v>337</v>
      </c>
      <c r="CQ801" s="415" t="s">
        <v>337</v>
      </c>
      <c r="CT801" s="415" t="s">
        <v>337</v>
      </c>
    </row>
    <row r="802" spans="1:98">
      <c r="A802" s="1" t="s">
        <v>1591</v>
      </c>
      <c r="B802" s="416" t="s">
        <v>6650</v>
      </c>
      <c r="S802" s="213" t="s">
        <v>6651</v>
      </c>
      <c r="T802" s="416" t="s">
        <v>6652</v>
      </c>
      <c r="U802" s="415" t="s">
        <v>337</v>
      </c>
      <c r="X802" s="415"/>
      <c r="AA802" s="415"/>
      <c r="AD802" s="415"/>
      <c r="AE802" s="417" t="s">
        <v>6653</v>
      </c>
      <c r="AF802" s="416" t="s">
        <v>6654</v>
      </c>
      <c r="AG802" s="415"/>
      <c r="AJ802" s="415" t="s">
        <v>337</v>
      </c>
      <c r="AM802" s="415" t="s">
        <v>337</v>
      </c>
      <c r="AP802" s="415" t="s">
        <v>337</v>
      </c>
      <c r="AS802" s="415" t="s">
        <v>337</v>
      </c>
      <c r="AV802" s="415" t="s">
        <v>337</v>
      </c>
      <c r="AY802" s="415" t="s">
        <v>337</v>
      </c>
      <c r="BB802" s="415" t="s">
        <v>337</v>
      </c>
      <c r="BE802" s="415" t="s">
        <v>337</v>
      </c>
      <c r="BH802" s="415" t="s">
        <v>337</v>
      </c>
      <c r="BM802" s="415" t="s">
        <v>337</v>
      </c>
      <c r="BP802" s="415" t="s">
        <v>337</v>
      </c>
      <c r="BS802" s="415"/>
      <c r="BV802" s="415" t="s">
        <v>337</v>
      </c>
      <c r="BY802" s="415" t="s">
        <v>337</v>
      </c>
      <c r="CB802" s="415" t="s">
        <v>337</v>
      </c>
      <c r="CE802" s="415" t="s">
        <v>337</v>
      </c>
      <c r="CH802" s="415" t="s">
        <v>337</v>
      </c>
      <c r="CK802" s="415" t="s">
        <v>337</v>
      </c>
      <c r="CN802" s="415" t="s">
        <v>337</v>
      </c>
      <c r="CQ802" s="415" t="s">
        <v>337</v>
      </c>
      <c r="CT802" s="415" t="s">
        <v>337</v>
      </c>
    </row>
    <row r="803" spans="1:98">
      <c r="A803" s="1" t="s">
        <v>1591</v>
      </c>
      <c r="B803" s="416" t="s">
        <v>6655</v>
      </c>
      <c r="S803" s="213" t="s">
        <v>6656</v>
      </c>
      <c r="T803" s="416" t="s">
        <v>1913</v>
      </c>
      <c r="U803" s="415" t="s">
        <v>337</v>
      </c>
      <c r="X803" s="415"/>
      <c r="AA803" s="415"/>
      <c r="AD803" s="415"/>
      <c r="AE803" s="417" t="s">
        <v>6657</v>
      </c>
      <c r="AF803" s="416" t="s">
        <v>6658</v>
      </c>
      <c r="AG803" s="415"/>
      <c r="AJ803" s="415" t="s">
        <v>337</v>
      </c>
      <c r="AM803" s="415" t="s">
        <v>337</v>
      </c>
      <c r="AP803" s="415" t="s">
        <v>337</v>
      </c>
      <c r="AS803" s="415" t="s">
        <v>337</v>
      </c>
      <c r="AV803" s="415" t="s">
        <v>337</v>
      </c>
      <c r="AY803" s="415" t="s">
        <v>337</v>
      </c>
      <c r="BB803" s="415" t="s">
        <v>337</v>
      </c>
      <c r="BE803" s="415" t="s">
        <v>337</v>
      </c>
      <c r="BH803" s="415" t="s">
        <v>337</v>
      </c>
      <c r="BM803" s="415" t="s">
        <v>337</v>
      </c>
      <c r="BP803" s="415" t="s">
        <v>337</v>
      </c>
      <c r="BS803" s="415"/>
      <c r="BV803" s="415" t="s">
        <v>337</v>
      </c>
      <c r="BY803" s="415" t="s">
        <v>337</v>
      </c>
      <c r="CB803" s="415" t="s">
        <v>337</v>
      </c>
      <c r="CE803" s="415" t="s">
        <v>337</v>
      </c>
      <c r="CH803" s="415" t="s">
        <v>337</v>
      </c>
      <c r="CK803" s="415" t="s">
        <v>337</v>
      </c>
      <c r="CN803" s="415" t="s">
        <v>337</v>
      </c>
      <c r="CQ803" s="415" t="s">
        <v>337</v>
      </c>
      <c r="CT803" s="415" t="s">
        <v>337</v>
      </c>
    </row>
    <row r="804" spans="1:98">
      <c r="A804" s="1" t="s">
        <v>1591</v>
      </c>
      <c r="B804" s="416" t="s">
        <v>6659</v>
      </c>
      <c r="S804" s="213" t="s">
        <v>6660</v>
      </c>
      <c r="T804" s="416" t="s">
        <v>6661</v>
      </c>
      <c r="U804" s="415" t="s">
        <v>337</v>
      </c>
      <c r="X804" s="415"/>
      <c r="AA804" s="415"/>
      <c r="AD804" s="415"/>
      <c r="AE804" s="417" t="s">
        <v>6662</v>
      </c>
      <c r="AF804" s="416" t="s">
        <v>6663</v>
      </c>
      <c r="AG804" s="415"/>
      <c r="AJ804" s="415" t="s">
        <v>337</v>
      </c>
      <c r="AM804" s="415" t="s">
        <v>337</v>
      </c>
      <c r="AP804" s="415" t="s">
        <v>337</v>
      </c>
      <c r="AS804" s="415" t="s">
        <v>337</v>
      </c>
      <c r="AV804" s="415" t="s">
        <v>337</v>
      </c>
      <c r="AY804" s="415" t="s">
        <v>337</v>
      </c>
      <c r="BB804" s="415" t="s">
        <v>337</v>
      </c>
      <c r="BE804" s="415" t="s">
        <v>337</v>
      </c>
      <c r="BH804" s="415" t="s">
        <v>337</v>
      </c>
      <c r="BM804" s="415" t="s">
        <v>337</v>
      </c>
      <c r="BP804" s="415" t="s">
        <v>337</v>
      </c>
      <c r="BS804" s="415"/>
      <c r="BV804" s="415" t="s">
        <v>337</v>
      </c>
      <c r="BY804" s="415" t="s">
        <v>337</v>
      </c>
      <c r="CB804" s="415" t="s">
        <v>337</v>
      </c>
      <c r="CE804" s="415" t="s">
        <v>337</v>
      </c>
      <c r="CH804" s="415" t="s">
        <v>337</v>
      </c>
      <c r="CK804" s="415" t="s">
        <v>337</v>
      </c>
      <c r="CN804" s="415" t="s">
        <v>337</v>
      </c>
      <c r="CQ804" s="415" t="s">
        <v>337</v>
      </c>
      <c r="CT804" s="415" t="s">
        <v>337</v>
      </c>
    </row>
    <row r="805" spans="1:98">
      <c r="A805" s="1" t="s">
        <v>1602</v>
      </c>
      <c r="B805" s="416" t="s">
        <v>6664</v>
      </c>
      <c r="S805" s="213" t="s">
        <v>6665</v>
      </c>
      <c r="T805" s="416" t="s">
        <v>6666</v>
      </c>
      <c r="U805" s="415" t="s">
        <v>337</v>
      </c>
      <c r="X805" s="415"/>
      <c r="AA805" s="415"/>
      <c r="AD805" s="415"/>
      <c r="AE805" s="417" t="s">
        <v>6667</v>
      </c>
      <c r="AF805" s="416" t="s">
        <v>6668</v>
      </c>
      <c r="AG805" s="415"/>
      <c r="AJ805" s="415" t="s">
        <v>337</v>
      </c>
      <c r="AM805" s="415" t="s">
        <v>337</v>
      </c>
      <c r="AP805" s="415" t="s">
        <v>337</v>
      </c>
      <c r="AS805" s="415" t="s">
        <v>337</v>
      </c>
      <c r="AV805" s="415" t="s">
        <v>337</v>
      </c>
      <c r="AY805" s="415" t="s">
        <v>337</v>
      </c>
      <c r="BB805" s="415" t="s">
        <v>337</v>
      </c>
      <c r="BE805" s="415" t="s">
        <v>337</v>
      </c>
      <c r="BH805" s="415" t="s">
        <v>337</v>
      </c>
      <c r="BM805" s="415" t="s">
        <v>337</v>
      </c>
      <c r="BP805" s="415" t="s">
        <v>337</v>
      </c>
      <c r="BS805" s="415"/>
      <c r="BV805" s="415" t="s">
        <v>337</v>
      </c>
      <c r="BY805" s="415" t="s">
        <v>337</v>
      </c>
      <c r="CB805" s="415" t="s">
        <v>337</v>
      </c>
      <c r="CE805" s="415" t="s">
        <v>337</v>
      </c>
      <c r="CH805" s="415" t="s">
        <v>337</v>
      </c>
      <c r="CK805" s="415" t="s">
        <v>337</v>
      </c>
      <c r="CN805" s="415" t="s">
        <v>337</v>
      </c>
      <c r="CQ805" s="415" t="s">
        <v>337</v>
      </c>
      <c r="CT805" s="415" t="s">
        <v>337</v>
      </c>
    </row>
    <row r="806" spans="1:98">
      <c r="A806" s="1" t="s">
        <v>1602</v>
      </c>
      <c r="B806" s="416" t="s">
        <v>6669</v>
      </c>
      <c r="S806" s="213" t="s">
        <v>6670</v>
      </c>
      <c r="T806" s="416" t="s">
        <v>6671</v>
      </c>
      <c r="U806" s="415" t="s">
        <v>337</v>
      </c>
      <c r="X806" s="415"/>
      <c r="AA806" s="415"/>
      <c r="AD806" s="415"/>
      <c r="AE806" s="417" t="s">
        <v>6672</v>
      </c>
      <c r="AF806" s="416" t="s">
        <v>6673</v>
      </c>
      <c r="AG806" s="415"/>
      <c r="AJ806" s="415" t="s">
        <v>337</v>
      </c>
      <c r="AM806" s="415" t="s">
        <v>337</v>
      </c>
      <c r="AP806" s="415" t="s">
        <v>337</v>
      </c>
      <c r="AS806" s="415" t="s">
        <v>337</v>
      </c>
      <c r="AV806" s="415" t="s">
        <v>337</v>
      </c>
      <c r="AY806" s="415" t="s">
        <v>337</v>
      </c>
      <c r="BB806" s="415" t="s">
        <v>337</v>
      </c>
      <c r="BE806" s="415" t="s">
        <v>337</v>
      </c>
      <c r="BH806" s="415" t="s">
        <v>337</v>
      </c>
      <c r="BM806" s="415" t="s">
        <v>337</v>
      </c>
      <c r="BP806" s="415" t="s">
        <v>337</v>
      </c>
      <c r="BS806" s="415"/>
      <c r="BV806" s="415" t="s">
        <v>337</v>
      </c>
      <c r="BY806" s="415" t="s">
        <v>337</v>
      </c>
      <c r="CB806" s="415" t="s">
        <v>337</v>
      </c>
      <c r="CE806" s="415" t="s">
        <v>337</v>
      </c>
      <c r="CH806" s="415" t="s">
        <v>337</v>
      </c>
      <c r="CK806" s="415" t="s">
        <v>337</v>
      </c>
      <c r="CN806" s="415" t="s">
        <v>337</v>
      </c>
      <c r="CQ806" s="415" t="s">
        <v>337</v>
      </c>
      <c r="CT806" s="415" t="s">
        <v>337</v>
      </c>
    </row>
    <row r="807" spans="1:98">
      <c r="A807" s="1" t="s">
        <v>1602</v>
      </c>
      <c r="B807" s="416" t="s">
        <v>6674</v>
      </c>
      <c r="S807" s="213" t="s">
        <v>6675</v>
      </c>
      <c r="T807" s="416" t="s">
        <v>6676</v>
      </c>
      <c r="U807" s="415" t="s">
        <v>337</v>
      </c>
      <c r="X807" s="415"/>
      <c r="AA807" s="415"/>
      <c r="AD807" s="415"/>
      <c r="AE807" s="417" t="s">
        <v>6677</v>
      </c>
      <c r="AF807" s="416" t="s">
        <v>6678</v>
      </c>
      <c r="AG807" s="415"/>
      <c r="AJ807" s="415" t="s">
        <v>337</v>
      </c>
      <c r="AM807" s="415" t="s">
        <v>337</v>
      </c>
      <c r="AP807" s="415" t="s">
        <v>337</v>
      </c>
      <c r="AS807" s="415" t="s">
        <v>337</v>
      </c>
      <c r="AV807" s="415" t="s">
        <v>337</v>
      </c>
      <c r="AY807" s="415" t="s">
        <v>337</v>
      </c>
      <c r="BB807" s="415" t="s">
        <v>337</v>
      </c>
      <c r="BE807" s="415" t="s">
        <v>337</v>
      </c>
      <c r="BH807" s="415" t="s">
        <v>337</v>
      </c>
      <c r="BM807" s="415" t="s">
        <v>337</v>
      </c>
      <c r="BP807" s="415" t="s">
        <v>337</v>
      </c>
      <c r="BS807" s="415"/>
      <c r="BV807" s="415" t="s">
        <v>337</v>
      </c>
      <c r="BY807" s="415" t="s">
        <v>337</v>
      </c>
      <c r="CB807" s="415" t="s">
        <v>337</v>
      </c>
      <c r="CE807" s="415" t="s">
        <v>337</v>
      </c>
      <c r="CH807" s="415" t="s">
        <v>337</v>
      </c>
      <c r="CK807" s="415" t="s">
        <v>337</v>
      </c>
      <c r="CN807" s="415" t="s">
        <v>337</v>
      </c>
      <c r="CQ807" s="415" t="s">
        <v>337</v>
      </c>
      <c r="CT807" s="415" t="s">
        <v>337</v>
      </c>
    </row>
    <row r="808" spans="1:98">
      <c r="A808" s="1" t="s">
        <v>1602</v>
      </c>
      <c r="B808" s="416" t="s">
        <v>6679</v>
      </c>
      <c r="S808" s="213" t="s">
        <v>6680</v>
      </c>
      <c r="T808" s="416" t="s">
        <v>2017</v>
      </c>
      <c r="U808" s="415" t="s">
        <v>337</v>
      </c>
      <c r="X808" s="415"/>
      <c r="AA808" s="415"/>
      <c r="AD808" s="415"/>
      <c r="AE808" s="417" t="s">
        <v>6681</v>
      </c>
      <c r="AF808" s="416" t="s">
        <v>6682</v>
      </c>
      <c r="AG808" s="415"/>
      <c r="AJ808" s="415" t="s">
        <v>337</v>
      </c>
      <c r="AM808" s="415" t="s">
        <v>337</v>
      </c>
      <c r="AP808" s="415" t="s">
        <v>337</v>
      </c>
      <c r="AS808" s="415" t="s">
        <v>337</v>
      </c>
      <c r="AV808" s="415" t="s">
        <v>337</v>
      </c>
      <c r="AY808" s="415" t="s">
        <v>337</v>
      </c>
      <c r="BB808" s="415" t="s">
        <v>337</v>
      </c>
      <c r="BE808" s="415" t="s">
        <v>337</v>
      </c>
      <c r="BH808" s="415" t="s">
        <v>337</v>
      </c>
      <c r="BM808" s="415" t="s">
        <v>337</v>
      </c>
      <c r="BP808" s="415" t="s">
        <v>337</v>
      </c>
      <c r="BS808" s="415"/>
      <c r="BV808" s="415" t="s">
        <v>337</v>
      </c>
      <c r="BY808" s="415" t="s">
        <v>337</v>
      </c>
      <c r="CB808" s="415" t="s">
        <v>337</v>
      </c>
      <c r="CE808" s="415" t="s">
        <v>337</v>
      </c>
      <c r="CH808" s="415" t="s">
        <v>337</v>
      </c>
      <c r="CK808" s="415" t="s">
        <v>337</v>
      </c>
      <c r="CN808" s="415" t="s">
        <v>337</v>
      </c>
      <c r="CQ808" s="415" t="s">
        <v>337</v>
      </c>
      <c r="CT808" s="415" t="s">
        <v>337</v>
      </c>
    </row>
    <row r="809" spans="1:98">
      <c r="A809" s="1" t="s">
        <v>1602</v>
      </c>
      <c r="B809" s="416" t="s">
        <v>4218</v>
      </c>
      <c r="S809" s="213" t="s">
        <v>6683</v>
      </c>
      <c r="T809" s="416" t="s">
        <v>6684</v>
      </c>
      <c r="U809" s="415" t="s">
        <v>337</v>
      </c>
      <c r="X809" s="415"/>
      <c r="AA809" s="415"/>
      <c r="AD809" s="415"/>
      <c r="AE809" s="417" t="s">
        <v>6685</v>
      </c>
      <c r="AF809" s="416" t="s">
        <v>6686</v>
      </c>
      <c r="AG809" s="415"/>
      <c r="AJ809" s="415" t="s">
        <v>337</v>
      </c>
      <c r="AM809" s="415" t="s">
        <v>337</v>
      </c>
      <c r="AP809" s="415" t="s">
        <v>337</v>
      </c>
      <c r="AS809" s="415" t="s">
        <v>337</v>
      </c>
      <c r="AV809" s="415" t="s">
        <v>337</v>
      </c>
      <c r="AY809" s="415" t="s">
        <v>337</v>
      </c>
      <c r="BB809" s="415" t="s">
        <v>337</v>
      </c>
      <c r="BE809" s="415" t="s">
        <v>337</v>
      </c>
      <c r="BH809" s="415" t="s">
        <v>337</v>
      </c>
      <c r="BM809" s="415" t="s">
        <v>337</v>
      </c>
      <c r="BP809" s="415" t="s">
        <v>337</v>
      </c>
      <c r="BS809" s="415"/>
      <c r="BV809" s="415" t="s">
        <v>337</v>
      </c>
      <c r="BY809" s="415" t="s">
        <v>337</v>
      </c>
      <c r="CB809" s="415" t="s">
        <v>337</v>
      </c>
      <c r="CE809" s="415" t="s">
        <v>337</v>
      </c>
      <c r="CH809" s="415" t="s">
        <v>337</v>
      </c>
      <c r="CK809" s="415" t="s">
        <v>337</v>
      </c>
      <c r="CN809" s="415" t="s">
        <v>337</v>
      </c>
      <c r="CQ809" s="415" t="s">
        <v>337</v>
      </c>
      <c r="CT809" s="415" t="s">
        <v>337</v>
      </c>
    </row>
    <row r="810" spans="1:98">
      <c r="A810" s="1" t="s">
        <v>1602</v>
      </c>
      <c r="B810" s="416" t="s">
        <v>1893</v>
      </c>
      <c r="S810" s="213" t="s">
        <v>6687</v>
      </c>
      <c r="T810" s="416" t="s">
        <v>6688</v>
      </c>
      <c r="U810" s="415" t="s">
        <v>337</v>
      </c>
      <c r="X810" s="415"/>
      <c r="AA810" s="415"/>
      <c r="AD810" s="415"/>
      <c r="AE810" s="417" t="s">
        <v>6689</v>
      </c>
      <c r="AF810" s="416" t="s">
        <v>6690</v>
      </c>
      <c r="AG810" s="415"/>
      <c r="AJ810" s="415" t="s">
        <v>337</v>
      </c>
      <c r="AM810" s="415" t="s">
        <v>337</v>
      </c>
      <c r="AP810" s="415" t="s">
        <v>337</v>
      </c>
      <c r="AS810" s="415" t="s">
        <v>337</v>
      </c>
      <c r="AV810" s="415" t="s">
        <v>337</v>
      </c>
      <c r="AY810" s="415" t="s">
        <v>337</v>
      </c>
      <c r="BB810" s="415" t="s">
        <v>337</v>
      </c>
      <c r="BE810" s="415" t="s">
        <v>337</v>
      </c>
      <c r="BH810" s="415" t="s">
        <v>337</v>
      </c>
      <c r="BM810" s="415" t="s">
        <v>337</v>
      </c>
      <c r="BP810" s="415" t="s">
        <v>337</v>
      </c>
      <c r="BS810" s="415"/>
      <c r="BV810" s="415" t="s">
        <v>337</v>
      </c>
      <c r="BY810" s="415" t="s">
        <v>337</v>
      </c>
      <c r="CB810" s="415" t="s">
        <v>337</v>
      </c>
      <c r="CE810" s="415" t="s">
        <v>337</v>
      </c>
      <c r="CH810" s="415" t="s">
        <v>337</v>
      </c>
      <c r="CK810" s="415" t="s">
        <v>337</v>
      </c>
      <c r="CN810" s="415" t="s">
        <v>337</v>
      </c>
      <c r="CQ810" s="415" t="s">
        <v>337</v>
      </c>
      <c r="CT810" s="415" t="s">
        <v>337</v>
      </c>
    </row>
    <row r="811" spans="1:98">
      <c r="A811" s="1" t="s">
        <v>1602</v>
      </c>
      <c r="B811" s="416" t="s">
        <v>6691</v>
      </c>
      <c r="S811" s="213" t="s">
        <v>6692</v>
      </c>
      <c r="T811" s="416" t="s">
        <v>6693</v>
      </c>
      <c r="U811" s="415" t="s">
        <v>337</v>
      </c>
      <c r="X811" s="415"/>
      <c r="AA811" s="415"/>
      <c r="AD811" s="415"/>
      <c r="AE811" s="417" t="s">
        <v>6694</v>
      </c>
      <c r="AF811" s="416" t="s">
        <v>6695</v>
      </c>
      <c r="AG811" s="415"/>
      <c r="AJ811" s="415" t="s">
        <v>337</v>
      </c>
      <c r="AM811" s="415" t="s">
        <v>337</v>
      </c>
      <c r="AP811" s="415" t="s">
        <v>337</v>
      </c>
      <c r="AS811" s="415" t="s">
        <v>337</v>
      </c>
      <c r="AV811" s="415" t="s">
        <v>337</v>
      </c>
      <c r="AY811" s="415" t="s">
        <v>337</v>
      </c>
      <c r="BB811" s="415" t="s">
        <v>337</v>
      </c>
      <c r="BE811" s="415" t="s">
        <v>337</v>
      </c>
      <c r="BH811" s="415" t="s">
        <v>337</v>
      </c>
      <c r="BM811" s="415" t="s">
        <v>337</v>
      </c>
      <c r="BP811" s="415" t="s">
        <v>337</v>
      </c>
      <c r="BS811" s="415"/>
      <c r="BV811" s="415" t="s">
        <v>337</v>
      </c>
      <c r="BY811" s="415" t="s">
        <v>337</v>
      </c>
      <c r="CB811" s="415" t="s">
        <v>337</v>
      </c>
      <c r="CE811" s="415" t="s">
        <v>337</v>
      </c>
      <c r="CH811" s="415" t="s">
        <v>337</v>
      </c>
      <c r="CK811" s="415" t="s">
        <v>337</v>
      </c>
      <c r="CN811" s="415" t="s">
        <v>337</v>
      </c>
      <c r="CQ811" s="415" t="s">
        <v>337</v>
      </c>
      <c r="CT811" s="415" t="s">
        <v>337</v>
      </c>
    </row>
    <row r="812" spans="1:98">
      <c r="A812" s="1" t="s">
        <v>1602</v>
      </c>
      <c r="B812" s="416" t="s">
        <v>6696</v>
      </c>
      <c r="S812" s="213" t="s">
        <v>6697</v>
      </c>
      <c r="T812" s="416" t="s">
        <v>1955</v>
      </c>
      <c r="U812" s="415" t="s">
        <v>337</v>
      </c>
      <c r="X812" s="415"/>
      <c r="AA812" s="415"/>
      <c r="AD812" s="415"/>
      <c r="AE812" s="417" t="s">
        <v>6698</v>
      </c>
      <c r="AF812" s="416" t="s">
        <v>6699</v>
      </c>
      <c r="AG812" s="415"/>
      <c r="AJ812" s="415" t="s">
        <v>337</v>
      </c>
      <c r="AM812" s="415" t="s">
        <v>337</v>
      </c>
      <c r="AP812" s="415" t="s">
        <v>337</v>
      </c>
      <c r="AS812" s="415" t="s">
        <v>337</v>
      </c>
      <c r="AV812" s="415" t="s">
        <v>337</v>
      </c>
      <c r="AY812" s="415" t="s">
        <v>337</v>
      </c>
      <c r="BB812" s="415" t="s">
        <v>337</v>
      </c>
      <c r="BE812" s="415" t="s">
        <v>337</v>
      </c>
      <c r="BH812" s="415" t="s">
        <v>337</v>
      </c>
      <c r="BM812" s="415" t="s">
        <v>337</v>
      </c>
      <c r="BP812" s="415" t="s">
        <v>337</v>
      </c>
      <c r="BS812" s="415"/>
      <c r="BV812" s="415" t="s">
        <v>337</v>
      </c>
      <c r="BY812" s="415" t="s">
        <v>337</v>
      </c>
      <c r="CB812" s="415" t="s">
        <v>337</v>
      </c>
      <c r="CE812" s="415" t="s">
        <v>337</v>
      </c>
      <c r="CH812" s="415" t="s">
        <v>337</v>
      </c>
      <c r="CK812" s="415" t="s">
        <v>337</v>
      </c>
      <c r="CN812" s="415" t="s">
        <v>337</v>
      </c>
      <c r="CQ812" s="415" t="s">
        <v>337</v>
      </c>
      <c r="CT812" s="415" t="s">
        <v>337</v>
      </c>
    </row>
    <row r="813" spans="1:98">
      <c r="A813" s="1" t="s">
        <v>1602</v>
      </c>
      <c r="B813" s="416" t="s">
        <v>6700</v>
      </c>
      <c r="S813" s="213" t="s">
        <v>6701</v>
      </c>
      <c r="T813" s="416" t="s">
        <v>6702</v>
      </c>
      <c r="U813" s="415" t="s">
        <v>337</v>
      </c>
      <c r="X813" s="415"/>
      <c r="AA813" s="415"/>
      <c r="AD813" s="415"/>
      <c r="AE813" s="417" t="s">
        <v>6703</v>
      </c>
      <c r="AF813" s="416" t="s">
        <v>6704</v>
      </c>
      <c r="AG813" s="415"/>
      <c r="AJ813" s="415" t="s">
        <v>337</v>
      </c>
      <c r="AM813" s="415" t="s">
        <v>337</v>
      </c>
      <c r="AP813" s="415" t="s">
        <v>337</v>
      </c>
      <c r="AS813" s="415" t="s">
        <v>337</v>
      </c>
      <c r="AV813" s="415" t="s">
        <v>337</v>
      </c>
      <c r="AY813" s="415" t="s">
        <v>337</v>
      </c>
      <c r="BB813" s="415" t="s">
        <v>337</v>
      </c>
      <c r="BE813" s="415" t="s">
        <v>337</v>
      </c>
      <c r="BH813" s="415" t="s">
        <v>337</v>
      </c>
      <c r="BM813" s="415" t="s">
        <v>337</v>
      </c>
      <c r="BP813" s="415" t="s">
        <v>337</v>
      </c>
      <c r="BS813" s="415"/>
      <c r="BV813" s="415" t="s">
        <v>337</v>
      </c>
      <c r="BY813" s="415" t="s">
        <v>337</v>
      </c>
      <c r="CB813" s="415" t="s">
        <v>337</v>
      </c>
      <c r="CE813" s="415" t="s">
        <v>337</v>
      </c>
      <c r="CH813" s="415" t="s">
        <v>337</v>
      </c>
      <c r="CK813" s="415" t="s">
        <v>337</v>
      </c>
      <c r="CN813" s="415" t="s">
        <v>337</v>
      </c>
      <c r="CQ813" s="415" t="s">
        <v>337</v>
      </c>
      <c r="CT813" s="415" t="s">
        <v>337</v>
      </c>
    </row>
    <row r="814" spans="1:98">
      <c r="A814" s="1" t="s">
        <v>1602</v>
      </c>
      <c r="B814" s="416" t="s">
        <v>6705</v>
      </c>
      <c r="S814" s="213" t="s">
        <v>6706</v>
      </c>
      <c r="T814" s="416" t="s">
        <v>6707</v>
      </c>
      <c r="U814" s="415" t="s">
        <v>337</v>
      </c>
      <c r="X814" s="415"/>
      <c r="AA814" s="415"/>
      <c r="AD814" s="415"/>
      <c r="AE814" s="417" t="s">
        <v>6708</v>
      </c>
      <c r="AF814" s="416" t="s">
        <v>6709</v>
      </c>
      <c r="AG814" s="415"/>
      <c r="AJ814" s="415" t="s">
        <v>337</v>
      </c>
      <c r="AM814" s="415" t="s">
        <v>337</v>
      </c>
      <c r="AP814" s="415" t="s">
        <v>337</v>
      </c>
      <c r="AS814" s="415" t="s">
        <v>337</v>
      </c>
      <c r="AV814" s="415" t="s">
        <v>337</v>
      </c>
      <c r="AY814" s="415" t="s">
        <v>337</v>
      </c>
      <c r="BB814" s="415" t="s">
        <v>337</v>
      </c>
      <c r="BE814" s="415" t="s">
        <v>337</v>
      </c>
      <c r="BH814" s="415" t="s">
        <v>337</v>
      </c>
      <c r="BM814" s="415" t="s">
        <v>337</v>
      </c>
      <c r="BP814" s="415" t="s">
        <v>337</v>
      </c>
      <c r="BS814" s="415"/>
      <c r="BV814" s="415" t="s">
        <v>337</v>
      </c>
      <c r="BY814" s="415" t="s">
        <v>337</v>
      </c>
      <c r="CB814" s="415" t="s">
        <v>337</v>
      </c>
      <c r="CE814" s="415" t="s">
        <v>337</v>
      </c>
      <c r="CH814" s="415" t="s">
        <v>337</v>
      </c>
      <c r="CK814" s="415" t="s">
        <v>337</v>
      </c>
      <c r="CN814" s="415" t="s">
        <v>337</v>
      </c>
      <c r="CQ814" s="415" t="s">
        <v>337</v>
      </c>
      <c r="CT814" s="415" t="s">
        <v>337</v>
      </c>
    </row>
    <row r="815" spans="1:98">
      <c r="A815" s="1" t="s">
        <v>1602</v>
      </c>
      <c r="B815" s="416" t="s">
        <v>6710</v>
      </c>
      <c r="S815" s="213" t="s">
        <v>6711</v>
      </c>
      <c r="T815" s="416" t="s">
        <v>6712</v>
      </c>
      <c r="U815" s="415" t="s">
        <v>337</v>
      </c>
      <c r="X815" s="415"/>
      <c r="AA815" s="415"/>
      <c r="AD815" s="415"/>
      <c r="AE815" s="417" t="s">
        <v>6713</v>
      </c>
      <c r="AF815" s="416" t="s">
        <v>6714</v>
      </c>
      <c r="AG815" s="415"/>
      <c r="AJ815" s="415" t="s">
        <v>337</v>
      </c>
      <c r="AM815" s="415" t="s">
        <v>337</v>
      </c>
      <c r="AP815" s="415" t="s">
        <v>337</v>
      </c>
      <c r="AS815" s="415" t="s">
        <v>337</v>
      </c>
      <c r="AV815" s="415" t="s">
        <v>337</v>
      </c>
      <c r="AY815" s="415" t="s">
        <v>337</v>
      </c>
      <c r="BB815" s="415" t="s">
        <v>337</v>
      </c>
      <c r="BE815" s="415" t="s">
        <v>337</v>
      </c>
      <c r="BH815" s="415" t="s">
        <v>337</v>
      </c>
      <c r="BM815" s="415" t="s">
        <v>337</v>
      </c>
      <c r="BP815" s="415" t="s">
        <v>337</v>
      </c>
      <c r="BS815" s="415"/>
      <c r="BV815" s="415" t="s">
        <v>337</v>
      </c>
      <c r="BY815" s="415" t="s">
        <v>337</v>
      </c>
      <c r="CB815" s="415" t="s">
        <v>337</v>
      </c>
      <c r="CE815" s="415" t="s">
        <v>337</v>
      </c>
      <c r="CH815" s="415" t="s">
        <v>337</v>
      </c>
      <c r="CK815" s="415" t="s">
        <v>337</v>
      </c>
      <c r="CN815" s="415" t="s">
        <v>337</v>
      </c>
      <c r="CQ815" s="415" t="s">
        <v>337</v>
      </c>
      <c r="CT815" s="415" t="s">
        <v>337</v>
      </c>
    </row>
    <row r="816" spans="1:98">
      <c r="A816" s="1" t="s">
        <v>1616</v>
      </c>
      <c r="B816" s="416" t="s">
        <v>6715</v>
      </c>
      <c r="S816" s="213" t="s">
        <v>6716</v>
      </c>
      <c r="T816" s="416" t="s">
        <v>6717</v>
      </c>
      <c r="U816" s="415" t="s">
        <v>337</v>
      </c>
      <c r="X816" s="415"/>
      <c r="AA816" s="415"/>
      <c r="AD816" s="415"/>
      <c r="AE816" s="417" t="s">
        <v>6718</v>
      </c>
      <c r="AF816" s="416" t="s">
        <v>6719</v>
      </c>
      <c r="AG816" s="415"/>
      <c r="AJ816" s="415" t="s">
        <v>337</v>
      </c>
      <c r="AM816" s="415" t="s">
        <v>337</v>
      </c>
      <c r="AP816" s="415" t="s">
        <v>337</v>
      </c>
      <c r="AS816" s="415" t="s">
        <v>337</v>
      </c>
      <c r="AV816" s="415" t="s">
        <v>337</v>
      </c>
      <c r="AY816" s="415" t="s">
        <v>337</v>
      </c>
      <c r="BB816" s="415" t="s">
        <v>337</v>
      </c>
      <c r="BE816" s="415" t="s">
        <v>337</v>
      </c>
      <c r="BH816" s="415" t="s">
        <v>337</v>
      </c>
      <c r="BM816" s="415" t="s">
        <v>337</v>
      </c>
      <c r="BP816" s="415" t="s">
        <v>337</v>
      </c>
      <c r="BS816" s="415"/>
      <c r="BV816" s="415" t="s">
        <v>337</v>
      </c>
      <c r="BY816" s="415" t="s">
        <v>337</v>
      </c>
      <c r="CB816" s="415" t="s">
        <v>337</v>
      </c>
      <c r="CE816" s="415" t="s">
        <v>337</v>
      </c>
      <c r="CH816" s="415" t="s">
        <v>337</v>
      </c>
      <c r="CK816" s="415" t="s">
        <v>337</v>
      </c>
      <c r="CN816" s="415" t="s">
        <v>337</v>
      </c>
      <c r="CQ816" s="415" t="s">
        <v>337</v>
      </c>
      <c r="CT816" s="415" t="s">
        <v>337</v>
      </c>
    </row>
    <row r="817" spans="1:98">
      <c r="A817" s="1" t="s">
        <v>1616</v>
      </c>
      <c r="B817" s="416" t="s">
        <v>6720</v>
      </c>
      <c r="S817" s="213" t="s">
        <v>6721</v>
      </c>
      <c r="T817" s="416" t="s">
        <v>6722</v>
      </c>
      <c r="U817" s="415" t="s">
        <v>337</v>
      </c>
      <c r="X817" s="415"/>
      <c r="AA817" s="415"/>
      <c r="AD817" s="415"/>
      <c r="AE817" s="417" t="s">
        <v>6723</v>
      </c>
      <c r="AF817" s="416" t="s">
        <v>6724</v>
      </c>
      <c r="AG817" s="415"/>
      <c r="AJ817" s="415" t="s">
        <v>337</v>
      </c>
      <c r="AM817" s="415" t="s">
        <v>337</v>
      </c>
      <c r="AP817" s="415" t="s">
        <v>337</v>
      </c>
      <c r="AS817" s="415" t="s">
        <v>337</v>
      </c>
      <c r="AV817" s="415" t="s">
        <v>337</v>
      </c>
      <c r="AY817" s="415" t="s">
        <v>337</v>
      </c>
      <c r="BB817" s="415" t="s">
        <v>337</v>
      </c>
      <c r="BE817" s="415" t="s">
        <v>337</v>
      </c>
      <c r="BH817" s="415" t="s">
        <v>337</v>
      </c>
      <c r="BM817" s="415" t="s">
        <v>337</v>
      </c>
      <c r="BP817" s="415" t="s">
        <v>337</v>
      </c>
      <c r="BS817" s="415"/>
      <c r="BV817" s="415" t="s">
        <v>337</v>
      </c>
      <c r="BY817" s="415" t="s">
        <v>337</v>
      </c>
      <c r="CB817" s="415" t="s">
        <v>337</v>
      </c>
      <c r="CE817" s="415" t="s">
        <v>337</v>
      </c>
      <c r="CH817" s="415" t="s">
        <v>337</v>
      </c>
      <c r="CK817" s="415" t="s">
        <v>337</v>
      </c>
      <c r="CN817" s="415" t="s">
        <v>337</v>
      </c>
      <c r="CQ817" s="415" t="s">
        <v>337</v>
      </c>
      <c r="CT817" s="415" t="s">
        <v>337</v>
      </c>
    </row>
    <row r="818" spans="1:98">
      <c r="A818" s="1" t="s">
        <v>1616</v>
      </c>
      <c r="B818" s="416" t="s">
        <v>6725</v>
      </c>
      <c r="S818" s="213" t="s">
        <v>6726</v>
      </c>
      <c r="T818" s="416" t="s">
        <v>6727</v>
      </c>
      <c r="U818" s="415" t="s">
        <v>337</v>
      </c>
      <c r="X818" s="415"/>
      <c r="AA818" s="415"/>
      <c r="AD818" s="415"/>
      <c r="AE818" s="417" t="s">
        <v>6728</v>
      </c>
      <c r="AF818" s="416" t="s">
        <v>6729</v>
      </c>
      <c r="AG818" s="415"/>
      <c r="AJ818" s="415" t="s">
        <v>337</v>
      </c>
      <c r="AM818" s="415" t="s">
        <v>337</v>
      </c>
      <c r="AP818" s="415" t="s">
        <v>337</v>
      </c>
      <c r="AS818" s="415" t="s">
        <v>337</v>
      </c>
      <c r="AV818" s="415" t="s">
        <v>337</v>
      </c>
      <c r="AY818" s="415" t="s">
        <v>337</v>
      </c>
      <c r="BB818" s="415" t="s">
        <v>337</v>
      </c>
      <c r="BE818" s="415" t="s">
        <v>337</v>
      </c>
      <c r="BH818" s="415" t="s">
        <v>337</v>
      </c>
      <c r="BM818" s="415" t="s">
        <v>337</v>
      </c>
      <c r="BP818" s="415" t="s">
        <v>337</v>
      </c>
      <c r="BS818" s="415"/>
      <c r="BV818" s="415" t="s">
        <v>337</v>
      </c>
      <c r="BY818" s="415" t="s">
        <v>337</v>
      </c>
      <c r="CB818" s="415" t="s">
        <v>337</v>
      </c>
      <c r="CE818" s="415" t="s">
        <v>337</v>
      </c>
      <c r="CH818" s="415" t="s">
        <v>337</v>
      </c>
      <c r="CK818" s="415" t="s">
        <v>337</v>
      </c>
      <c r="CN818" s="415" t="s">
        <v>337</v>
      </c>
      <c r="CQ818" s="415" t="s">
        <v>337</v>
      </c>
      <c r="CT818" s="415" t="s">
        <v>337</v>
      </c>
    </row>
    <row r="819" spans="1:98">
      <c r="A819" s="1" t="s">
        <v>1616</v>
      </c>
      <c r="B819" s="416" t="s">
        <v>6730</v>
      </c>
      <c r="S819" s="213" t="s">
        <v>6731</v>
      </c>
      <c r="T819" s="416" t="s">
        <v>6732</v>
      </c>
      <c r="U819" s="415" t="s">
        <v>337</v>
      </c>
      <c r="X819" s="415"/>
      <c r="AA819" s="415"/>
      <c r="AD819" s="415"/>
      <c r="AE819" s="417" t="s">
        <v>6733</v>
      </c>
      <c r="AF819" s="416" t="s">
        <v>6734</v>
      </c>
      <c r="AG819" s="415"/>
      <c r="AJ819" s="415" t="s">
        <v>337</v>
      </c>
      <c r="AM819" s="415" t="s">
        <v>337</v>
      </c>
      <c r="AP819" s="415" t="s">
        <v>337</v>
      </c>
      <c r="AS819" s="415" t="s">
        <v>337</v>
      </c>
      <c r="AV819" s="415" t="s">
        <v>337</v>
      </c>
      <c r="AY819" s="415" t="s">
        <v>337</v>
      </c>
      <c r="BB819" s="415" t="s">
        <v>337</v>
      </c>
      <c r="BE819" s="415" t="s">
        <v>337</v>
      </c>
      <c r="BH819" s="415" t="s">
        <v>337</v>
      </c>
      <c r="BM819" s="415" t="s">
        <v>337</v>
      </c>
      <c r="BP819" s="415" t="s">
        <v>337</v>
      </c>
      <c r="BS819" s="415"/>
      <c r="BV819" s="415" t="s">
        <v>337</v>
      </c>
      <c r="BY819" s="415" t="s">
        <v>337</v>
      </c>
      <c r="CB819" s="415" t="s">
        <v>337</v>
      </c>
      <c r="CE819" s="415" t="s">
        <v>337</v>
      </c>
      <c r="CH819" s="415" t="s">
        <v>337</v>
      </c>
      <c r="CK819" s="415" t="s">
        <v>337</v>
      </c>
      <c r="CN819" s="415" t="s">
        <v>337</v>
      </c>
      <c r="CQ819" s="415" t="s">
        <v>337</v>
      </c>
      <c r="CT819" s="415" t="s">
        <v>337</v>
      </c>
    </row>
    <row r="820" spans="1:98">
      <c r="A820" s="1" t="s">
        <v>1616</v>
      </c>
      <c r="B820" s="416" t="s">
        <v>6735</v>
      </c>
      <c r="S820" s="213" t="s">
        <v>6736</v>
      </c>
      <c r="T820" s="416" t="s">
        <v>6737</v>
      </c>
      <c r="U820" s="415" t="s">
        <v>337</v>
      </c>
      <c r="X820" s="415"/>
      <c r="AA820" s="415"/>
      <c r="AD820" s="415"/>
      <c r="AE820" s="417" t="s">
        <v>6738</v>
      </c>
      <c r="AF820" s="416" t="s">
        <v>1989</v>
      </c>
      <c r="AG820" s="415"/>
      <c r="AJ820" s="415" t="s">
        <v>337</v>
      </c>
      <c r="AM820" s="415" t="s">
        <v>337</v>
      </c>
      <c r="AP820" s="415" t="s">
        <v>337</v>
      </c>
      <c r="AS820" s="415" t="s">
        <v>337</v>
      </c>
      <c r="AV820" s="415" t="s">
        <v>337</v>
      </c>
      <c r="AY820" s="415" t="s">
        <v>337</v>
      </c>
      <c r="BB820" s="415" t="s">
        <v>337</v>
      </c>
      <c r="BE820" s="415" t="s">
        <v>337</v>
      </c>
      <c r="BH820" s="415" t="s">
        <v>337</v>
      </c>
      <c r="BM820" s="415" t="s">
        <v>337</v>
      </c>
      <c r="BP820" s="415" t="s">
        <v>337</v>
      </c>
      <c r="BS820" s="415"/>
      <c r="BV820" s="415" t="s">
        <v>337</v>
      </c>
      <c r="BY820" s="415" t="s">
        <v>337</v>
      </c>
      <c r="CB820" s="415" t="s">
        <v>337</v>
      </c>
      <c r="CE820" s="415" t="s">
        <v>337</v>
      </c>
      <c r="CH820" s="415" t="s">
        <v>337</v>
      </c>
      <c r="CK820" s="415" t="s">
        <v>337</v>
      </c>
      <c r="CN820" s="415" t="s">
        <v>337</v>
      </c>
      <c r="CQ820" s="415" t="s">
        <v>337</v>
      </c>
      <c r="CT820" s="415" t="s">
        <v>337</v>
      </c>
    </row>
    <row r="821" spans="1:98">
      <c r="A821" s="1" t="s">
        <v>1616</v>
      </c>
      <c r="B821" s="416" t="s">
        <v>6739</v>
      </c>
      <c r="S821" s="213" t="s">
        <v>6740</v>
      </c>
      <c r="T821" s="416" t="s">
        <v>6741</v>
      </c>
      <c r="U821" s="415" t="s">
        <v>337</v>
      </c>
      <c r="X821" s="415"/>
      <c r="AA821" s="415"/>
      <c r="AD821" s="415"/>
      <c r="AE821" s="417" t="s">
        <v>6742</v>
      </c>
      <c r="AF821" s="416" t="s">
        <v>1989</v>
      </c>
      <c r="AG821" s="415"/>
      <c r="AJ821" s="415" t="s">
        <v>337</v>
      </c>
      <c r="AM821" s="415" t="s">
        <v>337</v>
      </c>
      <c r="AP821" s="415" t="s">
        <v>337</v>
      </c>
      <c r="AS821" s="415" t="s">
        <v>337</v>
      </c>
      <c r="AV821" s="415" t="s">
        <v>337</v>
      </c>
      <c r="AY821" s="415" t="s">
        <v>337</v>
      </c>
      <c r="BB821" s="415" t="s">
        <v>337</v>
      </c>
      <c r="BE821" s="415" t="s">
        <v>337</v>
      </c>
      <c r="BH821" s="415" t="s">
        <v>337</v>
      </c>
      <c r="BM821" s="415" t="s">
        <v>337</v>
      </c>
      <c r="BP821" s="415" t="s">
        <v>337</v>
      </c>
      <c r="BS821" s="415"/>
      <c r="BV821" s="415" t="s">
        <v>337</v>
      </c>
      <c r="BY821" s="415" t="s">
        <v>337</v>
      </c>
      <c r="CB821" s="415" t="s">
        <v>337</v>
      </c>
      <c r="CE821" s="415" t="s">
        <v>337</v>
      </c>
      <c r="CH821" s="415" t="s">
        <v>337</v>
      </c>
      <c r="CK821" s="415" t="s">
        <v>337</v>
      </c>
      <c r="CN821" s="415" t="s">
        <v>337</v>
      </c>
      <c r="CQ821" s="415" t="s">
        <v>337</v>
      </c>
      <c r="CT821" s="415" t="s">
        <v>337</v>
      </c>
    </row>
    <row r="822" spans="1:98">
      <c r="A822" s="1" t="s">
        <v>1616</v>
      </c>
      <c r="B822" s="416" t="s">
        <v>6743</v>
      </c>
      <c r="S822" s="213" t="s">
        <v>6744</v>
      </c>
      <c r="T822" s="416" t="s">
        <v>6745</v>
      </c>
      <c r="U822" s="415" t="s">
        <v>337</v>
      </c>
      <c r="X822" s="415"/>
      <c r="AA822" s="415"/>
      <c r="AD822" s="415"/>
      <c r="AE822" s="417" t="s">
        <v>6746</v>
      </c>
      <c r="AF822" s="416" t="s">
        <v>6747</v>
      </c>
      <c r="AG822" s="415"/>
      <c r="AJ822" s="415" t="s">
        <v>337</v>
      </c>
      <c r="AM822" s="415" t="s">
        <v>337</v>
      </c>
      <c r="AP822" s="415" t="s">
        <v>337</v>
      </c>
      <c r="AS822" s="415" t="s">
        <v>337</v>
      </c>
      <c r="AV822" s="415" t="s">
        <v>337</v>
      </c>
      <c r="AY822" s="415" t="s">
        <v>337</v>
      </c>
      <c r="BB822" s="415" t="s">
        <v>337</v>
      </c>
      <c r="BE822" s="415" t="s">
        <v>337</v>
      </c>
      <c r="BH822" s="415" t="s">
        <v>337</v>
      </c>
      <c r="BM822" s="415" t="s">
        <v>337</v>
      </c>
      <c r="BP822" s="415" t="s">
        <v>337</v>
      </c>
      <c r="BS822" s="415"/>
      <c r="BV822" s="415" t="s">
        <v>337</v>
      </c>
      <c r="BY822" s="415" t="s">
        <v>337</v>
      </c>
      <c r="CB822" s="415" t="s">
        <v>337</v>
      </c>
      <c r="CE822" s="415" t="s">
        <v>337</v>
      </c>
      <c r="CH822" s="415" t="s">
        <v>337</v>
      </c>
      <c r="CK822" s="415" t="s">
        <v>337</v>
      </c>
      <c r="CN822" s="415" t="s">
        <v>337</v>
      </c>
      <c r="CQ822" s="415" t="s">
        <v>337</v>
      </c>
      <c r="CT822" s="415" t="s">
        <v>337</v>
      </c>
    </row>
    <row r="823" spans="1:98">
      <c r="A823" s="1" t="s">
        <v>1616</v>
      </c>
      <c r="B823" s="416" t="s">
        <v>6748</v>
      </c>
      <c r="S823" s="213" t="s">
        <v>6749</v>
      </c>
      <c r="T823" s="416" t="s">
        <v>6750</v>
      </c>
      <c r="U823" s="415" t="s">
        <v>337</v>
      </c>
      <c r="X823" s="415"/>
      <c r="AA823" s="415"/>
      <c r="AD823" s="415"/>
      <c r="AE823" s="417" t="s">
        <v>6751</v>
      </c>
      <c r="AF823" s="416" t="s">
        <v>6752</v>
      </c>
      <c r="AG823" s="415"/>
      <c r="AJ823" s="415" t="s">
        <v>337</v>
      </c>
      <c r="AM823" s="415" t="s">
        <v>337</v>
      </c>
      <c r="AP823" s="415" t="s">
        <v>337</v>
      </c>
      <c r="AS823" s="415" t="s">
        <v>337</v>
      </c>
      <c r="AV823" s="415" t="s">
        <v>337</v>
      </c>
      <c r="AY823" s="415" t="s">
        <v>337</v>
      </c>
      <c r="BB823" s="415" t="s">
        <v>337</v>
      </c>
      <c r="BE823" s="415" t="s">
        <v>337</v>
      </c>
      <c r="BH823" s="415" t="s">
        <v>337</v>
      </c>
      <c r="BM823" s="415" t="s">
        <v>337</v>
      </c>
      <c r="BP823" s="415" t="s">
        <v>337</v>
      </c>
      <c r="BS823" s="415"/>
      <c r="BV823" s="415" t="s">
        <v>337</v>
      </c>
      <c r="BY823" s="415" t="s">
        <v>337</v>
      </c>
      <c r="CB823" s="415" t="s">
        <v>337</v>
      </c>
      <c r="CE823" s="415" t="s">
        <v>337</v>
      </c>
      <c r="CH823" s="415" t="s">
        <v>337</v>
      </c>
      <c r="CK823" s="415" t="s">
        <v>337</v>
      </c>
      <c r="CN823" s="415" t="s">
        <v>337</v>
      </c>
      <c r="CQ823" s="415" t="s">
        <v>337</v>
      </c>
      <c r="CT823" s="415" t="s">
        <v>337</v>
      </c>
    </row>
    <row r="824" spans="1:98">
      <c r="A824" s="1" t="s">
        <v>1616</v>
      </c>
      <c r="B824" s="416" t="s">
        <v>6753</v>
      </c>
      <c r="S824" s="213" t="s">
        <v>6754</v>
      </c>
      <c r="T824" s="416" t="s">
        <v>6755</v>
      </c>
      <c r="U824" s="415" t="s">
        <v>337</v>
      </c>
      <c r="X824" s="415"/>
      <c r="AA824" s="415"/>
      <c r="AD824" s="415"/>
      <c r="AE824" s="417" t="s">
        <v>6756</v>
      </c>
      <c r="AF824" s="416" t="s">
        <v>6757</v>
      </c>
      <c r="AG824" s="415"/>
      <c r="AJ824" s="415" t="s">
        <v>337</v>
      </c>
      <c r="AM824" s="415" t="s">
        <v>337</v>
      </c>
      <c r="AP824" s="415" t="s">
        <v>337</v>
      </c>
      <c r="AS824" s="415" t="s">
        <v>337</v>
      </c>
      <c r="AV824" s="415" t="s">
        <v>337</v>
      </c>
      <c r="AY824" s="415" t="s">
        <v>337</v>
      </c>
      <c r="BB824" s="415" t="s">
        <v>337</v>
      </c>
      <c r="BE824" s="415" t="s">
        <v>337</v>
      </c>
      <c r="BH824" s="415" t="s">
        <v>337</v>
      </c>
      <c r="BM824" s="415" t="s">
        <v>337</v>
      </c>
      <c r="BP824" s="415" t="s">
        <v>337</v>
      </c>
      <c r="BS824" s="415"/>
      <c r="BV824" s="415" t="s">
        <v>337</v>
      </c>
      <c r="BY824" s="415" t="s">
        <v>337</v>
      </c>
      <c r="CB824" s="415" t="s">
        <v>337</v>
      </c>
      <c r="CE824" s="415" t="s">
        <v>337</v>
      </c>
      <c r="CH824" s="415" t="s">
        <v>337</v>
      </c>
      <c r="CK824" s="415" t="s">
        <v>337</v>
      </c>
      <c r="CN824" s="415" t="s">
        <v>337</v>
      </c>
      <c r="CQ824" s="415" t="s">
        <v>337</v>
      </c>
      <c r="CT824" s="415" t="s">
        <v>337</v>
      </c>
    </row>
    <row r="825" spans="1:98">
      <c r="A825" s="1" t="s">
        <v>1616</v>
      </c>
      <c r="B825" s="416" t="s">
        <v>6758</v>
      </c>
      <c r="S825" s="213" t="s">
        <v>6759</v>
      </c>
      <c r="T825" s="416" t="s">
        <v>6760</v>
      </c>
      <c r="U825" s="415" t="s">
        <v>337</v>
      </c>
      <c r="X825" s="415"/>
      <c r="AA825" s="415"/>
      <c r="AD825" s="415"/>
      <c r="AE825" s="417" t="s">
        <v>6761</v>
      </c>
      <c r="AF825" s="416" t="s">
        <v>6762</v>
      </c>
      <c r="AG825" s="415"/>
      <c r="AJ825" s="415" t="s">
        <v>337</v>
      </c>
      <c r="AM825" s="415" t="s">
        <v>337</v>
      </c>
      <c r="AP825" s="415" t="s">
        <v>337</v>
      </c>
      <c r="AS825" s="415" t="s">
        <v>337</v>
      </c>
      <c r="AV825" s="415" t="s">
        <v>337</v>
      </c>
      <c r="AY825" s="415" t="s">
        <v>337</v>
      </c>
      <c r="BB825" s="415" t="s">
        <v>337</v>
      </c>
      <c r="BE825" s="415" t="s">
        <v>337</v>
      </c>
      <c r="BH825" s="415" t="s">
        <v>337</v>
      </c>
      <c r="BM825" s="415" t="s">
        <v>337</v>
      </c>
      <c r="BP825" s="415" t="s">
        <v>337</v>
      </c>
      <c r="BS825" s="415"/>
      <c r="BV825" s="415" t="s">
        <v>337</v>
      </c>
      <c r="BY825" s="415" t="s">
        <v>337</v>
      </c>
      <c r="CB825" s="415" t="s">
        <v>337</v>
      </c>
      <c r="CE825" s="415" t="s">
        <v>337</v>
      </c>
      <c r="CH825" s="415" t="s">
        <v>337</v>
      </c>
      <c r="CK825" s="415" t="s">
        <v>337</v>
      </c>
      <c r="CN825" s="415" t="s">
        <v>337</v>
      </c>
      <c r="CQ825" s="415" t="s">
        <v>337</v>
      </c>
      <c r="CT825" s="415" t="s">
        <v>337</v>
      </c>
    </row>
    <row r="826" spans="1:98">
      <c r="A826" s="1" t="s">
        <v>1616</v>
      </c>
      <c r="B826" s="416" t="s">
        <v>6763</v>
      </c>
      <c r="S826" s="213" t="s">
        <v>6764</v>
      </c>
      <c r="T826" s="416" t="s">
        <v>6765</v>
      </c>
      <c r="U826" s="415" t="s">
        <v>337</v>
      </c>
      <c r="X826" s="415"/>
      <c r="AA826" s="415"/>
      <c r="AD826" s="415"/>
      <c r="AE826" s="417" t="s">
        <v>6766</v>
      </c>
      <c r="AF826" s="416" t="s">
        <v>6767</v>
      </c>
      <c r="AG826" s="415"/>
      <c r="AJ826" s="415" t="s">
        <v>337</v>
      </c>
      <c r="AM826" s="415" t="s">
        <v>337</v>
      </c>
      <c r="AP826" s="415" t="s">
        <v>337</v>
      </c>
      <c r="AS826" s="415" t="s">
        <v>337</v>
      </c>
      <c r="AV826" s="415" t="s">
        <v>337</v>
      </c>
      <c r="AY826" s="415" t="s">
        <v>337</v>
      </c>
      <c r="BB826" s="415" t="s">
        <v>337</v>
      </c>
      <c r="BE826" s="415" t="s">
        <v>337</v>
      </c>
      <c r="BH826" s="415" t="s">
        <v>337</v>
      </c>
      <c r="BM826" s="415" t="s">
        <v>337</v>
      </c>
      <c r="BP826" s="415" t="s">
        <v>337</v>
      </c>
      <c r="BS826" s="415"/>
      <c r="BV826" s="415" t="s">
        <v>337</v>
      </c>
      <c r="BY826" s="415" t="s">
        <v>337</v>
      </c>
      <c r="CB826" s="415" t="s">
        <v>337</v>
      </c>
      <c r="CE826" s="415" t="s">
        <v>337</v>
      </c>
      <c r="CH826" s="415" t="s">
        <v>337</v>
      </c>
      <c r="CK826" s="415" t="s">
        <v>337</v>
      </c>
      <c r="CN826" s="415" t="s">
        <v>337</v>
      </c>
      <c r="CQ826" s="415" t="s">
        <v>337</v>
      </c>
      <c r="CT826" s="415" t="s">
        <v>337</v>
      </c>
    </row>
    <row r="827" spans="1:98">
      <c r="A827" s="1" t="s">
        <v>1616</v>
      </c>
      <c r="B827" s="416" t="s">
        <v>6768</v>
      </c>
      <c r="S827" s="213" t="s">
        <v>6769</v>
      </c>
      <c r="T827" s="416" t="s">
        <v>6770</v>
      </c>
      <c r="U827" s="415" t="s">
        <v>337</v>
      </c>
      <c r="X827" s="415"/>
      <c r="AA827" s="415"/>
      <c r="AD827" s="415"/>
      <c r="AE827" s="417" t="s">
        <v>6771</v>
      </c>
      <c r="AF827" s="416" t="s">
        <v>6772</v>
      </c>
      <c r="AG827" s="415"/>
      <c r="AJ827" s="415" t="s">
        <v>337</v>
      </c>
      <c r="AM827" s="415" t="s">
        <v>337</v>
      </c>
      <c r="AP827" s="415" t="s">
        <v>337</v>
      </c>
      <c r="AS827" s="415" t="s">
        <v>337</v>
      </c>
      <c r="AV827" s="415" t="s">
        <v>337</v>
      </c>
      <c r="AY827" s="415" t="s">
        <v>337</v>
      </c>
      <c r="BB827" s="415" t="s">
        <v>337</v>
      </c>
      <c r="BE827" s="415" t="s">
        <v>337</v>
      </c>
      <c r="BH827" s="415" t="s">
        <v>337</v>
      </c>
      <c r="BM827" s="415" t="s">
        <v>337</v>
      </c>
      <c r="BP827" s="415" t="s">
        <v>337</v>
      </c>
      <c r="BS827" s="415"/>
      <c r="BV827" s="415" t="s">
        <v>337</v>
      </c>
      <c r="BY827" s="415" t="s">
        <v>337</v>
      </c>
      <c r="CB827" s="415" t="s">
        <v>337</v>
      </c>
      <c r="CE827" s="415" t="s">
        <v>337</v>
      </c>
      <c r="CH827" s="415" t="s">
        <v>337</v>
      </c>
      <c r="CK827" s="415" t="s">
        <v>337</v>
      </c>
      <c r="CN827" s="415" t="s">
        <v>337</v>
      </c>
      <c r="CQ827" s="415" t="s">
        <v>337</v>
      </c>
      <c r="CT827" s="415" t="s">
        <v>337</v>
      </c>
    </row>
    <row r="828" spans="1:98">
      <c r="A828" s="1" t="s">
        <v>1616</v>
      </c>
      <c r="B828" s="416" t="s">
        <v>6773</v>
      </c>
      <c r="S828" s="213" t="s">
        <v>6774</v>
      </c>
      <c r="T828" s="416" t="s">
        <v>6775</v>
      </c>
      <c r="U828" s="415" t="s">
        <v>337</v>
      </c>
      <c r="X828" s="415"/>
      <c r="AA828" s="415"/>
      <c r="AD828" s="415"/>
      <c r="AE828" s="417" t="s">
        <v>6776</v>
      </c>
      <c r="AF828" s="416" t="s">
        <v>6777</v>
      </c>
      <c r="AG828" s="415"/>
      <c r="AJ828" s="415" t="s">
        <v>337</v>
      </c>
      <c r="AM828" s="415" t="s">
        <v>337</v>
      </c>
      <c r="AP828" s="415" t="s">
        <v>337</v>
      </c>
      <c r="AS828" s="415" t="s">
        <v>337</v>
      </c>
      <c r="AV828" s="415" t="s">
        <v>337</v>
      </c>
      <c r="AY828" s="415" t="s">
        <v>337</v>
      </c>
      <c r="BB828" s="415" t="s">
        <v>337</v>
      </c>
      <c r="BE828" s="415" t="s">
        <v>337</v>
      </c>
      <c r="BH828" s="415" t="s">
        <v>337</v>
      </c>
      <c r="BM828" s="415" t="s">
        <v>337</v>
      </c>
      <c r="BP828" s="415" t="s">
        <v>337</v>
      </c>
      <c r="BS828" s="415"/>
      <c r="BV828" s="415" t="s">
        <v>337</v>
      </c>
      <c r="BY828" s="415" t="s">
        <v>337</v>
      </c>
      <c r="CB828" s="415" t="s">
        <v>337</v>
      </c>
      <c r="CE828" s="415" t="s">
        <v>337</v>
      </c>
      <c r="CH828" s="415" t="s">
        <v>337</v>
      </c>
      <c r="CK828" s="415" t="s">
        <v>337</v>
      </c>
      <c r="CN828" s="415" t="s">
        <v>337</v>
      </c>
      <c r="CQ828" s="415" t="s">
        <v>337</v>
      </c>
      <c r="CT828" s="415" t="s">
        <v>337</v>
      </c>
    </row>
    <row r="829" spans="1:98">
      <c r="A829" s="1" t="s">
        <v>1616</v>
      </c>
      <c r="B829" s="416" t="s">
        <v>6778</v>
      </c>
      <c r="S829" s="213" t="s">
        <v>6779</v>
      </c>
      <c r="T829" s="416" t="s">
        <v>6780</v>
      </c>
      <c r="U829" s="415" t="s">
        <v>337</v>
      </c>
      <c r="X829" s="415"/>
      <c r="AA829" s="415"/>
      <c r="AD829" s="415"/>
      <c r="AE829" s="417" t="s">
        <v>6781</v>
      </c>
      <c r="AF829" s="416" t="s">
        <v>6782</v>
      </c>
      <c r="AG829" s="415"/>
      <c r="AJ829" s="415" t="s">
        <v>337</v>
      </c>
      <c r="AM829" s="415" t="s">
        <v>337</v>
      </c>
      <c r="AP829" s="415" t="s">
        <v>337</v>
      </c>
      <c r="AS829" s="415" t="s">
        <v>337</v>
      </c>
      <c r="AV829" s="415" t="s">
        <v>337</v>
      </c>
      <c r="AY829" s="415" t="s">
        <v>337</v>
      </c>
      <c r="BB829" s="415" t="s">
        <v>337</v>
      </c>
      <c r="BE829" s="415" t="s">
        <v>337</v>
      </c>
      <c r="BH829" s="415" t="s">
        <v>337</v>
      </c>
      <c r="BM829" s="415" t="s">
        <v>337</v>
      </c>
      <c r="BP829" s="415" t="s">
        <v>337</v>
      </c>
      <c r="BS829" s="415"/>
      <c r="BV829" s="415" t="s">
        <v>337</v>
      </c>
      <c r="BY829" s="415" t="s">
        <v>337</v>
      </c>
      <c r="CB829" s="415" t="s">
        <v>337</v>
      </c>
      <c r="CE829" s="415" t="s">
        <v>337</v>
      </c>
      <c r="CH829" s="415" t="s">
        <v>337</v>
      </c>
      <c r="CK829" s="415" t="s">
        <v>337</v>
      </c>
      <c r="CN829" s="415" t="s">
        <v>337</v>
      </c>
      <c r="CQ829" s="415" t="s">
        <v>337</v>
      </c>
      <c r="CT829" s="415" t="s">
        <v>337</v>
      </c>
    </row>
    <row r="830" spans="1:98">
      <c r="A830" s="1" t="s">
        <v>1616</v>
      </c>
      <c r="B830" s="416" t="s">
        <v>6783</v>
      </c>
      <c r="S830" s="213" t="s">
        <v>6784</v>
      </c>
      <c r="T830" s="416" t="s">
        <v>6785</v>
      </c>
      <c r="U830" s="415" t="s">
        <v>337</v>
      </c>
      <c r="X830" s="415"/>
      <c r="AA830" s="415"/>
      <c r="AD830" s="415"/>
      <c r="AE830" s="417" t="s">
        <v>6786</v>
      </c>
      <c r="AF830" s="416" t="s">
        <v>6787</v>
      </c>
      <c r="AG830" s="415"/>
      <c r="AJ830" s="415" t="s">
        <v>337</v>
      </c>
      <c r="AM830" s="415" t="s">
        <v>337</v>
      </c>
      <c r="AP830" s="415" t="s">
        <v>337</v>
      </c>
      <c r="AS830" s="415" t="s">
        <v>337</v>
      </c>
      <c r="AV830" s="415" t="s">
        <v>337</v>
      </c>
      <c r="AY830" s="415" t="s">
        <v>337</v>
      </c>
      <c r="BB830" s="415" t="s">
        <v>337</v>
      </c>
      <c r="BE830" s="415" t="s">
        <v>337</v>
      </c>
      <c r="BH830" s="415" t="s">
        <v>337</v>
      </c>
      <c r="BM830" s="415" t="s">
        <v>337</v>
      </c>
      <c r="BP830" s="415" t="s">
        <v>337</v>
      </c>
      <c r="BS830" s="415"/>
      <c r="BV830" s="415" t="s">
        <v>337</v>
      </c>
      <c r="BY830" s="415" t="s">
        <v>337</v>
      </c>
      <c r="CB830" s="415" t="s">
        <v>337</v>
      </c>
      <c r="CE830" s="415" t="s">
        <v>337</v>
      </c>
      <c r="CH830" s="415" t="s">
        <v>337</v>
      </c>
      <c r="CK830" s="415" t="s">
        <v>337</v>
      </c>
      <c r="CN830" s="415" t="s">
        <v>337</v>
      </c>
      <c r="CQ830" s="415" t="s">
        <v>337</v>
      </c>
      <c r="CT830" s="415" t="s">
        <v>337</v>
      </c>
    </row>
    <row r="831" spans="1:98">
      <c r="A831" s="1" t="s">
        <v>1616</v>
      </c>
      <c r="B831" s="416" t="s">
        <v>6788</v>
      </c>
      <c r="S831" s="213" t="s">
        <v>6789</v>
      </c>
      <c r="T831" s="416" t="s">
        <v>6790</v>
      </c>
      <c r="U831" s="415" t="s">
        <v>337</v>
      </c>
      <c r="X831" s="415"/>
      <c r="AA831" s="415"/>
      <c r="AD831" s="415"/>
      <c r="AE831" s="417" t="s">
        <v>6791</v>
      </c>
      <c r="AF831" s="416" t="s">
        <v>6792</v>
      </c>
      <c r="AG831" s="415"/>
      <c r="AJ831" s="415" t="s">
        <v>337</v>
      </c>
      <c r="AM831" s="415" t="s">
        <v>337</v>
      </c>
      <c r="AP831" s="415" t="s">
        <v>337</v>
      </c>
      <c r="AS831" s="415" t="s">
        <v>337</v>
      </c>
      <c r="AV831" s="415" t="s">
        <v>337</v>
      </c>
      <c r="AY831" s="415" t="s">
        <v>337</v>
      </c>
      <c r="BB831" s="415" t="s">
        <v>337</v>
      </c>
      <c r="BE831" s="415" t="s">
        <v>337</v>
      </c>
      <c r="BH831" s="415" t="s">
        <v>337</v>
      </c>
      <c r="BM831" s="415" t="s">
        <v>337</v>
      </c>
      <c r="BP831" s="415" t="s">
        <v>337</v>
      </c>
      <c r="BS831" s="415"/>
      <c r="BV831" s="415" t="s">
        <v>337</v>
      </c>
      <c r="BY831" s="415" t="s">
        <v>337</v>
      </c>
      <c r="CB831" s="415" t="s">
        <v>337</v>
      </c>
      <c r="CE831" s="415" t="s">
        <v>337</v>
      </c>
      <c r="CH831" s="415" t="s">
        <v>337</v>
      </c>
      <c r="CK831" s="415" t="s">
        <v>337</v>
      </c>
      <c r="CN831" s="415" t="s">
        <v>337</v>
      </c>
      <c r="CQ831" s="415" t="s">
        <v>337</v>
      </c>
      <c r="CT831" s="415" t="s">
        <v>337</v>
      </c>
    </row>
    <row r="832" spans="1:98">
      <c r="A832" s="1" t="s">
        <v>1616</v>
      </c>
      <c r="B832" s="416" t="s">
        <v>6491</v>
      </c>
      <c r="S832" s="213" t="s">
        <v>6793</v>
      </c>
      <c r="T832" s="416" t="s">
        <v>6794</v>
      </c>
      <c r="U832" s="415" t="s">
        <v>337</v>
      </c>
      <c r="X832" s="415"/>
      <c r="AA832" s="415"/>
      <c r="AD832" s="415"/>
      <c r="AE832" s="417" t="s">
        <v>6795</v>
      </c>
      <c r="AF832" s="416" t="s">
        <v>6796</v>
      </c>
      <c r="AG832" s="415"/>
      <c r="AJ832" s="415" t="s">
        <v>337</v>
      </c>
      <c r="AM832" s="415" t="s">
        <v>337</v>
      </c>
      <c r="AP832" s="415" t="s">
        <v>337</v>
      </c>
      <c r="AS832" s="415" t="s">
        <v>337</v>
      </c>
      <c r="AV832" s="415" t="s">
        <v>337</v>
      </c>
      <c r="AY832" s="415" t="s">
        <v>337</v>
      </c>
      <c r="BB832" s="415" t="s">
        <v>337</v>
      </c>
      <c r="BE832" s="415" t="s">
        <v>337</v>
      </c>
      <c r="BH832" s="415" t="s">
        <v>337</v>
      </c>
      <c r="BM832" s="415" t="s">
        <v>337</v>
      </c>
      <c r="BP832" s="415" t="s">
        <v>337</v>
      </c>
      <c r="BS832" s="415"/>
      <c r="BV832" s="415" t="s">
        <v>337</v>
      </c>
      <c r="BY832" s="415" t="s">
        <v>337</v>
      </c>
      <c r="CB832" s="415" t="s">
        <v>337</v>
      </c>
      <c r="CE832" s="415" t="s">
        <v>337</v>
      </c>
      <c r="CH832" s="415" t="s">
        <v>337</v>
      </c>
      <c r="CK832" s="415" t="s">
        <v>337</v>
      </c>
      <c r="CN832" s="415" t="s">
        <v>337</v>
      </c>
      <c r="CQ832" s="415" t="s">
        <v>337</v>
      </c>
      <c r="CT832" s="415" t="s">
        <v>337</v>
      </c>
    </row>
    <row r="833" spans="1:98">
      <c r="A833" s="1" t="s">
        <v>1616</v>
      </c>
      <c r="B833" s="416" t="s">
        <v>6797</v>
      </c>
      <c r="S833" s="213" t="s">
        <v>6798</v>
      </c>
      <c r="T833" s="416" t="s">
        <v>6799</v>
      </c>
      <c r="U833" s="415" t="s">
        <v>337</v>
      </c>
      <c r="X833" s="415"/>
      <c r="AA833" s="415"/>
      <c r="AD833" s="415"/>
      <c r="AE833" s="417" t="s">
        <v>6800</v>
      </c>
      <c r="AF833" s="416" t="s">
        <v>6801</v>
      </c>
      <c r="AG833" s="415"/>
      <c r="AJ833" s="415" t="s">
        <v>337</v>
      </c>
      <c r="AM833" s="415" t="s">
        <v>337</v>
      </c>
      <c r="AP833" s="415" t="s">
        <v>337</v>
      </c>
      <c r="AS833" s="415" t="s">
        <v>337</v>
      </c>
      <c r="AV833" s="415" t="s">
        <v>337</v>
      </c>
      <c r="AY833" s="415" t="s">
        <v>337</v>
      </c>
      <c r="BB833" s="415" t="s">
        <v>337</v>
      </c>
      <c r="BE833" s="415" t="s">
        <v>337</v>
      </c>
      <c r="BH833" s="415" t="s">
        <v>337</v>
      </c>
      <c r="BM833" s="415" t="s">
        <v>337</v>
      </c>
      <c r="BP833" s="415" t="s">
        <v>337</v>
      </c>
      <c r="BS833" s="415"/>
      <c r="BV833" s="415" t="s">
        <v>337</v>
      </c>
      <c r="BY833" s="415" t="s">
        <v>337</v>
      </c>
      <c r="CB833" s="415" t="s">
        <v>337</v>
      </c>
      <c r="CE833" s="415" t="s">
        <v>337</v>
      </c>
      <c r="CH833" s="415" t="s">
        <v>337</v>
      </c>
      <c r="CK833" s="415" t="s">
        <v>337</v>
      </c>
      <c r="CN833" s="415" t="s">
        <v>337</v>
      </c>
      <c r="CQ833" s="415" t="s">
        <v>337</v>
      </c>
      <c r="CT833" s="415" t="s">
        <v>337</v>
      </c>
    </row>
    <row r="834" spans="1:98">
      <c r="A834" s="1" t="s">
        <v>1616</v>
      </c>
      <c r="B834" s="416" t="s">
        <v>6802</v>
      </c>
      <c r="S834" s="213" t="s">
        <v>6803</v>
      </c>
      <c r="T834" s="416" t="s">
        <v>6804</v>
      </c>
      <c r="U834" s="415" t="s">
        <v>337</v>
      </c>
      <c r="X834" s="415"/>
      <c r="AA834" s="415"/>
      <c r="AD834" s="415"/>
      <c r="AE834" s="417" t="s">
        <v>6805</v>
      </c>
      <c r="AF834" s="416" t="s">
        <v>6806</v>
      </c>
      <c r="AG834" s="415"/>
      <c r="AJ834" s="415" t="s">
        <v>337</v>
      </c>
      <c r="AM834" s="415" t="s">
        <v>337</v>
      </c>
      <c r="AP834" s="415" t="s">
        <v>337</v>
      </c>
      <c r="AS834" s="415" t="s">
        <v>337</v>
      </c>
      <c r="AV834" s="415" t="s">
        <v>337</v>
      </c>
      <c r="AY834" s="415" t="s">
        <v>337</v>
      </c>
      <c r="BB834" s="415" t="s">
        <v>337</v>
      </c>
      <c r="BE834" s="415" t="s">
        <v>337</v>
      </c>
      <c r="BH834" s="415" t="s">
        <v>337</v>
      </c>
      <c r="BM834" s="415" t="s">
        <v>337</v>
      </c>
      <c r="BP834" s="415" t="s">
        <v>337</v>
      </c>
      <c r="BS834" s="415"/>
      <c r="BV834" s="415" t="s">
        <v>337</v>
      </c>
      <c r="BY834" s="415" t="s">
        <v>337</v>
      </c>
      <c r="CB834" s="415" t="s">
        <v>337</v>
      </c>
      <c r="CE834" s="415" t="s">
        <v>337</v>
      </c>
      <c r="CH834" s="415" t="s">
        <v>337</v>
      </c>
      <c r="CK834" s="415" t="s">
        <v>337</v>
      </c>
      <c r="CN834" s="415" t="s">
        <v>337</v>
      </c>
      <c r="CQ834" s="415" t="s">
        <v>337</v>
      </c>
      <c r="CT834" s="415" t="s">
        <v>337</v>
      </c>
    </row>
    <row r="835" spans="1:98">
      <c r="A835" s="1" t="s">
        <v>1630</v>
      </c>
      <c r="B835" s="416" t="s">
        <v>6807</v>
      </c>
      <c r="S835" s="213" t="s">
        <v>6808</v>
      </c>
      <c r="T835" s="416" t="s">
        <v>6809</v>
      </c>
      <c r="U835" s="415" t="s">
        <v>337</v>
      </c>
      <c r="X835" s="415"/>
      <c r="AA835" s="415"/>
      <c r="AD835" s="415"/>
      <c r="AE835" s="417" t="s">
        <v>6810</v>
      </c>
      <c r="AF835" s="416" t="s">
        <v>6811</v>
      </c>
      <c r="AG835" s="415"/>
      <c r="AJ835" s="415" t="s">
        <v>337</v>
      </c>
      <c r="AM835" s="415" t="s">
        <v>337</v>
      </c>
      <c r="AP835" s="415" t="s">
        <v>337</v>
      </c>
      <c r="AS835" s="415" t="s">
        <v>337</v>
      </c>
      <c r="AV835" s="415" t="s">
        <v>337</v>
      </c>
      <c r="AY835" s="415" t="s">
        <v>337</v>
      </c>
      <c r="BB835" s="415" t="s">
        <v>337</v>
      </c>
      <c r="BE835" s="415" t="s">
        <v>337</v>
      </c>
      <c r="BH835" s="415" t="s">
        <v>337</v>
      </c>
      <c r="BM835" s="415" t="s">
        <v>337</v>
      </c>
      <c r="BP835" s="415" t="s">
        <v>337</v>
      </c>
      <c r="BS835" s="415"/>
      <c r="BV835" s="415" t="s">
        <v>337</v>
      </c>
      <c r="BY835" s="415" t="s">
        <v>337</v>
      </c>
      <c r="CB835" s="415" t="s">
        <v>337</v>
      </c>
      <c r="CE835" s="415" t="s">
        <v>337</v>
      </c>
      <c r="CH835" s="415" t="s">
        <v>337</v>
      </c>
      <c r="CK835" s="415" t="s">
        <v>337</v>
      </c>
      <c r="CN835" s="415" t="s">
        <v>337</v>
      </c>
      <c r="CQ835" s="415" t="s">
        <v>337</v>
      </c>
      <c r="CT835" s="415" t="s">
        <v>337</v>
      </c>
    </row>
    <row r="836" spans="1:98">
      <c r="A836" s="1" t="s">
        <v>1630</v>
      </c>
      <c r="B836" s="416" t="s">
        <v>4150</v>
      </c>
      <c r="S836" s="213" t="s">
        <v>6812</v>
      </c>
      <c r="T836" s="416" t="s">
        <v>1422</v>
      </c>
      <c r="U836" s="415" t="s">
        <v>337</v>
      </c>
      <c r="X836" s="415"/>
      <c r="AA836" s="415"/>
      <c r="AD836" s="415"/>
      <c r="AE836" s="417" t="s">
        <v>6813</v>
      </c>
      <c r="AF836" s="416" t="s">
        <v>6814</v>
      </c>
      <c r="AG836" s="415"/>
      <c r="AJ836" s="415" t="s">
        <v>337</v>
      </c>
      <c r="AM836" s="415" t="s">
        <v>337</v>
      </c>
      <c r="AP836" s="415" t="s">
        <v>337</v>
      </c>
      <c r="AS836" s="415" t="s">
        <v>337</v>
      </c>
      <c r="AV836" s="415" t="s">
        <v>337</v>
      </c>
      <c r="AY836" s="415" t="s">
        <v>337</v>
      </c>
      <c r="BB836" s="415" t="s">
        <v>337</v>
      </c>
      <c r="BE836" s="415" t="s">
        <v>337</v>
      </c>
      <c r="BH836" s="415" t="s">
        <v>337</v>
      </c>
      <c r="BM836" s="415" t="s">
        <v>337</v>
      </c>
      <c r="BP836" s="415" t="s">
        <v>337</v>
      </c>
      <c r="BS836" s="415"/>
      <c r="BV836" s="415" t="s">
        <v>337</v>
      </c>
      <c r="BY836" s="415" t="s">
        <v>337</v>
      </c>
      <c r="CB836" s="415" t="s">
        <v>337</v>
      </c>
      <c r="CE836" s="415" t="s">
        <v>337</v>
      </c>
      <c r="CH836" s="415" t="s">
        <v>337</v>
      </c>
      <c r="CK836" s="415" t="s">
        <v>337</v>
      </c>
      <c r="CN836" s="415" t="s">
        <v>337</v>
      </c>
      <c r="CQ836" s="415" t="s">
        <v>337</v>
      </c>
      <c r="CT836" s="415" t="s">
        <v>337</v>
      </c>
    </row>
    <row r="837" spans="1:98">
      <c r="A837" s="1" t="s">
        <v>1630</v>
      </c>
      <c r="B837" s="416" t="s">
        <v>6815</v>
      </c>
      <c r="S837" s="213" t="s">
        <v>6816</v>
      </c>
      <c r="T837" s="416" t="s">
        <v>6817</v>
      </c>
      <c r="U837" s="415" t="s">
        <v>337</v>
      </c>
      <c r="X837" s="415"/>
      <c r="AA837" s="415"/>
      <c r="AD837" s="415"/>
      <c r="AE837" s="417" t="s">
        <v>6818</v>
      </c>
      <c r="AF837" s="416" t="s">
        <v>6819</v>
      </c>
      <c r="AG837" s="415"/>
      <c r="AJ837" s="415" t="s">
        <v>337</v>
      </c>
      <c r="AM837" s="415" t="s">
        <v>337</v>
      </c>
      <c r="AP837" s="415" t="s">
        <v>337</v>
      </c>
      <c r="AS837" s="415" t="s">
        <v>337</v>
      </c>
      <c r="AV837" s="415" t="s">
        <v>337</v>
      </c>
      <c r="AY837" s="415" t="s">
        <v>337</v>
      </c>
      <c r="BB837" s="415" t="s">
        <v>337</v>
      </c>
      <c r="BE837" s="415" t="s">
        <v>337</v>
      </c>
      <c r="BH837" s="415" t="s">
        <v>337</v>
      </c>
      <c r="BM837" s="415" t="s">
        <v>337</v>
      </c>
      <c r="BP837" s="415" t="s">
        <v>337</v>
      </c>
      <c r="BS837" s="415"/>
      <c r="BV837" s="415" t="s">
        <v>337</v>
      </c>
      <c r="BY837" s="415" t="s">
        <v>337</v>
      </c>
      <c r="CB837" s="415" t="s">
        <v>337</v>
      </c>
      <c r="CE837" s="415" t="s">
        <v>337</v>
      </c>
      <c r="CH837" s="415" t="s">
        <v>337</v>
      </c>
      <c r="CK837" s="415" t="s">
        <v>337</v>
      </c>
      <c r="CN837" s="415" t="s">
        <v>337</v>
      </c>
      <c r="CQ837" s="415" t="s">
        <v>337</v>
      </c>
      <c r="CT837" s="415" t="s">
        <v>337</v>
      </c>
    </row>
    <row r="838" spans="1:98">
      <c r="A838" s="1" t="s">
        <v>1630</v>
      </c>
      <c r="B838" s="416" t="s">
        <v>6820</v>
      </c>
      <c r="S838" s="213" t="s">
        <v>6821</v>
      </c>
      <c r="T838" s="416" t="s">
        <v>5023</v>
      </c>
      <c r="U838" s="415" t="s">
        <v>337</v>
      </c>
      <c r="X838" s="415"/>
      <c r="AA838" s="415"/>
      <c r="AD838" s="415"/>
      <c r="AE838" s="417" t="s">
        <v>6822</v>
      </c>
      <c r="AF838" s="416" t="s">
        <v>6823</v>
      </c>
      <c r="AG838" s="415"/>
      <c r="AJ838" s="415" t="s">
        <v>337</v>
      </c>
      <c r="AM838" s="415" t="s">
        <v>337</v>
      </c>
      <c r="AP838" s="415" t="s">
        <v>337</v>
      </c>
      <c r="AS838" s="415" t="s">
        <v>337</v>
      </c>
      <c r="AV838" s="415" t="s">
        <v>337</v>
      </c>
      <c r="AY838" s="415" t="s">
        <v>337</v>
      </c>
      <c r="BB838" s="415" t="s">
        <v>337</v>
      </c>
      <c r="BE838" s="415" t="s">
        <v>337</v>
      </c>
      <c r="BH838" s="415" t="s">
        <v>337</v>
      </c>
      <c r="BM838" s="415" t="s">
        <v>337</v>
      </c>
      <c r="BP838" s="415" t="s">
        <v>337</v>
      </c>
      <c r="BS838" s="415"/>
      <c r="BV838" s="415" t="s">
        <v>337</v>
      </c>
      <c r="BY838" s="415" t="s">
        <v>337</v>
      </c>
      <c r="CB838" s="415" t="s">
        <v>337</v>
      </c>
      <c r="CE838" s="415" t="s">
        <v>337</v>
      </c>
      <c r="CH838" s="415" t="s">
        <v>337</v>
      </c>
      <c r="CK838" s="415" t="s">
        <v>337</v>
      </c>
      <c r="CN838" s="415" t="s">
        <v>337</v>
      </c>
      <c r="CQ838" s="415" t="s">
        <v>337</v>
      </c>
      <c r="CT838" s="415" t="s">
        <v>337</v>
      </c>
    </row>
    <row r="839" spans="1:98">
      <c r="A839" s="1" t="s">
        <v>1630</v>
      </c>
      <c r="B839" s="416" t="s">
        <v>6824</v>
      </c>
      <c r="S839" s="213" t="s">
        <v>6825</v>
      </c>
      <c r="T839" s="416" t="s">
        <v>5051</v>
      </c>
      <c r="U839" s="415" t="s">
        <v>337</v>
      </c>
      <c r="X839" s="415"/>
      <c r="AA839" s="415"/>
      <c r="AD839" s="415"/>
      <c r="AE839" s="417" t="s">
        <v>6826</v>
      </c>
      <c r="AF839" s="416" t="s">
        <v>6827</v>
      </c>
      <c r="AG839" s="415"/>
      <c r="AJ839" s="415" t="s">
        <v>337</v>
      </c>
      <c r="AM839" s="415" t="s">
        <v>337</v>
      </c>
      <c r="AP839" s="415" t="s">
        <v>337</v>
      </c>
      <c r="AS839" s="415" t="s">
        <v>337</v>
      </c>
      <c r="AV839" s="415" t="s">
        <v>337</v>
      </c>
      <c r="AY839" s="415" t="s">
        <v>337</v>
      </c>
      <c r="BB839" s="415" t="s">
        <v>337</v>
      </c>
      <c r="BE839" s="415" t="s">
        <v>337</v>
      </c>
      <c r="BH839" s="415" t="s">
        <v>337</v>
      </c>
      <c r="BM839" s="415" t="s">
        <v>337</v>
      </c>
      <c r="BP839" s="415" t="s">
        <v>337</v>
      </c>
      <c r="BS839" s="415"/>
      <c r="BV839" s="415" t="s">
        <v>337</v>
      </c>
      <c r="BY839" s="415" t="s">
        <v>337</v>
      </c>
      <c r="CB839" s="415" t="s">
        <v>337</v>
      </c>
      <c r="CE839" s="415" t="s">
        <v>337</v>
      </c>
      <c r="CH839" s="415" t="s">
        <v>337</v>
      </c>
      <c r="CK839" s="415" t="s">
        <v>337</v>
      </c>
      <c r="CN839" s="415" t="s">
        <v>337</v>
      </c>
      <c r="CQ839" s="415" t="s">
        <v>337</v>
      </c>
      <c r="CT839" s="415" t="s">
        <v>337</v>
      </c>
    </row>
    <row r="840" spans="1:98">
      <c r="A840" s="1" t="s">
        <v>1630</v>
      </c>
      <c r="B840" s="416" t="s">
        <v>6828</v>
      </c>
      <c r="S840" s="213" t="s">
        <v>6829</v>
      </c>
      <c r="T840" s="416" t="s">
        <v>6830</v>
      </c>
      <c r="U840" s="415" t="s">
        <v>337</v>
      </c>
      <c r="X840" s="415"/>
      <c r="AA840" s="415"/>
      <c r="AD840" s="415"/>
      <c r="AE840" s="417" t="s">
        <v>6831</v>
      </c>
      <c r="AF840" s="416" t="s">
        <v>6832</v>
      </c>
      <c r="AG840" s="415"/>
      <c r="AJ840" s="415" t="s">
        <v>337</v>
      </c>
      <c r="AM840" s="415" t="s">
        <v>337</v>
      </c>
      <c r="AP840" s="415" t="s">
        <v>337</v>
      </c>
      <c r="AS840" s="415" t="s">
        <v>337</v>
      </c>
      <c r="AV840" s="415" t="s">
        <v>337</v>
      </c>
      <c r="AY840" s="415" t="s">
        <v>337</v>
      </c>
      <c r="BB840" s="415" t="s">
        <v>337</v>
      </c>
      <c r="BE840" s="415" t="s">
        <v>337</v>
      </c>
      <c r="BH840" s="415" t="s">
        <v>337</v>
      </c>
      <c r="BM840" s="415" t="s">
        <v>337</v>
      </c>
      <c r="BP840" s="415" t="s">
        <v>337</v>
      </c>
      <c r="BS840" s="415"/>
      <c r="BV840" s="415" t="s">
        <v>337</v>
      </c>
      <c r="BY840" s="415" t="s">
        <v>337</v>
      </c>
      <c r="CB840" s="415" t="s">
        <v>337</v>
      </c>
      <c r="CE840" s="415" t="s">
        <v>337</v>
      </c>
      <c r="CH840" s="415" t="s">
        <v>337</v>
      </c>
      <c r="CK840" s="415" t="s">
        <v>337</v>
      </c>
      <c r="CN840" s="415" t="s">
        <v>337</v>
      </c>
      <c r="CQ840" s="415" t="s">
        <v>337</v>
      </c>
      <c r="CT840" s="415" t="s">
        <v>337</v>
      </c>
    </row>
    <row r="841" spans="1:98">
      <c r="A841" s="1" t="s">
        <v>1630</v>
      </c>
      <c r="B841" s="416" t="s">
        <v>6833</v>
      </c>
      <c r="S841" s="213" t="s">
        <v>6834</v>
      </c>
      <c r="T841" s="416" t="s">
        <v>6835</v>
      </c>
      <c r="U841" s="415" t="s">
        <v>337</v>
      </c>
      <c r="X841" s="415"/>
      <c r="AA841" s="415"/>
      <c r="AD841" s="415"/>
      <c r="AE841" s="417" t="s">
        <v>6836</v>
      </c>
      <c r="AF841" s="416" t="s">
        <v>6837</v>
      </c>
      <c r="AG841" s="415"/>
      <c r="AJ841" s="415" t="s">
        <v>337</v>
      </c>
      <c r="AM841" s="415" t="s">
        <v>337</v>
      </c>
      <c r="AP841" s="415" t="s">
        <v>337</v>
      </c>
      <c r="AS841" s="415" t="s">
        <v>337</v>
      </c>
      <c r="AV841" s="415" t="s">
        <v>337</v>
      </c>
      <c r="AY841" s="415" t="s">
        <v>337</v>
      </c>
      <c r="BB841" s="415" t="s">
        <v>337</v>
      </c>
      <c r="BE841" s="415" t="s">
        <v>337</v>
      </c>
      <c r="BH841" s="415" t="s">
        <v>337</v>
      </c>
      <c r="BM841" s="415" t="s">
        <v>337</v>
      </c>
      <c r="BP841" s="415" t="s">
        <v>337</v>
      </c>
      <c r="BS841" s="415"/>
      <c r="BV841" s="415" t="s">
        <v>337</v>
      </c>
      <c r="BY841" s="415" t="s">
        <v>337</v>
      </c>
      <c r="CB841" s="415" t="s">
        <v>337</v>
      </c>
      <c r="CE841" s="415" t="s">
        <v>337</v>
      </c>
      <c r="CH841" s="415" t="s">
        <v>337</v>
      </c>
      <c r="CK841" s="415" t="s">
        <v>337</v>
      </c>
      <c r="CN841" s="415" t="s">
        <v>337</v>
      </c>
      <c r="CQ841" s="415" t="s">
        <v>337</v>
      </c>
      <c r="CT841" s="415" t="s">
        <v>337</v>
      </c>
    </row>
    <row r="842" spans="1:98">
      <c r="A842" s="1" t="s">
        <v>1630</v>
      </c>
      <c r="B842" s="416" t="s">
        <v>6838</v>
      </c>
      <c r="S842" s="213" t="s">
        <v>6839</v>
      </c>
      <c r="T842" s="416" t="s">
        <v>6840</v>
      </c>
      <c r="U842" s="415" t="s">
        <v>337</v>
      </c>
      <c r="X842" s="415"/>
      <c r="AA842" s="415"/>
      <c r="AD842" s="415"/>
      <c r="AE842" s="417" t="s">
        <v>6841</v>
      </c>
      <c r="AF842" s="416" t="s">
        <v>1839</v>
      </c>
      <c r="AG842" s="415"/>
      <c r="AJ842" s="415" t="s">
        <v>337</v>
      </c>
      <c r="AM842" s="415" t="s">
        <v>337</v>
      </c>
      <c r="AP842" s="415" t="s">
        <v>337</v>
      </c>
      <c r="AS842" s="415" t="s">
        <v>337</v>
      </c>
      <c r="AV842" s="415" t="s">
        <v>337</v>
      </c>
      <c r="AY842" s="415" t="s">
        <v>337</v>
      </c>
      <c r="BB842" s="415" t="s">
        <v>337</v>
      </c>
      <c r="BE842" s="415" t="s">
        <v>337</v>
      </c>
      <c r="BH842" s="415" t="s">
        <v>337</v>
      </c>
      <c r="BM842" s="415" t="s">
        <v>337</v>
      </c>
      <c r="BP842" s="415" t="s">
        <v>337</v>
      </c>
      <c r="BS842" s="415"/>
      <c r="BV842" s="415" t="s">
        <v>337</v>
      </c>
      <c r="BY842" s="415" t="s">
        <v>337</v>
      </c>
      <c r="CB842" s="415" t="s">
        <v>337</v>
      </c>
      <c r="CE842" s="415" t="s">
        <v>337</v>
      </c>
      <c r="CH842" s="415" t="s">
        <v>337</v>
      </c>
      <c r="CK842" s="415" t="s">
        <v>337</v>
      </c>
      <c r="CN842" s="415" t="s">
        <v>337</v>
      </c>
      <c r="CQ842" s="415" t="s">
        <v>337</v>
      </c>
      <c r="CT842" s="415" t="s">
        <v>337</v>
      </c>
    </row>
    <row r="843" spans="1:98">
      <c r="A843" s="1" t="s">
        <v>1630</v>
      </c>
      <c r="B843" s="416" t="s">
        <v>6842</v>
      </c>
      <c r="AE843" s="417" t="s">
        <v>6843</v>
      </c>
      <c r="AF843" s="416" t="s">
        <v>6844</v>
      </c>
    </row>
    <row r="844" spans="1:98">
      <c r="A844" s="1" t="s">
        <v>1630</v>
      </c>
      <c r="B844" s="416" t="s">
        <v>4164</v>
      </c>
      <c r="AE844" s="417" t="s">
        <v>6845</v>
      </c>
      <c r="AF844" s="416" t="s">
        <v>6846</v>
      </c>
    </row>
    <row r="845" spans="1:98">
      <c r="A845" s="1" t="s">
        <v>1630</v>
      </c>
      <c r="B845" s="416" t="s">
        <v>6847</v>
      </c>
      <c r="AE845" s="417" t="s">
        <v>6848</v>
      </c>
      <c r="AF845" s="416" t="s">
        <v>6849</v>
      </c>
    </row>
    <row r="846" spans="1:98">
      <c r="A846" s="1" t="s">
        <v>1630</v>
      </c>
      <c r="B846" s="416" t="s">
        <v>6850</v>
      </c>
      <c r="AE846" s="417" t="s">
        <v>6851</v>
      </c>
      <c r="AF846" s="416" t="s">
        <v>6852</v>
      </c>
    </row>
    <row r="847" spans="1:98">
      <c r="A847" s="1" t="s">
        <v>1630</v>
      </c>
      <c r="B847" s="416" t="s">
        <v>6853</v>
      </c>
      <c r="AE847" s="417" t="s">
        <v>6854</v>
      </c>
      <c r="AF847" s="416" t="s">
        <v>1989</v>
      </c>
    </row>
    <row r="848" spans="1:98">
      <c r="A848" s="1" t="s">
        <v>1630</v>
      </c>
      <c r="B848" s="416" t="s">
        <v>6855</v>
      </c>
      <c r="AE848" s="417" t="s">
        <v>6856</v>
      </c>
      <c r="AF848" s="416" t="s">
        <v>1989</v>
      </c>
    </row>
    <row r="849" spans="1:32">
      <c r="A849" s="1" t="s">
        <v>1630</v>
      </c>
      <c r="B849" s="416" t="s">
        <v>6857</v>
      </c>
      <c r="AE849" s="417" t="s">
        <v>6858</v>
      </c>
      <c r="AF849" s="416" t="s">
        <v>1989</v>
      </c>
    </row>
    <row r="850" spans="1:32">
      <c r="A850" s="1" t="s">
        <v>1630</v>
      </c>
      <c r="B850" s="416" t="s">
        <v>6859</v>
      </c>
      <c r="AE850" s="417" t="s">
        <v>6860</v>
      </c>
      <c r="AF850" s="416" t="s">
        <v>6861</v>
      </c>
    </row>
    <row r="851" spans="1:32">
      <c r="A851" s="1" t="s">
        <v>1630</v>
      </c>
      <c r="B851" s="416" t="s">
        <v>6862</v>
      </c>
      <c r="AE851" s="417" t="s">
        <v>6863</v>
      </c>
      <c r="AF851" s="416" t="s">
        <v>6864</v>
      </c>
    </row>
    <row r="852" spans="1:32">
      <c r="A852" s="1" t="s">
        <v>1644</v>
      </c>
      <c r="B852" s="416" t="s">
        <v>4497</v>
      </c>
      <c r="AE852" s="417" t="s">
        <v>6865</v>
      </c>
      <c r="AF852" s="416" t="s">
        <v>6866</v>
      </c>
    </row>
    <row r="853" spans="1:32">
      <c r="A853" s="1" t="s">
        <v>1644</v>
      </c>
      <c r="B853" s="416" t="s">
        <v>4504</v>
      </c>
      <c r="AE853" s="417" t="s">
        <v>6867</v>
      </c>
      <c r="AF853" s="416" t="s">
        <v>6868</v>
      </c>
    </row>
    <row r="854" spans="1:32">
      <c r="A854" s="1" t="s">
        <v>1644</v>
      </c>
      <c r="B854" s="416" t="s">
        <v>6869</v>
      </c>
      <c r="AE854" s="417" t="s">
        <v>6870</v>
      </c>
      <c r="AF854" s="416" t="s">
        <v>6871</v>
      </c>
    </row>
    <row r="855" spans="1:32">
      <c r="A855" s="1" t="s">
        <v>1644</v>
      </c>
      <c r="B855" s="416" t="s">
        <v>4511</v>
      </c>
      <c r="AE855" s="417" t="s">
        <v>6872</v>
      </c>
      <c r="AF855" s="416" t="s">
        <v>6873</v>
      </c>
    </row>
    <row r="856" spans="1:32">
      <c r="A856" s="1" t="s">
        <v>1644</v>
      </c>
      <c r="B856" s="416" t="s">
        <v>4518</v>
      </c>
      <c r="AE856" s="417" t="s">
        <v>6874</v>
      </c>
      <c r="AF856" s="416" t="s">
        <v>6875</v>
      </c>
    </row>
    <row r="857" spans="1:32">
      <c r="A857" s="1" t="s">
        <v>1644</v>
      </c>
      <c r="B857" s="416" t="s">
        <v>4525</v>
      </c>
      <c r="AE857" s="417" t="s">
        <v>6876</v>
      </c>
      <c r="AF857" s="416" t="s">
        <v>6877</v>
      </c>
    </row>
    <row r="858" spans="1:32">
      <c r="A858" s="1" t="s">
        <v>1644</v>
      </c>
      <c r="B858" s="416" t="s">
        <v>6878</v>
      </c>
      <c r="AE858" s="417" t="s">
        <v>6879</v>
      </c>
      <c r="AF858" s="416" t="s">
        <v>1963</v>
      </c>
    </row>
    <row r="859" spans="1:32">
      <c r="A859" s="1" t="s">
        <v>1644</v>
      </c>
      <c r="B859" s="416" t="s">
        <v>4532</v>
      </c>
      <c r="AE859" s="417" t="s">
        <v>6880</v>
      </c>
      <c r="AF859" s="416" t="s">
        <v>6881</v>
      </c>
    </row>
    <row r="860" spans="1:32">
      <c r="A860" s="1" t="s">
        <v>1644</v>
      </c>
      <c r="B860" s="416" t="s">
        <v>6882</v>
      </c>
      <c r="AE860" s="417" t="s">
        <v>6883</v>
      </c>
      <c r="AF860" s="416" t="s">
        <v>6884</v>
      </c>
    </row>
    <row r="861" spans="1:32">
      <c r="A861" s="1" t="s">
        <v>1644</v>
      </c>
      <c r="B861" s="416" t="s">
        <v>6885</v>
      </c>
      <c r="AE861" s="417" t="s">
        <v>6886</v>
      </c>
      <c r="AF861" s="416" t="s">
        <v>6887</v>
      </c>
    </row>
    <row r="862" spans="1:32">
      <c r="A862" s="1" t="s">
        <v>1644</v>
      </c>
      <c r="B862" s="416" t="s">
        <v>3543</v>
      </c>
      <c r="AE862" s="417" t="s">
        <v>6888</v>
      </c>
      <c r="AF862" s="416" t="s">
        <v>6889</v>
      </c>
    </row>
    <row r="863" spans="1:32">
      <c r="A863" s="1" t="s">
        <v>1644</v>
      </c>
      <c r="B863" s="416" t="s">
        <v>6890</v>
      </c>
      <c r="AE863" s="417" t="s">
        <v>6891</v>
      </c>
      <c r="AF863" s="416" t="s">
        <v>6892</v>
      </c>
    </row>
    <row r="864" spans="1:32">
      <c r="A864" s="1" t="s">
        <v>1644</v>
      </c>
      <c r="B864" s="416" t="s">
        <v>6893</v>
      </c>
      <c r="AE864" s="417" t="s">
        <v>6894</v>
      </c>
      <c r="AF864" s="416" t="s">
        <v>6895</v>
      </c>
    </row>
    <row r="865" spans="1:32">
      <c r="A865" s="1" t="s">
        <v>1644</v>
      </c>
      <c r="B865" s="416" t="s">
        <v>4552</v>
      </c>
      <c r="AE865" s="417" t="s">
        <v>6896</v>
      </c>
      <c r="AF865" s="416" t="s">
        <v>6897</v>
      </c>
    </row>
    <row r="866" spans="1:32">
      <c r="A866" s="1" t="s">
        <v>1644</v>
      </c>
      <c r="B866" s="416" t="s">
        <v>6898</v>
      </c>
      <c r="AE866" s="417" t="s">
        <v>6899</v>
      </c>
      <c r="AF866" s="416" t="s">
        <v>6900</v>
      </c>
    </row>
    <row r="867" spans="1:32">
      <c r="A867" s="1" t="s">
        <v>1644</v>
      </c>
      <c r="B867" s="416" t="s">
        <v>6901</v>
      </c>
      <c r="AE867" s="417" t="s">
        <v>6902</v>
      </c>
      <c r="AF867" s="416" t="s">
        <v>6903</v>
      </c>
    </row>
    <row r="868" spans="1:32">
      <c r="A868" s="1" t="s">
        <v>1658</v>
      </c>
      <c r="B868" s="416" t="s">
        <v>6904</v>
      </c>
      <c r="AE868" s="417" t="s">
        <v>6905</v>
      </c>
      <c r="AF868" s="416" t="s">
        <v>6906</v>
      </c>
    </row>
    <row r="869" spans="1:32">
      <c r="A869" s="1" t="s">
        <v>1658</v>
      </c>
      <c r="B869" s="416" t="s">
        <v>6907</v>
      </c>
      <c r="AE869" s="417" t="s">
        <v>6908</v>
      </c>
      <c r="AF869" s="416" t="s">
        <v>6909</v>
      </c>
    </row>
    <row r="870" spans="1:32">
      <c r="A870" s="1" t="s">
        <v>1658</v>
      </c>
      <c r="B870" s="416" t="s">
        <v>6910</v>
      </c>
      <c r="AE870" s="417" t="s">
        <v>6911</v>
      </c>
      <c r="AF870" s="416" t="s">
        <v>6912</v>
      </c>
    </row>
    <row r="871" spans="1:32">
      <c r="A871" s="1" t="s">
        <v>1658</v>
      </c>
      <c r="B871" s="416" t="s">
        <v>3487</v>
      </c>
      <c r="AE871" s="417" t="s">
        <v>6913</v>
      </c>
      <c r="AF871" s="416" t="s">
        <v>6914</v>
      </c>
    </row>
    <row r="872" spans="1:32">
      <c r="A872" s="1" t="s">
        <v>1658</v>
      </c>
      <c r="B872" s="416" t="s">
        <v>3519</v>
      </c>
      <c r="AE872" s="417" t="s">
        <v>6915</v>
      </c>
      <c r="AF872" s="416" t="s">
        <v>6916</v>
      </c>
    </row>
    <row r="873" spans="1:32">
      <c r="A873" s="1" t="s">
        <v>1658</v>
      </c>
      <c r="B873" s="416" t="s">
        <v>3527</v>
      </c>
      <c r="AE873" s="417" t="s">
        <v>6917</v>
      </c>
      <c r="AF873" s="416" t="s">
        <v>6918</v>
      </c>
    </row>
    <row r="874" spans="1:32">
      <c r="A874" s="1" t="s">
        <v>1672</v>
      </c>
      <c r="B874" s="416" t="s">
        <v>626</v>
      </c>
      <c r="AE874" s="417" t="s">
        <v>6919</v>
      </c>
      <c r="AF874" s="416" t="s">
        <v>6920</v>
      </c>
    </row>
    <row r="875" spans="1:32">
      <c r="A875" s="1" t="s">
        <v>1672</v>
      </c>
      <c r="B875" s="416" t="s">
        <v>565</v>
      </c>
      <c r="AE875" s="417" t="s">
        <v>6921</v>
      </c>
      <c r="AF875" s="416" t="s">
        <v>6922</v>
      </c>
    </row>
    <row r="876" spans="1:32">
      <c r="A876" s="1" t="s">
        <v>1672</v>
      </c>
      <c r="B876" s="416" t="s">
        <v>653</v>
      </c>
      <c r="AE876" s="417" t="s">
        <v>6923</v>
      </c>
      <c r="AF876" s="416" t="s">
        <v>6924</v>
      </c>
    </row>
    <row r="877" spans="1:32">
      <c r="A877" s="1" t="s">
        <v>1672</v>
      </c>
      <c r="B877" s="416" t="s">
        <v>597</v>
      </c>
      <c r="AE877" s="417" t="s">
        <v>6925</v>
      </c>
      <c r="AF877" s="416" t="s">
        <v>6926</v>
      </c>
    </row>
    <row r="878" spans="1:32">
      <c r="A878" s="1" t="s">
        <v>1672</v>
      </c>
      <c r="B878" s="416" t="s">
        <v>6927</v>
      </c>
      <c r="AE878" s="417" t="s">
        <v>6928</v>
      </c>
      <c r="AF878" s="416" t="s">
        <v>6929</v>
      </c>
    </row>
    <row r="879" spans="1:32">
      <c r="A879" s="1" t="s">
        <v>1672</v>
      </c>
      <c r="B879" s="416" t="s">
        <v>6930</v>
      </c>
      <c r="AE879" s="417" t="s">
        <v>6931</v>
      </c>
      <c r="AF879" s="416" t="s">
        <v>6932</v>
      </c>
    </row>
    <row r="880" spans="1:32">
      <c r="A880" s="1" t="s">
        <v>1672</v>
      </c>
      <c r="B880" s="416" t="s">
        <v>708</v>
      </c>
      <c r="AE880" s="417" t="s">
        <v>6933</v>
      </c>
      <c r="AF880" s="416" t="s">
        <v>6934</v>
      </c>
    </row>
    <row r="881" spans="1:32">
      <c r="A881" s="1" t="s">
        <v>1684</v>
      </c>
      <c r="B881" s="416" t="s">
        <v>2095</v>
      </c>
      <c r="AE881" s="417" t="s">
        <v>6935</v>
      </c>
      <c r="AF881" s="416" t="s">
        <v>6936</v>
      </c>
    </row>
    <row r="882" spans="1:32">
      <c r="A882" s="1" t="s">
        <v>1684</v>
      </c>
      <c r="B882" s="416" t="s">
        <v>2144</v>
      </c>
      <c r="AE882" s="417" t="s">
        <v>6937</v>
      </c>
      <c r="AF882" s="416" t="s">
        <v>6938</v>
      </c>
    </row>
    <row r="883" spans="1:32">
      <c r="A883" s="1" t="s">
        <v>1684</v>
      </c>
      <c r="B883" s="416" t="s">
        <v>2157</v>
      </c>
      <c r="AE883" s="417" t="s">
        <v>6939</v>
      </c>
      <c r="AF883" s="416" t="s">
        <v>6940</v>
      </c>
    </row>
    <row r="884" spans="1:32">
      <c r="A884" s="1" t="s">
        <v>1684</v>
      </c>
      <c r="B884" s="416" t="s">
        <v>2131</v>
      </c>
      <c r="AE884" s="417" t="s">
        <v>6941</v>
      </c>
      <c r="AF884" s="416" t="s">
        <v>6942</v>
      </c>
    </row>
    <row r="885" spans="1:32">
      <c r="A885" s="1" t="s">
        <v>1684</v>
      </c>
      <c r="B885" s="416" t="s">
        <v>2119</v>
      </c>
      <c r="AE885" s="417" t="s">
        <v>6943</v>
      </c>
      <c r="AF885" s="416" t="s">
        <v>6944</v>
      </c>
    </row>
    <row r="886" spans="1:32">
      <c r="A886" s="1" t="s">
        <v>1684</v>
      </c>
      <c r="B886" s="416" t="s">
        <v>2169</v>
      </c>
      <c r="AE886" s="417" t="s">
        <v>6945</v>
      </c>
      <c r="AF886" s="416" t="s">
        <v>6946</v>
      </c>
    </row>
    <row r="887" spans="1:32">
      <c r="A887" s="1" t="s">
        <v>1684</v>
      </c>
      <c r="B887" s="416" t="s">
        <v>2107</v>
      </c>
      <c r="AE887" s="417" t="s">
        <v>6947</v>
      </c>
      <c r="AF887" s="416" t="s">
        <v>6948</v>
      </c>
    </row>
    <row r="888" spans="1:32">
      <c r="A888" s="1" t="s">
        <v>1697</v>
      </c>
      <c r="B888" s="416" t="s">
        <v>6949</v>
      </c>
      <c r="AE888" s="417" t="s">
        <v>6950</v>
      </c>
      <c r="AF888" s="416" t="s">
        <v>6951</v>
      </c>
    </row>
    <row r="889" spans="1:32">
      <c r="A889" s="1" t="s">
        <v>1697</v>
      </c>
      <c r="B889" s="416" t="s">
        <v>6952</v>
      </c>
      <c r="AE889" s="417" t="s">
        <v>6953</v>
      </c>
      <c r="AF889" s="416" t="s">
        <v>6954</v>
      </c>
    </row>
    <row r="890" spans="1:32">
      <c r="A890" s="1" t="s">
        <v>1697</v>
      </c>
      <c r="B890" s="416" t="s">
        <v>6955</v>
      </c>
      <c r="AE890" s="417" t="s">
        <v>6956</v>
      </c>
      <c r="AF890" s="416" t="s">
        <v>6957</v>
      </c>
    </row>
    <row r="891" spans="1:32">
      <c r="A891" s="1" t="s">
        <v>1697</v>
      </c>
      <c r="B891" s="416" t="s">
        <v>6958</v>
      </c>
      <c r="AE891" s="417" t="s">
        <v>6959</v>
      </c>
      <c r="AF891" s="416" t="s">
        <v>6960</v>
      </c>
    </row>
    <row r="892" spans="1:32">
      <c r="A892" s="1" t="s">
        <v>1697</v>
      </c>
      <c r="B892" s="416" t="s">
        <v>6961</v>
      </c>
      <c r="AE892" s="417" t="s">
        <v>6962</v>
      </c>
      <c r="AF892" s="416" t="s">
        <v>6963</v>
      </c>
    </row>
    <row r="893" spans="1:32">
      <c r="A893" s="1" t="s">
        <v>1697</v>
      </c>
      <c r="B893" s="416" t="s">
        <v>6964</v>
      </c>
      <c r="AE893" s="417" t="s">
        <v>6965</v>
      </c>
      <c r="AF893" s="416" t="s">
        <v>6966</v>
      </c>
    </row>
    <row r="894" spans="1:32">
      <c r="A894" s="1" t="s">
        <v>1697</v>
      </c>
      <c r="B894" s="416" t="s">
        <v>6967</v>
      </c>
      <c r="AE894" s="417" t="s">
        <v>6968</v>
      </c>
      <c r="AF894" s="416" t="s">
        <v>6969</v>
      </c>
    </row>
    <row r="895" spans="1:32">
      <c r="A895" s="1" t="s">
        <v>1697</v>
      </c>
      <c r="B895" s="416" t="s">
        <v>6970</v>
      </c>
      <c r="AE895" s="417" t="s">
        <v>6971</v>
      </c>
      <c r="AF895" s="416" t="s">
        <v>6972</v>
      </c>
    </row>
    <row r="896" spans="1:32">
      <c r="A896" s="1" t="s">
        <v>1697</v>
      </c>
      <c r="B896" s="416" t="s">
        <v>6973</v>
      </c>
      <c r="AE896" s="417" t="s">
        <v>6974</v>
      </c>
      <c r="AF896" s="416" t="s">
        <v>6975</v>
      </c>
    </row>
    <row r="897" spans="1:32">
      <c r="A897" s="1" t="s">
        <v>1697</v>
      </c>
      <c r="B897" s="416" t="s">
        <v>6976</v>
      </c>
      <c r="AE897" s="417" t="s">
        <v>6977</v>
      </c>
      <c r="AF897" s="416" t="s">
        <v>6978</v>
      </c>
    </row>
    <row r="898" spans="1:32">
      <c r="A898" s="1" t="s">
        <v>1697</v>
      </c>
      <c r="B898" s="416" t="s">
        <v>4663</v>
      </c>
      <c r="AE898" s="417" t="s">
        <v>6979</v>
      </c>
      <c r="AF898" s="416" t="s">
        <v>6980</v>
      </c>
    </row>
    <row r="899" spans="1:32">
      <c r="A899" s="1" t="s">
        <v>1697</v>
      </c>
      <c r="B899" s="416" t="s">
        <v>6981</v>
      </c>
      <c r="AE899" s="417" t="s">
        <v>6982</v>
      </c>
      <c r="AF899" s="416" t="s">
        <v>6983</v>
      </c>
    </row>
    <row r="900" spans="1:32">
      <c r="A900" s="1" t="s">
        <v>1697</v>
      </c>
      <c r="B900" s="416" t="s">
        <v>6984</v>
      </c>
      <c r="AE900" s="417" t="s">
        <v>6985</v>
      </c>
      <c r="AF900" s="416" t="s">
        <v>6986</v>
      </c>
    </row>
    <row r="901" spans="1:32">
      <c r="A901" s="1" t="s">
        <v>1697</v>
      </c>
      <c r="B901" s="416" t="s">
        <v>4602</v>
      </c>
      <c r="AE901" s="417" t="s">
        <v>6987</v>
      </c>
      <c r="AF901" s="416" t="s">
        <v>6988</v>
      </c>
    </row>
    <row r="902" spans="1:32">
      <c r="A902" s="1" t="s">
        <v>1697</v>
      </c>
      <c r="B902" s="416" t="s">
        <v>6989</v>
      </c>
      <c r="AE902" s="417" t="s">
        <v>6990</v>
      </c>
      <c r="AF902" s="416" t="s">
        <v>6991</v>
      </c>
    </row>
    <row r="903" spans="1:32">
      <c r="A903" s="1" t="s">
        <v>1697</v>
      </c>
      <c r="B903" s="416" t="s">
        <v>6992</v>
      </c>
      <c r="AE903" s="417" t="s">
        <v>6993</v>
      </c>
      <c r="AF903" s="416" t="s">
        <v>6994</v>
      </c>
    </row>
    <row r="904" spans="1:32">
      <c r="A904" s="1" t="s">
        <v>1697</v>
      </c>
      <c r="B904" s="416" t="s">
        <v>6995</v>
      </c>
      <c r="AE904" s="417" t="s">
        <v>6996</v>
      </c>
      <c r="AF904" s="416" t="s">
        <v>6997</v>
      </c>
    </row>
    <row r="905" spans="1:32">
      <c r="A905" s="1" t="s">
        <v>1697</v>
      </c>
      <c r="B905" s="416" t="s">
        <v>6998</v>
      </c>
      <c r="AE905" s="417" t="s">
        <v>6999</v>
      </c>
      <c r="AF905" s="416" t="s">
        <v>7000</v>
      </c>
    </row>
    <row r="906" spans="1:32">
      <c r="A906" s="1" t="s">
        <v>1697</v>
      </c>
      <c r="B906" s="416" t="s">
        <v>7001</v>
      </c>
      <c r="AE906" s="417" t="s">
        <v>7002</v>
      </c>
      <c r="AF906" s="416" t="s">
        <v>7003</v>
      </c>
    </row>
    <row r="907" spans="1:32">
      <c r="A907" s="1" t="s">
        <v>1711</v>
      </c>
      <c r="B907" s="416" t="s">
        <v>7004</v>
      </c>
      <c r="AE907" s="417" t="s">
        <v>7005</v>
      </c>
      <c r="AF907" s="416" t="s">
        <v>7006</v>
      </c>
    </row>
    <row r="908" spans="1:32">
      <c r="A908" s="1" t="s">
        <v>1711</v>
      </c>
      <c r="B908" s="416" t="s">
        <v>7007</v>
      </c>
      <c r="AE908" s="417" t="s">
        <v>7008</v>
      </c>
      <c r="AF908" s="416" t="s">
        <v>7009</v>
      </c>
    </row>
    <row r="909" spans="1:32">
      <c r="A909" s="1" t="s">
        <v>1711</v>
      </c>
      <c r="B909" s="416" t="s">
        <v>7010</v>
      </c>
      <c r="AE909" s="417" t="s">
        <v>7011</v>
      </c>
      <c r="AF909" s="416" t="s">
        <v>7012</v>
      </c>
    </row>
    <row r="910" spans="1:32">
      <c r="A910" s="1" t="s">
        <v>1711</v>
      </c>
      <c r="B910" s="416" t="s">
        <v>7013</v>
      </c>
      <c r="AE910" s="417" t="s">
        <v>7014</v>
      </c>
      <c r="AF910" s="416" t="s">
        <v>7015</v>
      </c>
    </row>
    <row r="911" spans="1:32">
      <c r="A911" s="1" t="s">
        <v>1711</v>
      </c>
      <c r="B911" s="416" t="s">
        <v>7016</v>
      </c>
      <c r="AE911" s="417" t="s">
        <v>7017</v>
      </c>
      <c r="AF911" s="416" t="s">
        <v>7018</v>
      </c>
    </row>
    <row r="912" spans="1:32">
      <c r="A912" s="1" t="s">
        <v>1711</v>
      </c>
      <c r="B912" s="416" t="s">
        <v>7019</v>
      </c>
      <c r="AE912" s="417" t="s">
        <v>7020</v>
      </c>
      <c r="AF912" s="416" t="s">
        <v>7021</v>
      </c>
    </row>
    <row r="913" spans="1:32">
      <c r="A913" s="1" t="s">
        <v>1711</v>
      </c>
      <c r="B913" s="416" t="s">
        <v>7022</v>
      </c>
      <c r="AE913" s="417" t="s">
        <v>7023</v>
      </c>
      <c r="AF913" s="416" t="s">
        <v>7024</v>
      </c>
    </row>
    <row r="914" spans="1:32">
      <c r="A914" s="1" t="s">
        <v>1711</v>
      </c>
      <c r="B914" s="416" t="s">
        <v>5883</v>
      </c>
      <c r="AE914" s="417" t="s">
        <v>7025</v>
      </c>
      <c r="AF914" s="416" t="s">
        <v>7026</v>
      </c>
    </row>
    <row r="915" spans="1:32">
      <c r="A915" s="1" t="s">
        <v>1711</v>
      </c>
      <c r="B915" s="416" t="s">
        <v>7027</v>
      </c>
      <c r="AE915" s="417" t="s">
        <v>7028</v>
      </c>
      <c r="AF915" s="416" t="s">
        <v>7029</v>
      </c>
    </row>
    <row r="916" spans="1:32">
      <c r="A916" s="1" t="s">
        <v>1725</v>
      </c>
      <c r="B916" s="416" t="s">
        <v>7030</v>
      </c>
      <c r="AE916" s="417" t="s">
        <v>7031</v>
      </c>
      <c r="AF916" s="416" t="s">
        <v>7032</v>
      </c>
    </row>
    <row r="917" spans="1:32">
      <c r="A917" s="1" t="s">
        <v>1725</v>
      </c>
      <c r="B917" s="416" t="s">
        <v>7033</v>
      </c>
      <c r="AE917" s="417" t="s">
        <v>7034</v>
      </c>
      <c r="AF917" s="416" t="s">
        <v>7035</v>
      </c>
    </row>
    <row r="918" spans="1:32">
      <c r="A918" s="1" t="s">
        <v>1725</v>
      </c>
      <c r="B918" s="416" t="s">
        <v>6760</v>
      </c>
      <c r="AE918" s="417" t="s">
        <v>7036</v>
      </c>
      <c r="AF918" s="416" t="s">
        <v>7037</v>
      </c>
    </row>
    <row r="919" spans="1:32">
      <c r="A919" s="1" t="s">
        <v>1725</v>
      </c>
      <c r="B919" s="416" t="s">
        <v>7038</v>
      </c>
      <c r="AE919" s="417" t="s">
        <v>7039</v>
      </c>
      <c r="AF919" s="416" t="s">
        <v>7040</v>
      </c>
    </row>
    <row r="920" spans="1:32">
      <c r="A920" s="1" t="s">
        <v>1725</v>
      </c>
      <c r="B920" s="416" t="s">
        <v>7041</v>
      </c>
      <c r="AE920" s="417" t="s">
        <v>7042</v>
      </c>
      <c r="AF920" s="416" t="s">
        <v>7043</v>
      </c>
    </row>
    <row r="921" spans="1:32">
      <c r="A921" s="1" t="s">
        <v>1725</v>
      </c>
      <c r="B921" s="416" t="s">
        <v>7044</v>
      </c>
      <c r="AE921" s="417" t="s">
        <v>7045</v>
      </c>
      <c r="AF921" s="416" t="s">
        <v>7046</v>
      </c>
    </row>
    <row r="922" spans="1:32">
      <c r="A922" s="1" t="s">
        <v>1725</v>
      </c>
      <c r="B922" s="416" t="s">
        <v>7047</v>
      </c>
      <c r="AE922" s="417" t="s">
        <v>7048</v>
      </c>
      <c r="AF922" s="416" t="s">
        <v>7049</v>
      </c>
    </row>
    <row r="923" spans="1:32">
      <c r="A923" s="1" t="s">
        <v>1725</v>
      </c>
      <c r="B923" s="416" t="s">
        <v>7050</v>
      </c>
      <c r="AE923" s="417" t="s">
        <v>7051</v>
      </c>
      <c r="AF923" s="416" t="s">
        <v>7052</v>
      </c>
    </row>
    <row r="924" spans="1:32">
      <c r="A924" s="1" t="s">
        <v>1739</v>
      </c>
      <c r="B924" s="416" t="s">
        <v>7053</v>
      </c>
      <c r="AE924" s="417" t="s">
        <v>7054</v>
      </c>
      <c r="AF924" s="416" t="s">
        <v>7055</v>
      </c>
    </row>
    <row r="925" spans="1:32">
      <c r="A925" s="1" t="s">
        <v>1739</v>
      </c>
      <c r="B925" s="416" t="s">
        <v>7056</v>
      </c>
      <c r="AE925" s="417" t="s">
        <v>7057</v>
      </c>
      <c r="AF925" s="416" t="s">
        <v>7058</v>
      </c>
    </row>
    <row r="926" spans="1:32">
      <c r="A926" s="1" t="s">
        <v>1739</v>
      </c>
      <c r="B926" s="416" t="s">
        <v>7059</v>
      </c>
      <c r="AE926" s="417" t="s">
        <v>7060</v>
      </c>
      <c r="AF926" s="416" t="s">
        <v>7061</v>
      </c>
    </row>
    <row r="927" spans="1:32">
      <c r="A927" s="1" t="s">
        <v>1739</v>
      </c>
      <c r="B927" s="416" t="s">
        <v>7062</v>
      </c>
      <c r="AE927" s="417" t="s">
        <v>7063</v>
      </c>
      <c r="AF927" s="416" t="s">
        <v>7064</v>
      </c>
    </row>
    <row r="928" spans="1:32">
      <c r="A928" s="1" t="s">
        <v>1739</v>
      </c>
      <c r="B928" s="416" t="s">
        <v>7065</v>
      </c>
      <c r="AE928" s="417" t="s">
        <v>7066</v>
      </c>
      <c r="AF928" s="416" t="s">
        <v>7067</v>
      </c>
    </row>
    <row r="929" spans="1:32">
      <c r="A929" s="1" t="s">
        <v>1739</v>
      </c>
      <c r="B929" s="416" t="s">
        <v>7068</v>
      </c>
      <c r="AE929" s="417" t="s">
        <v>7069</v>
      </c>
      <c r="AF929" s="416" t="s">
        <v>7070</v>
      </c>
    </row>
    <row r="930" spans="1:32">
      <c r="A930" s="1" t="s">
        <v>1739</v>
      </c>
      <c r="B930" s="416" t="s">
        <v>7071</v>
      </c>
      <c r="AE930" s="417" t="s">
        <v>7072</v>
      </c>
      <c r="AF930" s="416" t="s">
        <v>7073</v>
      </c>
    </row>
    <row r="931" spans="1:32">
      <c r="A931" s="1" t="s">
        <v>1739</v>
      </c>
      <c r="B931" s="416" t="s">
        <v>7074</v>
      </c>
      <c r="AE931" s="417" t="s">
        <v>7075</v>
      </c>
      <c r="AF931" s="416" t="s">
        <v>1989</v>
      </c>
    </row>
    <row r="932" spans="1:32">
      <c r="A932" s="1" t="s">
        <v>1739</v>
      </c>
      <c r="B932" s="416" t="s">
        <v>7076</v>
      </c>
      <c r="AE932" s="417" t="s">
        <v>7077</v>
      </c>
      <c r="AF932" s="416" t="s">
        <v>7078</v>
      </c>
    </row>
    <row r="933" spans="1:32">
      <c r="A933" s="1" t="s">
        <v>1739</v>
      </c>
      <c r="B933" s="416" t="s">
        <v>7079</v>
      </c>
      <c r="AE933" s="417" t="s">
        <v>7080</v>
      </c>
      <c r="AF933" s="416" t="s">
        <v>7081</v>
      </c>
    </row>
    <row r="934" spans="1:32">
      <c r="A934" s="1" t="s">
        <v>1739</v>
      </c>
      <c r="B934" s="416" t="s">
        <v>7082</v>
      </c>
      <c r="AE934" s="417" t="s">
        <v>7083</v>
      </c>
      <c r="AF934" s="416" t="s">
        <v>7084</v>
      </c>
    </row>
    <row r="935" spans="1:32">
      <c r="A935" s="1" t="s">
        <v>1739</v>
      </c>
      <c r="B935" s="416" t="s">
        <v>7085</v>
      </c>
      <c r="AE935" s="417" t="s">
        <v>7086</v>
      </c>
      <c r="AF935" s="416" t="s">
        <v>7087</v>
      </c>
    </row>
    <row r="936" spans="1:32">
      <c r="A936" s="1" t="s">
        <v>1739</v>
      </c>
      <c r="B936" s="416" t="s">
        <v>7088</v>
      </c>
      <c r="AE936" s="417" t="s">
        <v>7089</v>
      </c>
      <c r="AF936" s="416" t="s">
        <v>7090</v>
      </c>
    </row>
    <row r="937" spans="1:32">
      <c r="A937" s="1" t="s">
        <v>1739</v>
      </c>
      <c r="B937" s="416" t="s">
        <v>7091</v>
      </c>
      <c r="AE937" s="417" t="s">
        <v>7092</v>
      </c>
      <c r="AF937" s="416" t="s">
        <v>7093</v>
      </c>
    </row>
    <row r="938" spans="1:32">
      <c r="A938" s="1" t="s">
        <v>1739</v>
      </c>
      <c r="B938" s="416" t="s">
        <v>7094</v>
      </c>
      <c r="AE938" s="417" t="s">
        <v>7095</v>
      </c>
      <c r="AF938" s="416" t="s">
        <v>7096</v>
      </c>
    </row>
    <row r="939" spans="1:32">
      <c r="A939" s="1" t="s">
        <v>1739</v>
      </c>
      <c r="B939" s="416" t="s">
        <v>7097</v>
      </c>
      <c r="AE939" s="417" t="s">
        <v>7098</v>
      </c>
      <c r="AF939" s="416" t="s">
        <v>7099</v>
      </c>
    </row>
    <row r="940" spans="1:32">
      <c r="A940" s="1" t="s">
        <v>1739</v>
      </c>
      <c r="B940" s="416" t="s">
        <v>7100</v>
      </c>
      <c r="AE940" s="417" t="s">
        <v>7101</v>
      </c>
      <c r="AF940" s="416" t="s">
        <v>7102</v>
      </c>
    </row>
    <row r="941" spans="1:32">
      <c r="A941" s="1" t="s">
        <v>1739</v>
      </c>
      <c r="B941" s="416" t="s">
        <v>7103</v>
      </c>
      <c r="AE941" s="417" t="s">
        <v>7104</v>
      </c>
      <c r="AF941" s="416" t="s">
        <v>7105</v>
      </c>
    </row>
    <row r="942" spans="1:32">
      <c r="A942" s="1" t="s">
        <v>1739</v>
      </c>
      <c r="B942" s="416" t="s">
        <v>4450</v>
      </c>
      <c r="AE942" s="417" t="s">
        <v>7106</v>
      </c>
      <c r="AF942" s="416" t="s">
        <v>7107</v>
      </c>
    </row>
    <row r="943" spans="1:32">
      <c r="A943" s="1" t="s">
        <v>1739</v>
      </c>
      <c r="B943" s="416" t="s">
        <v>7108</v>
      </c>
      <c r="AE943" s="417" t="s">
        <v>7109</v>
      </c>
      <c r="AF943" s="416" t="s">
        <v>7110</v>
      </c>
    </row>
    <row r="944" spans="1:32">
      <c r="A944" s="1" t="s">
        <v>1739</v>
      </c>
      <c r="B944" s="416" t="s">
        <v>7111</v>
      </c>
      <c r="AE944" s="417" t="s">
        <v>7112</v>
      </c>
      <c r="AF944" s="416" t="s">
        <v>7113</v>
      </c>
    </row>
    <row r="945" spans="1:32">
      <c r="A945" s="1" t="s">
        <v>1739</v>
      </c>
      <c r="B945" s="416" t="s">
        <v>7114</v>
      </c>
      <c r="AE945" s="417" t="s">
        <v>7115</v>
      </c>
      <c r="AF945" s="416" t="s">
        <v>7116</v>
      </c>
    </row>
    <row r="946" spans="1:32">
      <c r="A946" s="1" t="s">
        <v>1739</v>
      </c>
      <c r="B946" s="416" t="s">
        <v>7117</v>
      </c>
      <c r="AE946" s="417" t="s">
        <v>7118</v>
      </c>
      <c r="AF946" s="416" t="s">
        <v>7119</v>
      </c>
    </row>
    <row r="947" spans="1:32">
      <c r="A947" s="1" t="s">
        <v>1739</v>
      </c>
      <c r="B947" s="416" t="s">
        <v>7120</v>
      </c>
      <c r="AE947" s="417" t="s">
        <v>7121</v>
      </c>
      <c r="AF947" s="416" t="s">
        <v>7122</v>
      </c>
    </row>
    <row r="948" spans="1:32">
      <c r="A948" s="1" t="s">
        <v>1739</v>
      </c>
      <c r="B948" s="416" t="s">
        <v>7123</v>
      </c>
      <c r="AE948" s="417" t="s">
        <v>7124</v>
      </c>
      <c r="AF948" s="416" t="s">
        <v>7125</v>
      </c>
    </row>
    <row r="949" spans="1:32">
      <c r="A949" s="1" t="s">
        <v>1752</v>
      </c>
      <c r="B949" s="416" t="s">
        <v>7126</v>
      </c>
      <c r="AE949" s="417" t="s">
        <v>7127</v>
      </c>
      <c r="AF949" s="416" t="s">
        <v>7128</v>
      </c>
    </row>
    <row r="950" spans="1:32">
      <c r="A950" s="1" t="s">
        <v>1752</v>
      </c>
      <c r="B950" s="416" t="s">
        <v>7129</v>
      </c>
      <c r="AE950" s="417" t="s">
        <v>7130</v>
      </c>
      <c r="AF950" s="416" t="s">
        <v>7131</v>
      </c>
    </row>
    <row r="951" spans="1:32">
      <c r="A951" s="1" t="s">
        <v>1752</v>
      </c>
      <c r="B951" s="416" t="s">
        <v>7132</v>
      </c>
      <c r="AE951" s="417" t="s">
        <v>7133</v>
      </c>
      <c r="AF951" s="416" t="s">
        <v>7134</v>
      </c>
    </row>
    <row r="952" spans="1:32">
      <c r="A952" s="1" t="s">
        <v>1752</v>
      </c>
      <c r="B952" s="416" t="s">
        <v>7135</v>
      </c>
      <c r="AE952" s="417" t="s">
        <v>7136</v>
      </c>
      <c r="AF952" s="416" t="s">
        <v>7137</v>
      </c>
    </row>
    <row r="953" spans="1:32">
      <c r="A953" s="1" t="s">
        <v>1752</v>
      </c>
      <c r="B953" s="416" t="s">
        <v>7138</v>
      </c>
      <c r="AE953" s="417" t="s">
        <v>7139</v>
      </c>
      <c r="AF953" s="416" t="s">
        <v>7140</v>
      </c>
    </row>
    <row r="954" spans="1:32">
      <c r="A954" s="1" t="s">
        <v>1752</v>
      </c>
      <c r="B954" s="416" t="s">
        <v>7141</v>
      </c>
      <c r="AE954" s="417" t="s">
        <v>7142</v>
      </c>
      <c r="AF954" s="416" t="s">
        <v>7143</v>
      </c>
    </row>
    <row r="955" spans="1:32">
      <c r="A955" s="1" t="s">
        <v>1752</v>
      </c>
      <c r="B955" s="416" t="s">
        <v>7144</v>
      </c>
      <c r="AE955" s="417" t="s">
        <v>7145</v>
      </c>
      <c r="AF955" s="416" t="s">
        <v>7146</v>
      </c>
    </row>
    <row r="956" spans="1:32">
      <c r="A956" s="1" t="s">
        <v>1752</v>
      </c>
      <c r="B956" s="416" t="s">
        <v>7147</v>
      </c>
      <c r="AE956" s="417" t="s">
        <v>7148</v>
      </c>
      <c r="AF956" s="416" t="s">
        <v>7149</v>
      </c>
    </row>
    <row r="957" spans="1:32">
      <c r="A957" s="1" t="s">
        <v>1752</v>
      </c>
      <c r="B957" s="416" t="s">
        <v>7150</v>
      </c>
      <c r="AE957" s="417" t="s">
        <v>7151</v>
      </c>
      <c r="AF957" s="416" t="s">
        <v>7152</v>
      </c>
    </row>
    <row r="958" spans="1:32">
      <c r="A958" s="1" t="s">
        <v>1752</v>
      </c>
      <c r="B958" s="416" t="s">
        <v>7153</v>
      </c>
      <c r="AE958" s="417" t="s">
        <v>7154</v>
      </c>
      <c r="AF958" s="416" t="s">
        <v>7155</v>
      </c>
    </row>
    <row r="959" spans="1:32">
      <c r="A959" s="1" t="s">
        <v>1752</v>
      </c>
      <c r="B959" s="416" t="s">
        <v>7156</v>
      </c>
      <c r="AE959" s="417" t="s">
        <v>7157</v>
      </c>
      <c r="AF959" s="416" t="s">
        <v>7158</v>
      </c>
    </row>
    <row r="960" spans="1:32">
      <c r="A960" s="1" t="s">
        <v>1766</v>
      </c>
      <c r="B960" s="416" t="s">
        <v>7159</v>
      </c>
      <c r="AE960" s="417" t="s">
        <v>7160</v>
      </c>
      <c r="AF960" s="416" t="s">
        <v>7161</v>
      </c>
    </row>
    <row r="961" spans="1:32">
      <c r="A961" s="1" t="s">
        <v>1766</v>
      </c>
      <c r="B961" s="416" t="s">
        <v>7162</v>
      </c>
      <c r="AE961" s="417" t="s">
        <v>7163</v>
      </c>
      <c r="AF961" s="416" t="s">
        <v>7164</v>
      </c>
    </row>
    <row r="962" spans="1:32">
      <c r="A962" s="1" t="s">
        <v>1766</v>
      </c>
      <c r="B962" s="416" t="s">
        <v>7165</v>
      </c>
      <c r="AE962" s="417" t="s">
        <v>7166</v>
      </c>
      <c r="AF962" s="416" t="s">
        <v>7167</v>
      </c>
    </row>
    <row r="963" spans="1:32">
      <c r="A963" s="1" t="s">
        <v>1766</v>
      </c>
      <c r="B963" s="416" t="s">
        <v>7168</v>
      </c>
      <c r="AE963" s="417" t="s">
        <v>7169</v>
      </c>
      <c r="AF963" s="416" t="s">
        <v>7170</v>
      </c>
    </row>
    <row r="964" spans="1:32">
      <c r="A964" s="1" t="s">
        <v>1766</v>
      </c>
      <c r="B964" s="416" t="s">
        <v>7171</v>
      </c>
      <c r="AE964" s="417" t="s">
        <v>7172</v>
      </c>
      <c r="AF964" s="416" t="s">
        <v>7173</v>
      </c>
    </row>
    <row r="965" spans="1:32">
      <c r="A965" s="1" t="s">
        <v>1766</v>
      </c>
      <c r="B965" s="416" t="s">
        <v>7174</v>
      </c>
      <c r="AE965" s="417" t="s">
        <v>7175</v>
      </c>
      <c r="AF965" s="416" t="s">
        <v>7176</v>
      </c>
    </row>
    <row r="966" spans="1:32">
      <c r="A966" s="1" t="s">
        <v>1766</v>
      </c>
      <c r="B966" s="416" t="s">
        <v>7177</v>
      </c>
      <c r="AE966" s="417" t="s">
        <v>7178</v>
      </c>
      <c r="AF966" s="416" t="s">
        <v>7179</v>
      </c>
    </row>
    <row r="967" spans="1:32">
      <c r="A967" s="1" t="s">
        <v>1766</v>
      </c>
      <c r="B967" s="416" t="s">
        <v>7180</v>
      </c>
      <c r="AE967" s="417" t="s">
        <v>7181</v>
      </c>
      <c r="AF967" s="416" t="s">
        <v>1385</v>
      </c>
    </row>
    <row r="968" spans="1:32">
      <c r="A968" s="1" t="s">
        <v>1780</v>
      </c>
      <c r="B968" s="416" t="s">
        <v>7182</v>
      </c>
      <c r="AE968" s="417" t="s">
        <v>7183</v>
      </c>
      <c r="AF968" s="416" t="s">
        <v>1637</v>
      </c>
    </row>
    <row r="969" spans="1:32">
      <c r="A969" s="1" t="s">
        <v>1780</v>
      </c>
      <c r="B969" s="416" t="s">
        <v>7184</v>
      </c>
      <c r="AE969" s="417" t="s">
        <v>7185</v>
      </c>
      <c r="AF969" s="416" t="s">
        <v>7186</v>
      </c>
    </row>
    <row r="970" spans="1:32">
      <c r="A970" s="1" t="s">
        <v>1780</v>
      </c>
      <c r="B970" s="416" t="s">
        <v>7187</v>
      </c>
      <c r="AE970" s="417" t="s">
        <v>7188</v>
      </c>
      <c r="AF970" s="416" t="s">
        <v>7189</v>
      </c>
    </row>
    <row r="971" spans="1:32">
      <c r="A971" s="1" t="s">
        <v>1780</v>
      </c>
      <c r="B971" s="416" t="s">
        <v>7190</v>
      </c>
      <c r="AE971" s="417" t="s">
        <v>7191</v>
      </c>
      <c r="AF971" s="416" t="s">
        <v>7192</v>
      </c>
    </row>
    <row r="972" spans="1:32">
      <c r="A972" s="1" t="s">
        <v>1780</v>
      </c>
      <c r="B972" s="416" t="s">
        <v>7193</v>
      </c>
      <c r="AE972" s="417" t="s">
        <v>7194</v>
      </c>
      <c r="AF972" s="416" t="s">
        <v>7195</v>
      </c>
    </row>
    <row r="973" spans="1:32">
      <c r="A973" s="1" t="s">
        <v>1780</v>
      </c>
      <c r="B973" s="416" t="s">
        <v>7196</v>
      </c>
      <c r="AE973" s="417" t="s">
        <v>7197</v>
      </c>
      <c r="AF973" s="416" t="s">
        <v>7198</v>
      </c>
    </row>
    <row r="974" spans="1:32">
      <c r="A974" s="1" t="s">
        <v>1780</v>
      </c>
      <c r="B974" s="416" t="s">
        <v>7199</v>
      </c>
      <c r="AE974" s="417" t="s">
        <v>7200</v>
      </c>
      <c r="AF974" s="416" t="s">
        <v>7201</v>
      </c>
    </row>
    <row r="975" spans="1:32">
      <c r="A975" s="1" t="s">
        <v>1780</v>
      </c>
      <c r="B975" s="416" t="s">
        <v>7202</v>
      </c>
      <c r="AE975" s="417" t="s">
        <v>7203</v>
      </c>
      <c r="AF975" s="416" t="s">
        <v>7204</v>
      </c>
    </row>
    <row r="976" spans="1:32">
      <c r="A976" s="1" t="s">
        <v>1780</v>
      </c>
      <c r="B976" s="416" t="s">
        <v>7205</v>
      </c>
      <c r="AE976" s="417" t="s">
        <v>7206</v>
      </c>
      <c r="AF976" s="416" t="s">
        <v>7207</v>
      </c>
    </row>
    <row r="977" spans="1:32">
      <c r="A977" s="1" t="s">
        <v>1780</v>
      </c>
      <c r="B977" s="416" t="s">
        <v>7208</v>
      </c>
      <c r="AE977" s="417" t="s">
        <v>7209</v>
      </c>
      <c r="AF977" s="416" t="s">
        <v>7210</v>
      </c>
    </row>
    <row r="978" spans="1:32">
      <c r="A978" s="1" t="s">
        <v>1793</v>
      </c>
      <c r="B978" s="416" t="s">
        <v>7211</v>
      </c>
      <c r="AE978" s="417" t="s">
        <v>7212</v>
      </c>
      <c r="AF978" s="416" t="s">
        <v>7213</v>
      </c>
    </row>
    <row r="979" spans="1:32">
      <c r="A979" s="1" t="s">
        <v>1793</v>
      </c>
      <c r="B979" s="416" t="s">
        <v>7214</v>
      </c>
      <c r="AE979" s="417" t="s">
        <v>7215</v>
      </c>
      <c r="AF979" s="416" t="s">
        <v>7216</v>
      </c>
    </row>
    <row r="980" spans="1:32">
      <c r="A980" s="1" t="s">
        <v>1793</v>
      </c>
      <c r="B980" s="416" t="s">
        <v>7217</v>
      </c>
      <c r="AE980" s="417" t="s">
        <v>7218</v>
      </c>
      <c r="AF980" s="416" t="s">
        <v>7219</v>
      </c>
    </row>
    <row r="981" spans="1:32">
      <c r="A981" s="1" t="s">
        <v>1793</v>
      </c>
      <c r="B981" s="416" t="s">
        <v>7135</v>
      </c>
      <c r="AE981" s="417" t="s">
        <v>7220</v>
      </c>
      <c r="AF981" s="416" t="s">
        <v>7221</v>
      </c>
    </row>
    <row r="982" spans="1:32">
      <c r="A982" s="1" t="s">
        <v>1793</v>
      </c>
      <c r="B982" s="416" t="s">
        <v>7222</v>
      </c>
      <c r="AE982" s="417" t="s">
        <v>7223</v>
      </c>
      <c r="AF982" s="416" t="s">
        <v>7224</v>
      </c>
    </row>
    <row r="983" spans="1:32">
      <c r="A983" s="1" t="s">
        <v>1793</v>
      </c>
      <c r="B983" s="416" t="s">
        <v>7225</v>
      </c>
      <c r="AE983" s="417" t="s">
        <v>7226</v>
      </c>
      <c r="AF983" s="416" t="s">
        <v>7227</v>
      </c>
    </row>
    <row r="984" spans="1:32">
      <c r="A984" s="1" t="s">
        <v>1793</v>
      </c>
      <c r="B984" s="416" t="s">
        <v>7228</v>
      </c>
      <c r="AE984" s="417" t="s">
        <v>7229</v>
      </c>
      <c r="AF984" s="416" t="s">
        <v>7230</v>
      </c>
    </row>
    <row r="985" spans="1:32">
      <c r="A985" s="1" t="s">
        <v>1793</v>
      </c>
      <c r="B985" s="416" t="s">
        <v>7231</v>
      </c>
      <c r="AE985" s="417" t="s">
        <v>7232</v>
      </c>
      <c r="AF985" s="416" t="s">
        <v>7233</v>
      </c>
    </row>
    <row r="986" spans="1:32">
      <c r="A986" s="1" t="s">
        <v>1806</v>
      </c>
      <c r="B986" s="416" t="s">
        <v>7234</v>
      </c>
      <c r="AE986" s="417" t="s">
        <v>7235</v>
      </c>
      <c r="AF986" s="416" t="s">
        <v>7236</v>
      </c>
    </row>
    <row r="987" spans="1:32">
      <c r="A987" s="1" t="s">
        <v>1806</v>
      </c>
      <c r="B987" s="416" t="s">
        <v>7237</v>
      </c>
      <c r="AE987" s="417" t="s">
        <v>7238</v>
      </c>
      <c r="AF987" s="416" t="s">
        <v>7239</v>
      </c>
    </row>
    <row r="988" spans="1:32">
      <c r="A988" s="1" t="s">
        <v>1806</v>
      </c>
      <c r="B988" s="416" t="s">
        <v>7240</v>
      </c>
      <c r="AE988" s="417" t="s">
        <v>7241</v>
      </c>
      <c r="AF988" s="416" t="s">
        <v>7242</v>
      </c>
    </row>
    <row r="989" spans="1:32">
      <c r="A989" s="1" t="s">
        <v>1806</v>
      </c>
      <c r="B989" s="416" t="s">
        <v>7243</v>
      </c>
      <c r="AE989" s="417" t="s">
        <v>7244</v>
      </c>
      <c r="AF989" s="416" t="s">
        <v>7245</v>
      </c>
    </row>
    <row r="990" spans="1:32">
      <c r="A990" s="1" t="s">
        <v>1806</v>
      </c>
      <c r="B990" s="416" t="s">
        <v>7246</v>
      </c>
      <c r="AE990" s="417" t="s">
        <v>7247</v>
      </c>
      <c r="AF990" s="416" t="s">
        <v>7248</v>
      </c>
    </row>
    <row r="991" spans="1:32">
      <c r="A991" s="1" t="s">
        <v>1806</v>
      </c>
      <c r="B991" s="416" t="s">
        <v>7249</v>
      </c>
      <c r="AE991" s="417" t="s">
        <v>7250</v>
      </c>
      <c r="AF991" s="416" t="s">
        <v>7251</v>
      </c>
    </row>
    <row r="992" spans="1:32">
      <c r="A992" s="1" t="s">
        <v>1806</v>
      </c>
      <c r="B992" s="416" t="s">
        <v>7252</v>
      </c>
      <c r="AE992" s="417" t="s">
        <v>7253</v>
      </c>
      <c r="AF992" s="416" t="s">
        <v>7254</v>
      </c>
    </row>
    <row r="993" spans="1:32">
      <c r="A993" s="1" t="s">
        <v>1820</v>
      </c>
      <c r="B993" s="416" t="s">
        <v>7255</v>
      </c>
      <c r="AE993" s="417" t="s">
        <v>7256</v>
      </c>
      <c r="AF993" s="416" t="s">
        <v>7257</v>
      </c>
    </row>
    <row r="994" spans="1:32">
      <c r="A994" s="1" t="s">
        <v>1820</v>
      </c>
      <c r="B994" s="416" t="s">
        <v>7258</v>
      </c>
      <c r="AE994" s="417" t="s">
        <v>7259</v>
      </c>
      <c r="AF994" s="416" t="s">
        <v>7260</v>
      </c>
    </row>
    <row r="995" spans="1:32">
      <c r="A995" s="1" t="s">
        <v>1820</v>
      </c>
      <c r="B995" s="416" t="s">
        <v>7261</v>
      </c>
      <c r="AE995" s="417" t="s">
        <v>7262</v>
      </c>
      <c r="AF995" s="416" t="s">
        <v>7263</v>
      </c>
    </row>
    <row r="996" spans="1:32">
      <c r="A996" s="1" t="s">
        <v>1820</v>
      </c>
      <c r="B996" s="416" t="s">
        <v>7264</v>
      </c>
      <c r="AE996" s="417" t="s">
        <v>7265</v>
      </c>
      <c r="AF996" s="416" t="s">
        <v>7266</v>
      </c>
    </row>
    <row r="997" spans="1:32">
      <c r="A997" s="1" t="s">
        <v>1820</v>
      </c>
      <c r="B997" s="416" t="s">
        <v>7267</v>
      </c>
      <c r="AE997" s="417" t="s">
        <v>7268</v>
      </c>
      <c r="AF997" s="416" t="s">
        <v>7269</v>
      </c>
    </row>
    <row r="998" spans="1:32">
      <c r="A998" s="1" t="s">
        <v>1820</v>
      </c>
      <c r="B998" s="416" t="s">
        <v>7270</v>
      </c>
      <c r="AE998" s="417" t="s">
        <v>7271</v>
      </c>
      <c r="AF998" s="416" t="s">
        <v>7272</v>
      </c>
    </row>
    <row r="999" spans="1:32">
      <c r="A999" s="1" t="s">
        <v>1820</v>
      </c>
      <c r="B999" s="416" t="s">
        <v>7273</v>
      </c>
      <c r="AE999" s="417" t="s">
        <v>7274</v>
      </c>
      <c r="AF999" s="416" t="s">
        <v>7275</v>
      </c>
    </row>
    <row r="1000" spans="1:32">
      <c r="A1000" s="1" t="s">
        <v>1820</v>
      </c>
      <c r="B1000" s="416" t="s">
        <v>7276</v>
      </c>
      <c r="AE1000" s="417" t="s">
        <v>7277</v>
      </c>
      <c r="AF1000" s="416" t="s">
        <v>7278</v>
      </c>
    </row>
    <row r="1001" spans="1:32">
      <c r="A1001" s="1" t="s">
        <v>1832</v>
      </c>
      <c r="B1001" s="416" t="s">
        <v>7279</v>
      </c>
      <c r="AE1001" s="417" t="s">
        <v>7280</v>
      </c>
      <c r="AF1001" s="416" t="s">
        <v>7281</v>
      </c>
    </row>
    <row r="1002" spans="1:32">
      <c r="A1002" s="1" t="s">
        <v>1832</v>
      </c>
      <c r="B1002" s="416" t="s">
        <v>7282</v>
      </c>
      <c r="AE1002" s="417" t="s">
        <v>7283</v>
      </c>
      <c r="AF1002" s="416" t="s">
        <v>7284</v>
      </c>
    </row>
    <row r="1003" spans="1:32">
      <c r="A1003" s="1" t="s">
        <v>1832</v>
      </c>
      <c r="B1003" s="416" t="s">
        <v>7132</v>
      </c>
      <c r="AE1003" s="417" t="s">
        <v>7285</v>
      </c>
      <c r="AF1003" s="416" t="s">
        <v>7286</v>
      </c>
    </row>
    <row r="1004" spans="1:32">
      <c r="A1004" s="1" t="s">
        <v>1832</v>
      </c>
      <c r="B1004" s="416" t="s">
        <v>7287</v>
      </c>
      <c r="AE1004" s="417" t="s">
        <v>7288</v>
      </c>
      <c r="AF1004" s="416" t="s">
        <v>7289</v>
      </c>
    </row>
    <row r="1005" spans="1:32">
      <c r="A1005" s="1" t="s">
        <v>1832</v>
      </c>
      <c r="B1005" s="416" t="s">
        <v>7290</v>
      </c>
      <c r="AE1005" s="417" t="s">
        <v>7291</v>
      </c>
      <c r="AF1005" s="416" t="s">
        <v>7292</v>
      </c>
    </row>
    <row r="1006" spans="1:32">
      <c r="A1006" s="1" t="s">
        <v>1832</v>
      </c>
      <c r="B1006" s="416" t="s">
        <v>7293</v>
      </c>
      <c r="AE1006" s="417" t="s">
        <v>7294</v>
      </c>
      <c r="AF1006" s="416" t="s">
        <v>7295</v>
      </c>
    </row>
    <row r="1007" spans="1:32">
      <c r="A1007" s="1" t="s">
        <v>1832</v>
      </c>
      <c r="B1007" s="416" t="s">
        <v>7296</v>
      </c>
      <c r="AE1007" s="417" t="s">
        <v>7297</v>
      </c>
      <c r="AF1007" s="416" t="s">
        <v>7298</v>
      </c>
    </row>
    <row r="1008" spans="1:32">
      <c r="A1008" s="1" t="s">
        <v>1832</v>
      </c>
      <c r="B1008" s="416" t="s">
        <v>7299</v>
      </c>
      <c r="AE1008" s="417" t="s">
        <v>7300</v>
      </c>
      <c r="AF1008" s="416" t="s">
        <v>7301</v>
      </c>
    </row>
    <row r="1009" spans="1:32">
      <c r="A1009" s="1" t="s">
        <v>1832</v>
      </c>
      <c r="B1009" s="416" t="s">
        <v>7302</v>
      </c>
      <c r="AE1009" s="417" t="s">
        <v>7303</v>
      </c>
      <c r="AF1009" s="416" t="s">
        <v>7304</v>
      </c>
    </row>
    <row r="1010" spans="1:32">
      <c r="A1010" s="1" t="s">
        <v>1844</v>
      </c>
      <c r="B1010" s="416" t="s">
        <v>7305</v>
      </c>
      <c r="AE1010" s="417" t="s">
        <v>7306</v>
      </c>
      <c r="AF1010" s="416" t="s">
        <v>7307</v>
      </c>
    </row>
    <row r="1011" spans="1:32">
      <c r="A1011" s="1" t="s">
        <v>1844</v>
      </c>
      <c r="B1011" s="416" t="s">
        <v>7308</v>
      </c>
      <c r="AE1011" s="417" t="s">
        <v>7309</v>
      </c>
      <c r="AF1011" s="416" t="s">
        <v>7310</v>
      </c>
    </row>
    <row r="1012" spans="1:32">
      <c r="A1012" s="1" t="s">
        <v>1844</v>
      </c>
      <c r="B1012" s="416" t="s">
        <v>7311</v>
      </c>
      <c r="AE1012" s="417" t="s">
        <v>7312</v>
      </c>
      <c r="AF1012" s="416" t="s">
        <v>7313</v>
      </c>
    </row>
    <row r="1013" spans="1:32">
      <c r="A1013" s="1" t="s">
        <v>1844</v>
      </c>
      <c r="B1013" s="416" t="s">
        <v>7314</v>
      </c>
      <c r="AE1013" s="417" t="s">
        <v>7315</v>
      </c>
      <c r="AF1013" s="416" t="s">
        <v>7316</v>
      </c>
    </row>
    <row r="1014" spans="1:32">
      <c r="A1014" s="1" t="s">
        <v>1844</v>
      </c>
      <c r="B1014" s="416" t="s">
        <v>7317</v>
      </c>
      <c r="AE1014" s="417" t="s">
        <v>7318</v>
      </c>
      <c r="AF1014" s="416" t="s">
        <v>7319</v>
      </c>
    </row>
    <row r="1015" spans="1:32">
      <c r="A1015" s="1" t="s">
        <v>1844</v>
      </c>
      <c r="B1015" s="416" t="s">
        <v>7171</v>
      </c>
      <c r="AE1015" s="417" t="s">
        <v>7320</v>
      </c>
      <c r="AF1015" s="416" t="s">
        <v>7321</v>
      </c>
    </row>
    <row r="1016" spans="1:32">
      <c r="A1016" s="1" t="s">
        <v>1844</v>
      </c>
      <c r="B1016" s="416" t="s">
        <v>7322</v>
      </c>
      <c r="AE1016" s="417" t="s">
        <v>7323</v>
      </c>
      <c r="AF1016" s="416" t="s">
        <v>7324</v>
      </c>
    </row>
    <row r="1017" spans="1:32">
      <c r="A1017" s="1" t="s">
        <v>1844</v>
      </c>
      <c r="B1017" s="416" t="s">
        <v>7325</v>
      </c>
      <c r="AE1017" s="417" t="s">
        <v>7326</v>
      </c>
      <c r="AF1017" s="416" t="s">
        <v>7327</v>
      </c>
    </row>
    <row r="1018" spans="1:32">
      <c r="A1018" s="1" t="s">
        <v>1844</v>
      </c>
      <c r="B1018" s="416" t="s">
        <v>7328</v>
      </c>
      <c r="AE1018" s="417" t="s">
        <v>7329</v>
      </c>
      <c r="AF1018" s="416" t="s">
        <v>7330</v>
      </c>
    </row>
    <row r="1019" spans="1:32">
      <c r="A1019" s="1" t="s">
        <v>1844</v>
      </c>
      <c r="B1019" s="416" t="s">
        <v>7331</v>
      </c>
      <c r="AE1019" s="417" t="s">
        <v>7332</v>
      </c>
      <c r="AF1019" s="416" t="s">
        <v>7333</v>
      </c>
    </row>
    <row r="1020" spans="1:32">
      <c r="A1020" s="1" t="s">
        <v>1844</v>
      </c>
      <c r="B1020" s="416" t="s">
        <v>7334</v>
      </c>
      <c r="AE1020" s="417" t="s">
        <v>7335</v>
      </c>
      <c r="AF1020" s="416" t="s">
        <v>7336</v>
      </c>
    </row>
    <row r="1021" spans="1:32">
      <c r="A1021" s="1" t="s">
        <v>1855</v>
      </c>
      <c r="B1021" s="416" t="s">
        <v>7337</v>
      </c>
      <c r="AE1021" s="417" t="s">
        <v>7338</v>
      </c>
      <c r="AF1021" s="416" t="s">
        <v>7339</v>
      </c>
    </row>
    <row r="1022" spans="1:32">
      <c r="A1022" s="1" t="s">
        <v>1855</v>
      </c>
      <c r="B1022" s="416" t="s">
        <v>7340</v>
      </c>
      <c r="AE1022" s="417" t="s">
        <v>7341</v>
      </c>
      <c r="AF1022" s="416" t="s">
        <v>7342</v>
      </c>
    </row>
    <row r="1023" spans="1:32">
      <c r="A1023" s="1" t="s">
        <v>1855</v>
      </c>
      <c r="B1023" s="416" t="s">
        <v>7343</v>
      </c>
      <c r="AE1023" s="417" t="s">
        <v>7344</v>
      </c>
      <c r="AF1023" s="416" t="s">
        <v>7345</v>
      </c>
    </row>
    <row r="1024" spans="1:32">
      <c r="A1024" s="1" t="s">
        <v>1855</v>
      </c>
      <c r="B1024" s="416" t="s">
        <v>7346</v>
      </c>
      <c r="AE1024" s="417" t="s">
        <v>7347</v>
      </c>
      <c r="AF1024" s="416" t="s">
        <v>7348</v>
      </c>
    </row>
    <row r="1025" spans="1:32">
      <c r="A1025" s="1" t="s">
        <v>1855</v>
      </c>
      <c r="B1025" s="416" t="s">
        <v>7349</v>
      </c>
      <c r="AE1025" s="417" t="s">
        <v>7350</v>
      </c>
      <c r="AF1025" s="416" t="s">
        <v>7351</v>
      </c>
    </row>
    <row r="1026" spans="1:32">
      <c r="A1026" s="1" t="s">
        <v>1855</v>
      </c>
      <c r="B1026" s="416" t="s">
        <v>7352</v>
      </c>
      <c r="AE1026" s="417" t="s">
        <v>7353</v>
      </c>
      <c r="AF1026" s="416" t="s">
        <v>7354</v>
      </c>
    </row>
    <row r="1027" spans="1:32">
      <c r="A1027" s="1" t="s">
        <v>1855</v>
      </c>
      <c r="B1027" s="416" t="s">
        <v>7355</v>
      </c>
      <c r="AE1027" s="417" t="s">
        <v>7356</v>
      </c>
      <c r="AF1027" s="416" t="s">
        <v>7357</v>
      </c>
    </row>
    <row r="1028" spans="1:32">
      <c r="A1028" s="1" t="s">
        <v>1855</v>
      </c>
      <c r="B1028" s="416" t="s">
        <v>7358</v>
      </c>
      <c r="AE1028" s="417" t="s">
        <v>7359</v>
      </c>
      <c r="AF1028" s="416" t="s">
        <v>7360</v>
      </c>
    </row>
    <row r="1029" spans="1:32">
      <c r="A1029" s="1" t="s">
        <v>1855</v>
      </c>
      <c r="B1029" s="416" t="s">
        <v>7361</v>
      </c>
      <c r="AE1029" s="417" t="s">
        <v>7362</v>
      </c>
      <c r="AF1029" s="416" t="s">
        <v>7363</v>
      </c>
    </row>
    <row r="1030" spans="1:32">
      <c r="A1030" s="1" t="s">
        <v>1866</v>
      </c>
      <c r="B1030" s="416" t="s">
        <v>7364</v>
      </c>
      <c r="AE1030" s="417" t="s">
        <v>7365</v>
      </c>
      <c r="AF1030" s="416" t="s">
        <v>7366</v>
      </c>
    </row>
    <row r="1031" spans="1:32">
      <c r="A1031" s="1" t="s">
        <v>1866</v>
      </c>
      <c r="B1031" s="416" t="s">
        <v>7367</v>
      </c>
      <c r="AE1031" s="417" t="s">
        <v>7368</v>
      </c>
      <c r="AF1031" s="416" t="s">
        <v>7369</v>
      </c>
    </row>
    <row r="1032" spans="1:32">
      <c r="A1032" s="1" t="s">
        <v>1866</v>
      </c>
      <c r="B1032" s="416" t="s">
        <v>7370</v>
      </c>
      <c r="AE1032" s="417" t="s">
        <v>7371</v>
      </c>
      <c r="AF1032" s="416" t="s">
        <v>7372</v>
      </c>
    </row>
    <row r="1033" spans="1:32">
      <c r="A1033" s="1" t="s">
        <v>1866</v>
      </c>
      <c r="B1033" s="416" t="s">
        <v>7373</v>
      </c>
      <c r="AE1033" s="417" t="s">
        <v>7374</v>
      </c>
      <c r="AF1033" s="416" t="s">
        <v>7375</v>
      </c>
    </row>
    <row r="1034" spans="1:32">
      <c r="A1034" s="1" t="s">
        <v>1866</v>
      </c>
      <c r="B1034" s="416" t="s">
        <v>7376</v>
      </c>
      <c r="AE1034" s="417" t="s">
        <v>7377</v>
      </c>
      <c r="AF1034" s="416" t="s">
        <v>7378</v>
      </c>
    </row>
    <row r="1035" spans="1:32">
      <c r="A1035" s="1" t="s">
        <v>1866</v>
      </c>
      <c r="B1035" s="416" t="s">
        <v>7379</v>
      </c>
      <c r="AE1035" s="417" t="s">
        <v>7380</v>
      </c>
      <c r="AF1035" s="416" t="s">
        <v>7381</v>
      </c>
    </row>
    <row r="1036" spans="1:32">
      <c r="A1036" s="1" t="s">
        <v>1866</v>
      </c>
      <c r="B1036" s="416" t="s">
        <v>7382</v>
      </c>
      <c r="AE1036" s="417" t="s">
        <v>7383</v>
      </c>
      <c r="AF1036" s="416" t="s">
        <v>7384</v>
      </c>
    </row>
    <row r="1037" spans="1:32">
      <c r="A1037" s="1" t="s">
        <v>1866</v>
      </c>
      <c r="B1037" s="416" t="s">
        <v>7385</v>
      </c>
      <c r="AE1037" s="417" t="s">
        <v>7386</v>
      </c>
      <c r="AF1037" s="416" t="s">
        <v>7387</v>
      </c>
    </row>
    <row r="1038" spans="1:32">
      <c r="A1038" s="1" t="s">
        <v>1866</v>
      </c>
      <c r="B1038" s="416" t="s">
        <v>7388</v>
      </c>
      <c r="AE1038" s="417" t="s">
        <v>7389</v>
      </c>
      <c r="AF1038" s="416" t="s">
        <v>7390</v>
      </c>
    </row>
    <row r="1039" spans="1:32">
      <c r="A1039" s="1" t="s">
        <v>1866</v>
      </c>
      <c r="B1039" s="416" t="s">
        <v>7246</v>
      </c>
      <c r="AE1039" s="417" t="s">
        <v>7391</v>
      </c>
      <c r="AF1039" s="416" t="s">
        <v>7392</v>
      </c>
    </row>
    <row r="1040" spans="1:32">
      <c r="A1040" s="1" t="s">
        <v>1866</v>
      </c>
      <c r="B1040" s="416" t="s">
        <v>7393</v>
      </c>
      <c r="AE1040" s="417" t="s">
        <v>7394</v>
      </c>
      <c r="AF1040" s="416" t="s">
        <v>7395</v>
      </c>
    </row>
    <row r="1041" spans="1:32">
      <c r="A1041" s="1" t="s">
        <v>1877</v>
      </c>
      <c r="B1041" s="416" t="s">
        <v>7396</v>
      </c>
      <c r="AE1041" s="417" t="s">
        <v>7397</v>
      </c>
      <c r="AF1041" s="416" t="s">
        <v>7398</v>
      </c>
    </row>
    <row r="1042" spans="1:32">
      <c r="A1042" s="1" t="s">
        <v>1877</v>
      </c>
      <c r="B1042" s="416" t="s">
        <v>7399</v>
      </c>
      <c r="AE1042" s="417" t="s">
        <v>7400</v>
      </c>
      <c r="AF1042" s="416" t="s">
        <v>7401</v>
      </c>
    </row>
    <row r="1043" spans="1:32">
      <c r="A1043" s="1" t="s">
        <v>1877</v>
      </c>
      <c r="B1043" s="416" t="s">
        <v>7402</v>
      </c>
      <c r="AE1043" s="417" t="s">
        <v>7403</v>
      </c>
      <c r="AF1043" s="416" t="s">
        <v>7404</v>
      </c>
    </row>
    <row r="1044" spans="1:32">
      <c r="A1044" s="1" t="s">
        <v>1877</v>
      </c>
      <c r="B1044" s="416" t="s">
        <v>7405</v>
      </c>
      <c r="AE1044" s="417" t="s">
        <v>7406</v>
      </c>
      <c r="AF1044" s="416" t="s">
        <v>7407</v>
      </c>
    </row>
    <row r="1045" spans="1:32">
      <c r="A1045" s="1" t="s">
        <v>1877</v>
      </c>
      <c r="B1045" s="416" t="s">
        <v>7408</v>
      </c>
      <c r="AE1045" s="417" t="s">
        <v>7409</v>
      </c>
      <c r="AF1045" s="416" t="s">
        <v>7410</v>
      </c>
    </row>
    <row r="1046" spans="1:32">
      <c r="A1046" s="1" t="s">
        <v>1877</v>
      </c>
      <c r="B1046" s="416" t="s">
        <v>7411</v>
      </c>
      <c r="AE1046" s="417" t="s">
        <v>7412</v>
      </c>
      <c r="AF1046" s="416" t="s">
        <v>7413</v>
      </c>
    </row>
    <row r="1047" spans="1:32">
      <c r="A1047" s="1" t="s">
        <v>1877</v>
      </c>
      <c r="B1047" s="416" t="s">
        <v>7414</v>
      </c>
      <c r="AE1047" s="417" t="s">
        <v>7415</v>
      </c>
      <c r="AF1047" s="416" t="s">
        <v>7416</v>
      </c>
    </row>
    <row r="1048" spans="1:32">
      <c r="A1048" s="1" t="s">
        <v>1877</v>
      </c>
      <c r="B1048" s="416" t="s">
        <v>7417</v>
      </c>
      <c r="AE1048" s="417" t="s">
        <v>7418</v>
      </c>
      <c r="AF1048" s="416" t="s">
        <v>7419</v>
      </c>
    </row>
    <row r="1049" spans="1:32">
      <c r="A1049" s="1" t="s">
        <v>1877</v>
      </c>
      <c r="B1049" s="416" t="s">
        <v>7420</v>
      </c>
      <c r="AE1049" s="417" t="s">
        <v>7421</v>
      </c>
      <c r="AF1049" s="416" t="s">
        <v>7422</v>
      </c>
    </row>
    <row r="1050" spans="1:32">
      <c r="A1050" s="1" t="s">
        <v>1877</v>
      </c>
      <c r="B1050" s="416" t="s">
        <v>7423</v>
      </c>
      <c r="AE1050" s="417" t="s">
        <v>7424</v>
      </c>
      <c r="AF1050" s="416" t="s">
        <v>7425</v>
      </c>
    </row>
    <row r="1051" spans="1:32">
      <c r="A1051" s="1" t="s">
        <v>1889</v>
      </c>
      <c r="B1051" s="416" t="s">
        <v>7426</v>
      </c>
      <c r="AE1051" s="417" t="s">
        <v>7427</v>
      </c>
      <c r="AF1051" s="416" t="s">
        <v>7428</v>
      </c>
    </row>
    <row r="1052" spans="1:32">
      <c r="A1052" s="1" t="s">
        <v>1889</v>
      </c>
      <c r="B1052" s="416" t="s">
        <v>7429</v>
      </c>
      <c r="AE1052" s="417" t="s">
        <v>7430</v>
      </c>
      <c r="AF1052" s="416" t="s">
        <v>7431</v>
      </c>
    </row>
    <row r="1053" spans="1:32">
      <c r="A1053" s="1" t="s">
        <v>1889</v>
      </c>
      <c r="B1053" s="416" t="s">
        <v>7432</v>
      </c>
      <c r="AE1053" s="417" t="s">
        <v>7433</v>
      </c>
      <c r="AF1053" s="416" t="s">
        <v>7434</v>
      </c>
    </row>
    <row r="1054" spans="1:32">
      <c r="A1054" s="1" t="s">
        <v>1889</v>
      </c>
      <c r="B1054" s="416" t="s">
        <v>7435</v>
      </c>
      <c r="AE1054" s="417" t="s">
        <v>7436</v>
      </c>
      <c r="AF1054" s="416" t="s">
        <v>7437</v>
      </c>
    </row>
    <row r="1055" spans="1:32">
      <c r="A1055" s="1" t="s">
        <v>1889</v>
      </c>
      <c r="B1055" s="416" t="s">
        <v>7138</v>
      </c>
      <c r="AE1055" s="417" t="s">
        <v>7438</v>
      </c>
      <c r="AF1055" s="416" t="s">
        <v>7439</v>
      </c>
    </row>
    <row r="1056" spans="1:32">
      <c r="A1056" s="1" t="s">
        <v>1889</v>
      </c>
      <c r="B1056" s="416" t="s">
        <v>7440</v>
      </c>
      <c r="AE1056" s="417" t="s">
        <v>7441</v>
      </c>
      <c r="AF1056" s="416" t="s">
        <v>7442</v>
      </c>
    </row>
    <row r="1057" spans="1:32">
      <c r="A1057" s="1" t="s">
        <v>1889</v>
      </c>
      <c r="B1057" s="416" t="s">
        <v>7443</v>
      </c>
      <c r="AE1057" s="417" t="s">
        <v>7444</v>
      </c>
      <c r="AF1057" s="416" t="s">
        <v>7445</v>
      </c>
    </row>
    <row r="1058" spans="1:32">
      <c r="A1058" s="1" t="s">
        <v>1889</v>
      </c>
      <c r="B1058" s="416" t="s">
        <v>7446</v>
      </c>
      <c r="AE1058" s="417" t="s">
        <v>7447</v>
      </c>
      <c r="AF1058" s="416" t="s">
        <v>7448</v>
      </c>
    </row>
    <row r="1059" spans="1:32">
      <c r="A1059" s="1" t="s">
        <v>1889</v>
      </c>
      <c r="B1059" s="416" t="s">
        <v>7449</v>
      </c>
      <c r="AE1059" s="417" t="s">
        <v>7450</v>
      </c>
      <c r="AF1059" s="416" t="s">
        <v>7451</v>
      </c>
    </row>
    <row r="1060" spans="1:32">
      <c r="A1060" s="1" t="s">
        <v>1901</v>
      </c>
      <c r="B1060" s="416" t="s">
        <v>7452</v>
      </c>
      <c r="AE1060" s="417" t="s">
        <v>7453</v>
      </c>
      <c r="AF1060" s="416" t="s">
        <v>7454</v>
      </c>
    </row>
    <row r="1061" spans="1:32">
      <c r="A1061" s="1" t="s">
        <v>1901</v>
      </c>
      <c r="B1061" s="416" t="s">
        <v>7455</v>
      </c>
      <c r="AE1061" s="417" t="s">
        <v>7456</v>
      </c>
      <c r="AF1061" s="416" t="s">
        <v>7457</v>
      </c>
    </row>
    <row r="1062" spans="1:32">
      <c r="A1062" s="1" t="s">
        <v>1901</v>
      </c>
      <c r="B1062" s="416" t="s">
        <v>7458</v>
      </c>
      <c r="AE1062" s="417" t="s">
        <v>7459</v>
      </c>
      <c r="AF1062" s="416" t="s">
        <v>7460</v>
      </c>
    </row>
    <row r="1063" spans="1:32">
      <c r="A1063" s="1" t="s">
        <v>1901</v>
      </c>
      <c r="B1063" s="416" t="s">
        <v>7331</v>
      </c>
      <c r="AE1063" s="417" t="s">
        <v>7461</v>
      </c>
      <c r="AF1063" s="416" t="s">
        <v>7462</v>
      </c>
    </row>
    <row r="1064" spans="1:32">
      <c r="A1064" s="1" t="s">
        <v>1901</v>
      </c>
      <c r="B1064" s="416" t="s">
        <v>7463</v>
      </c>
      <c r="AE1064" s="417" t="s">
        <v>7464</v>
      </c>
      <c r="AF1064" s="416" t="s">
        <v>7465</v>
      </c>
    </row>
    <row r="1065" spans="1:32">
      <c r="A1065" s="1" t="s">
        <v>1901</v>
      </c>
      <c r="B1065" s="416" t="s">
        <v>7466</v>
      </c>
      <c r="AE1065" s="417" t="s">
        <v>7467</v>
      </c>
      <c r="AF1065" s="416" t="s">
        <v>7468</v>
      </c>
    </row>
    <row r="1066" spans="1:32">
      <c r="A1066" s="1" t="s">
        <v>1901</v>
      </c>
      <c r="B1066" s="416" t="s">
        <v>7469</v>
      </c>
      <c r="AE1066" s="417" t="s">
        <v>7470</v>
      </c>
      <c r="AF1066" s="416" t="s">
        <v>7471</v>
      </c>
    </row>
    <row r="1067" spans="1:32">
      <c r="A1067" s="1" t="s">
        <v>1901</v>
      </c>
      <c r="B1067" s="416" t="s">
        <v>7472</v>
      </c>
      <c r="AE1067" s="417" t="s">
        <v>7473</v>
      </c>
      <c r="AF1067" s="416" t="s">
        <v>7474</v>
      </c>
    </row>
    <row r="1068" spans="1:32">
      <c r="A1068" s="1" t="s">
        <v>1901</v>
      </c>
      <c r="B1068" s="416" t="s">
        <v>7475</v>
      </c>
      <c r="AE1068" s="417" t="s">
        <v>7476</v>
      </c>
      <c r="AF1068" s="416" t="s">
        <v>7477</v>
      </c>
    </row>
    <row r="1069" spans="1:32">
      <c r="A1069" s="1" t="s">
        <v>1914</v>
      </c>
      <c r="B1069" s="416" t="s">
        <v>7478</v>
      </c>
      <c r="AE1069" s="417" t="s">
        <v>7479</v>
      </c>
      <c r="AF1069" s="416" t="s">
        <v>7480</v>
      </c>
    </row>
    <row r="1070" spans="1:32">
      <c r="A1070" s="1" t="s">
        <v>1914</v>
      </c>
      <c r="B1070" s="416" t="s">
        <v>7481</v>
      </c>
      <c r="AE1070" s="417" t="s">
        <v>7482</v>
      </c>
      <c r="AF1070" s="416" t="s">
        <v>7483</v>
      </c>
    </row>
    <row r="1071" spans="1:32">
      <c r="A1071" s="1" t="s">
        <v>1914</v>
      </c>
      <c r="B1071" s="416" t="s">
        <v>7484</v>
      </c>
      <c r="AE1071" s="417" t="s">
        <v>7485</v>
      </c>
      <c r="AF1071" s="416" t="s">
        <v>7486</v>
      </c>
    </row>
    <row r="1072" spans="1:32">
      <c r="A1072" s="1" t="s">
        <v>1914</v>
      </c>
      <c r="B1072" s="416" t="s">
        <v>7487</v>
      </c>
      <c r="AE1072" s="417" t="s">
        <v>7488</v>
      </c>
      <c r="AF1072" s="416" t="s">
        <v>7489</v>
      </c>
    </row>
    <row r="1073" spans="1:32">
      <c r="A1073" s="1" t="s">
        <v>1914</v>
      </c>
      <c r="B1073" s="416" t="s">
        <v>7490</v>
      </c>
      <c r="AE1073" s="417" t="s">
        <v>7491</v>
      </c>
      <c r="AF1073" s="416" t="s">
        <v>7492</v>
      </c>
    </row>
    <row r="1074" spans="1:32">
      <c r="A1074" s="1" t="s">
        <v>1914</v>
      </c>
      <c r="B1074" s="416" t="s">
        <v>7493</v>
      </c>
      <c r="AE1074" s="417" t="s">
        <v>7494</v>
      </c>
      <c r="AF1074" s="416" t="s">
        <v>7495</v>
      </c>
    </row>
    <row r="1075" spans="1:32">
      <c r="A1075" s="1" t="s">
        <v>1914</v>
      </c>
      <c r="B1075" s="416" t="s">
        <v>7496</v>
      </c>
      <c r="AE1075" s="417" t="s">
        <v>7497</v>
      </c>
      <c r="AF1075" s="416" t="s">
        <v>7498</v>
      </c>
    </row>
    <row r="1076" spans="1:32">
      <c r="A1076" s="1" t="s">
        <v>1914</v>
      </c>
      <c r="B1076" s="416" t="s">
        <v>7499</v>
      </c>
      <c r="AE1076" s="417" t="s">
        <v>7500</v>
      </c>
      <c r="AF1076" s="416" t="s">
        <v>7501</v>
      </c>
    </row>
    <row r="1077" spans="1:32">
      <c r="A1077" s="1" t="s">
        <v>1914</v>
      </c>
      <c r="B1077" s="416" t="s">
        <v>7502</v>
      </c>
      <c r="AE1077" s="417" t="s">
        <v>7503</v>
      </c>
      <c r="AF1077" s="416" t="s">
        <v>7504</v>
      </c>
    </row>
    <row r="1078" spans="1:32">
      <c r="A1078" s="1" t="s">
        <v>1914</v>
      </c>
      <c r="B1078" s="416" t="s">
        <v>7505</v>
      </c>
      <c r="AE1078" s="417" t="s">
        <v>7506</v>
      </c>
      <c r="AF1078" s="416" t="s">
        <v>7507</v>
      </c>
    </row>
    <row r="1079" spans="1:32">
      <c r="A1079" s="1" t="s">
        <v>1928</v>
      </c>
      <c r="B1079" s="416" t="s">
        <v>7508</v>
      </c>
      <c r="AE1079" s="417" t="s">
        <v>7509</v>
      </c>
      <c r="AF1079" s="416" t="s">
        <v>7510</v>
      </c>
    </row>
    <row r="1080" spans="1:32">
      <c r="A1080" s="1" t="s">
        <v>1928</v>
      </c>
      <c r="B1080" s="416" t="s">
        <v>7511</v>
      </c>
      <c r="AE1080" s="417" t="s">
        <v>7512</v>
      </c>
      <c r="AF1080" s="416" t="s">
        <v>7513</v>
      </c>
    </row>
    <row r="1081" spans="1:32">
      <c r="A1081" s="1" t="s">
        <v>1928</v>
      </c>
      <c r="B1081" s="416" t="s">
        <v>7514</v>
      </c>
      <c r="AE1081" s="417" t="s">
        <v>7515</v>
      </c>
      <c r="AF1081" s="416" t="s">
        <v>7516</v>
      </c>
    </row>
    <row r="1082" spans="1:32">
      <c r="A1082" s="1" t="s">
        <v>1928</v>
      </c>
      <c r="B1082" s="416" t="s">
        <v>7517</v>
      </c>
      <c r="AE1082" s="417" t="s">
        <v>7518</v>
      </c>
      <c r="AF1082" s="416" t="s">
        <v>7519</v>
      </c>
    </row>
    <row r="1083" spans="1:32">
      <c r="A1083" s="1" t="s">
        <v>1928</v>
      </c>
      <c r="B1083" s="416" t="s">
        <v>7520</v>
      </c>
      <c r="AE1083" s="417" t="s">
        <v>7521</v>
      </c>
      <c r="AF1083" s="416" t="s">
        <v>7522</v>
      </c>
    </row>
    <row r="1084" spans="1:32">
      <c r="A1084" s="1" t="s">
        <v>1928</v>
      </c>
      <c r="B1084" s="416" t="s">
        <v>7523</v>
      </c>
      <c r="AE1084" s="417" t="s">
        <v>7524</v>
      </c>
      <c r="AF1084" s="416" t="s">
        <v>7525</v>
      </c>
    </row>
    <row r="1085" spans="1:32">
      <c r="A1085" s="1" t="s">
        <v>1928</v>
      </c>
      <c r="B1085" s="416" t="s">
        <v>7526</v>
      </c>
      <c r="AE1085" s="417" t="s">
        <v>7527</v>
      </c>
      <c r="AF1085" s="416" t="s">
        <v>7528</v>
      </c>
    </row>
    <row r="1086" spans="1:32">
      <c r="A1086" s="1" t="s">
        <v>1928</v>
      </c>
      <c r="B1086" s="416" t="s">
        <v>7529</v>
      </c>
      <c r="AE1086" s="417" t="s">
        <v>7530</v>
      </c>
      <c r="AF1086" s="416" t="s">
        <v>7531</v>
      </c>
    </row>
    <row r="1087" spans="1:32">
      <c r="A1087" s="1" t="s">
        <v>1942</v>
      </c>
      <c r="B1087" s="416" t="s">
        <v>7532</v>
      </c>
      <c r="AE1087" s="417" t="s">
        <v>7533</v>
      </c>
      <c r="AF1087" s="416" t="s">
        <v>7534</v>
      </c>
    </row>
    <row r="1088" spans="1:32">
      <c r="A1088" s="1" t="s">
        <v>1942</v>
      </c>
      <c r="B1088" s="416" t="s">
        <v>7535</v>
      </c>
      <c r="AE1088" s="417" t="s">
        <v>7536</v>
      </c>
      <c r="AF1088" s="416" t="s">
        <v>7537</v>
      </c>
    </row>
    <row r="1089" spans="1:32">
      <c r="A1089" s="1" t="s">
        <v>1942</v>
      </c>
      <c r="B1089" s="416" t="s">
        <v>7538</v>
      </c>
      <c r="AE1089" s="417" t="s">
        <v>7539</v>
      </c>
      <c r="AF1089" s="416" t="s">
        <v>7540</v>
      </c>
    </row>
    <row r="1090" spans="1:32">
      <c r="A1090" s="1" t="s">
        <v>1942</v>
      </c>
      <c r="B1090" s="416" t="s">
        <v>7541</v>
      </c>
      <c r="AE1090" s="417" t="s">
        <v>7542</v>
      </c>
      <c r="AF1090" s="416" t="s">
        <v>7543</v>
      </c>
    </row>
    <row r="1091" spans="1:32">
      <c r="A1091" s="1" t="s">
        <v>1942</v>
      </c>
      <c r="B1091" s="416" t="s">
        <v>7544</v>
      </c>
      <c r="AE1091" s="417" t="s">
        <v>7545</v>
      </c>
      <c r="AF1091" s="416" t="s">
        <v>7546</v>
      </c>
    </row>
    <row r="1092" spans="1:32">
      <c r="A1092" s="1" t="s">
        <v>1942</v>
      </c>
      <c r="B1092" s="416" t="s">
        <v>7547</v>
      </c>
      <c r="AE1092" s="417" t="s">
        <v>7548</v>
      </c>
      <c r="AF1092" s="416" t="s">
        <v>7549</v>
      </c>
    </row>
    <row r="1093" spans="1:32">
      <c r="A1093" s="1" t="s">
        <v>1942</v>
      </c>
      <c r="B1093" s="416" t="s">
        <v>7550</v>
      </c>
      <c r="AE1093" s="417" t="s">
        <v>7551</v>
      </c>
      <c r="AF1093" s="416" t="s">
        <v>7552</v>
      </c>
    </row>
    <row r="1094" spans="1:32">
      <c r="A1094" s="1" t="s">
        <v>1942</v>
      </c>
      <c r="B1094" s="416" t="s">
        <v>7553</v>
      </c>
      <c r="AE1094" s="417" t="s">
        <v>7554</v>
      </c>
      <c r="AF1094" s="416" t="s">
        <v>7555</v>
      </c>
    </row>
    <row r="1095" spans="1:32">
      <c r="A1095" s="1" t="s">
        <v>1942</v>
      </c>
      <c r="B1095" s="416" t="s">
        <v>7556</v>
      </c>
      <c r="AE1095" s="417" t="s">
        <v>7557</v>
      </c>
      <c r="AF1095" s="416" t="s">
        <v>7558</v>
      </c>
    </row>
    <row r="1096" spans="1:32">
      <c r="A1096" s="1" t="s">
        <v>1942</v>
      </c>
      <c r="B1096" s="416" t="s">
        <v>7559</v>
      </c>
      <c r="AE1096" s="417" t="s">
        <v>7560</v>
      </c>
      <c r="AF1096" s="416" t="s">
        <v>7561</v>
      </c>
    </row>
    <row r="1097" spans="1:32">
      <c r="A1097" s="1" t="s">
        <v>1942</v>
      </c>
      <c r="B1097" s="416" t="s">
        <v>7562</v>
      </c>
      <c r="AE1097" s="417" t="s">
        <v>7563</v>
      </c>
      <c r="AF1097" s="416" t="s">
        <v>7564</v>
      </c>
    </row>
    <row r="1098" spans="1:32">
      <c r="A1098" s="1" t="s">
        <v>1942</v>
      </c>
      <c r="B1098" s="416" t="s">
        <v>7565</v>
      </c>
      <c r="AE1098" s="417" t="s">
        <v>7566</v>
      </c>
      <c r="AF1098" s="416" t="s">
        <v>7567</v>
      </c>
    </row>
    <row r="1099" spans="1:32">
      <c r="A1099" s="1" t="s">
        <v>1942</v>
      </c>
      <c r="B1099" s="416" t="s">
        <v>7568</v>
      </c>
      <c r="AE1099" s="417" t="s">
        <v>7569</v>
      </c>
      <c r="AF1099" s="416" t="s">
        <v>7570</v>
      </c>
    </row>
    <row r="1100" spans="1:32">
      <c r="A1100" s="1" t="s">
        <v>1942</v>
      </c>
      <c r="B1100" s="416" t="s">
        <v>7571</v>
      </c>
      <c r="AE1100" s="417" t="s">
        <v>7572</v>
      </c>
      <c r="AF1100" s="416" t="s">
        <v>7573</v>
      </c>
    </row>
    <row r="1101" spans="1:32">
      <c r="A1101" s="1" t="s">
        <v>1942</v>
      </c>
      <c r="B1101" s="416" t="s">
        <v>7574</v>
      </c>
      <c r="AE1101" s="417" t="s">
        <v>7575</v>
      </c>
      <c r="AF1101" s="416" t="s">
        <v>7576</v>
      </c>
    </row>
    <row r="1102" spans="1:32">
      <c r="A1102" s="1" t="s">
        <v>1956</v>
      </c>
      <c r="B1102" s="416" t="s">
        <v>7577</v>
      </c>
      <c r="AE1102" s="417" t="s">
        <v>7578</v>
      </c>
      <c r="AF1102" s="416" t="s">
        <v>7579</v>
      </c>
    </row>
    <row r="1103" spans="1:32">
      <c r="A1103" s="1" t="s">
        <v>1956</v>
      </c>
      <c r="B1103" s="416" t="s">
        <v>7580</v>
      </c>
      <c r="AE1103" s="417" t="s">
        <v>7581</v>
      </c>
      <c r="AF1103" s="416" t="s">
        <v>7582</v>
      </c>
    </row>
    <row r="1104" spans="1:32">
      <c r="A1104" s="1" t="s">
        <v>1956</v>
      </c>
      <c r="B1104" s="416" t="s">
        <v>7583</v>
      </c>
      <c r="AE1104" s="417" t="s">
        <v>7584</v>
      </c>
      <c r="AF1104" s="416" t="s">
        <v>7585</v>
      </c>
    </row>
    <row r="1105" spans="1:32">
      <c r="A1105" s="1" t="s">
        <v>1956</v>
      </c>
      <c r="B1105" s="416" t="s">
        <v>7586</v>
      </c>
      <c r="AE1105" s="417" t="s">
        <v>7587</v>
      </c>
      <c r="AF1105" s="416" t="s">
        <v>7588</v>
      </c>
    </row>
    <row r="1106" spans="1:32">
      <c r="A1106" s="1" t="s">
        <v>1956</v>
      </c>
      <c r="B1106" s="416" t="s">
        <v>7589</v>
      </c>
      <c r="AE1106" s="417" t="s">
        <v>7590</v>
      </c>
      <c r="AF1106" s="416" t="s">
        <v>7591</v>
      </c>
    </row>
    <row r="1107" spans="1:32">
      <c r="A1107" s="1" t="s">
        <v>1956</v>
      </c>
      <c r="B1107" s="416" t="s">
        <v>7592</v>
      </c>
      <c r="AE1107" s="417" t="s">
        <v>7593</v>
      </c>
      <c r="AF1107" s="416" t="s">
        <v>7594</v>
      </c>
    </row>
    <row r="1108" spans="1:32">
      <c r="A1108" s="1" t="s">
        <v>1956</v>
      </c>
      <c r="B1108" s="416" t="s">
        <v>7595</v>
      </c>
      <c r="AE1108" s="417" t="s">
        <v>7596</v>
      </c>
      <c r="AF1108" s="416" t="s">
        <v>7597</v>
      </c>
    </row>
    <row r="1109" spans="1:32">
      <c r="A1109" s="1" t="s">
        <v>1956</v>
      </c>
      <c r="B1109" s="416" t="s">
        <v>7598</v>
      </c>
      <c r="AE1109" s="417" t="s">
        <v>7599</v>
      </c>
      <c r="AF1109" s="416" t="s">
        <v>7600</v>
      </c>
    </row>
    <row r="1110" spans="1:32">
      <c r="A1110" s="1" t="s">
        <v>1970</v>
      </c>
      <c r="B1110" s="416" t="s">
        <v>7601</v>
      </c>
      <c r="AE1110" s="417" t="s">
        <v>7602</v>
      </c>
      <c r="AF1110" s="416" t="s">
        <v>7603</v>
      </c>
    </row>
    <row r="1111" spans="1:32">
      <c r="A1111" s="1" t="s">
        <v>1970</v>
      </c>
      <c r="B1111" s="416" t="s">
        <v>7604</v>
      </c>
      <c r="AE1111" s="417" t="s">
        <v>7605</v>
      </c>
      <c r="AF1111" s="416" t="s">
        <v>7606</v>
      </c>
    </row>
    <row r="1112" spans="1:32">
      <c r="A1112" s="1" t="s">
        <v>1970</v>
      </c>
      <c r="B1112" s="416" t="s">
        <v>7607</v>
      </c>
      <c r="AE1112" s="417" t="s">
        <v>7608</v>
      </c>
      <c r="AF1112" s="416" t="s">
        <v>7609</v>
      </c>
    </row>
    <row r="1113" spans="1:32">
      <c r="A1113" s="1" t="s">
        <v>1970</v>
      </c>
      <c r="B1113" s="416" t="s">
        <v>7610</v>
      </c>
      <c r="AE1113" s="417" t="s">
        <v>7611</v>
      </c>
      <c r="AF1113" s="416" t="s">
        <v>7612</v>
      </c>
    </row>
    <row r="1114" spans="1:32">
      <c r="A1114" s="1" t="s">
        <v>1970</v>
      </c>
      <c r="B1114" s="416" t="s">
        <v>7613</v>
      </c>
      <c r="AE1114" s="417" t="s">
        <v>7614</v>
      </c>
      <c r="AF1114" s="416" t="s">
        <v>7615</v>
      </c>
    </row>
    <row r="1115" spans="1:32">
      <c r="A1115" s="1" t="s">
        <v>1970</v>
      </c>
      <c r="B1115" s="416" t="s">
        <v>7616</v>
      </c>
      <c r="AE1115" s="417" t="s">
        <v>7617</v>
      </c>
      <c r="AF1115" s="416" t="s">
        <v>7618</v>
      </c>
    </row>
    <row r="1116" spans="1:32">
      <c r="A1116" s="1" t="s">
        <v>1970</v>
      </c>
      <c r="B1116" s="416" t="s">
        <v>7619</v>
      </c>
      <c r="AE1116" s="417" t="s">
        <v>7620</v>
      </c>
      <c r="AF1116" s="416" t="s">
        <v>7621</v>
      </c>
    </row>
    <row r="1117" spans="1:32">
      <c r="A1117" s="1" t="s">
        <v>1970</v>
      </c>
      <c r="B1117" s="416" t="s">
        <v>7622</v>
      </c>
      <c r="AE1117" s="417" t="s">
        <v>7623</v>
      </c>
      <c r="AF1117" s="416" t="s">
        <v>7624</v>
      </c>
    </row>
    <row r="1118" spans="1:32">
      <c r="A1118" s="1" t="s">
        <v>1970</v>
      </c>
      <c r="B1118" s="416" t="s">
        <v>7625</v>
      </c>
      <c r="AE1118" s="417" t="s">
        <v>7626</v>
      </c>
      <c r="AF1118" s="416" t="s">
        <v>7627</v>
      </c>
    </row>
    <row r="1119" spans="1:32">
      <c r="A1119" s="1" t="s">
        <v>1970</v>
      </c>
      <c r="B1119" s="416" t="s">
        <v>7628</v>
      </c>
      <c r="AE1119" s="417" t="s">
        <v>7629</v>
      </c>
      <c r="AF1119" s="416" t="s">
        <v>7630</v>
      </c>
    </row>
    <row r="1120" spans="1:32">
      <c r="A1120" s="1" t="s">
        <v>1982</v>
      </c>
      <c r="B1120" s="416" t="s">
        <v>7631</v>
      </c>
      <c r="AE1120" s="417" t="s">
        <v>7632</v>
      </c>
      <c r="AF1120" s="416" t="s">
        <v>7633</v>
      </c>
    </row>
    <row r="1121" spans="1:32">
      <c r="A1121" s="1" t="s">
        <v>1982</v>
      </c>
      <c r="B1121" s="416" t="s">
        <v>7634</v>
      </c>
      <c r="AE1121" s="417" t="s">
        <v>7635</v>
      </c>
      <c r="AF1121" s="416" t="s">
        <v>7636</v>
      </c>
    </row>
    <row r="1122" spans="1:32">
      <c r="A1122" s="1" t="s">
        <v>1982</v>
      </c>
      <c r="B1122" s="416" t="s">
        <v>7637</v>
      </c>
      <c r="AE1122" s="417" t="s">
        <v>7638</v>
      </c>
      <c r="AF1122" s="416" t="s">
        <v>7639</v>
      </c>
    </row>
    <row r="1123" spans="1:32">
      <c r="A1123" s="1" t="s">
        <v>1982</v>
      </c>
      <c r="B1123" s="416" t="s">
        <v>7640</v>
      </c>
      <c r="AE1123" s="417" t="s">
        <v>7641</v>
      </c>
      <c r="AF1123" s="416" t="s">
        <v>7642</v>
      </c>
    </row>
    <row r="1124" spans="1:32">
      <c r="A1124" s="1" t="s">
        <v>1982</v>
      </c>
      <c r="B1124" s="416" t="s">
        <v>7643</v>
      </c>
      <c r="AE1124" s="417" t="s">
        <v>7644</v>
      </c>
      <c r="AF1124" s="416" t="s">
        <v>7645</v>
      </c>
    </row>
    <row r="1125" spans="1:32">
      <c r="A1125" s="1" t="s">
        <v>1982</v>
      </c>
      <c r="B1125" s="416" t="s">
        <v>7646</v>
      </c>
      <c r="AE1125" s="417" t="s">
        <v>7647</v>
      </c>
      <c r="AF1125" s="416" t="s">
        <v>7648</v>
      </c>
    </row>
    <row r="1126" spans="1:32">
      <c r="A1126" s="1" t="s">
        <v>1982</v>
      </c>
      <c r="B1126" s="416" t="s">
        <v>7649</v>
      </c>
      <c r="AE1126" s="417" t="s">
        <v>7650</v>
      </c>
      <c r="AF1126" s="416" t="s">
        <v>7651</v>
      </c>
    </row>
    <row r="1127" spans="1:32">
      <c r="A1127" s="1" t="s">
        <v>1982</v>
      </c>
      <c r="B1127" s="416" t="s">
        <v>7652</v>
      </c>
      <c r="AE1127" s="417" t="s">
        <v>7653</v>
      </c>
      <c r="AF1127" s="416" t="s">
        <v>7654</v>
      </c>
    </row>
    <row r="1128" spans="1:32">
      <c r="A1128" s="1" t="s">
        <v>1982</v>
      </c>
      <c r="B1128" s="416" t="s">
        <v>7655</v>
      </c>
      <c r="AE1128" s="417" t="s">
        <v>7656</v>
      </c>
      <c r="AF1128" s="416" t="s">
        <v>7657</v>
      </c>
    </row>
    <row r="1129" spans="1:32">
      <c r="A1129" s="1" t="s">
        <v>1982</v>
      </c>
      <c r="B1129" s="416" t="s">
        <v>7658</v>
      </c>
      <c r="AE1129" s="417" t="s">
        <v>7659</v>
      </c>
      <c r="AF1129" s="416" t="s">
        <v>7660</v>
      </c>
    </row>
    <row r="1130" spans="1:32">
      <c r="A1130" s="1" t="s">
        <v>1982</v>
      </c>
      <c r="B1130" s="416" t="s">
        <v>7661</v>
      </c>
      <c r="AE1130" s="417" t="s">
        <v>7662</v>
      </c>
      <c r="AF1130" s="416" t="s">
        <v>7663</v>
      </c>
    </row>
    <row r="1131" spans="1:32">
      <c r="A1131" s="1" t="s">
        <v>1994</v>
      </c>
      <c r="B1131" s="416" t="s">
        <v>7664</v>
      </c>
      <c r="AE1131" s="417" t="s">
        <v>7665</v>
      </c>
      <c r="AF1131" s="416" t="s">
        <v>7666</v>
      </c>
    </row>
    <row r="1132" spans="1:32">
      <c r="A1132" s="1" t="s">
        <v>1994</v>
      </c>
      <c r="B1132" s="416" t="s">
        <v>7132</v>
      </c>
      <c r="AE1132" s="417" t="s">
        <v>7667</v>
      </c>
      <c r="AF1132" s="416" t="s">
        <v>7668</v>
      </c>
    </row>
    <row r="1133" spans="1:32">
      <c r="A1133" s="1" t="s">
        <v>1994</v>
      </c>
      <c r="B1133" s="416" t="s">
        <v>7669</v>
      </c>
      <c r="AE1133" s="417" t="s">
        <v>7670</v>
      </c>
      <c r="AF1133" s="416" t="s">
        <v>7671</v>
      </c>
    </row>
    <row r="1134" spans="1:32">
      <c r="A1134" s="1" t="s">
        <v>1994</v>
      </c>
      <c r="B1134" s="416" t="s">
        <v>7672</v>
      </c>
      <c r="AE1134" s="417" t="s">
        <v>7673</v>
      </c>
      <c r="AF1134" s="416" t="s">
        <v>7674</v>
      </c>
    </row>
    <row r="1135" spans="1:32">
      <c r="A1135" s="1" t="s">
        <v>1994</v>
      </c>
      <c r="B1135" s="416" t="s">
        <v>7675</v>
      </c>
      <c r="AE1135" s="417" t="s">
        <v>7676</v>
      </c>
      <c r="AF1135" s="416" t="s">
        <v>7677</v>
      </c>
    </row>
    <row r="1136" spans="1:32">
      <c r="A1136" s="1" t="s">
        <v>1994</v>
      </c>
      <c r="B1136" s="416" t="s">
        <v>7678</v>
      </c>
      <c r="AE1136" s="417" t="s">
        <v>7679</v>
      </c>
      <c r="AF1136" s="416" t="s">
        <v>7680</v>
      </c>
    </row>
    <row r="1137" spans="1:32">
      <c r="A1137" s="1" t="s">
        <v>1994</v>
      </c>
      <c r="B1137" s="416" t="s">
        <v>7681</v>
      </c>
      <c r="AE1137" s="417" t="s">
        <v>7682</v>
      </c>
      <c r="AF1137" s="416" t="s">
        <v>7683</v>
      </c>
    </row>
    <row r="1138" spans="1:32">
      <c r="A1138" s="1" t="s">
        <v>1994</v>
      </c>
      <c r="B1138" s="416" t="s">
        <v>7684</v>
      </c>
      <c r="AE1138" s="417" t="s">
        <v>7685</v>
      </c>
      <c r="AF1138" s="416" t="s">
        <v>7686</v>
      </c>
    </row>
    <row r="1139" spans="1:32">
      <c r="A1139" s="1" t="s">
        <v>1994</v>
      </c>
      <c r="B1139" s="416" t="s">
        <v>7687</v>
      </c>
      <c r="AE1139" s="417" t="s">
        <v>7688</v>
      </c>
      <c r="AF1139" s="416" t="s">
        <v>7689</v>
      </c>
    </row>
    <row r="1140" spans="1:32">
      <c r="A1140" s="1" t="s">
        <v>1994</v>
      </c>
      <c r="B1140" s="416" t="s">
        <v>7690</v>
      </c>
      <c r="AE1140" s="417" t="s">
        <v>7691</v>
      </c>
      <c r="AF1140" s="416" t="s">
        <v>7692</v>
      </c>
    </row>
    <row r="1141" spans="1:32">
      <c r="A1141" s="1" t="s">
        <v>1994</v>
      </c>
      <c r="B1141" s="416" t="s">
        <v>7693</v>
      </c>
      <c r="AE1141" s="417" t="s">
        <v>7694</v>
      </c>
      <c r="AF1141" s="416" t="s">
        <v>7695</v>
      </c>
    </row>
    <row r="1142" spans="1:32">
      <c r="A1142" s="1" t="s">
        <v>1994</v>
      </c>
      <c r="B1142" s="416" t="s">
        <v>7696</v>
      </c>
      <c r="AE1142" s="417" t="s">
        <v>7697</v>
      </c>
      <c r="AF1142" s="416" t="s">
        <v>7698</v>
      </c>
    </row>
    <row r="1143" spans="1:32">
      <c r="A1143" s="1" t="s">
        <v>2006</v>
      </c>
      <c r="B1143" s="416" t="s">
        <v>7699</v>
      </c>
      <c r="AE1143" s="417" t="s">
        <v>7700</v>
      </c>
      <c r="AF1143" s="416" t="s">
        <v>7701</v>
      </c>
    </row>
    <row r="1144" spans="1:32">
      <c r="A1144" s="1" t="s">
        <v>2006</v>
      </c>
      <c r="B1144" s="416" t="s">
        <v>7702</v>
      </c>
      <c r="AE1144" s="417" t="s">
        <v>7703</v>
      </c>
      <c r="AF1144" s="416" t="s">
        <v>7704</v>
      </c>
    </row>
    <row r="1145" spans="1:32">
      <c r="A1145" s="1" t="s">
        <v>2006</v>
      </c>
      <c r="B1145" s="416" t="s">
        <v>7705</v>
      </c>
      <c r="AE1145" s="417" t="s">
        <v>7706</v>
      </c>
      <c r="AF1145" s="416" t="s">
        <v>7707</v>
      </c>
    </row>
    <row r="1146" spans="1:32">
      <c r="A1146" s="1" t="s">
        <v>2006</v>
      </c>
      <c r="B1146" s="416" t="s">
        <v>7708</v>
      </c>
      <c r="AE1146" s="417" t="s">
        <v>7709</v>
      </c>
      <c r="AF1146" s="416" t="s">
        <v>7710</v>
      </c>
    </row>
    <row r="1147" spans="1:32">
      <c r="A1147" s="1" t="s">
        <v>2006</v>
      </c>
      <c r="B1147" s="416" t="s">
        <v>7711</v>
      </c>
      <c r="AE1147" s="417" t="s">
        <v>7712</v>
      </c>
      <c r="AF1147" s="416" t="s">
        <v>7713</v>
      </c>
    </row>
    <row r="1148" spans="1:32">
      <c r="A1148" s="1" t="s">
        <v>2006</v>
      </c>
      <c r="B1148" s="416" t="s">
        <v>7714</v>
      </c>
      <c r="AE1148" s="417" t="s">
        <v>7715</v>
      </c>
      <c r="AF1148" s="416" t="s">
        <v>7716</v>
      </c>
    </row>
    <row r="1149" spans="1:32">
      <c r="A1149" s="1" t="s">
        <v>2006</v>
      </c>
      <c r="B1149" s="416" t="s">
        <v>7717</v>
      </c>
      <c r="AE1149" s="417" t="s">
        <v>7718</v>
      </c>
      <c r="AF1149" s="416" t="s">
        <v>7719</v>
      </c>
    </row>
    <row r="1150" spans="1:32">
      <c r="A1150" s="1" t="s">
        <v>2006</v>
      </c>
      <c r="B1150" s="416" t="s">
        <v>7720</v>
      </c>
      <c r="AE1150" s="417" t="s">
        <v>7721</v>
      </c>
      <c r="AF1150" s="416" t="s">
        <v>7722</v>
      </c>
    </row>
    <row r="1151" spans="1:32">
      <c r="A1151" s="1" t="s">
        <v>2006</v>
      </c>
      <c r="B1151" s="416" t="s">
        <v>7723</v>
      </c>
      <c r="AE1151" s="417" t="s">
        <v>7724</v>
      </c>
      <c r="AF1151" s="416" t="s">
        <v>7725</v>
      </c>
    </row>
    <row r="1152" spans="1:32">
      <c r="A1152" s="1" t="s">
        <v>2006</v>
      </c>
      <c r="B1152" s="416" t="s">
        <v>7726</v>
      </c>
      <c r="AE1152" s="417" t="s">
        <v>7727</v>
      </c>
      <c r="AF1152" s="416" t="s">
        <v>7728</v>
      </c>
    </row>
    <row r="1153" spans="1:32">
      <c r="A1153" s="1" t="s">
        <v>2006</v>
      </c>
      <c r="B1153" s="416" t="s">
        <v>7729</v>
      </c>
      <c r="AE1153" s="417" t="s">
        <v>7730</v>
      </c>
      <c r="AF1153" s="416" t="s">
        <v>7731</v>
      </c>
    </row>
    <row r="1154" spans="1:32">
      <c r="A1154" s="1" t="s">
        <v>2006</v>
      </c>
      <c r="B1154" s="416" t="s">
        <v>7732</v>
      </c>
      <c r="AE1154" s="417" t="s">
        <v>7733</v>
      </c>
      <c r="AF1154" s="416" t="s">
        <v>7734</v>
      </c>
    </row>
    <row r="1155" spans="1:32">
      <c r="A1155" s="1" t="s">
        <v>2006</v>
      </c>
      <c r="B1155" s="416" t="s">
        <v>7735</v>
      </c>
      <c r="AE1155" s="417" t="s">
        <v>7736</v>
      </c>
      <c r="AF1155" s="416" t="s">
        <v>7737</v>
      </c>
    </row>
    <row r="1156" spans="1:32">
      <c r="A1156" s="1" t="s">
        <v>2006</v>
      </c>
      <c r="B1156" s="416" t="s">
        <v>7738</v>
      </c>
      <c r="AE1156" s="417" t="s">
        <v>7739</v>
      </c>
      <c r="AF1156" s="416" t="s">
        <v>7740</v>
      </c>
    </row>
    <row r="1157" spans="1:32">
      <c r="A1157" s="1" t="s">
        <v>2006</v>
      </c>
      <c r="B1157" s="416" t="s">
        <v>7741</v>
      </c>
      <c r="AE1157" s="417" t="s">
        <v>7742</v>
      </c>
      <c r="AF1157" s="416" t="s">
        <v>7743</v>
      </c>
    </row>
    <row r="1158" spans="1:32">
      <c r="A1158" s="1" t="s">
        <v>2006</v>
      </c>
      <c r="B1158" s="416" t="s">
        <v>7744</v>
      </c>
      <c r="AE1158" s="417" t="s">
        <v>7745</v>
      </c>
      <c r="AF1158" s="416" t="s">
        <v>7746</v>
      </c>
    </row>
    <row r="1159" spans="1:32">
      <c r="A1159" s="1" t="s">
        <v>2006</v>
      </c>
      <c r="B1159" s="416" t="s">
        <v>7747</v>
      </c>
      <c r="AE1159" s="417" t="s">
        <v>7748</v>
      </c>
      <c r="AF1159" s="416" t="s">
        <v>7749</v>
      </c>
    </row>
    <row r="1160" spans="1:32">
      <c r="A1160" s="1" t="s">
        <v>2018</v>
      </c>
      <c r="B1160" s="416" t="s">
        <v>7750</v>
      </c>
      <c r="AE1160" s="417" t="s">
        <v>7751</v>
      </c>
      <c r="AF1160" s="416" t="s">
        <v>7752</v>
      </c>
    </row>
    <row r="1161" spans="1:32">
      <c r="A1161" s="1" t="s">
        <v>2018</v>
      </c>
      <c r="B1161" s="416" t="s">
        <v>7753</v>
      </c>
      <c r="AE1161" s="417" t="s">
        <v>7754</v>
      </c>
      <c r="AF1161" s="416" t="s">
        <v>7755</v>
      </c>
    </row>
    <row r="1162" spans="1:32">
      <c r="A1162" s="1" t="s">
        <v>2018</v>
      </c>
      <c r="B1162" s="416" t="s">
        <v>7756</v>
      </c>
      <c r="AE1162" s="417" t="s">
        <v>7757</v>
      </c>
      <c r="AF1162" s="416" t="s">
        <v>7758</v>
      </c>
    </row>
    <row r="1163" spans="1:32">
      <c r="A1163" s="1" t="s">
        <v>2018</v>
      </c>
      <c r="B1163" s="416" t="s">
        <v>7759</v>
      </c>
      <c r="AE1163" s="417" t="s">
        <v>7760</v>
      </c>
      <c r="AF1163" s="416" t="s">
        <v>7761</v>
      </c>
    </row>
    <row r="1164" spans="1:32">
      <c r="A1164" s="1" t="s">
        <v>2018</v>
      </c>
      <c r="B1164" s="416" t="s">
        <v>7762</v>
      </c>
      <c r="AE1164" s="417" t="s">
        <v>7763</v>
      </c>
      <c r="AF1164" s="416" t="s">
        <v>7764</v>
      </c>
    </row>
    <row r="1165" spans="1:32">
      <c r="A1165" s="1" t="s">
        <v>2018</v>
      </c>
      <c r="B1165" s="416" t="s">
        <v>7765</v>
      </c>
      <c r="AE1165" s="417" t="s">
        <v>7766</v>
      </c>
      <c r="AF1165" s="416" t="s">
        <v>7767</v>
      </c>
    </row>
    <row r="1166" spans="1:32">
      <c r="A1166" s="1" t="s">
        <v>2018</v>
      </c>
      <c r="B1166" s="416" t="s">
        <v>7768</v>
      </c>
      <c r="AE1166" s="417" t="s">
        <v>7769</v>
      </c>
      <c r="AF1166" s="416" t="s">
        <v>7770</v>
      </c>
    </row>
    <row r="1167" spans="1:32">
      <c r="A1167" s="1" t="s">
        <v>2018</v>
      </c>
      <c r="B1167" s="416" t="s">
        <v>7771</v>
      </c>
      <c r="AE1167" s="417" t="s">
        <v>7772</v>
      </c>
      <c r="AF1167" s="416" t="s">
        <v>7773</v>
      </c>
    </row>
    <row r="1168" spans="1:32">
      <c r="A1168" s="1" t="s">
        <v>2018</v>
      </c>
      <c r="B1168" s="416" t="s">
        <v>7774</v>
      </c>
      <c r="AE1168" s="417" t="s">
        <v>7775</v>
      </c>
      <c r="AF1168" s="416" t="s">
        <v>7776</v>
      </c>
    </row>
    <row r="1169" spans="1:32">
      <c r="A1169" s="1" t="s">
        <v>2018</v>
      </c>
      <c r="B1169" s="416" t="s">
        <v>7777</v>
      </c>
      <c r="AE1169" s="417" t="s">
        <v>7778</v>
      </c>
      <c r="AF1169" s="416" t="s">
        <v>7779</v>
      </c>
    </row>
    <row r="1170" spans="1:32">
      <c r="A1170" s="1" t="s">
        <v>2018</v>
      </c>
      <c r="B1170" s="416" t="s">
        <v>7780</v>
      </c>
      <c r="AE1170" s="417" t="s">
        <v>7781</v>
      </c>
      <c r="AF1170" s="416" t="s">
        <v>7782</v>
      </c>
    </row>
    <row r="1171" spans="1:32">
      <c r="A1171" s="1" t="s">
        <v>2029</v>
      </c>
      <c r="B1171" s="416" t="s">
        <v>7783</v>
      </c>
      <c r="AE1171" s="417" t="s">
        <v>7784</v>
      </c>
      <c r="AF1171" s="416" t="s">
        <v>7785</v>
      </c>
    </row>
    <row r="1172" spans="1:32">
      <c r="A1172" s="1" t="s">
        <v>2029</v>
      </c>
      <c r="B1172" s="416" t="s">
        <v>7786</v>
      </c>
      <c r="AE1172" s="417" t="s">
        <v>7787</v>
      </c>
      <c r="AF1172" s="416" t="s">
        <v>7788</v>
      </c>
    </row>
    <row r="1173" spans="1:32">
      <c r="A1173" s="1" t="s">
        <v>2029</v>
      </c>
      <c r="B1173" s="416" t="s">
        <v>7789</v>
      </c>
      <c r="AE1173" s="417" t="s">
        <v>7790</v>
      </c>
      <c r="AF1173" s="416" t="s">
        <v>7791</v>
      </c>
    </row>
    <row r="1174" spans="1:32">
      <c r="A1174" s="1" t="s">
        <v>2029</v>
      </c>
      <c r="B1174" s="416" t="s">
        <v>7792</v>
      </c>
      <c r="AE1174" s="417" t="s">
        <v>7793</v>
      </c>
      <c r="AF1174" s="416" t="s">
        <v>7794</v>
      </c>
    </row>
    <row r="1175" spans="1:32">
      <c r="A1175" s="1" t="s">
        <v>2029</v>
      </c>
      <c r="B1175" s="416" t="s">
        <v>7795</v>
      </c>
      <c r="AE1175" s="417" t="s">
        <v>7796</v>
      </c>
      <c r="AF1175" s="416" t="s">
        <v>7797</v>
      </c>
    </row>
    <row r="1176" spans="1:32">
      <c r="A1176" s="1" t="s">
        <v>2029</v>
      </c>
      <c r="B1176" s="416" t="s">
        <v>7798</v>
      </c>
      <c r="AE1176" s="417" t="s">
        <v>7799</v>
      </c>
      <c r="AF1176" s="416" t="s">
        <v>7800</v>
      </c>
    </row>
    <row r="1177" spans="1:32">
      <c r="A1177" s="1" t="s">
        <v>2040</v>
      </c>
      <c r="B1177" s="416" t="s">
        <v>7801</v>
      </c>
      <c r="AE1177" s="417" t="s">
        <v>7802</v>
      </c>
      <c r="AF1177" s="416" t="s">
        <v>7803</v>
      </c>
    </row>
    <row r="1178" spans="1:32">
      <c r="A1178" s="1" t="s">
        <v>2040</v>
      </c>
      <c r="B1178" s="416" t="s">
        <v>7804</v>
      </c>
      <c r="AE1178" s="417" t="s">
        <v>7805</v>
      </c>
      <c r="AF1178" s="416" t="s">
        <v>7806</v>
      </c>
    </row>
    <row r="1179" spans="1:32">
      <c r="A1179" s="1" t="s">
        <v>2040</v>
      </c>
      <c r="B1179" s="416" t="s">
        <v>7807</v>
      </c>
      <c r="AE1179" s="417" t="s">
        <v>7808</v>
      </c>
      <c r="AF1179" s="416" t="s">
        <v>7809</v>
      </c>
    </row>
    <row r="1180" spans="1:32">
      <c r="A1180" s="1" t="s">
        <v>2040</v>
      </c>
      <c r="B1180" s="416" t="s">
        <v>7810</v>
      </c>
      <c r="AE1180" s="417" t="s">
        <v>7811</v>
      </c>
      <c r="AF1180" s="416" t="s">
        <v>7812</v>
      </c>
    </row>
    <row r="1181" spans="1:32">
      <c r="A1181" s="1" t="s">
        <v>2040</v>
      </c>
      <c r="B1181" s="416" t="s">
        <v>7813</v>
      </c>
      <c r="AE1181" s="417" t="s">
        <v>7814</v>
      </c>
      <c r="AF1181" s="416" t="s">
        <v>7815</v>
      </c>
    </row>
    <row r="1182" spans="1:32">
      <c r="A1182" s="1" t="s">
        <v>2040</v>
      </c>
      <c r="B1182" s="416" t="s">
        <v>7816</v>
      </c>
      <c r="AE1182" s="417" t="s">
        <v>7817</v>
      </c>
      <c r="AF1182" s="416" t="s">
        <v>7818</v>
      </c>
    </row>
    <row r="1183" spans="1:32">
      <c r="A1183" s="1" t="s">
        <v>2040</v>
      </c>
      <c r="B1183" s="416" t="s">
        <v>7819</v>
      </c>
      <c r="AE1183" s="417" t="s">
        <v>7820</v>
      </c>
      <c r="AF1183" s="416" t="s">
        <v>7821</v>
      </c>
    </row>
    <row r="1184" spans="1:32">
      <c r="A1184" s="1" t="s">
        <v>2040</v>
      </c>
      <c r="B1184" s="416" t="s">
        <v>7822</v>
      </c>
      <c r="AE1184" s="417" t="s">
        <v>7823</v>
      </c>
      <c r="AF1184" s="416" t="s">
        <v>7824</v>
      </c>
    </row>
    <row r="1185" spans="1:32">
      <c r="A1185" s="1" t="s">
        <v>2040</v>
      </c>
      <c r="B1185" s="416" t="s">
        <v>7825</v>
      </c>
      <c r="AE1185" s="417" t="s">
        <v>7826</v>
      </c>
      <c r="AF1185" s="416" t="s">
        <v>7827</v>
      </c>
    </row>
    <row r="1186" spans="1:32">
      <c r="A1186" s="1" t="s">
        <v>2040</v>
      </c>
      <c r="B1186" s="416" t="s">
        <v>7828</v>
      </c>
      <c r="AE1186" s="417" t="s">
        <v>7829</v>
      </c>
      <c r="AF1186" s="416" t="s">
        <v>7830</v>
      </c>
    </row>
    <row r="1187" spans="1:32">
      <c r="A1187" s="1" t="s">
        <v>2040</v>
      </c>
      <c r="B1187" s="416" t="s">
        <v>7831</v>
      </c>
      <c r="AE1187" s="417" t="s">
        <v>7832</v>
      </c>
      <c r="AF1187" s="416" t="s">
        <v>7833</v>
      </c>
    </row>
    <row r="1188" spans="1:32">
      <c r="A1188" s="1" t="s">
        <v>2040</v>
      </c>
      <c r="B1188" s="416" t="s">
        <v>7834</v>
      </c>
      <c r="AE1188" s="417" t="s">
        <v>7835</v>
      </c>
      <c r="AF1188" s="416" t="s">
        <v>7836</v>
      </c>
    </row>
    <row r="1189" spans="1:32">
      <c r="A1189" s="1" t="s">
        <v>2040</v>
      </c>
      <c r="B1189" s="416" t="s">
        <v>7837</v>
      </c>
      <c r="AE1189" s="417" t="s">
        <v>7838</v>
      </c>
      <c r="AF1189" s="416" t="s">
        <v>7839</v>
      </c>
    </row>
    <row r="1190" spans="1:32">
      <c r="A1190" s="1" t="s">
        <v>2040</v>
      </c>
      <c r="B1190" s="416" t="s">
        <v>7840</v>
      </c>
      <c r="AE1190" s="417" t="s">
        <v>7841</v>
      </c>
      <c r="AF1190" s="416" t="s">
        <v>7842</v>
      </c>
    </row>
    <row r="1191" spans="1:32">
      <c r="A1191" s="1" t="s">
        <v>2040</v>
      </c>
      <c r="B1191" s="416" t="s">
        <v>7843</v>
      </c>
      <c r="AE1191" s="417" t="s">
        <v>7844</v>
      </c>
      <c r="AF1191" s="416" t="s">
        <v>7845</v>
      </c>
    </row>
    <row r="1192" spans="1:32">
      <c r="A1192" s="1" t="s">
        <v>2040</v>
      </c>
      <c r="B1192" s="416" t="s">
        <v>7846</v>
      </c>
      <c r="AE1192" s="417" t="s">
        <v>7847</v>
      </c>
      <c r="AF1192" s="416" t="s">
        <v>7848</v>
      </c>
    </row>
    <row r="1193" spans="1:32">
      <c r="A1193" s="1" t="s">
        <v>2040</v>
      </c>
      <c r="B1193" s="416" t="s">
        <v>7849</v>
      </c>
      <c r="AE1193" s="417" t="s">
        <v>7850</v>
      </c>
      <c r="AF1193" s="416" t="s">
        <v>7851</v>
      </c>
    </row>
    <row r="1194" spans="1:32">
      <c r="A1194" s="1" t="s">
        <v>2040</v>
      </c>
      <c r="B1194" s="416" t="s">
        <v>7852</v>
      </c>
      <c r="AE1194" s="417" t="s">
        <v>7853</v>
      </c>
      <c r="AF1194" s="416" t="s">
        <v>7854</v>
      </c>
    </row>
    <row r="1195" spans="1:32">
      <c r="A1195" s="1" t="s">
        <v>2040</v>
      </c>
      <c r="B1195" s="416" t="s">
        <v>7855</v>
      </c>
      <c r="AE1195" s="417" t="s">
        <v>7856</v>
      </c>
      <c r="AF1195" s="416" t="s">
        <v>7857</v>
      </c>
    </row>
    <row r="1196" spans="1:32">
      <c r="A1196" s="1" t="s">
        <v>2040</v>
      </c>
      <c r="B1196" s="416" t="s">
        <v>7858</v>
      </c>
      <c r="AE1196" s="417" t="s">
        <v>7859</v>
      </c>
      <c r="AF1196" s="416" t="s">
        <v>7860</v>
      </c>
    </row>
    <row r="1197" spans="1:32">
      <c r="A1197" s="1" t="s">
        <v>2040</v>
      </c>
      <c r="B1197" s="416" t="s">
        <v>7861</v>
      </c>
      <c r="AE1197" s="417" t="s">
        <v>7862</v>
      </c>
      <c r="AF1197" s="416" t="s">
        <v>7863</v>
      </c>
    </row>
    <row r="1198" spans="1:32">
      <c r="A1198" s="1" t="s">
        <v>2040</v>
      </c>
      <c r="B1198" s="416" t="s">
        <v>7864</v>
      </c>
      <c r="AE1198" s="417" t="s">
        <v>7865</v>
      </c>
      <c r="AF1198" s="416" t="s">
        <v>7866</v>
      </c>
    </row>
    <row r="1199" spans="1:32">
      <c r="A1199" s="1" t="s">
        <v>2040</v>
      </c>
      <c r="B1199" s="416" t="s">
        <v>7867</v>
      </c>
      <c r="AE1199" s="417" t="s">
        <v>7868</v>
      </c>
      <c r="AF1199" s="416" t="s">
        <v>7869</v>
      </c>
    </row>
    <row r="1200" spans="1:32">
      <c r="A1200" s="1" t="s">
        <v>2040</v>
      </c>
      <c r="B1200" s="416" t="s">
        <v>7870</v>
      </c>
      <c r="AE1200" s="417" t="s">
        <v>7871</v>
      </c>
      <c r="AF1200" s="416" t="s">
        <v>7872</v>
      </c>
    </row>
    <row r="1201" spans="1:32">
      <c r="A1201" s="1" t="s">
        <v>2040</v>
      </c>
      <c r="B1201" s="416" t="s">
        <v>7873</v>
      </c>
      <c r="AE1201" s="417" t="s">
        <v>7874</v>
      </c>
      <c r="AF1201" s="416" t="s">
        <v>7875</v>
      </c>
    </row>
    <row r="1202" spans="1:32">
      <c r="A1202" s="1" t="s">
        <v>2040</v>
      </c>
      <c r="B1202" s="416" t="s">
        <v>7876</v>
      </c>
      <c r="AE1202" s="417" t="s">
        <v>7877</v>
      </c>
      <c r="AF1202" s="416" t="s">
        <v>7878</v>
      </c>
    </row>
    <row r="1203" spans="1:32">
      <c r="A1203" s="1" t="s">
        <v>2040</v>
      </c>
      <c r="B1203" s="416" t="s">
        <v>7879</v>
      </c>
      <c r="AE1203" s="417" t="s">
        <v>7880</v>
      </c>
      <c r="AF1203" s="416" t="s">
        <v>7881</v>
      </c>
    </row>
    <row r="1204" spans="1:32">
      <c r="A1204" s="1" t="s">
        <v>2040</v>
      </c>
      <c r="B1204" s="416" t="s">
        <v>7882</v>
      </c>
      <c r="AE1204" s="417" t="s">
        <v>7883</v>
      </c>
      <c r="AF1204" s="416" t="s">
        <v>7884</v>
      </c>
    </row>
    <row r="1205" spans="1:32">
      <c r="A1205" s="1" t="s">
        <v>2040</v>
      </c>
      <c r="B1205" s="416" t="s">
        <v>7885</v>
      </c>
      <c r="AE1205" s="417" t="s">
        <v>7886</v>
      </c>
      <c r="AF1205" s="416" t="s">
        <v>7887</v>
      </c>
    </row>
    <row r="1206" spans="1:32">
      <c r="A1206" s="1" t="s">
        <v>2040</v>
      </c>
      <c r="B1206" s="416" t="s">
        <v>7888</v>
      </c>
      <c r="AE1206" s="417" t="s">
        <v>7889</v>
      </c>
      <c r="AF1206" s="416" t="s">
        <v>7890</v>
      </c>
    </row>
    <row r="1207" spans="1:32">
      <c r="A1207" s="1" t="s">
        <v>2052</v>
      </c>
      <c r="B1207" s="416" t="s">
        <v>7891</v>
      </c>
      <c r="AE1207" s="417" t="s">
        <v>7892</v>
      </c>
      <c r="AF1207" s="416" t="s">
        <v>7893</v>
      </c>
    </row>
    <row r="1208" spans="1:32">
      <c r="A1208" s="1" t="s">
        <v>2052</v>
      </c>
      <c r="B1208" s="416" t="s">
        <v>7894</v>
      </c>
      <c r="AE1208" s="417" t="s">
        <v>7895</v>
      </c>
      <c r="AF1208" s="416" t="s">
        <v>7896</v>
      </c>
    </row>
    <row r="1209" spans="1:32">
      <c r="A1209" s="1" t="s">
        <v>2052</v>
      </c>
      <c r="B1209" s="416" t="s">
        <v>7897</v>
      </c>
      <c r="AE1209" s="417" t="s">
        <v>7898</v>
      </c>
      <c r="AF1209" s="416" t="s">
        <v>7899</v>
      </c>
    </row>
    <row r="1210" spans="1:32">
      <c r="A1210" s="1" t="s">
        <v>2052</v>
      </c>
      <c r="B1210" s="416" t="s">
        <v>7900</v>
      </c>
      <c r="AE1210" s="417" t="s">
        <v>7901</v>
      </c>
      <c r="AF1210" s="416" t="s">
        <v>7902</v>
      </c>
    </row>
    <row r="1211" spans="1:32">
      <c r="A1211" s="1" t="s">
        <v>2052</v>
      </c>
      <c r="B1211" s="416" t="s">
        <v>7903</v>
      </c>
      <c r="AE1211" s="417" t="s">
        <v>7904</v>
      </c>
      <c r="AF1211" s="416" t="s">
        <v>7905</v>
      </c>
    </row>
    <row r="1212" spans="1:32">
      <c r="A1212" s="1" t="s">
        <v>2052</v>
      </c>
      <c r="B1212" s="416" t="s">
        <v>7906</v>
      </c>
      <c r="AE1212" s="417" t="s">
        <v>7907</v>
      </c>
      <c r="AF1212" s="416" t="s">
        <v>7908</v>
      </c>
    </row>
    <row r="1213" spans="1:32">
      <c r="A1213" s="1" t="s">
        <v>2052</v>
      </c>
      <c r="B1213" s="416" t="s">
        <v>7909</v>
      </c>
      <c r="AE1213" s="417" t="s">
        <v>7910</v>
      </c>
      <c r="AF1213" s="416" t="s">
        <v>7911</v>
      </c>
    </row>
    <row r="1214" spans="1:32">
      <c r="A1214" s="1" t="s">
        <v>2052</v>
      </c>
      <c r="B1214" s="416" t="s">
        <v>7912</v>
      </c>
      <c r="AE1214" s="417" t="s">
        <v>7913</v>
      </c>
      <c r="AF1214" s="416" t="s">
        <v>7914</v>
      </c>
    </row>
    <row r="1215" spans="1:32">
      <c r="A1215" s="1" t="s">
        <v>2052</v>
      </c>
      <c r="B1215" s="416" t="s">
        <v>7915</v>
      </c>
      <c r="AE1215" s="417" t="s">
        <v>7916</v>
      </c>
      <c r="AF1215" s="416" t="s">
        <v>7917</v>
      </c>
    </row>
    <row r="1216" spans="1:32">
      <c r="A1216" s="1" t="s">
        <v>2052</v>
      </c>
      <c r="B1216" s="416" t="s">
        <v>7918</v>
      </c>
      <c r="AE1216" s="417" t="s">
        <v>7919</v>
      </c>
      <c r="AF1216" s="416" t="s">
        <v>7920</v>
      </c>
    </row>
    <row r="1217" spans="1:32">
      <c r="A1217" s="1" t="s">
        <v>2052</v>
      </c>
      <c r="B1217" s="416" t="s">
        <v>7921</v>
      </c>
      <c r="AE1217" s="417" t="s">
        <v>7922</v>
      </c>
      <c r="AF1217" s="416" t="s">
        <v>7923</v>
      </c>
    </row>
    <row r="1218" spans="1:32">
      <c r="A1218" s="1" t="s">
        <v>2052</v>
      </c>
      <c r="B1218" s="416" t="s">
        <v>7924</v>
      </c>
      <c r="AE1218" s="417" t="s">
        <v>7925</v>
      </c>
      <c r="AF1218" s="416" t="s">
        <v>7926</v>
      </c>
    </row>
    <row r="1219" spans="1:32">
      <c r="A1219" s="1" t="s">
        <v>2065</v>
      </c>
      <c r="B1219" s="416" t="s">
        <v>7927</v>
      </c>
      <c r="AE1219" s="417" t="s">
        <v>7928</v>
      </c>
      <c r="AF1219" s="416" t="s">
        <v>7929</v>
      </c>
    </row>
    <row r="1220" spans="1:32">
      <c r="A1220" s="1" t="s">
        <v>2065</v>
      </c>
      <c r="B1220" s="416" t="s">
        <v>7930</v>
      </c>
      <c r="AE1220" s="417" t="s">
        <v>7931</v>
      </c>
      <c r="AF1220" s="416" t="s">
        <v>7932</v>
      </c>
    </row>
    <row r="1221" spans="1:32">
      <c r="A1221" s="1" t="s">
        <v>2065</v>
      </c>
      <c r="B1221" s="416" t="s">
        <v>7933</v>
      </c>
      <c r="AE1221" s="417" t="s">
        <v>7934</v>
      </c>
      <c r="AF1221" s="416" t="s">
        <v>7935</v>
      </c>
    </row>
    <row r="1222" spans="1:32">
      <c r="A1222" s="1" t="s">
        <v>2065</v>
      </c>
      <c r="B1222" s="416" t="s">
        <v>7936</v>
      </c>
      <c r="AE1222" s="417" t="s">
        <v>7937</v>
      </c>
      <c r="AF1222" s="416" t="s">
        <v>7938</v>
      </c>
    </row>
    <row r="1223" spans="1:32">
      <c r="A1223" s="1" t="s">
        <v>2065</v>
      </c>
      <c r="B1223" s="416" t="s">
        <v>7939</v>
      </c>
      <c r="AE1223" s="417" t="s">
        <v>7940</v>
      </c>
      <c r="AF1223" s="416" t="s">
        <v>7941</v>
      </c>
    </row>
    <row r="1224" spans="1:32">
      <c r="A1224" s="1" t="s">
        <v>2065</v>
      </c>
      <c r="B1224" s="416" t="s">
        <v>7942</v>
      </c>
      <c r="AE1224" s="417" t="s">
        <v>7943</v>
      </c>
      <c r="AF1224" s="416" t="s">
        <v>7944</v>
      </c>
    </row>
    <row r="1225" spans="1:32">
      <c r="A1225" s="1" t="s">
        <v>2065</v>
      </c>
      <c r="B1225" s="416" t="s">
        <v>7945</v>
      </c>
      <c r="AE1225" s="417" t="s">
        <v>7946</v>
      </c>
      <c r="AF1225" s="416" t="s">
        <v>7947</v>
      </c>
    </row>
    <row r="1226" spans="1:32">
      <c r="A1226" s="1" t="s">
        <v>2065</v>
      </c>
      <c r="B1226" s="416" t="s">
        <v>7948</v>
      </c>
      <c r="AE1226" s="417" t="s">
        <v>7949</v>
      </c>
      <c r="AF1226" s="416" t="s">
        <v>7950</v>
      </c>
    </row>
    <row r="1227" spans="1:32">
      <c r="A1227" s="1" t="s">
        <v>2065</v>
      </c>
      <c r="B1227" s="416" t="s">
        <v>7951</v>
      </c>
      <c r="AE1227" s="417" t="s">
        <v>7952</v>
      </c>
      <c r="AF1227" s="416" t="s">
        <v>7953</v>
      </c>
    </row>
    <row r="1228" spans="1:32">
      <c r="A1228" s="1" t="s">
        <v>2065</v>
      </c>
      <c r="B1228" s="416" t="s">
        <v>7954</v>
      </c>
      <c r="AE1228" s="417" t="s">
        <v>7955</v>
      </c>
      <c r="AF1228" s="416" t="s">
        <v>7956</v>
      </c>
    </row>
    <row r="1229" spans="1:32">
      <c r="A1229" s="1" t="s">
        <v>2065</v>
      </c>
      <c r="B1229" s="416" t="s">
        <v>7957</v>
      </c>
      <c r="AE1229" s="417" t="s">
        <v>7958</v>
      </c>
      <c r="AF1229" s="416" t="s">
        <v>7959</v>
      </c>
    </row>
    <row r="1230" spans="1:32">
      <c r="A1230" s="1" t="s">
        <v>2065</v>
      </c>
      <c r="B1230" s="416" t="s">
        <v>7960</v>
      </c>
      <c r="AE1230" s="417" t="s">
        <v>7961</v>
      </c>
      <c r="AF1230" s="416" t="s">
        <v>7962</v>
      </c>
    </row>
    <row r="1231" spans="1:32">
      <c r="A1231" s="1" t="s">
        <v>2079</v>
      </c>
      <c r="B1231" s="416" t="s">
        <v>7963</v>
      </c>
      <c r="AE1231" s="417" t="s">
        <v>7964</v>
      </c>
      <c r="AF1231" s="416" t="s">
        <v>7965</v>
      </c>
    </row>
    <row r="1232" spans="1:32">
      <c r="A1232" s="1" t="s">
        <v>2079</v>
      </c>
      <c r="B1232" s="416" t="s">
        <v>7305</v>
      </c>
      <c r="AE1232" s="417" t="s">
        <v>7966</v>
      </c>
      <c r="AF1232" s="416" t="s">
        <v>7967</v>
      </c>
    </row>
    <row r="1233" spans="1:32">
      <c r="A1233" s="1" t="s">
        <v>2079</v>
      </c>
      <c r="B1233" s="416" t="s">
        <v>7968</v>
      </c>
      <c r="AE1233" s="417" t="s">
        <v>7969</v>
      </c>
      <c r="AF1233" s="416" t="s">
        <v>7970</v>
      </c>
    </row>
    <row r="1234" spans="1:32">
      <c r="A1234" s="1" t="s">
        <v>2079</v>
      </c>
      <c r="B1234" s="416" t="s">
        <v>7971</v>
      </c>
      <c r="AE1234" s="417" t="s">
        <v>7972</v>
      </c>
      <c r="AF1234" s="416" t="s">
        <v>7973</v>
      </c>
    </row>
    <row r="1235" spans="1:32">
      <c r="A1235" s="1" t="s">
        <v>2079</v>
      </c>
      <c r="B1235" s="416" t="s">
        <v>7974</v>
      </c>
      <c r="AE1235" s="417" t="s">
        <v>7975</v>
      </c>
      <c r="AF1235" s="416" t="s">
        <v>7976</v>
      </c>
    </row>
    <row r="1236" spans="1:32">
      <c r="A1236" s="1" t="s">
        <v>2079</v>
      </c>
      <c r="B1236" s="416" t="s">
        <v>7977</v>
      </c>
      <c r="AE1236" s="417" t="s">
        <v>7978</v>
      </c>
      <c r="AF1236" s="416" t="s">
        <v>7979</v>
      </c>
    </row>
    <row r="1237" spans="1:32">
      <c r="A1237" s="1" t="s">
        <v>2079</v>
      </c>
      <c r="B1237" s="416" t="s">
        <v>7980</v>
      </c>
      <c r="AE1237" s="417" t="s">
        <v>7981</v>
      </c>
      <c r="AF1237" s="416" t="s">
        <v>7982</v>
      </c>
    </row>
    <row r="1238" spans="1:32">
      <c r="A1238" s="1" t="s">
        <v>2079</v>
      </c>
      <c r="B1238" s="416" t="s">
        <v>7983</v>
      </c>
      <c r="AE1238" s="417" t="s">
        <v>7984</v>
      </c>
      <c r="AF1238" s="416" t="s">
        <v>7985</v>
      </c>
    </row>
    <row r="1239" spans="1:32">
      <c r="A1239" s="1" t="s">
        <v>2079</v>
      </c>
      <c r="B1239" s="416" t="s">
        <v>7986</v>
      </c>
      <c r="AE1239" s="417" t="s">
        <v>7987</v>
      </c>
      <c r="AF1239" s="416" t="s">
        <v>7988</v>
      </c>
    </row>
    <row r="1240" spans="1:32">
      <c r="A1240" s="1" t="s">
        <v>2079</v>
      </c>
      <c r="B1240" s="416" t="s">
        <v>7989</v>
      </c>
      <c r="AE1240" s="417" t="s">
        <v>7990</v>
      </c>
      <c r="AF1240" s="416" t="s">
        <v>7991</v>
      </c>
    </row>
    <row r="1241" spans="1:32">
      <c r="A1241" s="1" t="s">
        <v>2079</v>
      </c>
      <c r="B1241" s="416" t="s">
        <v>7992</v>
      </c>
      <c r="AE1241" s="417" t="s">
        <v>7993</v>
      </c>
      <c r="AF1241" s="416" t="s">
        <v>7994</v>
      </c>
    </row>
    <row r="1242" spans="1:32">
      <c r="A1242" s="1" t="s">
        <v>2079</v>
      </c>
      <c r="B1242" s="416" t="s">
        <v>7995</v>
      </c>
      <c r="AE1242" s="417" t="s">
        <v>7996</v>
      </c>
      <c r="AF1242" s="416" t="s">
        <v>7997</v>
      </c>
    </row>
    <row r="1243" spans="1:32">
      <c r="A1243" s="1" t="s">
        <v>2079</v>
      </c>
      <c r="B1243" s="416" t="s">
        <v>7998</v>
      </c>
      <c r="AE1243" s="417" t="s">
        <v>7999</v>
      </c>
      <c r="AF1243" s="416" t="s">
        <v>8000</v>
      </c>
    </row>
    <row r="1244" spans="1:32">
      <c r="A1244" s="1" t="s">
        <v>2079</v>
      </c>
      <c r="B1244" s="416" t="s">
        <v>8001</v>
      </c>
      <c r="AE1244" s="417" t="s">
        <v>8002</v>
      </c>
      <c r="AF1244" s="416" t="s">
        <v>8003</v>
      </c>
    </row>
    <row r="1245" spans="1:32">
      <c r="A1245" s="1" t="s">
        <v>2079</v>
      </c>
      <c r="B1245" s="416" t="s">
        <v>8004</v>
      </c>
      <c r="AE1245" s="417" t="s">
        <v>8005</v>
      </c>
      <c r="AF1245" s="416" t="s">
        <v>8006</v>
      </c>
    </row>
    <row r="1246" spans="1:32">
      <c r="A1246" s="1" t="s">
        <v>2091</v>
      </c>
      <c r="B1246" s="416" t="s">
        <v>7132</v>
      </c>
      <c r="AE1246" s="417" t="s">
        <v>8007</v>
      </c>
      <c r="AF1246" s="416" t="s">
        <v>8008</v>
      </c>
    </row>
    <row r="1247" spans="1:32">
      <c r="A1247" s="1" t="s">
        <v>2091</v>
      </c>
      <c r="B1247" s="416" t="s">
        <v>8009</v>
      </c>
      <c r="AE1247" s="417" t="s">
        <v>8010</v>
      </c>
      <c r="AF1247" s="416" t="s">
        <v>8011</v>
      </c>
    </row>
    <row r="1248" spans="1:32">
      <c r="A1248" s="1" t="s">
        <v>2091</v>
      </c>
      <c r="B1248" s="416" t="s">
        <v>8012</v>
      </c>
      <c r="AE1248" s="417" t="s">
        <v>8013</v>
      </c>
      <c r="AF1248" s="416" t="s">
        <v>8014</v>
      </c>
    </row>
    <row r="1249" spans="1:32">
      <c r="A1249" s="1" t="s">
        <v>2091</v>
      </c>
      <c r="B1249" s="416" t="s">
        <v>8015</v>
      </c>
      <c r="AE1249" s="417" t="s">
        <v>8016</v>
      </c>
      <c r="AF1249" s="416" t="s">
        <v>8017</v>
      </c>
    </row>
    <row r="1250" spans="1:32">
      <c r="A1250" s="1" t="s">
        <v>2091</v>
      </c>
      <c r="B1250" s="416" t="s">
        <v>8018</v>
      </c>
      <c r="AE1250" s="417" t="s">
        <v>8019</v>
      </c>
      <c r="AF1250" s="416" t="s">
        <v>8020</v>
      </c>
    </row>
    <row r="1251" spans="1:32">
      <c r="A1251" s="1" t="s">
        <v>2091</v>
      </c>
      <c r="B1251" s="416" t="s">
        <v>8021</v>
      </c>
      <c r="AE1251" s="417" t="s">
        <v>8022</v>
      </c>
      <c r="AF1251" s="416" t="s">
        <v>8023</v>
      </c>
    </row>
    <row r="1252" spans="1:32">
      <c r="A1252" s="1" t="s">
        <v>2091</v>
      </c>
      <c r="B1252" s="416" t="s">
        <v>8024</v>
      </c>
      <c r="AE1252" s="417" t="s">
        <v>8025</v>
      </c>
      <c r="AF1252" s="416" t="s">
        <v>8026</v>
      </c>
    </row>
    <row r="1253" spans="1:32">
      <c r="A1253" s="1" t="s">
        <v>2103</v>
      </c>
      <c r="B1253" s="416" t="s">
        <v>8027</v>
      </c>
      <c r="AE1253" s="417" t="s">
        <v>8028</v>
      </c>
      <c r="AF1253" s="416" t="s">
        <v>8029</v>
      </c>
    </row>
    <row r="1254" spans="1:32">
      <c r="A1254" s="1" t="s">
        <v>2103</v>
      </c>
      <c r="B1254" s="416" t="s">
        <v>8030</v>
      </c>
      <c r="AE1254" s="417" t="s">
        <v>8031</v>
      </c>
      <c r="AF1254" s="416" t="s">
        <v>8032</v>
      </c>
    </row>
    <row r="1255" spans="1:32">
      <c r="A1255" s="1" t="s">
        <v>2103</v>
      </c>
      <c r="B1255" s="416" t="s">
        <v>8033</v>
      </c>
      <c r="AE1255" s="417" t="s">
        <v>8034</v>
      </c>
      <c r="AF1255" s="416" t="s">
        <v>8035</v>
      </c>
    </row>
    <row r="1256" spans="1:32">
      <c r="A1256" s="1" t="s">
        <v>2103</v>
      </c>
      <c r="B1256" s="416" t="s">
        <v>8036</v>
      </c>
      <c r="AE1256" s="417" t="s">
        <v>8037</v>
      </c>
      <c r="AF1256" s="416" t="s">
        <v>8038</v>
      </c>
    </row>
    <row r="1257" spans="1:32">
      <c r="A1257" s="1" t="s">
        <v>2103</v>
      </c>
      <c r="B1257" s="416" t="s">
        <v>8039</v>
      </c>
      <c r="AE1257" s="417" t="s">
        <v>8040</v>
      </c>
      <c r="AF1257" s="416" t="s">
        <v>8041</v>
      </c>
    </row>
    <row r="1258" spans="1:32">
      <c r="A1258" s="1" t="s">
        <v>2103</v>
      </c>
      <c r="B1258" s="416" t="s">
        <v>8042</v>
      </c>
      <c r="AE1258" s="417" t="s">
        <v>8043</v>
      </c>
      <c r="AF1258" s="416" t="s">
        <v>8044</v>
      </c>
    </row>
    <row r="1259" spans="1:32">
      <c r="A1259" s="1" t="s">
        <v>2103</v>
      </c>
      <c r="B1259" s="416" t="s">
        <v>8045</v>
      </c>
      <c r="AE1259" s="417" t="s">
        <v>8046</v>
      </c>
      <c r="AF1259" s="416" t="s">
        <v>8047</v>
      </c>
    </row>
    <row r="1260" spans="1:32">
      <c r="A1260" s="1" t="s">
        <v>2103</v>
      </c>
      <c r="B1260" s="416" t="s">
        <v>8048</v>
      </c>
      <c r="AE1260" s="417" t="s">
        <v>8049</v>
      </c>
      <c r="AF1260" s="416" t="s">
        <v>8050</v>
      </c>
    </row>
    <row r="1261" spans="1:32">
      <c r="A1261" s="1" t="s">
        <v>2103</v>
      </c>
      <c r="B1261" s="416" t="s">
        <v>8051</v>
      </c>
      <c r="AE1261" s="417" t="s">
        <v>8052</v>
      </c>
      <c r="AF1261" s="416" t="s">
        <v>8053</v>
      </c>
    </row>
    <row r="1262" spans="1:32">
      <c r="A1262" s="1" t="s">
        <v>2103</v>
      </c>
      <c r="B1262" s="416" t="s">
        <v>8054</v>
      </c>
      <c r="AE1262" s="417" t="s">
        <v>8055</v>
      </c>
      <c r="AF1262" s="416" t="s">
        <v>8056</v>
      </c>
    </row>
    <row r="1263" spans="1:32">
      <c r="A1263" s="1" t="s">
        <v>2115</v>
      </c>
      <c r="B1263" s="416" t="s">
        <v>8057</v>
      </c>
      <c r="AE1263" s="417" t="s">
        <v>8058</v>
      </c>
      <c r="AF1263" s="416" t="s">
        <v>8059</v>
      </c>
    </row>
    <row r="1264" spans="1:32">
      <c r="A1264" s="1" t="s">
        <v>2115</v>
      </c>
      <c r="B1264" s="416" t="s">
        <v>8060</v>
      </c>
      <c r="AE1264" s="417" t="s">
        <v>8061</v>
      </c>
      <c r="AF1264" s="416" t="s">
        <v>8062</v>
      </c>
    </row>
    <row r="1265" spans="1:32">
      <c r="A1265" s="1" t="s">
        <v>2115</v>
      </c>
      <c r="B1265" s="416" t="s">
        <v>8063</v>
      </c>
      <c r="AE1265" s="417" t="s">
        <v>8064</v>
      </c>
      <c r="AF1265" s="416" t="s">
        <v>8065</v>
      </c>
    </row>
    <row r="1266" spans="1:32">
      <c r="A1266" s="1" t="s">
        <v>2115</v>
      </c>
      <c r="B1266" s="416" t="s">
        <v>8066</v>
      </c>
      <c r="AE1266" s="417" t="s">
        <v>8067</v>
      </c>
      <c r="AF1266" s="416" t="s">
        <v>8068</v>
      </c>
    </row>
    <row r="1267" spans="1:32">
      <c r="A1267" s="1" t="s">
        <v>2115</v>
      </c>
      <c r="B1267" s="416" t="s">
        <v>8069</v>
      </c>
      <c r="AE1267" s="417" t="s">
        <v>8070</v>
      </c>
      <c r="AF1267" s="416" t="s">
        <v>8071</v>
      </c>
    </row>
    <row r="1268" spans="1:32">
      <c r="A1268" s="1" t="s">
        <v>2115</v>
      </c>
      <c r="B1268" s="416" t="s">
        <v>8072</v>
      </c>
      <c r="AE1268" s="417" t="s">
        <v>8073</v>
      </c>
      <c r="AF1268" s="416" t="s">
        <v>8074</v>
      </c>
    </row>
    <row r="1269" spans="1:32">
      <c r="A1269" s="1" t="s">
        <v>2115</v>
      </c>
      <c r="B1269" s="416" t="s">
        <v>8075</v>
      </c>
      <c r="AE1269" s="417" t="s">
        <v>8076</v>
      </c>
      <c r="AF1269" s="416" t="s">
        <v>8077</v>
      </c>
    </row>
    <row r="1270" spans="1:32">
      <c r="A1270" s="1" t="s">
        <v>2115</v>
      </c>
      <c r="B1270" s="416" t="s">
        <v>8078</v>
      </c>
      <c r="AE1270" s="417" t="s">
        <v>8079</v>
      </c>
      <c r="AF1270" s="416" t="s">
        <v>8080</v>
      </c>
    </row>
    <row r="1271" spans="1:32">
      <c r="A1271" s="1" t="s">
        <v>2115</v>
      </c>
      <c r="B1271" s="416" t="s">
        <v>8081</v>
      </c>
      <c r="AE1271" s="417" t="s">
        <v>8082</v>
      </c>
      <c r="AF1271" s="416" t="s">
        <v>8083</v>
      </c>
    </row>
    <row r="1272" spans="1:32">
      <c r="A1272" s="1" t="s">
        <v>2115</v>
      </c>
      <c r="B1272" s="416" t="s">
        <v>8084</v>
      </c>
      <c r="AE1272" s="417" t="s">
        <v>8085</v>
      </c>
      <c r="AF1272" s="416" t="s">
        <v>8086</v>
      </c>
    </row>
    <row r="1273" spans="1:32">
      <c r="A1273" s="1" t="s">
        <v>2127</v>
      </c>
      <c r="B1273" s="416" t="s">
        <v>8087</v>
      </c>
      <c r="AE1273" s="417" t="s">
        <v>8088</v>
      </c>
      <c r="AF1273" s="416" t="s">
        <v>8089</v>
      </c>
    </row>
    <row r="1274" spans="1:32">
      <c r="A1274" s="1" t="s">
        <v>2127</v>
      </c>
      <c r="B1274" s="416" t="s">
        <v>8090</v>
      </c>
      <c r="AE1274" s="417" t="s">
        <v>8091</v>
      </c>
      <c r="AF1274" s="416" t="s">
        <v>8092</v>
      </c>
    </row>
    <row r="1275" spans="1:32">
      <c r="A1275" s="1" t="s">
        <v>2127</v>
      </c>
      <c r="B1275" s="416" t="s">
        <v>8093</v>
      </c>
      <c r="AE1275" s="417" t="s">
        <v>8094</v>
      </c>
      <c r="AF1275" s="416" t="s">
        <v>8095</v>
      </c>
    </row>
    <row r="1276" spans="1:32">
      <c r="A1276" s="1" t="s">
        <v>2127</v>
      </c>
      <c r="B1276" s="416" t="s">
        <v>8096</v>
      </c>
      <c r="AE1276" s="417" t="s">
        <v>8097</v>
      </c>
      <c r="AF1276" s="416" t="s">
        <v>8098</v>
      </c>
    </row>
    <row r="1277" spans="1:32">
      <c r="A1277" s="1" t="s">
        <v>2127</v>
      </c>
      <c r="B1277" s="416" t="s">
        <v>8099</v>
      </c>
      <c r="AE1277" s="417" t="s">
        <v>8100</v>
      </c>
      <c r="AF1277" s="416" t="s">
        <v>8101</v>
      </c>
    </row>
    <row r="1278" spans="1:32">
      <c r="A1278" s="1" t="s">
        <v>2127</v>
      </c>
      <c r="B1278" s="416" t="s">
        <v>8102</v>
      </c>
      <c r="AE1278" s="417" t="s">
        <v>8103</v>
      </c>
      <c r="AF1278" s="416" t="s">
        <v>8104</v>
      </c>
    </row>
    <row r="1279" spans="1:32">
      <c r="A1279" s="1" t="s">
        <v>2127</v>
      </c>
      <c r="B1279" s="416" t="s">
        <v>8105</v>
      </c>
      <c r="AE1279" s="417" t="s">
        <v>8106</v>
      </c>
      <c r="AF1279" s="416" t="s">
        <v>8107</v>
      </c>
    </row>
    <row r="1280" spans="1:32">
      <c r="A1280" s="1" t="s">
        <v>2127</v>
      </c>
      <c r="B1280" s="416" t="s">
        <v>8108</v>
      </c>
      <c r="AE1280" s="417" t="s">
        <v>8109</v>
      </c>
      <c r="AF1280" s="416" t="s">
        <v>8110</v>
      </c>
    </row>
    <row r="1281" spans="1:32">
      <c r="A1281" s="1" t="s">
        <v>2127</v>
      </c>
      <c r="B1281" s="416" t="s">
        <v>8111</v>
      </c>
      <c r="AE1281" s="417" t="s">
        <v>8112</v>
      </c>
      <c r="AF1281" s="416" t="s">
        <v>8113</v>
      </c>
    </row>
    <row r="1282" spans="1:32">
      <c r="A1282" s="1" t="s">
        <v>2140</v>
      </c>
      <c r="B1282" s="416" t="s">
        <v>8114</v>
      </c>
      <c r="AE1282" s="417" t="s">
        <v>8115</v>
      </c>
      <c r="AF1282" s="416" t="s">
        <v>8116</v>
      </c>
    </row>
    <row r="1283" spans="1:32">
      <c r="A1283" s="1" t="s">
        <v>2140</v>
      </c>
      <c r="B1283" s="416" t="s">
        <v>8117</v>
      </c>
      <c r="AE1283" s="417" t="s">
        <v>8118</v>
      </c>
      <c r="AF1283" s="416" t="s">
        <v>8119</v>
      </c>
    </row>
    <row r="1284" spans="1:32">
      <c r="A1284" s="1" t="s">
        <v>2140</v>
      </c>
      <c r="B1284" s="416" t="s">
        <v>7132</v>
      </c>
      <c r="AE1284" s="417" t="s">
        <v>8120</v>
      </c>
      <c r="AF1284" s="416" t="s">
        <v>8121</v>
      </c>
    </row>
    <row r="1285" spans="1:32">
      <c r="A1285" s="1" t="s">
        <v>2140</v>
      </c>
      <c r="B1285" s="416" t="s">
        <v>8122</v>
      </c>
      <c r="AE1285" s="417" t="s">
        <v>8123</v>
      </c>
      <c r="AF1285" s="416" t="s">
        <v>8124</v>
      </c>
    </row>
    <row r="1286" spans="1:32">
      <c r="A1286" s="1" t="s">
        <v>2140</v>
      </c>
      <c r="B1286" s="416" t="s">
        <v>8125</v>
      </c>
      <c r="AE1286" s="417" t="s">
        <v>8126</v>
      </c>
      <c r="AF1286" s="416" t="s">
        <v>8127</v>
      </c>
    </row>
    <row r="1287" spans="1:32">
      <c r="A1287" s="1" t="s">
        <v>2140</v>
      </c>
      <c r="B1287" s="416" t="s">
        <v>8128</v>
      </c>
      <c r="AE1287" s="417" t="s">
        <v>8129</v>
      </c>
      <c r="AF1287" s="416" t="s">
        <v>8130</v>
      </c>
    </row>
    <row r="1288" spans="1:32">
      <c r="A1288" s="1" t="s">
        <v>2140</v>
      </c>
      <c r="B1288" s="416" t="s">
        <v>8131</v>
      </c>
      <c r="AE1288" s="417" t="s">
        <v>8132</v>
      </c>
      <c r="AF1288" s="416" t="s">
        <v>8133</v>
      </c>
    </row>
    <row r="1289" spans="1:32">
      <c r="A1289" s="1" t="s">
        <v>2140</v>
      </c>
      <c r="B1289" s="416" t="s">
        <v>8134</v>
      </c>
      <c r="AE1289" s="417" t="s">
        <v>8135</v>
      </c>
      <c r="AF1289" s="416" t="s">
        <v>8136</v>
      </c>
    </row>
    <row r="1290" spans="1:32">
      <c r="A1290" s="1" t="s">
        <v>2140</v>
      </c>
      <c r="B1290" s="416" t="s">
        <v>8137</v>
      </c>
      <c r="AE1290" s="417" t="s">
        <v>8138</v>
      </c>
      <c r="AF1290" s="416" t="s">
        <v>8139</v>
      </c>
    </row>
    <row r="1291" spans="1:32">
      <c r="A1291" s="1" t="s">
        <v>2140</v>
      </c>
      <c r="B1291" s="416" t="s">
        <v>8140</v>
      </c>
      <c r="AE1291" s="417" t="s">
        <v>8141</v>
      </c>
      <c r="AF1291" s="416" t="s">
        <v>8142</v>
      </c>
    </row>
    <row r="1292" spans="1:32">
      <c r="A1292" s="1" t="s">
        <v>2140</v>
      </c>
      <c r="B1292" s="416" t="s">
        <v>8143</v>
      </c>
      <c r="AE1292" s="417" t="s">
        <v>8144</v>
      </c>
      <c r="AF1292" s="416" t="s">
        <v>8145</v>
      </c>
    </row>
    <row r="1293" spans="1:32">
      <c r="A1293" s="1" t="s">
        <v>2140</v>
      </c>
      <c r="B1293" s="416" t="s">
        <v>8146</v>
      </c>
      <c r="AE1293" s="417" t="s">
        <v>8147</v>
      </c>
      <c r="AF1293" s="416" t="s">
        <v>8148</v>
      </c>
    </row>
    <row r="1294" spans="1:32">
      <c r="A1294" s="1" t="s">
        <v>2140</v>
      </c>
      <c r="B1294" s="416" t="s">
        <v>8149</v>
      </c>
      <c r="AE1294" s="417" t="s">
        <v>8150</v>
      </c>
      <c r="AF1294" s="416" t="s">
        <v>8151</v>
      </c>
    </row>
    <row r="1295" spans="1:32">
      <c r="A1295" s="1" t="s">
        <v>2140</v>
      </c>
      <c r="B1295" s="416" t="s">
        <v>8152</v>
      </c>
      <c r="AE1295" s="417" t="s">
        <v>8153</v>
      </c>
      <c r="AF1295" s="416" t="s">
        <v>8154</v>
      </c>
    </row>
    <row r="1296" spans="1:32">
      <c r="A1296" s="1" t="s">
        <v>2140</v>
      </c>
      <c r="B1296" s="416" t="s">
        <v>8155</v>
      </c>
      <c r="AE1296" s="417" t="s">
        <v>8156</v>
      </c>
      <c r="AF1296" s="416" t="s">
        <v>8157</v>
      </c>
    </row>
    <row r="1297" spans="1:32">
      <c r="A1297" s="1" t="s">
        <v>2153</v>
      </c>
      <c r="B1297" s="416" t="s">
        <v>8158</v>
      </c>
      <c r="AE1297" s="417" t="s">
        <v>8159</v>
      </c>
      <c r="AF1297" s="416" t="s">
        <v>8160</v>
      </c>
    </row>
    <row r="1298" spans="1:32">
      <c r="A1298" s="1" t="s">
        <v>2153</v>
      </c>
      <c r="B1298" s="416" t="s">
        <v>8161</v>
      </c>
      <c r="AE1298" s="417" t="s">
        <v>8162</v>
      </c>
      <c r="AF1298" s="416" t="s">
        <v>8163</v>
      </c>
    </row>
    <row r="1299" spans="1:32">
      <c r="A1299" s="1" t="s">
        <v>2153</v>
      </c>
      <c r="B1299" s="416" t="s">
        <v>8164</v>
      </c>
      <c r="AE1299" s="417" t="s">
        <v>8165</v>
      </c>
      <c r="AF1299" s="416" t="s">
        <v>8166</v>
      </c>
    </row>
    <row r="1300" spans="1:32">
      <c r="A1300" s="1" t="s">
        <v>2153</v>
      </c>
      <c r="B1300" s="416" t="s">
        <v>8167</v>
      </c>
      <c r="AE1300" s="417" t="s">
        <v>8168</v>
      </c>
      <c r="AF1300" s="416" t="s">
        <v>8169</v>
      </c>
    </row>
    <row r="1301" spans="1:32">
      <c r="A1301" s="1" t="s">
        <v>2153</v>
      </c>
      <c r="B1301" s="416" t="s">
        <v>8170</v>
      </c>
      <c r="AE1301" s="417" t="s">
        <v>8171</v>
      </c>
      <c r="AF1301" s="416" t="s">
        <v>8172</v>
      </c>
    </row>
    <row r="1302" spans="1:32">
      <c r="A1302" s="1" t="s">
        <v>2153</v>
      </c>
      <c r="B1302" s="416" t="s">
        <v>8173</v>
      </c>
      <c r="AE1302" s="417" t="s">
        <v>8174</v>
      </c>
      <c r="AF1302" s="416" t="s">
        <v>8175</v>
      </c>
    </row>
    <row r="1303" spans="1:32">
      <c r="A1303" s="1" t="s">
        <v>2153</v>
      </c>
      <c r="B1303" s="416" t="s">
        <v>8176</v>
      </c>
      <c r="AE1303" s="417" t="s">
        <v>8177</v>
      </c>
      <c r="AF1303" s="416" t="s">
        <v>8178</v>
      </c>
    </row>
    <row r="1304" spans="1:32">
      <c r="A1304" s="1" t="s">
        <v>2153</v>
      </c>
      <c r="B1304" s="416" t="s">
        <v>8179</v>
      </c>
      <c r="AE1304" s="417" t="s">
        <v>8180</v>
      </c>
      <c r="AF1304" s="416" t="s">
        <v>8181</v>
      </c>
    </row>
    <row r="1305" spans="1:32">
      <c r="A1305" s="1" t="s">
        <v>2153</v>
      </c>
      <c r="B1305" s="416" t="s">
        <v>8182</v>
      </c>
      <c r="AE1305" s="417" t="s">
        <v>8183</v>
      </c>
      <c r="AF1305" s="416" t="s">
        <v>8184</v>
      </c>
    </row>
    <row r="1306" spans="1:32">
      <c r="A1306" s="1" t="s">
        <v>2153</v>
      </c>
      <c r="B1306" s="416" t="s">
        <v>8185</v>
      </c>
      <c r="AE1306" s="417" t="s">
        <v>8186</v>
      </c>
      <c r="AF1306" s="416" t="s">
        <v>8187</v>
      </c>
    </row>
    <row r="1307" spans="1:32">
      <c r="A1307" s="1" t="s">
        <v>2165</v>
      </c>
      <c r="B1307" s="416" t="s">
        <v>8188</v>
      </c>
      <c r="AE1307" s="417" t="s">
        <v>8189</v>
      </c>
      <c r="AF1307" s="416" t="s">
        <v>8190</v>
      </c>
    </row>
    <row r="1308" spans="1:32">
      <c r="A1308" s="1" t="s">
        <v>2165</v>
      </c>
      <c r="B1308" s="416" t="s">
        <v>8191</v>
      </c>
      <c r="AE1308" s="417" t="s">
        <v>8192</v>
      </c>
      <c r="AF1308" s="416" t="s">
        <v>8193</v>
      </c>
    </row>
    <row r="1309" spans="1:32">
      <c r="A1309" s="1" t="s">
        <v>2165</v>
      </c>
      <c r="B1309" s="416" t="s">
        <v>8194</v>
      </c>
      <c r="AE1309" s="417" t="s">
        <v>8195</v>
      </c>
      <c r="AF1309" s="416" t="s">
        <v>8196</v>
      </c>
    </row>
    <row r="1310" spans="1:32">
      <c r="A1310" s="1" t="s">
        <v>2165</v>
      </c>
      <c r="B1310" s="416" t="s">
        <v>8197</v>
      </c>
      <c r="AE1310" s="417" t="s">
        <v>8198</v>
      </c>
      <c r="AF1310" s="416" t="s">
        <v>8199</v>
      </c>
    </row>
    <row r="1311" spans="1:32">
      <c r="A1311" s="1" t="s">
        <v>2165</v>
      </c>
      <c r="B1311" s="416" t="s">
        <v>8200</v>
      </c>
      <c r="AE1311" s="417" t="s">
        <v>8201</v>
      </c>
      <c r="AF1311" s="416" t="s">
        <v>8202</v>
      </c>
    </row>
    <row r="1312" spans="1:32">
      <c r="A1312" s="1" t="s">
        <v>2165</v>
      </c>
      <c r="B1312" s="416" t="s">
        <v>7352</v>
      </c>
      <c r="AE1312" s="417" t="s">
        <v>8203</v>
      </c>
      <c r="AF1312" s="416" t="s">
        <v>8204</v>
      </c>
    </row>
    <row r="1313" spans="1:32">
      <c r="A1313" s="1" t="s">
        <v>2165</v>
      </c>
      <c r="B1313" s="416" t="s">
        <v>8205</v>
      </c>
      <c r="AE1313" s="417" t="s">
        <v>8206</v>
      </c>
      <c r="AF1313" s="416" t="s">
        <v>8207</v>
      </c>
    </row>
    <row r="1314" spans="1:32">
      <c r="A1314" s="1" t="s">
        <v>2165</v>
      </c>
      <c r="B1314" s="416" t="s">
        <v>8208</v>
      </c>
      <c r="AE1314" s="417" t="s">
        <v>8209</v>
      </c>
      <c r="AF1314" s="416" t="s">
        <v>8210</v>
      </c>
    </row>
    <row r="1315" spans="1:32">
      <c r="A1315" s="1" t="s">
        <v>2177</v>
      </c>
      <c r="B1315" s="416" t="s">
        <v>7481</v>
      </c>
      <c r="AE1315" s="417" t="s">
        <v>8211</v>
      </c>
      <c r="AF1315" s="416" t="s">
        <v>8212</v>
      </c>
    </row>
    <row r="1316" spans="1:32">
      <c r="A1316" s="1" t="s">
        <v>2177</v>
      </c>
      <c r="B1316" s="416" t="s">
        <v>8213</v>
      </c>
      <c r="AE1316" s="417" t="s">
        <v>8214</v>
      </c>
      <c r="AF1316" s="416" t="s">
        <v>8215</v>
      </c>
    </row>
    <row r="1317" spans="1:32">
      <c r="A1317" s="1" t="s">
        <v>2177</v>
      </c>
      <c r="B1317" s="416" t="s">
        <v>8216</v>
      </c>
      <c r="AE1317" s="417" t="s">
        <v>8217</v>
      </c>
      <c r="AF1317" s="416" t="s">
        <v>8218</v>
      </c>
    </row>
    <row r="1318" spans="1:32">
      <c r="A1318" s="1" t="s">
        <v>2177</v>
      </c>
      <c r="B1318" s="416" t="s">
        <v>8219</v>
      </c>
      <c r="AE1318" s="417" t="s">
        <v>8220</v>
      </c>
      <c r="AF1318" s="416" t="s">
        <v>8221</v>
      </c>
    </row>
    <row r="1319" spans="1:32">
      <c r="A1319" s="1" t="s">
        <v>2177</v>
      </c>
      <c r="B1319" s="416" t="s">
        <v>8222</v>
      </c>
      <c r="AE1319" s="417" t="s">
        <v>8223</v>
      </c>
      <c r="AF1319" s="416" t="s">
        <v>8224</v>
      </c>
    </row>
    <row r="1320" spans="1:32">
      <c r="A1320" s="1" t="s">
        <v>2177</v>
      </c>
      <c r="B1320" s="416" t="s">
        <v>8225</v>
      </c>
      <c r="AE1320" s="417" t="s">
        <v>8226</v>
      </c>
      <c r="AF1320" s="416" t="s">
        <v>8227</v>
      </c>
    </row>
    <row r="1321" spans="1:32">
      <c r="A1321" s="1" t="s">
        <v>2177</v>
      </c>
      <c r="B1321" s="416" t="s">
        <v>8228</v>
      </c>
      <c r="AE1321" s="417" t="s">
        <v>8229</v>
      </c>
      <c r="AF1321" s="416" t="s">
        <v>8230</v>
      </c>
    </row>
    <row r="1322" spans="1:32">
      <c r="A1322" s="1" t="s">
        <v>2177</v>
      </c>
      <c r="B1322" s="416" t="s">
        <v>8231</v>
      </c>
      <c r="AE1322" s="417" t="s">
        <v>8232</v>
      </c>
      <c r="AF1322" s="416" t="s">
        <v>8233</v>
      </c>
    </row>
    <row r="1323" spans="1:32">
      <c r="A1323" s="1" t="s">
        <v>2177</v>
      </c>
      <c r="B1323" s="416" t="s">
        <v>8234</v>
      </c>
      <c r="AE1323" s="417" t="s">
        <v>8235</v>
      </c>
      <c r="AF1323" s="416" t="s">
        <v>8236</v>
      </c>
    </row>
    <row r="1324" spans="1:32">
      <c r="A1324" s="1" t="s">
        <v>2177</v>
      </c>
      <c r="B1324" s="416" t="s">
        <v>8237</v>
      </c>
      <c r="AE1324" s="417" t="s">
        <v>8238</v>
      </c>
      <c r="AF1324" s="416" t="s">
        <v>8239</v>
      </c>
    </row>
    <row r="1325" spans="1:32">
      <c r="A1325" s="1" t="s">
        <v>2177</v>
      </c>
      <c r="B1325" s="416" t="s">
        <v>8240</v>
      </c>
      <c r="AE1325" s="417" t="s">
        <v>8241</v>
      </c>
      <c r="AF1325" s="416" t="s">
        <v>8242</v>
      </c>
    </row>
    <row r="1326" spans="1:32">
      <c r="A1326" s="1" t="s">
        <v>2177</v>
      </c>
      <c r="B1326" s="416" t="s">
        <v>8243</v>
      </c>
      <c r="AE1326" s="417" t="s">
        <v>8244</v>
      </c>
      <c r="AF1326" s="416" t="s">
        <v>8245</v>
      </c>
    </row>
    <row r="1327" spans="1:32">
      <c r="A1327" s="1" t="s">
        <v>2189</v>
      </c>
      <c r="B1327" s="416" t="s">
        <v>8246</v>
      </c>
      <c r="AE1327" s="417" t="s">
        <v>8247</v>
      </c>
      <c r="AF1327" s="416" t="s">
        <v>8248</v>
      </c>
    </row>
    <row r="1328" spans="1:32">
      <c r="A1328" s="1" t="s">
        <v>2189</v>
      </c>
      <c r="B1328" s="416" t="s">
        <v>8249</v>
      </c>
      <c r="AE1328" s="417" t="s">
        <v>8250</v>
      </c>
      <c r="AF1328" s="416" t="s">
        <v>8251</v>
      </c>
    </row>
    <row r="1329" spans="1:32">
      <c r="A1329" s="1" t="s">
        <v>2189</v>
      </c>
      <c r="B1329" s="416" t="s">
        <v>8252</v>
      </c>
      <c r="AE1329" s="417" t="s">
        <v>8253</v>
      </c>
      <c r="AF1329" s="416" t="s">
        <v>8254</v>
      </c>
    </row>
    <row r="1330" spans="1:32">
      <c r="A1330" s="1" t="s">
        <v>2189</v>
      </c>
      <c r="B1330" s="416" t="s">
        <v>8255</v>
      </c>
      <c r="AE1330" s="417" t="s">
        <v>8256</v>
      </c>
      <c r="AF1330" s="416" t="s">
        <v>8257</v>
      </c>
    </row>
    <row r="1331" spans="1:32">
      <c r="A1331" s="1" t="s">
        <v>2189</v>
      </c>
      <c r="B1331" s="416" t="s">
        <v>8258</v>
      </c>
      <c r="AE1331" s="417" t="s">
        <v>8259</v>
      </c>
      <c r="AF1331" s="416" t="s">
        <v>8260</v>
      </c>
    </row>
    <row r="1332" spans="1:32">
      <c r="A1332" s="1" t="s">
        <v>2189</v>
      </c>
      <c r="B1332" s="416" t="s">
        <v>8261</v>
      </c>
      <c r="AE1332" s="417" t="s">
        <v>8262</v>
      </c>
      <c r="AF1332" s="416" t="s">
        <v>8263</v>
      </c>
    </row>
    <row r="1333" spans="1:32">
      <c r="A1333" s="1" t="s">
        <v>2189</v>
      </c>
      <c r="B1333" s="416" t="s">
        <v>8264</v>
      </c>
      <c r="AE1333" s="417" t="s">
        <v>8265</v>
      </c>
      <c r="AF1333" s="416" t="s">
        <v>8266</v>
      </c>
    </row>
    <row r="1334" spans="1:32">
      <c r="A1334" s="1" t="s">
        <v>2189</v>
      </c>
      <c r="B1334" s="416" t="s">
        <v>8267</v>
      </c>
      <c r="AE1334" s="417" t="s">
        <v>8268</v>
      </c>
      <c r="AF1334" s="416" t="s">
        <v>8269</v>
      </c>
    </row>
    <row r="1335" spans="1:32">
      <c r="A1335" s="1" t="s">
        <v>2189</v>
      </c>
      <c r="B1335" s="416" t="s">
        <v>8270</v>
      </c>
      <c r="AE1335" s="417" t="s">
        <v>8271</v>
      </c>
      <c r="AF1335" s="416" t="s">
        <v>8272</v>
      </c>
    </row>
    <row r="1336" spans="1:32">
      <c r="A1336" s="1" t="s">
        <v>2189</v>
      </c>
      <c r="B1336" s="416" t="s">
        <v>8273</v>
      </c>
      <c r="AE1336" s="417" t="s">
        <v>8274</v>
      </c>
      <c r="AF1336" s="416" t="s">
        <v>8275</v>
      </c>
    </row>
    <row r="1337" spans="1:32">
      <c r="A1337" s="1" t="s">
        <v>2189</v>
      </c>
      <c r="B1337" s="416" t="s">
        <v>8276</v>
      </c>
      <c r="AE1337" s="417" t="s">
        <v>8277</v>
      </c>
      <c r="AF1337" s="416" t="s">
        <v>8278</v>
      </c>
    </row>
    <row r="1338" spans="1:32">
      <c r="A1338" s="1" t="s">
        <v>2201</v>
      </c>
      <c r="B1338" s="416" t="s">
        <v>8279</v>
      </c>
      <c r="AE1338" s="417" t="s">
        <v>8280</v>
      </c>
      <c r="AF1338" s="416" t="s">
        <v>8281</v>
      </c>
    </row>
    <row r="1339" spans="1:32">
      <c r="A1339" s="1" t="s">
        <v>2201</v>
      </c>
      <c r="B1339" s="416" t="s">
        <v>8282</v>
      </c>
      <c r="AE1339" s="417" t="s">
        <v>8283</v>
      </c>
      <c r="AF1339" s="416" t="s">
        <v>8284</v>
      </c>
    </row>
    <row r="1340" spans="1:32">
      <c r="A1340" s="1" t="s">
        <v>2201</v>
      </c>
      <c r="B1340" s="416" t="s">
        <v>8285</v>
      </c>
      <c r="AE1340" s="417" t="s">
        <v>8286</v>
      </c>
      <c r="AF1340" s="416" t="s">
        <v>8287</v>
      </c>
    </row>
    <row r="1341" spans="1:32">
      <c r="A1341" s="1" t="s">
        <v>2201</v>
      </c>
      <c r="B1341" s="416" t="s">
        <v>8288</v>
      </c>
      <c r="AE1341" s="417" t="s">
        <v>8289</v>
      </c>
      <c r="AF1341" s="416" t="s">
        <v>8290</v>
      </c>
    </row>
    <row r="1342" spans="1:32">
      <c r="A1342" s="1" t="s">
        <v>2201</v>
      </c>
      <c r="B1342" s="416" t="s">
        <v>8291</v>
      </c>
      <c r="AE1342" s="417" t="s">
        <v>8292</v>
      </c>
      <c r="AF1342" s="416" t="s">
        <v>8293</v>
      </c>
    </row>
    <row r="1343" spans="1:32">
      <c r="A1343" s="1" t="s">
        <v>2201</v>
      </c>
      <c r="B1343" s="416" t="s">
        <v>8294</v>
      </c>
      <c r="AE1343" s="417" t="s">
        <v>8295</v>
      </c>
      <c r="AF1343" s="416" t="s">
        <v>8296</v>
      </c>
    </row>
    <row r="1344" spans="1:32">
      <c r="A1344" s="1" t="s">
        <v>2201</v>
      </c>
      <c r="B1344" s="416" t="s">
        <v>8297</v>
      </c>
      <c r="AE1344" s="417" t="s">
        <v>8298</v>
      </c>
      <c r="AF1344" s="416" t="s">
        <v>8299</v>
      </c>
    </row>
    <row r="1345" spans="1:32">
      <c r="A1345" s="1" t="s">
        <v>2201</v>
      </c>
      <c r="B1345" s="416" t="s">
        <v>8300</v>
      </c>
      <c r="AE1345" s="417" t="s">
        <v>8301</v>
      </c>
      <c r="AF1345" s="416" t="s">
        <v>8302</v>
      </c>
    </row>
    <row r="1346" spans="1:32">
      <c r="A1346" s="1" t="s">
        <v>2201</v>
      </c>
      <c r="B1346" s="416" t="s">
        <v>8303</v>
      </c>
      <c r="AE1346" s="417" t="s">
        <v>8304</v>
      </c>
      <c r="AF1346" s="416" t="s">
        <v>8305</v>
      </c>
    </row>
    <row r="1347" spans="1:32">
      <c r="A1347" s="1" t="s">
        <v>2213</v>
      </c>
      <c r="B1347" s="416" t="s">
        <v>8306</v>
      </c>
      <c r="AE1347" s="417" t="s">
        <v>8307</v>
      </c>
      <c r="AF1347" s="416" t="s">
        <v>8308</v>
      </c>
    </row>
    <row r="1348" spans="1:32">
      <c r="A1348" s="1" t="s">
        <v>2213</v>
      </c>
      <c r="B1348" s="416" t="s">
        <v>8309</v>
      </c>
      <c r="AE1348" s="417" t="s">
        <v>8310</v>
      </c>
      <c r="AF1348" s="416" t="s">
        <v>8311</v>
      </c>
    </row>
    <row r="1349" spans="1:32">
      <c r="A1349" s="1" t="s">
        <v>2213</v>
      </c>
      <c r="B1349" s="416" t="s">
        <v>8312</v>
      </c>
      <c r="AE1349" s="417" t="s">
        <v>8313</v>
      </c>
      <c r="AF1349" s="416" t="s">
        <v>8314</v>
      </c>
    </row>
    <row r="1350" spans="1:32">
      <c r="A1350" s="1" t="s">
        <v>2213</v>
      </c>
      <c r="B1350" s="416" t="s">
        <v>7132</v>
      </c>
      <c r="AE1350" s="417" t="s">
        <v>8315</v>
      </c>
      <c r="AF1350" s="416" t="s">
        <v>8316</v>
      </c>
    </row>
    <row r="1351" spans="1:32">
      <c r="A1351" s="1" t="s">
        <v>2213</v>
      </c>
      <c r="B1351" s="416" t="s">
        <v>8317</v>
      </c>
      <c r="AE1351" s="417" t="s">
        <v>8318</v>
      </c>
      <c r="AF1351" s="416" t="s">
        <v>8319</v>
      </c>
    </row>
    <row r="1352" spans="1:32">
      <c r="A1352" s="1" t="s">
        <v>2213</v>
      </c>
      <c r="B1352" s="416" t="s">
        <v>8320</v>
      </c>
      <c r="AE1352" s="417" t="s">
        <v>8321</v>
      </c>
      <c r="AF1352" s="416" t="s">
        <v>8322</v>
      </c>
    </row>
    <row r="1353" spans="1:32">
      <c r="A1353" s="1" t="s">
        <v>2213</v>
      </c>
      <c r="B1353" s="416" t="s">
        <v>8323</v>
      </c>
      <c r="AE1353" s="417" t="s">
        <v>8324</v>
      </c>
      <c r="AF1353" s="416" t="s">
        <v>8325</v>
      </c>
    </row>
    <row r="1354" spans="1:32">
      <c r="A1354" s="1" t="s">
        <v>2213</v>
      </c>
      <c r="B1354" s="416" t="s">
        <v>8326</v>
      </c>
      <c r="AE1354" s="417" t="s">
        <v>8327</v>
      </c>
      <c r="AF1354" s="416" t="s">
        <v>8328</v>
      </c>
    </row>
    <row r="1355" spans="1:32">
      <c r="A1355" s="1" t="s">
        <v>2213</v>
      </c>
      <c r="B1355" s="416" t="s">
        <v>8329</v>
      </c>
      <c r="AE1355" s="417" t="s">
        <v>8330</v>
      </c>
      <c r="AF1355" s="416" t="s">
        <v>8331</v>
      </c>
    </row>
    <row r="1356" spans="1:32">
      <c r="A1356" s="1" t="s">
        <v>2213</v>
      </c>
      <c r="B1356" s="416" t="s">
        <v>8332</v>
      </c>
      <c r="AE1356" s="417" t="s">
        <v>8333</v>
      </c>
      <c r="AF1356" s="416" t="s">
        <v>8334</v>
      </c>
    </row>
    <row r="1357" spans="1:32">
      <c r="A1357" s="1" t="s">
        <v>2213</v>
      </c>
      <c r="B1357" s="416" t="s">
        <v>8335</v>
      </c>
      <c r="AE1357" s="417" t="s">
        <v>8336</v>
      </c>
      <c r="AF1357" s="416" t="s">
        <v>8337</v>
      </c>
    </row>
    <row r="1358" spans="1:32">
      <c r="A1358" s="1" t="s">
        <v>2213</v>
      </c>
      <c r="B1358" s="416" t="s">
        <v>8338</v>
      </c>
      <c r="AE1358" s="417" t="s">
        <v>8339</v>
      </c>
      <c r="AF1358" s="416" t="s">
        <v>8340</v>
      </c>
    </row>
    <row r="1359" spans="1:32">
      <c r="A1359" s="1" t="s">
        <v>2213</v>
      </c>
      <c r="B1359" s="416" t="s">
        <v>8341</v>
      </c>
      <c r="AE1359" s="417" t="s">
        <v>8342</v>
      </c>
      <c r="AF1359" s="416" t="s">
        <v>8343</v>
      </c>
    </row>
    <row r="1360" spans="1:32">
      <c r="A1360" s="1" t="s">
        <v>2213</v>
      </c>
      <c r="B1360" s="416" t="s">
        <v>8344</v>
      </c>
      <c r="AE1360" s="417" t="s">
        <v>8345</v>
      </c>
      <c r="AF1360" s="416" t="s">
        <v>8346</v>
      </c>
    </row>
    <row r="1361" spans="1:32">
      <c r="A1361" s="1" t="s">
        <v>2213</v>
      </c>
      <c r="B1361" s="416" t="s">
        <v>8347</v>
      </c>
      <c r="AE1361" s="417" t="s">
        <v>8348</v>
      </c>
      <c r="AF1361" s="416" t="s">
        <v>8349</v>
      </c>
    </row>
    <row r="1362" spans="1:32">
      <c r="A1362" s="1" t="s">
        <v>2225</v>
      </c>
      <c r="B1362" s="416" t="s">
        <v>8350</v>
      </c>
      <c r="AE1362" s="417" t="s">
        <v>8351</v>
      </c>
      <c r="AF1362" s="416" t="s">
        <v>8352</v>
      </c>
    </row>
    <row r="1363" spans="1:32">
      <c r="A1363" s="1" t="s">
        <v>2225</v>
      </c>
      <c r="B1363" s="416" t="s">
        <v>8353</v>
      </c>
      <c r="AE1363" s="417" t="s">
        <v>8354</v>
      </c>
      <c r="AF1363" s="416" t="s">
        <v>8355</v>
      </c>
    </row>
    <row r="1364" spans="1:32">
      <c r="A1364" s="1" t="s">
        <v>2225</v>
      </c>
      <c r="B1364" s="416" t="s">
        <v>8356</v>
      </c>
      <c r="AE1364" s="417" t="s">
        <v>8357</v>
      </c>
      <c r="AF1364" s="416" t="s">
        <v>8358</v>
      </c>
    </row>
    <row r="1365" spans="1:32">
      <c r="A1365" s="1" t="s">
        <v>2225</v>
      </c>
      <c r="B1365" s="416" t="s">
        <v>8359</v>
      </c>
      <c r="AE1365" s="417" t="s">
        <v>8360</v>
      </c>
      <c r="AF1365" s="416" t="s">
        <v>8361</v>
      </c>
    </row>
    <row r="1366" spans="1:32">
      <c r="A1366" s="1" t="s">
        <v>2225</v>
      </c>
      <c r="B1366" s="416" t="s">
        <v>8362</v>
      </c>
      <c r="AE1366" s="417" t="s">
        <v>8363</v>
      </c>
      <c r="AF1366" s="416" t="s">
        <v>8364</v>
      </c>
    </row>
    <row r="1367" spans="1:32">
      <c r="A1367" s="1" t="s">
        <v>2225</v>
      </c>
      <c r="B1367" s="416" t="s">
        <v>8365</v>
      </c>
      <c r="AE1367" s="417" t="s">
        <v>8366</v>
      </c>
      <c r="AF1367" s="416" t="s">
        <v>8367</v>
      </c>
    </row>
    <row r="1368" spans="1:32">
      <c r="A1368" s="1" t="s">
        <v>2225</v>
      </c>
      <c r="B1368" s="416" t="s">
        <v>8368</v>
      </c>
      <c r="AE1368" s="417" t="s">
        <v>8369</v>
      </c>
      <c r="AF1368" s="416" t="s">
        <v>8370</v>
      </c>
    </row>
    <row r="1369" spans="1:32">
      <c r="A1369" s="1" t="s">
        <v>2225</v>
      </c>
      <c r="B1369" s="416" t="s">
        <v>8371</v>
      </c>
      <c r="AE1369" s="417" t="s">
        <v>8372</v>
      </c>
      <c r="AF1369" s="416" t="s">
        <v>8373</v>
      </c>
    </row>
    <row r="1370" spans="1:32">
      <c r="A1370" s="1" t="s">
        <v>2225</v>
      </c>
      <c r="B1370" s="416" t="s">
        <v>8374</v>
      </c>
      <c r="AE1370" s="417" t="s">
        <v>8375</v>
      </c>
      <c r="AF1370" s="416" t="s">
        <v>8376</v>
      </c>
    </row>
    <row r="1371" spans="1:32">
      <c r="A1371" s="1" t="s">
        <v>2225</v>
      </c>
      <c r="B1371" s="416" t="s">
        <v>8377</v>
      </c>
      <c r="AE1371" s="417" t="s">
        <v>8378</v>
      </c>
      <c r="AF1371" s="416" t="s">
        <v>8379</v>
      </c>
    </row>
    <row r="1372" spans="1:32">
      <c r="A1372" s="1" t="s">
        <v>2236</v>
      </c>
      <c r="B1372" s="416" t="s">
        <v>8380</v>
      </c>
      <c r="AE1372" s="417" t="s">
        <v>8381</v>
      </c>
      <c r="AF1372" s="416" t="s">
        <v>8382</v>
      </c>
    </row>
    <row r="1373" spans="1:32">
      <c r="A1373" s="1" t="s">
        <v>2236</v>
      </c>
      <c r="B1373" s="416" t="s">
        <v>8383</v>
      </c>
      <c r="AE1373" s="417" t="s">
        <v>8384</v>
      </c>
      <c r="AF1373" s="416" t="s">
        <v>8385</v>
      </c>
    </row>
    <row r="1374" spans="1:32">
      <c r="A1374" s="1" t="s">
        <v>2236</v>
      </c>
      <c r="B1374" s="416" t="s">
        <v>8386</v>
      </c>
      <c r="AE1374" s="417" t="s">
        <v>8387</v>
      </c>
      <c r="AF1374" s="416" t="s">
        <v>8388</v>
      </c>
    </row>
    <row r="1375" spans="1:32">
      <c r="A1375" s="1" t="s">
        <v>2236</v>
      </c>
      <c r="B1375" s="416" t="s">
        <v>8389</v>
      </c>
      <c r="AE1375" s="417" t="s">
        <v>8390</v>
      </c>
      <c r="AF1375" s="416" t="s">
        <v>8391</v>
      </c>
    </row>
    <row r="1376" spans="1:32">
      <c r="A1376" s="1" t="s">
        <v>2236</v>
      </c>
      <c r="B1376" s="416" t="s">
        <v>8392</v>
      </c>
      <c r="AE1376" s="417" t="s">
        <v>8393</v>
      </c>
      <c r="AF1376" s="416" t="s">
        <v>8394</v>
      </c>
    </row>
    <row r="1377" spans="1:32">
      <c r="A1377" s="1" t="s">
        <v>2236</v>
      </c>
      <c r="B1377" s="416" t="s">
        <v>8395</v>
      </c>
      <c r="AE1377" s="417" t="s">
        <v>8396</v>
      </c>
      <c r="AF1377" s="416" t="s">
        <v>8397</v>
      </c>
    </row>
    <row r="1378" spans="1:32">
      <c r="A1378" s="1" t="s">
        <v>2236</v>
      </c>
      <c r="B1378" s="416" t="s">
        <v>8398</v>
      </c>
      <c r="AE1378" s="417" t="s">
        <v>8399</v>
      </c>
      <c r="AF1378" s="416" t="s">
        <v>8400</v>
      </c>
    </row>
    <row r="1379" spans="1:32">
      <c r="A1379" s="1" t="s">
        <v>2236</v>
      </c>
      <c r="B1379" s="416" t="s">
        <v>8401</v>
      </c>
      <c r="AE1379" s="417" t="s">
        <v>8402</v>
      </c>
      <c r="AF1379" s="416" t="s">
        <v>8403</v>
      </c>
    </row>
    <row r="1380" spans="1:32">
      <c r="A1380" s="1" t="s">
        <v>2236</v>
      </c>
      <c r="B1380" s="416" t="s">
        <v>8404</v>
      </c>
      <c r="AE1380" s="417" t="s">
        <v>8405</v>
      </c>
      <c r="AF1380" s="416" t="s">
        <v>8406</v>
      </c>
    </row>
    <row r="1381" spans="1:32">
      <c r="A1381" s="1" t="s">
        <v>2236</v>
      </c>
      <c r="B1381" s="416" t="s">
        <v>8407</v>
      </c>
      <c r="AE1381" s="417" t="s">
        <v>8408</v>
      </c>
      <c r="AF1381" s="416" t="s">
        <v>8409</v>
      </c>
    </row>
    <row r="1382" spans="1:32">
      <c r="A1382" s="1" t="s">
        <v>2236</v>
      </c>
      <c r="B1382" s="416" t="s">
        <v>8410</v>
      </c>
      <c r="AE1382" s="417" t="s">
        <v>8411</v>
      </c>
      <c r="AF1382" s="416" t="s">
        <v>8412</v>
      </c>
    </row>
    <row r="1383" spans="1:32">
      <c r="A1383" s="1" t="s">
        <v>2236</v>
      </c>
      <c r="B1383" s="416" t="s">
        <v>8413</v>
      </c>
      <c r="AE1383" s="417" t="s">
        <v>8414</v>
      </c>
      <c r="AF1383" s="416" t="s">
        <v>8415</v>
      </c>
    </row>
    <row r="1384" spans="1:32">
      <c r="A1384" s="1" t="s">
        <v>2236</v>
      </c>
      <c r="B1384" s="416" t="s">
        <v>8416</v>
      </c>
      <c r="AE1384" s="417" t="s">
        <v>8417</v>
      </c>
      <c r="AF1384" s="416" t="s">
        <v>8418</v>
      </c>
    </row>
    <row r="1385" spans="1:32">
      <c r="A1385" s="1" t="s">
        <v>2236</v>
      </c>
      <c r="B1385" s="416" t="s">
        <v>8419</v>
      </c>
      <c r="AE1385" s="417" t="s">
        <v>8420</v>
      </c>
      <c r="AF1385" s="416" t="s">
        <v>8421</v>
      </c>
    </row>
    <row r="1386" spans="1:32">
      <c r="A1386" s="1" t="s">
        <v>2236</v>
      </c>
      <c r="B1386" s="416" t="s">
        <v>8422</v>
      </c>
      <c r="AE1386" s="417" t="s">
        <v>8423</v>
      </c>
      <c r="AF1386" s="416" t="s">
        <v>8424</v>
      </c>
    </row>
    <row r="1387" spans="1:32">
      <c r="A1387" s="1" t="s">
        <v>2236</v>
      </c>
      <c r="B1387" s="416" t="s">
        <v>8425</v>
      </c>
      <c r="AE1387" s="417" t="s">
        <v>8426</v>
      </c>
      <c r="AF1387" s="416" t="s">
        <v>8427</v>
      </c>
    </row>
    <row r="1388" spans="1:32">
      <c r="A1388" s="1" t="s">
        <v>2236</v>
      </c>
      <c r="B1388" s="416" t="s">
        <v>8428</v>
      </c>
      <c r="AE1388" s="417" t="s">
        <v>8429</v>
      </c>
      <c r="AF1388" s="416" t="s">
        <v>8430</v>
      </c>
    </row>
    <row r="1389" spans="1:32">
      <c r="A1389" s="1" t="s">
        <v>2236</v>
      </c>
      <c r="B1389" s="416" t="s">
        <v>8431</v>
      </c>
      <c r="AE1389" s="417" t="s">
        <v>8432</v>
      </c>
      <c r="AF1389" s="416" t="s">
        <v>8433</v>
      </c>
    </row>
    <row r="1390" spans="1:32">
      <c r="A1390" s="1" t="s">
        <v>2236</v>
      </c>
      <c r="B1390" s="416" t="s">
        <v>8434</v>
      </c>
      <c r="AE1390" s="417" t="s">
        <v>8435</v>
      </c>
      <c r="AF1390" s="416" t="s">
        <v>8436</v>
      </c>
    </row>
    <row r="1391" spans="1:32">
      <c r="A1391" s="1" t="s">
        <v>2236</v>
      </c>
      <c r="B1391" s="416" t="s">
        <v>8437</v>
      </c>
      <c r="AE1391" s="417" t="s">
        <v>8438</v>
      </c>
      <c r="AF1391" s="416" t="s">
        <v>8439</v>
      </c>
    </row>
    <row r="1392" spans="1:32">
      <c r="A1392" s="1" t="s">
        <v>2236</v>
      </c>
      <c r="B1392" s="416" t="s">
        <v>8440</v>
      </c>
      <c r="AE1392" s="417" t="s">
        <v>8441</v>
      </c>
      <c r="AF1392" s="416" t="s">
        <v>8442</v>
      </c>
    </row>
    <row r="1393" spans="1:32">
      <c r="A1393" s="1" t="s">
        <v>2250</v>
      </c>
      <c r="B1393" s="416" t="s">
        <v>8443</v>
      </c>
      <c r="AE1393" s="417" t="s">
        <v>8444</v>
      </c>
      <c r="AF1393" s="416" t="s">
        <v>8445</v>
      </c>
    </row>
    <row r="1394" spans="1:32">
      <c r="A1394" s="1" t="s">
        <v>2250</v>
      </c>
      <c r="B1394" s="416" t="s">
        <v>8446</v>
      </c>
      <c r="AE1394" s="417" t="s">
        <v>8447</v>
      </c>
      <c r="AF1394" s="416" t="s">
        <v>8448</v>
      </c>
    </row>
    <row r="1395" spans="1:32">
      <c r="A1395" s="1" t="s">
        <v>2250</v>
      </c>
      <c r="B1395" s="416" t="s">
        <v>8449</v>
      </c>
      <c r="AE1395" s="417" t="s">
        <v>8450</v>
      </c>
      <c r="AF1395" s="416" t="s">
        <v>8451</v>
      </c>
    </row>
    <row r="1396" spans="1:32">
      <c r="A1396" s="1" t="s">
        <v>2250</v>
      </c>
      <c r="B1396" s="416" t="s">
        <v>8452</v>
      </c>
      <c r="AE1396" s="417" t="s">
        <v>8453</v>
      </c>
      <c r="AF1396" s="416" t="s">
        <v>8454</v>
      </c>
    </row>
    <row r="1397" spans="1:32">
      <c r="A1397" s="1" t="s">
        <v>2250</v>
      </c>
      <c r="B1397" s="416" t="s">
        <v>8455</v>
      </c>
      <c r="AE1397" s="417" t="s">
        <v>8456</v>
      </c>
      <c r="AF1397" s="416" t="s">
        <v>8457</v>
      </c>
    </row>
    <row r="1398" spans="1:32">
      <c r="A1398" s="1" t="s">
        <v>2250</v>
      </c>
      <c r="B1398" s="416" t="s">
        <v>8458</v>
      </c>
      <c r="AE1398" s="417" t="s">
        <v>8459</v>
      </c>
      <c r="AF1398" s="416" t="s">
        <v>8460</v>
      </c>
    </row>
    <row r="1399" spans="1:32">
      <c r="A1399" s="1" t="s">
        <v>2250</v>
      </c>
      <c r="B1399" s="416" t="s">
        <v>8461</v>
      </c>
      <c r="AE1399" s="417" t="s">
        <v>8462</v>
      </c>
      <c r="AF1399" s="416" t="s">
        <v>8463</v>
      </c>
    </row>
    <row r="1400" spans="1:32">
      <c r="A1400" s="1" t="s">
        <v>2250</v>
      </c>
      <c r="B1400" s="416" t="s">
        <v>8464</v>
      </c>
      <c r="AE1400" s="417" t="s">
        <v>8465</v>
      </c>
      <c r="AF1400" s="416" t="s">
        <v>8466</v>
      </c>
    </row>
    <row r="1401" spans="1:32">
      <c r="A1401" s="1" t="s">
        <v>2264</v>
      </c>
      <c r="B1401" s="416" t="s">
        <v>8467</v>
      </c>
      <c r="AE1401" s="417" t="s">
        <v>8468</v>
      </c>
      <c r="AF1401" s="416" t="s">
        <v>8469</v>
      </c>
    </row>
    <row r="1402" spans="1:32">
      <c r="A1402" s="1" t="s">
        <v>2264</v>
      </c>
      <c r="B1402" s="416" t="s">
        <v>8470</v>
      </c>
      <c r="AE1402" s="417" t="s">
        <v>8471</v>
      </c>
      <c r="AF1402" s="416" t="s">
        <v>8472</v>
      </c>
    </row>
    <row r="1403" spans="1:32">
      <c r="A1403" s="1" t="s">
        <v>2264</v>
      </c>
      <c r="B1403" s="416" t="s">
        <v>8473</v>
      </c>
      <c r="AE1403" s="417" t="s">
        <v>8474</v>
      </c>
      <c r="AF1403" s="416" t="s">
        <v>8475</v>
      </c>
    </row>
    <row r="1404" spans="1:32">
      <c r="A1404" s="1" t="s">
        <v>2264</v>
      </c>
      <c r="B1404" s="416" t="s">
        <v>8476</v>
      </c>
      <c r="AE1404" s="417" t="s">
        <v>8477</v>
      </c>
      <c r="AF1404" s="416" t="s">
        <v>8478</v>
      </c>
    </row>
    <row r="1405" spans="1:32">
      <c r="A1405" s="1" t="s">
        <v>2264</v>
      </c>
      <c r="B1405" s="416" t="s">
        <v>8479</v>
      </c>
      <c r="AE1405" s="417" t="s">
        <v>8480</v>
      </c>
      <c r="AF1405" s="416" t="s">
        <v>8481</v>
      </c>
    </row>
    <row r="1406" spans="1:32">
      <c r="A1406" s="1" t="s">
        <v>2264</v>
      </c>
      <c r="B1406" s="416" t="s">
        <v>8482</v>
      </c>
      <c r="AE1406" s="417" t="s">
        <v>8483</v>
      </c>
      <c r="AF1406" s="416" t="s">
        <v>8484</v>
      </c>
    </row>
    <row r="1407" spans="1:32">
      <c r="A1407" s="1" t="s">
        <v>2264</v>
      </c>
      <c r="B1407" s="416" t="s">
        <v>8485</v>
      </c>
      <c r="AE1407" s="417" t="s">
        <v>8486</v>
      </c>
      <c r="AF1407" s="416" t="s">
        <v>8487</v>
      </c>
    </row>
    <row r="1408" spans="1:32">
      <c r="A1408" s="1" t="s">
        <v>2275</v>
      </c>
      <c r="B1408" s="416" t="s">
        <v>8488</v>
      </c>
      <c r="AE1408" s="417" t="s">
        <v>8489</v>
      </c>
      <c r="AF1408" s="416" t="s">
        <v>8490</v>
      </c>
    </row>
    <row r="1409" spans="1:32">
      <c r="A1409" s="1" t="s">
        <v>2275</v>
      </c>
      <c r="B1409" s="416" t="s">
        <v>8491</v>
      </c>
      <c r="AE1409" s="417" t="s">
        <v>8492</v>
      </c>
      <c r="AF1409" s="416" t="s">
        <v>8493</v>
      </c>
    </row>
    <row r="1410" spans="1:32">
      <c r="A1410" s="1" t="s">
        <v>2275</v>
      </c>
      <c r="B1410" s="416" t="s">
        <v>8494</v>
      </c>
      <c r="AE1410" s="417" t="s">
        <v>8495</v>
      </c>
      <c r="AF1410" s="416" t="s">
        <v>8496</v>
      </c>
    </row>
    <row r="1411" spans="1:32">
      <c r="A1411" s="1" t="s">
        <v>2275</v>
      </c>
      <c r="B1411" s="416" t="s">
        <v>8497</v>
      </c>
      <c r="AE1411" s="417" t="s">
        <v>8498</v>
      </c>
      <c r="AF1411" s="416" t="s">
        <v>8499</v>
      </c>
    </row>
    <row r="1412" spans="1:32">
      <c r="A1412" s="1" t="s">
        <v>2275</v>
      </c>
      <c r="B1412" s="416" t="s">
        <v>8500</v>
      </c>
      <c r="AE1412" s="417" t="s">
        <v>8501</v>
      </c>
      <c r="AF1412" s="416" t="s">
        <v>8502</v>
      </c>
    </row>
    <row r="1413" spans="1:32">
      <c r="A1413" s="1" t="s">
        <v>2275</v>
      </c>
      <c r="B1413" s="416" t="s">
        <v>8503</v>
      </c>
      <c r="AE1413" s="417" t="s">
        <v>8504</v>
      </c>
      <c r="AF1413" s="416" t="s">
        <v>8505</v>
      </c>
    </row>
    <row r="1414" spans="1:32">
      <c r="A1414" s="1" t="s">
        <v>2275</v>
      </c>
      <c r="B1414" s="416" t="s">
        <v>7678</v>
      </c>
      <c r="AE1414" s="417" t="s">
        <v>8506</v>
      </c>
      <c r="AF1414" s="416" t="s">
        <v>8507</v>
      </c>
    </row>
    <row r="1415" spans="1:32">
      <c r="A1415" s="1" t="s">
        <v>2275</v>
      </c>
      <c r="B1415" s="416" t="s">
        <v>8508</v>
      </c>
      <c r="AE1415" s="417" t="s">
        <v>8509</v>
      </c>
      <c r="AF1415" s="416" t="s">
        <v>8510</v>
      </c>
    </row>
    <row r="1416" spans="1:32">
      <c r="A1416" s="1" t="s">
        <v>2275</v>
      </c>
      <c r="B1416" s="416" t="s">
        <v>8511</v>
      </c>
      <c r="AE1416" s="417" t="s">
        <v>8512</v>
      </c>
      <c r="AF1416" s="416" t="s">
        <v>8513</v>
      </c>
    </row>
    <row r="1417" spans="1:32">
      <c r="A1417" s="1" t="s">
        <v>2275</v>
      </c>
      <c r="B1417" s="416" t="s">
        <v>8514</v>
      </c>
      <c r="AE1417" s="417" t="s">
        <v>8515</v>
      </c>
      <c r="AF1417" s="416" t="s">
        <v>8516</v>
      </c>
    </row>
    <row r="1418" spans="1:32">
      <c r="A1418" s="1" t="s">
        <v>2275</v>
      </c>
      <c r="B1418" s="416" t="s">
        <v>8517</v>
      </c>
      <c r="AE1418" s="417" t="s">
        <v>8518</v>
      </c>
      <c r="AF1418" s="416" t="s">
        <v>8519</v>
      </c>
    </row>
    <row r="1419" spans="1:32">
      <c r="A1419" s="1" t="s">
        <v>2275</v>
      </c>
      <c r="B1419" s="416" t="s">
        <v>8520</v>
      </c>
      <c r="AE1419" s="417" t="s">
        <v>8521</v>
      </c>
      <c r="AF1419" s="416" t="s">
        <v>8522</v>
      </c>
    </row>
    <row r="1420" spans="1:32">
      <c r="A1420" s="1" t="s">
        <v>2275</v>
      </c>
      <c r="B1420" s="416" t="s">
        <v>8523</v>
      </c>
      <c r="AE1420" s="417" t="s">
        <v>8524</v>
      </c>
      <c r="AF1420" s="416" t="s">
        <v>8525</v>
      </c>
    </row>
    <row r="1421" spans="1:32">
      <c r="A1421" s="1" t="s">
        <v>2287</v>
      </c>
      <c r="B1421" s="416" t="s">
        <v>8526</v>
      </c>
      <c r="AE1421" s="417" t="s">
        <v>8527</v>
      </c>
      <c r="AF1421" s="416" t="s">
        <v>8528</v>
      </c>
    </row>
    <row r="1422" spans="1:32">
      <c r="A1422" s="1" t="s">
        <v>2287</v>
      </c>
      <c r="B1422" s="416" t="s">
        <v>8529</v>
      </c>
      <c r="AE1422" s="417" t="s">
        <v>8530</v>
      </c>
      <c r="AF1422" s="416" t="s">
        <v>8531</v>
      </c>
    </row>
    <row r="1423" spans="1:32">
      <c r="A1423" s="1" t="s">
        <v>2287</v>
      </c>
      <c r="B1423" s="416" t="s">
        <v>8532</v>
      </c>
      <c r="AE1423" s="417" t="s">
        <v>8533</v>
      </c>
      <c r="AF1423" s="416" t="s">
        <v>8534</v>
      </c>
    </row>
    <row r="1424" spans="1:32">
      <c r="A1424" s="1" t="s">
        <v>2287</v>
      </c>
      <c r="B1424" s="416" t="s">
        <v>8535</v>
      </c>
      <c r="AE1424" s="417" t="s">
        <v>8536</v>
      </c>
      <c r="AF1424" s="416" t="s">
        <v>8537</v>
      </c>
    </row>
    <row r="1425" spans="1:32">
      <c r="A1425" s="1" t="s">
        <v>2287</v>
      </c>
      <c r="B1425" s="416" t="s">
        <v>8538</v>
      </c>
      <c r="AE1425" s="417" t="s">
        <v>8539</v>
      </c>
      <c r="AF1425" s="416" t="s">
        <v>8540</v>
      </c>
    </row>
    <row r="1426" spans="1:32">
      <c r="A1426" s="1" t="s">
        <v>2287</v>
      </c>
      <c r="B1426" s="416" t="s">
        <v>8541</v>
      </c>
      <c r="AE1426" s="417" t="s">
        <v>8542</v>
      </c>
      <c r="AF1426" s="416" t="s">
        <v>8543</v>
      </c>
    </row>
    <row r="1427" spans="1:32">
      <c r="A1427" s="1" t="s">
        <v>2287</v>
      </c>
      <c r="B1427" s="416" t="s">
        <v>8544</v>
      </c>
      <c r="AE1427" s="417" t="s">
        <v>8545</v>
      </c>
      <c r="AF1427" s="416" t="s">
        <v>8546</v>
      </c>
    </row>
    <row r="1428" spans="1:32">
      <c r="A1428" s="1" t="s">
        <v>2287</v>
      </c>
      <c r="B1428" s="416" t="s">
        <v>8547</v>
      </c>
      <c r="AE1428" s="417" t="s">
        <v>8548</v>
      </c>
      <c r="AF1428" s="416" t="s">
        <v>8549</v>
      </c>
    </row>
    <row r="1429" spans="1:32">
      <c r="A1429" s="1" t="s">
        <v>2287</v>
      </c>
      <c r="B1429" s="416" t="s">
        <v>8550</v>
      </c>
      <c r="AE1429" s="417" t="s">
        <v>8551</v>
      </c>
      <c r="AF1429" s="416" t="s">
        <v>8552</v>
      </c>
    </row>
    <row r="1430" spans="1:32">
      <c r="A1430" s="1" t="s">
        <v>2299</v>
      </c>
      <c r="B1430" s="416" t="s">
        <v>8553</v>
      </c>
      <c r="AE1430" s="417" t="s">
        <v>8554</v>
      </c>
      <c r="AF1430" s="416" t="s">
        <v>8555</v>
      </c>
    </row>
    <row r="1431" spans="1:32">
      <c r="A1431" s="1" t="s">
        <v>2299</v>
      </c>
      <c r="B1431" s="416" t="s">
        <v>8556</v>
      </c>
      <c r="AE1431" s="417" t="s">
        <v>8557</v>
      </c>
      <c r="AF1431" s="416" t="s">
        <v>8558</v>
      </c>
    </row>
    <row r="1432" spans="1:32">
      <c r="A1432" s="1" t="s">
        <v>2299</v>
      </c>
      <c r="B1432" s="416" t="s">
        <v>8559</v>
      </c>
      <c r="AE1432" s="417" t="s">
        <v>8560</v>
      </c>
      <c r="AF1432" s="416" t="s">
        <v>8561</v>
      </c>
    </row>
    <row r="1433" spans="1:32">
      <c r="A1433" s="1" t="s">
        <v>2299</v>
      </c>
      <c r="B1433" s="416" t="s">
        <v>8562</v>
      </c>
      <c r="AE1433" s="417" t="s">
        <v>8563</v>
      </c>
      <c r="AF1433" s="416" t="s">
        <v>8564</v>
      </c>
    </row>
    <row r="1434" spans="1:32">
      <c r="A1434" s="1" t="s">
        <v>2299</v>
      </c>
      <c r="B1434" s="416" t="s">
        <v>8565</v>
      </c>
      <c r="AE1434" s="417" t="s">
        <v>8566</v>
      </c>
      <c r="AF1434" s="416" t="s">
        <v>8567</v>
      </c>
    </row>
    <row r="1435" spans="1:32">
      <c r="A1435" s="1" t="s">
        <v>2299</v>
      </c>
      <c r="B1435" s="416" t="s">
        <v>8568</v>
      </c>
      <c r="AE1435" s="417" t="s">
        <v>8569</v>
      </c>
      <c r="AF1435" s="416" t="s">
        <v>8570</v>
      </c>
    </row>
    <row r="1436" spans="1:32">
      <c r="A1436" s="1" t="s">
        <v>2299</v>
      </c>
      <c r="B1436" s="416" t="s">
        <v>8571</v>
      </c>
      <c r="AE1436" s="417" t="s">
        <v>8572</v>
      </c>
      <c r="AF1436" s="416" t="s">
        <v>8573</v>
      </c>
    </row>
    <row r="1437" spans="1:32">
      <c r="A1437" s="1" t="s">
        <v>2299</v>
      </c>
      <c r="B1437" s="416" t="s">
        <v>8574</v>
      </c>
      <c r="AE1437" s="417" t="s">
        <v>8575</v>
      </c>
      <c r="AF1437" s="416" t="s">
        <v>8576</v>
      </c>
    </row>
    <row r="1438" spans="1:32">
      <c r="A1438" s="1" t="s">
        <v>2309</v>
      </c>
      <c r="B1438" s="416" t="s">
        <v>8577</v>
      </c>
      <c r="AE1438" s="417" t="s">
        <v>8578</v>
      </c>
      <c r="AF1438" s="416" t="s">
        <v>8579</v>
      </c>
    </row>
    <row r="1439" spans="1:32">
      <c r="A1439" s="1" t="s">
        <v>2309</v>
      </c>
      <c r="B1439" s="416" t="s">
        <v>8580</v>
      </c>
      <c r="AE1439" s="417" t="s">
        <v>8581</v>
      </c>
      <c r="AF1439" s="416" t="s">
        <v>8582</v>
      </c>
    </row>
    <row r="1440" spans="1:32">
      <c r="A1440" s="1" t="s">
        <v>2309</v>
      </c>
      <c r="B1440" s="416" t="s">
        <v>8583</v>
      </c>
      <c r="AE1440" s="417" t="s">
        <v>8584</v>
      </c>
      <c r="AF1440" s="416" t="s">
        <v>8585</v>
      </c>
    </row>
    <row r="1441" spans="1:32">
      <c r="A1441" s="1" t="s">
        <v>2309</v>
      </c>
      <c r="B1441" s="416" t="s">
        <v>8586</v>
      </c>
      <c r="AE1441" s="417" t="s">
        <v>8587</v>
      </c>
      <c r="AF1441" s="416" t="s">
        <v>8588</v>
      </c>
    </row>
    <row r="1442" spans="1:32">
      <c r="A1442" s="1" t="s">
        <v>2309</v>
      </c>
      <c r="B1442" s="416" t="s">
        <v>8589</v>
      </c>
      <c r="AE1442" s="417" t="s">
        <v>8590</v>
      </c>
      <c r="AF1442" s="416" t="s">
        <v>8591</v>
      </c>
    </row>
    <row r="1443" spans="1:32">
      <c r="A1443" s="1" t="s">
        <v>2309</v>
      </c>
      <c r="B1443" s="416" t="s">
        <v>8592</v>
      </c>
      <c r="AE1443" s="417" t="s">
        <v>8593</v>
      </c>
      <c r="AF1443" s="416" t="s">
        <v>8594</v>
      </c>
    </row>
    <row r="1444" spans="1:32">
      <c r="A1444" s="1" t="s">
        <v>2309</v>
      </c>
      <c r="B1444" s="416" t="s">
        <v>8595</v>
      </c>
      <c r="AE1444" s="417" t="s">
        <v>8596</v>
      </c>
      <c r="AF1444" s="416" t="s">
        <v>8597</v>
      </c>
    </row>
    <row r="1445" spans="1:32">
      <c r="A1445" s="1" t="s">
        <v>2309</v>
      </c>
      <c r="B1445" s="416" t="s">
        <v>8598</v>
      </c>
      <c r="AE1445" s="417" t="s">
        <v>8599</v>
      </c>
      <c r="AF1445" s="416" t="s">
        <v>8600</v>
      </c>
    </row>
    <row r="1446" spans="1:32">
      <c r="A1446" s="1" t="s">
        <v>2309</v>
      </c>
      <c r="B1446" s="416" t="s">
        <v>8601</v>
      </c>
      <c r="AE1446" s="417" t="s">
        <v>8602</v>
      </c>
      <c r="AF1446" s="416" t="s">
        <v>8603</v>
      </c>
    </row>
    <row r="1447" spans="1:32">
      <c r="A1447" s="1" t="s">
        <v>2309</v>
      </c>
      <c r="B1447" s="416" t="s">
        <v>8604</v>
      </c>
      <c r="AE1447" s="417" t="s">
        <v>8605</v>
      </c>
      <c r="AF1447" s="416" t="s">
        <v>8606</v>
      </c>
    </row>
    <row r="1448" spans="1:32">
      <c r="A1448" s="1" t="s">
        <v>2309</v>
      </c>
      <c r="B1448" s="416" t="s">
        <v>8500</v>
      </c>
      <c r="AE1448" s="417" t="s">
        <v>8607</v>
      </c>
      <c r="AF1448" s="416" t="s">
        <v>8608</v>
      </c>
    </row>
    <row r="1449" spans="1:32">
      <c r="A1449" s="1" t="s">
        <v>2309</v>
      </c>
      <c r="B1449" s="416" t="s">
        <v>8609</v>
      </c>
      <c r="AE1449" s="417" t="s">
        <v>8610</v>
      </c>
      <c r="AF1449" s="416" t="s">
        <v>8611</v>
      </c>
    </row>
    <row r="1450" spans="1:32">
      <c r="A1450" s="1" t="s">
        <v>2309</v>
      </c>
      <c r="B1450" s="416" t="s">
        <v>8612</v>
      </c>
      <c r="AE1450" s="417" t="s">
        <v>8613</v>
      </c>
      <c r="AF1450" s="416" t="s">
        <v>8614</v>
      </c>
    </row>
    <row r="1451" spans="1:32">
      <c r="A1451" s="1" t="s">
        <v>2309</v>
      </c>
      <c r="B1451" s="416" t="s">
        <v>8615</v>
      </c>
      <c r="AE1451" s="417" t="s">
        <v>8616</v>
      </c>
      <c r="AF1451" s="416" t="s">
        <v>8617</v>
      </c>
    </row>
    <row r="1452" spans="1:32">
      <c r="A1452" s="1" t="s">
        <v>2309</v>
      </c>
      <c r="B1452" s="416" t="s">
        <v>8618</v>
      </c>
      <c r="AE1452" s="417" t="s">
        <v>8619</v>
      </c>
      <c r="AF1452" s="416" t="s">
        <v>8620</v>
      </c>
    </row>
    <row r="1453" spans="1:32">
      <c r="A1453" s="1" t="s">
        <v>2309</v>
      </c>
      <c r="B1453" s="416" t="s">
        <v>8621</v>
      </c>
      <c r="AE1453" s="417" t="s">
        <v>8622</v>
      </c>
      <c r="AF1453" s="416" t="s">
        <v>8623</v>
      </c>
    </row>
    <row r="1454" spans="1:32">
      <c r="A1454" s="1" t="s">
        <v>2309</v>
      </c>
      <c r="B1454" s="416" t="s">
        <v>8624</v>
      </c>
      <c r="AE1454" s="417" t="s">
        <v>8625</v>
      </c>
      <c r="AF1454" s="416" t="s">
        <v>8626</v>
      </c>
    </row>
    <row r="1455" spans="1:32">
      <c r="A1455" s="1" t="s">
        <v>2309</v>
      </c>
      <c r="B1455" s="416" t="s">
        <v>8627</v>
      </c>
      <c r="AE1455" s="417" t="s">
        <v>8628</v>
      </c>
      <c r="AF1455" s="416" t="s">
        <v>8629</v>
      </c>
    </row>
    <row r="1456" spans="1:32">
      <c r="A1456" s="1" t="s">
        <v>2321</v>
      </c>
      <c r="B1456" s="416" t="s">
        <v>8630</v>
      </c>
      <c r="AE1456" s="417" t="s">
        <v>8631</v>
      </c>
      <c r="AF1456" s="416" t="s">
        <v>8632</v>
      </c>
    </row>
    <row r="1457" spans="1:32">
      <c r="A1457" s="1" t="s">
        <v>2321</v>
      </c>
      <c r="B1457" s="416" t="s">
        <v>8633</v>
      </c>
      <c r="AE1457" s="417" t="s">
        <v>8634</v>
      </c>
      <c r="AF1457" s="416" t="s">
        <v>8635</v>
      </c>
    </row>
    <row r="1458" spans="1:32">
      <c r="A1458" s="1" t="s">
        <v>2321</v>
      </c>
      <c r="B1458" s="416" t="s">
        <v>8636</v>
      </c>
      <c r="AE1458" s="417" t="s">
        <v>8637</v>
      </c>
      <c r="AF1458" s="416" t="s">
        <v>8638</v>
      </c>
    </row>
    <row r="1459" spans="1:32">
      <c r="A1459" s="1" t="s">
        <v>2321</v>
      </c>
      <c r="B1459" s="416" t="s">
        <v>8639</v>
      </c>
      <c r="AE1459" s="417" t="s">
        <v>8640</v>
      </c>
      <c r="AF1459" s="416" t="s">
        <v>8641</v>
      </c>
    </row>
    <row r="1460" spans="1:32">
      <c r="A1460" s="1" t="s">
        <v>2321</v>
      </c>
      <c r="B1460" s="416" t="s">
        <v>8642</v>
      </c>
      <c r="AE1460" s="417" t="s">
        <v>8643</v>
      </c>
      <c r="AF1460" s="416" t="s">
        <v>8644</v>
      </c>
    </row>
    <row r="1461" spans="1:32">
      <c r="A1461" s="1" t="s">
        <v>2321</v>
      </c>
      <c r="B1461" s="416" t="s">
        <v>8645</v>
      </c>
      <c r="AE1461" s="417" t="s">
        <v>8646</v>
      </c>
      <c r="AF1461" s="416" t="s">
        <v>8647</v>
      </c>
    </row>
    <row r="1462" spans="1:32">
      <c r="A1462" s="1" t="s">
        <v>2321</v>
      </c>
      <c r="B1462" s="416" t="s">
        <v>8648</v>
      </c>
      <c r="AE1462" s="417" t="s">
        <v>8649</v>
      </c>
      <c r="AF1462" s="416" t="s">
        <v>8650</v>
      </c>
    </row>
    <row r="1463" spans="1:32">
      <c r="A1463" s="1" t="s">
        <v>2321</v>
      </c>
      <c r="B1463" s="416" t="s">
        <v>8651</v>
      </c>
      <c r="AE1463" s="417" t="s">
        <v>8652</v>
      </c>
      <c r="AF1463" s="416" t="s">
        <v>8653</v>
      </c>
    </row>
    <row r="1464" spans="1:32">
      <c r="A1464" s="1" t="s">
        <v>2321</v>
      </c>
      <c r="B1464" s="416" t="s">
        <v>7837</v>
      </c>
      <c r="AE1464" s="417" t="s">
        <v>8654</v>
      </c>
      <c r="AF1464" s="416" t="s">
        <v>8655</v>
      </c>
    </row>
    <row r="1465" spans="1:32">
      <c r="A1465" s="1" t="s">
        <v>2321</v>
      </c>
      <c r="B1465" s="416" t="s">
        <v>8656</v>
      </c>
      <c r="AE1465" s="417" t="s">
        <v>8657</v>
      </c>
      <c r="AF1465" s="416" t="s">
        <v>8658</v>
      </c>
    </row>
    <row r="1466" spans="1:32">
      <c r="A1466" s="1" t="s">
        <v>2321</v>
      </c>
      <c r="B1466" s="416" t="s">
        <v>8659</v>
      </c>
      <c r="AE1466" s="417" t="s">
        <v>8660</v>
      </c>
      <c r="AF1466" s="416" t="s">
        <v>8661</v>
      </c>
    </row>
    <row r="1467" spans="1:32">
      <c r="A1467" s="1" t="s">
        <v>2321</v>
      </c>
      <c r="B1467" s="416" t="s">
        <v>8662</v>
      </c>
      <c r="AE1467" s="417" t="s">
        <v>8663</v>
      </c>
      <c r="AF1467" s="416" t="s">
        <v>8664</v>
      </c>
    </row>
    <row r="1468" spans="1:32">
      <c r="A1468" s="1" t="s">
        <v>2321</v>
      </c>
      <c r="B1468" s="416" t="s">
        <v>8665</v>
      </c>
      <c r="AE1468" s="417" t="s">
        <v>8666</v>
      </c>
      <c r="AF1468" s="416" t="s">
        <v>8667</v>
      </c>
    </row>
    <row r="1469" spans="1:32">
      <c r="A1469" s="1" t="s">
        <v>2334</v>
      </c>
      <c r="B1469" s="416" t="s">
        <v>8668</v>
      </c>
      <c r="AE1469" s="417" t="s">
        <v>8669</v>
      </c>
      <c r="AF1469" s="416" t="s">
        <v>8670</v>
      </c>
    </row>
    <row r="1470" spans="1:32">
      <c r="A1470" s="1" t="s">
        <v>2334</v>
      </c>
      <c r="B1470" s="416" t="s">
        <v>8671</v>
      </c>
      <c r="AE1470" s="417" t="s">
        <v>8672</v>
      </c>
      <c r="AF1470" s="416" t="s">
        <v>8673</v>
      </c>
    </row>
    <row r="1471" spans="1:32">
      <c r="A1471" s="1" t="s">
        <v>2334</v>
      </c>
      <c r="B1471" s="416" t="s">
        <v>8674</v>
      </c>
      <c r="AE1471" s="417" t="s">
        <v>8675</v>
      </c>
      <c r="AF1471" s="416" t="s">
        <v>8676</v>
      </c>
    </row>
    <row r="1472" spans="1:32">
      <c r="A1472" s="1" t="s">
        <v>2334</v>
      </c>
      <c r="B1472" s="416" t="s">
        <v>8677</v>
      </c>
      <c r="AE1472" s="417" t="s">
        <v>8678</v>
      </c>
      <c r="AF1472" s="416" t="s">
        <v>8679</v>
      </c>
    </row>
    <row r="1473" spans="1:32">
      <c r="A1473" s="1" t="s">
        <v>2334</v>
      </c>
      <c r="B1473" s="416" t="s">
        <v>8680</v>
      </c>
      <c r="AE1473" s="417" t="s">
        <v>8681</v>
      </c>
      <c r="AF1473" s="416" t="s">
        <v>8682</v>
      </c>
    </row>
    <row r="1474" spans="1:32">
      <c r="A1474" s="1" t="s">
        <v>2334</v>
      </c>
      <c r="B1474" s="416" t="s">
        <v>8683</v>
      </c>
      <c r="AE1474" s="417" t="s">
        <v>8684</v>
      </c>
      <c r="AF1474" s="416" t="s">
        <v>8685</v>
      </c>
    </row>
    <row r="1475" spans="1:32">
      <c r="A1475" s="1" t="s">
        <v>2334</v>
      </c>
      <c r="B1475" s="416" t="s">
        <v>8686</v>
      </c>
      <c r="AE1475" s="417" t="s">
        <v>8687</v>
      </c>
      <c r="AF1475" s="416" t="s">
        <v>8688</v>
      </c>
    </row>
    <row r="1476" spans="1:32">
      <c r="A1476" s="1" t="s">
        <v>2334</v>
      </c>
      <c r="B1476" s="416" t="s">
        <v>8689</v>
      </c>
      <c r="AE1476" s="417" t="s">
        <v>8690</v>
      </c>
      <c r="AF1476" s="416" t="s">
        <v>8691</v>
      </c>
    </row>
    <row r="1477" spans="1:32">
      <c r="A1477" s="1" t="s">
        <v>2334</v>
      </c>
      <c r="B1477" s="416" t="s">
        <v>8692</v>
      </c>
      <c r="AE1477" s="417" t="s">
        <v>8693</v>
      </c>
      <c r="AF1477" s="416" t="s">
        <v>8694</v>
      </c>
    </row>
    <row r="1478" spans="1:32">
      <c r="A1478" s="1" t="s">
        <v>2334</v>
      </c>
      <c r="B1478" s="416" t="s">
        <v>8695</v>
      </c>
      <c r="AE1478" s="417" t="s">
        <v>8696</v>
      </c>
      <c r="AF1478" s="416" t="s">
        <v>8697</v>
      </c>
    </row>
    <row r="1479" spans="1:32">
      <c r="A1479" s="1" t="s">
        <v>2334</v>
      </c>
      <c r="B1479" s="416" t="s">
        <v>8698</v>
      </c>
      <c r="AE1479" s="417" t="s">
        <v>8699</v>
      </c>
      <c r="AF1479" s="416" t="s">
        <v>8700</v>
      </c>
    </row>
    <row r="1480" spans="1:32">
      <c r="A1480" s="1" t="s">
        <v>2334</v>
      </c>
      <c r="B1480" s="416" t="s">
        <v>8701</v>
      </c>
      <c r="AE1480" s="417" t="s">
        <v>8702</v>
      </c>
      <c r="AF1480" s="416" t="s">
        <v>8703</v>
      </c>
    </row>
    <row r="1481" spans="1:32">
      <c r="A1481" s="1" t="s">
        <v>2334</v>
      </c>
      <c r="B1481" s="416" t="s">
        <v>8704</v>
      </c>
      <c r="AE1481" s="417" t="s">
        <v>8705</v>
      </c>
      <c r="AF1481" s="416" t="s">
        <v>8706</v>
      </c>
    </row>
    <row r="1482" spans="1:32">
      <c r="A1482" s="1" t="s">
        <v>2348</v>
      </c>
      <c r="B1482" s="416" t="s">
        <v>8707</v>
      </c>
      <c r="AE1482" s="417" t="s">
        <v>8708</v>
      </c>
      <c r="AF1482" s="416" t="s">
        <v>8709</v>
      </c>
    </row>
    <row r="1483" spans="1:32">
      <c r="A1483" s="1" t="s">
        <v>2348</v>
      </c>
      <c r="B1483" s="416" t="s">
        <v>8710</v>
      </c>
      <c r="AE1483" s="417" t="s">
        <v>8711</v>
      </c>
      <c r="AF1483" s="416" t="s">
        <v>8712</v>
      </c>
    </row>
    <row r="1484" spans="1:32">
      <c r="A1484" s="1" t="s">
        <v>2348</v>
      </c>
      <c r="B1484" s="416" t="s">
        <v>8713</v>
      </c>
      <c r="AE1484" s="417" t="s">
        <v>8714</v>
      </c>
      <c r="AF1484" s="416" t="s">
        <v>8715</v>
      </c>
    </row>
    <row r="1485" spans="1:32">
      <c r="A1485" s="1" t="s">
        <v>2348</v>
      </c>
      <c r="B1485" s="416" t="s">
        <v>8716</v>
      </c>
      <c r="AE1485" s="417" t="s">
        <v>8717</v>
      </c>
      <c r="AF1485" s="416" t="s">
        <v>8718</v>
      </c>
    </row>
    <row r="1486" spans="1:32">
      <c r="A1486" s="1" t="s">
        <v>2348</v>
      </c>
      <c r="B1486" s="416" t="s">
        <v>8719</v>
      </c>
      <c r="AE1486" s="417" t="s">
        <v>8720</v>
      </c>
      <c r="AF1486" s="416" t="s">
        <v>8721</v>
      </c>
    </row>
    <row r="1487" spans="1:32">
      <c r="A1487" s="1" t="s">
        <v>2348</v>
      </c>
      <c r="B1487" s="416" t="s">
        <v>8722</v>
      </c>
      <c r="AE1487" s="417" t="s">
        <v>8723</v>
      </c>
      <c r="AF1487" s="416" t="s">
        <v>8724</v>
      </c>
    </row>
    <row r="1488" spans="1:32">
      <c r="A1488" s="1" t="s">
        <v>2348</v>
      </c>
      <c r="B1488" s="416" t="s">
        <v>8725</v>
      </c>
      <c r="AE1488" s="417" t="s">
        <v>8726</v>
      </c>
      <c r="AF1488" s="416" t="s">
        <v>8727</v>
      </c>
    </row>
    <row r="1489" spans="1:32">
      <c r="A1489" s="1" t="s">
        <v>2348</v>
      </c>
      <c r="B1489" s="416" t="s">
        <v>8728</v>
      </c>
      <c r="AE1489" s="417" t="s">
        <v>8729</v>
      </c>
      <c r="AF1489" s="416" t="s">
        <v>8730</v>
      </c>
    </row>
    <row r="1490" spans="1:32">
      <c r="A1490" s="1" t="s">
        <v>2348</v>
      </c>
      <c r="B1490" s="416" t="s">
        <v>8731</v>
      </c>
      <c r="AE1490" s="417" t="s">
        <v>8732</v>
      </c>
      <c r="AF1490" s="416" t="s">
        <v>8733</v>
      </c>
    </row>
    <row r="1491" spans="1:32">
      <c r="A1491" s="1" t="s">
        <v>2348</v>
      </c>
      <c r="B1491" s="416" t="s">
        <v>8734</v>
      </c>
      <c r="AE1491" s="417" t="s">
        <v>8735</v>
      </c>
      <c r="AF1491" s="416" t="s">
        <v>8736</v>
      </c>
    </row>
    <row r="1492" spans="1:32">
      <c r="A1492" s="1" t="s">
        <v>2359</v>
      </c>
      <c r="B1492" s="416" t="s">
        <v>7132</v>
      </c>
      <c r="AE1492" s="417" t="s">
        <v>8737</v>
      </c>
      <c r="AF1492" s="416" t="s">
        <v>8738</v>
      </c>
    </row>
    <row r="1493" spans="1:32">
      <c r="A1493" s="1" t="s">
        <v>2359</v>
      </c>
      <c r="B1493" s="416" t="s">
        <v>8739</v>
      </c>
      <c r="AE1493" s="417" t="s">
        <v>8740</v>
      </c>
      <c r="AF1493" s="416" t="s">
        <v>8741</v>
      </c>
    </row>
    <row r="1494" spans="1:32">
      <c r="A1494" s="1" t="s">
        <v>2359</v>
      </c>
      <c r="B1494" s="416" t="s">
        <v>8742</v>
      </c>
      <c r="AE1494" s="417" t="s">
        <v>8743</v>
      </c>
      <c r="AF1494" s="416" t="s">
        <v>8744</v>
      </c>
    </row>
    <row r="1495" spans="1:32">
      <c r="A1495" s="1" t="s">
        <v>2359</v>
      </c>
      <c r="B1495" s="416" t="s">
        <v>8745</v>
      </c>
      <c r="AE1495" s="417" t="s">
        <v>8746</v>
      </c>
      <c r="AF1495" s="416" t="s">
        <v>8747</v>
      </c>
    </row>
    <row r="1496" spans="1:32">
      <c r="A1496" s="1" t="s">
        <v>2359</v>
      </c>
      <c r="B1496" s="416" t="s">
        <v>8748</v>
      </c>
      <c r="AE1496" s="417" t="s">
        <v>8749</v>
      </c>
      <c r="AF1496" s="416" t="s">
        <v>8750</v>
      </c>
    </row>
    <row r="1497" spans="1:32">
      <c r="A1497" s="1" t="s">
        <v>2359</v>
      </c>
      <c r="B1497" s="416" t="s">
        <v>8751</v>
      </c>
      <c r="AE1497" s="417" t="s">
        <v>8752</v>
      </c>
      <c r="AF1497" s="416" t="s">
        <v>8753</v>
      </c>
    </row>
    <row r="1498" spans="1:32">
      <c r="A1498" s="1" t="s">
        <v>2359</v>
      </c>
      <c r="B1498" s="416" t="s">
        <v>8754</v>
      </c>
      <c r="AE1498" s="417" t="s">
        <v>8755</v>
      </c>
      <c r="AF1498" s="416" t="s">
        <v>8756</v>
      </c>
    </row>
    <row r="1499" spans="1:32">
      <c r="A1499" s="1" t="s">
        <v>2359</v>
      </c>
      <c r="B1499" s="416" t="s">
        <v>7846</v>
      </c>
      <c r="AE1499" s="417" t="s">
        <v>8757</v>
      </c>
      <c r="AF1499" s="416" t="s">
        <v>8758</v>
      </c>
    </row>
    <row r="1500" spans="1:32">
      <c r="A1500" s="1" t="s">
        <v>2359</v>
      </c>
      <c r="B1500" s="416" t="s">
        <v>8759</v>
      </c>
      <c r="AE1500" s="417" t="s">
        <v>8760</v>
      </c>
      <c r="AF1500" s="416" t="s">
        <v>8761</v>
      </c>
    </row>
    <row r="1501" spans="1:32">
      <c r="A1501" s="1" t="s">
        <v>2359</v>
      </c>
      <c r="B1501" s="416" t="s">
        <v>8762</v>
      </c>
      <c r="AE1501" s="417" t="s">
        <v>8763</v>
      </c>
      <c r="AF1501" s="416" t="s">
        <v>8764</v>
      </c>
    </row>
    <row r="1502" spans="1:32">
      <c r="A1502" s="1" t="s">
        <v>2359</v>
      </c>
      <c r="B1502" s="416" t="s">
        <v>8765</v>
      </c>
      <c r="AE1502" s="417" t="s">
        <v>8766</v>
      </c>
      <c r="AF1502" s="416" t="s">
        <v>8767</v>
      </c>
    </row>
    <row r="1503" spans="1:32">
      <c r="A1503" s="1" t="s">
        <v>2371</v>
      </c>
      <c r="B1503" s="416" t="s">
        <v>8768</v>
      </c>
      <c r="AE1503" s="417" t="s">
        <v>8769</v>
      </c>
      <c r="AF1503" s="416" t="s">
        <v>8770</v>
      </c>
    </row>
    <row r="1504" spans="1:32">
      <c r="A1504" s="1" t="s">
        <v>2371</v>
      </c>
      <c r="B1504" s="416" t="s">
        <v>8771</v>
      </c>
      <c r="AE1504" s="417" t="s">
        <v>8772</v>
      </c>
      <c r="AF1504" s="416" t="s">
        <v>8773</v>
      </c>
    </row>
    <row r="1505" spans="1:32">
      <c r="A1505" s="1" t="s">
        <v>2371</v>
      </c>
      <c r="B1505" s="416" t="s">
        <v>8774</v>
      </c>
      <c r="AE1505" s="417" t="s">
        <v>8775</v>
      </c>
      <c r="AF1505" s="416" t="s">
        <v>8776</v>
      </c>
    </row>
    <row r="1506" spans="1:32">
      <c r="A1506" s="1" t="s">
        <v>2371</v>
      </c>
      <c r="B1506" s="416" t="s">
        <v>8777</v>
      </c>
      <c r="AE1506" s="417" t="s">
        <v>8778</v>
      </c>
      <c r="AF1506" s="416" t="s">
        <v>8779</v>
      </c>
    </row>
    <row r="1507" spans="1:32">
      <c r="A1507" s="1" t="s">
        <v>2371</v>
      </c>
      <c r="B1507" s="416" t="s">
        <v>8780</v>
      </c>
      <c r="AE1507" s="417" t="s">
        <v>8781</v>
      </c>
      <c r="AF1507" s="416" t="s">
        <v>8782</v>
      </c>
    </row>
    <row r="1508" spans="1:32">
      <c r="A1508" s="1" t="s">
        <v>2371</v>
      </c>
      <c r="B1508" s="416" t="s">
        <v>8783</v>
      </c>
      <c r="AE1508" s="417" t="s">
        <v>8784</v>
      </c>
      <c r="AF1508" s="416" t="s">
        <v>8785</v>
      </c>
    </row>
    <row r="1509" spans="1:32">
      <c r="A1509" s="1" t="s">
        <v>2371</v>
      </c>
      <c r="B1509" s="416" t="s">
        <v>8786</v>
      </c>
      <c r="AE1509" s="417" t="s">
        <v>8787</v>
      </c>
      <c r="AF1509" s="416" t="s">
        <v>8788</v>
      </c>
    </row>
    <row r="1510" spans="1:32">
      <c r="A1510" s="1" t="s">
        <v>2371</v>
      </c>
      <c r="B1510" s="416" t="s">
        <v>8789</v>
      </c>
      <c r="AE1510" s="417" t="s">
        <v>8790</v>
      </c>
      <c r="AF1510" s="416" t="s">
        <v>8791</v>
      </c>
    </row>
    <row r="1511" spans="1:32">
      <c r="A1511" s="1" t="s">
        <v>2371</v>
      </c>
      <c r="B1511" s="416" t="s">
        <v>8792</v>
      </c>
      <c r="AE1511" s="417" t="s">
        <v>8793</v>
      </c>
      <c r="AF1511" s="416" t="s">
        <v>8794</v>
      </c>
    </row>
    <row r="1512" spans="1:32">
      <c r="A1512" s="1" t="s">
        <v>2371</v>
      </c>
      <c r="B1512" s="416" t="s">
        <v>8795</v>
      </c>
      <c r="AE1512" s="417" t="s">
        <v>8796</v>
      </c>
      <c r="AF1512" s="416" t="s">
        <v>8797</v>
      </c>
    </row>
    <row r="1513" spans="1:32">
      <c r="A1513" s="1" t="s">
        <v>2371</v>
      </c>
      <c r="B1513" s="416" t="s">
        <v>8798</v>
      </c>
      <c r="AE1513" s="417" t="s">
        <v>8799</v>
      </c>
      <c r="AF1513" s="416" t="s">
        <v>8800</v>
      </c>
    </row>
    <row r="1514" spans="1:32">
      <c r="A1514" s="1" t="s">
        <v>2371</v>
      </c>
      <c r="B1514" s="416" t="s">
        <v>8801</v>
      </c>
      <c r="AE1514" s="417" t="s">
        <v>8802</v>
      </c>
      <c r="AF1514" s="416" t="s">
        <v>8803</v>
      </c>
    </row>
    <row r="1515" spans="1:32">
      <c r="A1515" s="1" t="s">
        <v>2383</v>
      </c>
      <c r="B1515" s="416" t="s">
        <v>8804</v>
      </c>
      <c r="AE1515" s="417" t="s">
        <v>8805</v>
      </c>
      <c r="AF1515" s="416" t="s">
        <v>8806</v>
      </c>
    </row>
    <row r="1516" spans="1:32">
      <c r="A1516" s="1" t="s">
        <v>2383</v>
      </c>
      <c r="B1516" s="416" t="s">
        <v>7132</v>
      </c>
      <c r="AE1516" s="417" t="s">
        <v>8807</v>
      </c>
      <c r="AF1516" s="416" t="s">
        <v>8808</v>
      </c>
    </row>
    <row r="1517" spans="1:32">
      <c r="A1517" s="1" t="s">
        <v>2383</v>
      </c>
      <c r="B1517" s="416" t="s">
        <v>8809</v>
      </c>
      <c r="AE1517" s="417" t="s">
        <v>8810</v>
      </c>
      <c r="AF1517" s="416" t="s">
        <v>8811</v>
      </c>
    </row>
    <row r="1518" spans="1:32">
      <c r="A1518" s="1" t="s">
        <v>2383</v>
      </c>
      <c r="B1518" s="416" t="s">
        <v>8812</v>
      </c>
      <c r="AE1518" s="417" t="s">
        <v>8813</v>
      </c>
      <c r="AF1518" s="416" t="s">
        <v>8814</v>
      </c>
    </row>
    <row r="1519" spans="1:32">
      <c r="A1519" s="1" t="s">
        <v>2383</v>
      </c>
      <c r="B1519" s="416" t="s">
        <v>8815</v>
      </c>
      <c r="AE1519" s="417" t="s">
        <v>8816</v>
      </c>
      <c r="AF1519" s="416" t="s">
        <v>8817</v>
      </c>
    </row>
    <row r="1520" spans="1:32">
      <c r="A1520" s="1" t="s">
        <v>2383</v>
      </c>
      <c r="B1520" s="416" t="s">
        <v>8818</v>
      </c>
      <c r="AE1520" s="417" t="s">
        <v>8819</v>
      </c>
      <c r="AF1520" s="416" t="s">
        <v>8820</v>
      </c>
    </row>
    <row r="1521" spans="1:32">
      <c r="A1521" s="1" t="s">
        <v>2383</v>
      </c>
      <c r="B1521" s="416" t="s">
        <v>7141</v>
      </c>
      <c r="AE1521" s="417" t="s">
        <v>8821</v>
      </c>
      <c r="AF1521" s="416" t="s">
        <v>8822</v>
      </c>
    </row>
    <row r="1522" spans="1:32">
      <c r="A1522" s="1" t="s">
        <v>2383</v>
      </c>
      <c r="B1522" s="416" t="s">
        <v>8823</v>
      </c>
      <c r="AE1522" s="417" t="s">
        <v>8824</v>
      </c>
      <c r="AF1522" s="416" t="s">
        <v>8825</v>
      </c>
    </row>
    <row r="1523" spans="1:32">
      <c r="A1523" s="1" t="s">
        <v>2383</v>
      </c>
      <c r="B1523" s="416" t="s">
        <v>8826</v>
      </c>
      <c r="AE1523" s="417" t="s">
        <v>8827</v>
      </c>
      <c r="AF1523" s="416" t="s">
        <v>8828</v>
      </c>
    </row>
    <row r="1524" spans="1:32">
      <c r="A1524" s="1" t="s">
        <v>2395</v>
      </c>
      <c r="B1524" s="416" t="s">
        <v>8829</v>
      </c>
      <c r="AE1524" s="417" t="s">
        <v>8830</v>
      </c>
      <c r="AF1524" s="416" t="s">
        <v>8831</v>
      </c>
    </row>
    <row r="1525" spans="1:32">
      <c r="A1525" s="1" t="s">
        <v>2395</v>
      </c>
      <c r="B1525" s="416" t="s">
        <v>8832</v>
      </c>
      <c r="AE1525" s="417" t="s">
        <v>8833</v>
      </c>
      <c r="AF1525" s="416" t="s">
        <v>8834</v>
      </c>
    </row>
    <row r="1526" spans="1:32">
      <c r="A1526" s="1" t="s">
        <v>2395</v>
      </c>
      <c r="B1526" s="416" t="s">
        <v>8835</v>
      </c>
      <c r="AE1526" s="417" t="s">
        <v>8836</v>
      </c>
      <c r="AF1526" s="416" t="s">
        <v>8837</v>
      </c>
    </row>
    <row r="1527" spans="1:32">
      <c r="A1527" s="1" t="s">
        <v>2395</v>
      </c>
      <c r="B1527" s="416" t="s">
        <v>8838</v>
      </c>
      <c r="AE1527" s="417" t="s">
        <v>8839</v>
      </c>
      <c r="AF1527" s="416" t="s">
        <v>8840</v>
      </c>
    </row>
    <row r="1528" spans="1:32">
      <c r="A1528" s="1" t="s">
        <v>2395</v>
      </c>
      <c r="B1528" s="416" t="s">
        <v>8841</v>
      </c>
      <c r="AE1528" s="417" t="s">
        <v>8842</v>
      </c>
      <c r="AF1528" s="416" t="s">
        <v>8843</v>
      </c>
    </row>
    <row r="1529" spans="1:32">
      <c r="A1529" s="1" t="s">
        <v>2395</v>
      </c>
      <c r="B1529" s="416" t="s">
        <v>8844</v>
      </c>
      <c r="AE1529" s="417" t="s">
        <v>8845</v>
      </c>
      <c r="AF1529" s="416" t="s">
        <v>8846</v>
      </c>
    </row>
    <row r="1530" spans="1:32">
      <c r="A1530" s="1" t="s">
        <v>2395</v>
      </c>
      <c r="B1530" s="416" t="s">
        <v>8847</v>
      </c>
      <c r="AE1530" s="417" t="s">
        <v>8848</v>
      </c>
      <c r="AF1530" s="416" t="s">
        <v>8849</v>
      </c>
    </row>
    <row r="1531" spans="1:32">
      <c r="A1531" s="1" t="s">
        <v>2395</v>
      </c>
      <c r="B1531" s="416" t="s">
        <v>8850</v>
      </c>
      <c r="AE1531" s="417" t="s">
        <v>8851</v>
      </c>
      <c r="AF1531" s="416" t="s">
        <v>8852</v>
      </c>
    </row>
    <row r="1532" spans="1:32">
      <c r="A1532" s="1" t="s">
        <v>2409</v>
      </c>
      <c r="B1532" s="416" t="s">
        <v>8853</v>
      </c>
      <c r="AE1532" s="417" t="s">
        <v>8854</v>
      </c>
      <c r="AF1532" s="416" t="s">
        <v>8855</v>
      </c>
    </row>
    <row r="1533" spans="1:32">
      <c r="A1533" s="1" t="s">
        <v>2409</v>
      </c>
      <c r="B1533" s="416" t="s">
        <v>8856</v>
      </c>
      <c r="AE1533" s="417" t="s">
        <v>8857</v>
      </c>
      <c r="AF1533" s="416" t="s">
        <v>8858</v>
      </c>
    </row>
    <row r="1534" spans="1:32">
      <c r="A1534" s="1" t="s">
        <v>2409</v>
      </c>
      <c r="B1534" s="416" t="s">
        <v>8859</v>
      </c>
      <c r="AE1534" s="417" t="s">
        <v>8860</v>
      </c>
      <c r="AF1534" s="416" t="s">
        <v>8861</v>
      </c>
    </row>
    <row r="1535" spans="1:32">
      <c r="A1535" s="1" t="s">
        <v>2409</v>
      </c>
      <c r="B1535" s="416" t="s">
        <v>8862</v>
      </c>
      <c r="AE1535" s="417" t="s">
        <v>8863</v>
      </c>
      <c r="AF1535" s="416" t="s">
        <v>8864</v>
      </c>
    </row>
    <row r="1536" spans="1:32">
      <c r="A1536" s="1" t="s">
        <v>2409</v>
      </c>
      <c r="B1536" s="416" t="s">
        <v>8865</v>
      </c>
      <c r="AE1536" s="417" t="s">
        <v>8866</v>
      </c>
      <c r="AF1536" s="416" t="s">
        <v>8867</v>
      </c>
    </row>
    <row r="1537" spans="1:32">
      <c r="A1537" s="1" t="s">
        <v>2409</v>
      </c>
      <c r="B1537" s="416" t="s">
        <v>8868</v>
      </c>
      <c r="AE1537" s="417" t="s">
        <v>8869</v>
      </c>
      <c r="AF1537" s="416" t="s">
        <v>8870</v>
      </c>
    </row>
    <row r="1538" spans="1:32">
      <c r="A1538" s="1" t="s">
        <v>2409</v>
      </c>
      <c r="B1538" s="416" t="s">
        <v>8871</v>
      </c>
      <c r="AE1538" s="417" t="s">
        <v>8872</v>
      </c>
      <c r="AF1538" s="416" t="s">
        <v>8873</v>
      </c>
    </row>
    <row r="1539" spans="1:32">
      <c r="A1539" s="1" t="s">
        <v>2409</v>
      </c>
      <c r="B1539" s="416" t="s">
        <v>8874</v>
      </c>
      <c r="AE1539" s="417" t="s">
        <v>8875</v>
      </c>
      <c r="AF1539" s="416" t="s">
        <v>8876</v>
      </c>
    </row>
    <row r="1540" spans="1:32">
      <c r="A1540" s="1" t="s">
        <v>2409</v>
      </c>
      <c r="B1540" s="416" t="s">
        <v>8877</v>
      </c>
      <c r="AE1540" s="417" t="s">
        <v>8878</v>
      </c>
      <c r="AF1540" s="416" t="s">
        <v>8879</v>
      </c>
    </row>
    <row r="1541" spans="1:32">
      <c r="A1541" s="1" t="s">
        <v>2421</v>
      </c>
      <c r="B1541" s="416" t="s">
        <v>8880</v>
      </c>
      <c r="AE1541" s="417" t="s">
        <v>8881</v>
      </c>
      <c r="AF1541" s="416" t="s">
        <v>8882</v>
      </c>
    </row>
    <row r="1542" spans="1:32">
      <c r="A1542" s="1" t="s">
        <v>2421</v>
      </c>
      <c r="B1542" s="416" t="s">
        <v>8883</v>
      </c>
      <c r="AE1542" s="417" t="s">
        <v>8884</v>
      </c>
      <c r="AF1542" s="416" t="s">
        <v>8885</v>
      </c>
    </row>
    <row r="1543" spans="1:32">
      <c r="A1543" s="1" t="s">
        <v>2421</v>
      </c>
      <c r="B1543" s="416" t="s">
        <v>8886</v>
      </c>
      <c r="AE1543" s="417" t="s">
        <v>8887</v>
      </c>
      <c r="AF1543" s="416" t="s">
        <v>8888</v>
      </c>
    </row>
    <row r="1544" spans="1:32">
      <c r="A1544" s="1" t="s">
        <v>2421</v>
      </c>
      <c r="B1544" s="416" t="s">
        <v>8889</v>
      </c>
      <c r="AE1544" s="417" t="s">
        <v>8890</v>
      </c>
      <c r="AF1544" s="416" t="s">
        <v>8891</v>
      </c>
    </row>
    <row r="1545" spans="1:32">
      <c r="A1545" s="1" t="s">
        <v>2421</v>
      </c>
      <c r="B1545" s="416" t="s">
        <v>8892</v>
      </c>
      <c r="AE1545" s="417" t="s">
        <v>8893</v>
      </c>
      <c r="AF1545" s="416" t="s">
        <v>8894</v>
      </c>
    </row>
    <row r="1546" spans="1:32">
      <c r="A1546" s="1" t="s">
        <v>2421</v>
      </c>
      <c r="B1546" s="416" t="s">
        <v>8895</v>
      </c>
      <c r="AE1546" s="417" t="s">
        <v>8896</v>
      </c>
      <c r="AF1546" s="416" t="s">
        <v>8897</v>
      </c>
    </row>
    <row r="1547" spans="1:32">
      <c r="A1547" s="1" t="s">
        <v>2421</v>
      </c>
      <c r="B1547" s="416" t="s">
        <v>8898</v>
      </c>
      <c r="AE1547" s="417" t="s">
        <v>8899</v>
      </c>
      <c r="AF1547" s="416" t="s">
        <v>8900</v>
      </c>
    </row>
    <row r="1548" spans="1:32">
      <c r="A1548" s="1" t="s">
        <v>2421</v>
      </c>
      <c r="B1548" s="416" t="s">
        <v>8901</v>
      </c>
      <c r="AE1548" s="417" t="s">
        <v>8902</v>
      </c>
      <c r="AF1548" s="416" t="s">
        <v>8903</v>
      </c>
    </row>
    <row r="1549" spans="1:32">
      <c r="A1549" s="1" t="s">
        <v>2421</v>
      </c>
      <c r="B1549" s="416" t="s">
        <v>8904</v>
      </c>
      <c r="AE1549" s="417" t="s">
        <v>8905</v>
      </c>
      <c r="AF1549" s="416" t="s">
        <v>8906</v>
      </c>
    </row>
    <row r="1550" spans="1:32">
      <c r="A1550" s="1" t="s">
        <v>2421</v>
      </c>
      <c r="B1550" s="416" t="s">
        <v>8907</v>
      </c>
      <c r="AE1550" s="417" t="s">
        <v>8908</v>
      </c>
      <c r="AF1550" s="416" t="s">
        <v>8909</v>
      </c>
    </row>
    <row r="1551" spans="1:32">
      <c r="A1551" s="1" t="s">
        <v>2421</v>
      </c>
      <c r="B1551" s="416" t="s">
        <v>8910</v>
      </c>
      <c r="AE1551" s="417" t="s">
        <v>8911</v>
      </c>
      <c r="AF1551" s="416" t="s">
        <v>8912</v>
      </c>
    </row>
    <row r="1552" spans="1:32">
      <c r="A1552" s="1" t="s">
        <v>2421</v>
      </c>
      <c r="B1552" s="416" t="s">
        <v>8913</v>
      </c>
      <c r="AE1552" s="417" t="s">
        <v>8914</v>
      </c>
      <c r="AF1552" s="416" t="s">
        <v>8915</v>
      </c>
    </row>
    <row r="1553" spans="1:32">
      <c r="A1553" s="1" t="s">
        <v>2421</v>
      </c>
      <c r="B1553" s="416" t="s">
        <v>8916</v>
      </c>
      <c r="AE1553" s="417" t="s">
        <v>8917</v>
      </c>
      <c r="AF1553" s="416" t="s">
        <v>8918</v>
      </c>
    </row>
    <row r="1554" spans="1:32">
      <c r="A1554" s="1" t="s">
        <v>2421</v>
      </c>
      <c r="B1554" s="416" t="s">
        <v>8919</v>
      </c>
      <c r="AE1554" s="417" t="s">
        <v>8920</v>
      </c>
      <c r="AF1554" s="416" t="s">
        <v>8921</v>
      </c>
    </row>
    <row r="1555" spans="1:32">
      <c r="A1555" s="1" t="s">
        <v>2421</v>
      </c>
      <c r="B1555" s="416" t="s">
        <v>8922</v>
      </c>
      <c r="AE1555" s="417" t="s">
        <v>8923</v>
      </c>
      <c r="AF1555" s="416" t="s">
        <v>8924</v>
      </c>
    </row>
    <row r="1556" spans="1:32">
      <c r="A1556" s="1" t="s">
        <v>2421</v>
      </c>
      <c r="B1556" s="416" t="s">
        <v>8925</v>
      </c>
      <c r="AE1556" s="417" t="s">
        <v>8926</v>
      </c>
      <c r="AF1556" s="416" t="s">
        <v>8927</v>
      </c>
    </row>
    <row r="1557" spans="1:32">
      <c r="A1557" s="1" t="s">
        <v>2421</v>
      </c>
      <c r="B1557" s="416" t="s">
        <v>8928</v>
      </c>
      <c r="AE1557" s="417" t="s">
        <v>8929</v>
      </c>
      <c r="AF1557" s="416" t="s">
        <v>8930</v>
      </c>
    </row>
    <row r="1558" spans="1:32">
      <c r="A1558" s="1" t="s">
        <v>2421</v>
      </c>
      <c r="B1558" s="416" t="s">
        <v>8931</v>
      </c>
      <c r="AE1558" s="417" t="s">
        <v>8932</v>
      </c>
      <c r="AF1558" s="416" t="s">
        <v>8933</v>
      </c>
    </row>
    <row r="1559" spans="1:32">
      <c r="A1559" s="1" t="s">
        <v>2421</v>
      </c>
      <c r="B1559" s="416" t="s">
        <v>8934</v>
      </c>
      <c r="AE1559" s="417" t="s">
        <v>8935</v>
      </c>
      <c r="AF1559" s="416" t="s">
        <v>8936</v>
      </c>
    </row>
    <row r="1560" spans="1:32">
      <c r="A1560" s="1" t="s">
        <v>2421</v>
      </c>
      <c r="B1560" s="416" t="s">
        <v>8937</v>
      </c>
      <c r="AE1560" s="417" t="s">
        <v>8938</v>
      </c>
      <c r="AF1560" s="416" t="s">
        <v>8939</v>
      </c>
    </row>
    <row r="1561" spans="1:32">
      <c r="A1561" s="1" t="s">
        <v>2421</v>
      </c>
      <c r="B1561" s="416" t="s">
        <v>8940</v>
      </c>
      <c r="AE1561" s="417" t="s">
        <v>8941</v>
      </c>
      <c r="AF1561" s="416" t="s">
        <v>8942</v>
      </c>
    </row>
    <row r="1562" spans="1:32">
      <c r="A1562" s="1" t="s">
        <v>2421</v>
      </c>
      <c r="B1562" s="416" t="s">
        <v>8943</v>
      </c>
      <c r="AE1562" s="417" t="s">
        <v>8944</v>
      </c>
      <c r="AF1562" s="416" t="s">
        <v>8945</v>
      </c>
    </row>
    <row r="1563" spans="1:32">
      <c r="A1563" s="1" t="s">
        <v>2421</v>
      </c>
      <c r="B1563" s="416" t="s">
        <v>8946</v>
      </c>
      <c r="AE1563" s="417" t="s">
        <v>8947</v>
      </c>
      <c r="AF1563" s="416" t="s">
        <v>8948</v>
      </c>
    </row>
    <row r="1564" spans="1:32">
      <c r="A1564" s="1" t="s">
        <v>2421</v>
      </c>
      <c r="B1564" s="416" t="s">
        <v>8949</v>
      </c>
      <c r="AE1564" s="417" t="s">
        <v>8950</v>
      </c>
      <c r="AF1564" s="416" t="s">
        <v>8951</v>
      </c>
    </row>
    <row r="1565" spans="1:32">
      <c r="A1565" s="1" t="s">
        <v>2421</v>
      </c>
      <c r="B1565" s="416" t="s">
        <v>8952</v>
      </c>
      <c r="AE1565" s="417" t="s">
        <v>8953</v>
      </c>
      <c r="AF1565" s="416" t="s">
        <v>8954</v>
      </c>
    </row>
    <row r="1566" spans="1:32">
      <c r="A1566" s="1" t="s">
        <v>2421</v>
      </c>
      <c r="B1566" s="416" t="s">
        <v>8955</v>
      </c>
      <c r="AE1566" s="417" t="s">
        <v>8956</v>
      </c>
      <c r="AF1566" s="416" t="s">
        <v>8957</v>
      </c>
    </row>
    <row r="1567" spans="1:32">
      <c r="A1567" s="1" t="s">
        <v>2421</v>
      </c>
      <c r="B1567" s="416" t="s">
        <v>8958</v>
      </c>
      <c r="AE1567" s="417" t="s">
        <v>8959</v>
      </c>
      <c r="AF1567" s="416" t="s">
        <v>8960</v>
      </c>
    </row>
    <row r="1568" spans="1:32">
      <c r="A1568" s="1" t="s">
        <v>2435</v>
      </c>
      <c r="B1568" s="416" t="s">
        <v>8961</v>
      </c>
      <c r="AE1568" s="417" t="s">
        <v>8962</v>
      </c>
      <c r="AF1568" s="416" t="s">
        <v>8963</v>
      </c>
    </row>
    <row r="1569" spans="1:32">
      <c r="A1569" s="1" t="s">
        <v>2435</v>
      </c>
      <c r="B1569" s="416" t="s">
        <v>8964</v>
      </c>
      <c r="AE1569" s="417" t="s">
        <v>8965</v>
      </c>
      <c r="AF1569" s="416" t="s">
        <v>8966</v>
      </c>
    </row>
    <row r="1570" spans="1:32">
      <c r="A1570" s="1" t="s">
        <v>2435</v>
      </c>
      <c r="B1570" s="416" t="s">
        <v>8967</v>
      </c>
      <c r="AE1570" s="417" t="s">
        <v>8968</v>
      </c>
      <c r="AF1570" s="416" t="s">
        <v>8969</v>
      </c>
    </row>
    <row r="1571" spans="1:32">
      <c r="A1571" s="1" t="s">
        <v>2435</v>
      </c>
      <c r="B1571" s="416" t="s">
        <v>8970</v>
      </c>
      <c r="AE1571" s="417" t="s">
        <v>8971</v>
      </c>
      <c r="AF1571" s="416" t="s">
        <v>8972</v>
      </c>
    </row>
    <row r="1572" spans="1:32">
      <c r="A1572" s="1" t="s">
        <v>2435</v>
      </c>
      <c r="B1572" s="416" t="s">
        <v>8973</v>
      </c>
      <c r="AE1572" s="417" t="s">
        <v>8974</v>
      </c>
      <c r="AF1572" s="416" t="s">
        <v>8975</v>
      </c>
    </row>
    <row r="1573" spans="1:32">
      <c r="A1573" s="1" t="s">
        <v>2435</v>
      </c>
      <c r="B1573" s="416" t="s">
        <v>8976</v>
      </c>
      <c r="AE1573" s="417" t="s">
        <v>8977</v>
      </c>
      <c r="AF1573" s="416" t="s">
        <v>8978</v>
      </c>
    </row>
    <row r="1574" spans="1:32">
      <c r="A1574" s="1" t="s">
        <v>2435</v>
      </c>
      <c r="B1574" s="416" t="s">
        <v>8979</v>
      </c>
      <c r="AE1574" s="417" t="s">
        <v>8980</v>
      </c>
      <c r="AF1574" s="416" t="s">
        <v>8981</v>
      </c>
    </row>
    <row r="1575" spans="1:32">
      <c r="A1575" s="1" t="s">
        <v>2435</v>
      </c>
      <c r="B1575" s="416" t="s">
        <v>8982</v>
      </c>
      <c r="AE1575" s="417" t="s">
        <v>8983</v>
      </c>
      <c r="AF1575" s="416" t="s">
        <v>8984</v>
      </c>
    </row>
    <row r="1576" spans="1:32">
      <c r="A1576" s="1" t="s">
        <v>2435</v>
      </c>
      <c r="B1576" s="416" t="s">
        <v>8985</v>
      </c>
      <c r="AE1576" s="417" t="s">
        <v>8986</v>
      </c>
      <c r="AF1576" s="416" t="s">
        <v>8987</v>
      </c>
    </row>
    <row r="1577" spans="1:32">
      <c r="A1577" s="1" t="s">
        <v>2435</v>
      </c>
      <c r="B1577" s="416" t="s">
        <v>8988</v>
      </c>
      <c r="AE1577" s="417" t="s">
        <v>8989</v>
      </c>
      <c r="AF1577" s="416" t="s">
        <v>8990</v>
      </c>
    </row>
    <row r="1578" spans="1:32">
      <c r="A1578" s="1" t="s">
        <v>2435</v>
      </c>
      <c r="B1578" s="416" t="s">
        <v>8991</v>
      </c>
      <c r="AE1578" s="417" t="s">
        <v>8992</v>
      </c>
      <c r="AF1578" s="416" t="s">
        <v>8993</v>
      </c>
    </row>
    <row r="1579" spans="1:32">
      <c r="A1579" s="1" t="s">
        <v>2435</v>
      </c>
      <c r="B1579" s="416" t="s">
        <v>8994</v>
      </c>
      <c r="AE1579" s="417" t="s">
        <v>8995</v>
      </c>
      <c r="AF1579" s="416" t="s">
        <v>8996</v>
      </c>
    </row>
    <row r="1580" spans="1:32">
      <c r="A1580" s="1" t="s">
        <v>2435</v>
      </c>
      <c r="B1580" s="416" t="s">
        <v>8997</v>
      </c>
      <c r="AE1580" s="417" t="s">
        <v>8998</v>
      </c>
      <c r="AF1580" s="416" t="s">
        <v>8999</v>
      </c>
    </row>
    <row r="1581" spans="1:32">
      <c r="A1581" s="1" t="s">
        <v>2435</v>
      </c>
      <c r="B1581" s="416" t="s">
        <v>9000</v>
      </c>
      <c r="AE1581" s="417" t="s">
        <v>9001</v>
      </c>
      <c r="AF1581" s="416" t="s">
        <v>9002</v>
      </c>
    </row>
    <row r="1582" spans="1:32">
      <c r="A1582" s="1" t="s">
        <v>2435</v>
      </c>
      <c r="B1582" s="416" t="s">
        <v>9003</v>
      </c>
      <c r="AE1582" s="417" t="s">
        <v>9004</v>
      </c>
      <c r="AF1582" s="416" t="s">
        <v>9005</v>
      </c>
    </row>
    <row r="1583" spans="1:32">
      <c r="A1583" s="1" t="s">
        <v>2435</v>
      </c>
      <c r="B1583" s="416" t="s">
        <v>9006</v>
      </c>
      <c r="AE1583" s="417" t="s">
        <v>9007</v>
      </c>
      <c r="AF1583" s="416" t="s">
        <v>9008</v>
      </c>
    </row>
    <row r="1584" spans="1:32">
      <c r="A1584" s="1" t="s">
        <v>2435</v>
      </c>
      <c r="B1584" s="416" t="s">
        <v>9009</v>
      </c>
      <c r="AE1584" s="417" t="s">
        <v>9010</v>
      </c>
      <c r="AF1584" s="416" t="s">
        <v>9011</v>
      </c>
    </row>
    <row r="1585" spans="1:32">
      <c r="A1585" s="1" t="s">
        <v>2435</v>
      </c>
      <c r="B1585" s="416" t="s">
        <v>9012</v>
      </c>
      <c r="AE1585" s="417" t="s">
        <v>9013</v>
      </c>
      <c r="AF1585" s="416" t="s">
        <v>9014</v>
      </c>
    </row>
    <row r="1586" spans="1:32">
      <c r="A1586" s="1" t="s">
        <v>2435</v>
      </c>
      <c r="B1586" s="416" t="s">
        <v>9015</v>
      </c>
      <c r="AE1586" s="417" t="s">
        <v>9016</v>
      </c>
      <c r="AF1586" s="416" t="s">
        <v>9017</v>
      </c>
    </row>
    <row r="1587" spans="1:32">
      <c r="A1587" s="1" t="s">
        <v>2435</v>
      </c>
      <c r="B1587" s="416" t="s">
        <v>9018</v>
      </c>
      <c r="AE1587" s="417" t="s">
        <v>9019</v>
      </c>
      <c r="AF1587" s="416" t="s">
        <v>9020</v>
      </c>
    </row>
    <row r="1588" spans="1:32">
      <c r="A1588" s="1" t="s">
        <v>2435</v>
      </c>
      <c r="B1588" s="416" t="s">
        <v>9021</v>
      </c>
      <c r="AE1588" s="417" t="s">
        <v>9022</v>
      </c>
      <c r="AF1588" s="416" t="s">
        <v>9023</v>
      </c>
    </row>
    <row r="1589" spans="1:32">
      <c r="A1589" s="1" t="s">
        <v>2435</v>
      </c>
      <c r="B1589" s="416" t="s">
        <v>9024</v>
      </c>
      <c r="AE1589" s="417" t="s">
        <v>9025</v>
      </c>
      <c r="AF1589" s="416" t="s">
        <v>9026</v>
      </c>
    </row>
    <row r="1590" spans="1:32">
      <c r="A1590" s="1" t="s">
        <v>2449</v>
      </c>
      <c r="B1590" s="416" t="s">
        <v>9027</v>
      </c>
      <c r="AE1590" s="417" t="s">
        <v>9028</v>
      </c>
      <c r="AF1590" s="416" t="s">
        <v>9029</v>
      </c>
    </row>
    <row r="1591" spans="1:32">
      <c r="A1591" s="1" t="s">
        <v>2449</v>
      </c>
      <c r="B1591" s="416" t="s">
        <v>9030</v>
      </c>
      <c r="AE1591" s="417" t="s">
        <v>9031</v>
      </c>
      <c r="AF1591" s="416" t="s">
        <v>9032</v>
      </c>
    </row>
    <row r="1592" spans="1:32">
      <c r="A1592" s="1" t="s">
        <v>2449</v>
      </c>
      <c r="B1592" s="416" t="s">
        <v>9033</v>
      </c>
      <c r="AE1592" s="417" t="s">
        <v>9034</v>
      </c>
      <c r="AF1592" s="416" t="s">
        <v>9035</v>
      </c>
    </row>
    <row r="1593" spans="1:32">
      <c r="A1593" s="1" t="s">
        <v>2449</v>
      </c>
      <c r="B1593" s="416" t="s">
        <v>9036</v>
      </c>
      <c r="AE1593" s="417" t="s">
        <v>9037</v>
      </c>
      <c r="AF1593" s="416" t="s">
        <v>9038</v>
      </c>
    </row>
    <row r="1594" spans="1:32">
      <c r="A1594" s="1" t="s">
        <v>2449</v>
      </c>
      <c r="B1594" s="416" t="s">
        <v>7455</v>
      </c>
      <c r="AE1594" s="417" t="s">
        <v>9039</v>
      </c>
      <c r="AF1594" s="416" t="s">
        <v>9040</v>
      </c>
    </row>
    <row r="1595" spans="1:32">
      <c r="A1595" s="1" t="s">
        <v>2449</v>
      </c>
      <c r="B1595" s="416" t="s">
        <v>9041</v>
      </c>
      <c r="AE1595" s="417" t="s">
        <v>9042</v>
      </c>
      <c r="AF1595" s="416" t="s">
        <v>9043</v>
      </c>
    </row>
    <row r="1596" spans="1:32">
      <c r="A1596" s="1" t="s">
        <v>2449</v>
      </c>
      <c r="B1596" s="416" t="s">
        <v>9044</v>
      </c>
      <c r="AE1596" s="417" t="s">
        <v>9045</v>
      </c>
      <c r="AF1596" s="416" t="s">
        <v>9046</v>
      </c>
    </row>
    <row r="1597" spans="1:32">
      <c r="A1597" s="1" t="s">
        <v>2449</v>
      </c>
      <c r="B1597" s="416" t="s">
        <v>9047</v>
      </c>
      <c r="AE1597" s="417" t="s">
        <v>9048</v>
      </c>
      <c r="AF1597" s="416" t="s">
        <v>9049</v>
      </c>
    </row>
    <row r="1598" spans="1:32">
      <c r="A1598" s="1" t="s">
        <v>2449</v>
      </c>
      <c r="B1598" s="416" t="s">
        <v>9050</v>
      </c>
      <c r="AE1598" s="417" t="s">
        <v>9051</v>
      </c>
      <c r="AF1598" s="416" t="s">
        <v>9052</v>
      </c>
    </row>
    <row r="1599" spans="1:32">
      <c r="A1599" s="1" t="s">
        <v>2462</v>
      </c>
      <c r="B1599" s="416" t="s">
        <v>9053</v>
      </c>
      <c r="AE1599" s="417" t="s">
        <v>9054</v>
      </c>
      <c r="AF1599" s="416" t="s">
        <v>9055</v>
      </c>
    </row>
    <row r="1600" spans="1:32">
      <c r="A1600" s="1" t="s">
        <v>2462</v>
      </c>
      <c r="B1600" s="416" t="s">
        <v>9056</v>
      </c>
      <c r="AE1600" s="417" t="s">
        <v>9057</v>
      </c>
      <c r="AF1600" s="416" t="s">
        <v>9058</v>
      </c>
    </row>
    <row r="1601" spans="1:32">
      <c r="A1601" s="1" t="s">
        <v>2462</v>
      </c>
      <c r="B1601" s="416" t="s">
        <v>7132</v>
      </c>
      <c r="AE1601" s="417" t="s">
        <v>9059</v>
      </c>
      <c r="AF1601" s="416" t="s">
        <v>9060</v>
      </c>
    </row>
    <row r="1602" spans="1:32">
      <c r="A1602" s="1" t="s">
        <v>2462</v>
      </c>
      <c r="B1602" s="416" t="s">
        <v>9061</v>
      </c>
      <c r="AE1602" s="417" t="s">
        <v>9062</v>
      </c>
      <c r="AF1602" s="416" t="s">
        <v>9063</v>
      </c>
    </row>
    <row r="1603" spans="1:32">
      <c r="A1603" s="1" t="s">
        <v>2462</v>
      </c>
      <c r="B1603" s="416" t="s">
        <v>9064</v>
      </c>
      <c r="AE1603" s="417" t="s">
        <v>9065</v>
      </c>
      <c r="AF1603" s="416" t="s">
        <v>9066</v>
      </c>
    </row>
    <row r="1604" spans="1:32">
      <c r="A1604" s="1" t="s">
        <v>2462</v>
      </c>
      <c r="B1604" s="416" t="s">
        <v>9067</v>
      </c>
      <c r="AE1604" s="417" t="s">
        <v>9068</v>
      </c>
      <c r="AF1604" s="416" t="s">
        <v>9069</v>
      </c>
    </row>
    <row r="1605" spans="1:32">
      <c r="A1605" s="1" t="s">
        <v>2462</v>
      </c>
      <c r="B1605" s="416" t="s">
        <v>9070</v>
      </c>
      <c r="AE1605" s="417" t="s">
        <v>9071</v>
      </c>
      <c r="AF1605" s="416" t="s">
        <v>9072</v>
      </c>
    </row>
    <row r="1606" spans="1:32">
      <c r="A1606" s="1" t="s">
        <v>2462</v>
      </c>
      <c r="B1606" s="416" t="s">
        <v>9073</v>
      </c>
      <c r="AE1606" s="417" t="s">
        <v>9074</v>
      </c>
      <c r="AF1606" s="416" t="s">
        <v>9075</v>
      </c>
    </row>
    <row r="1607" spans="1:32">
      <c r="A1607" s="1" t="s">
        <v>2462</v>
      </c>
      <c r="B1607" s="416" t="s">
        <v>9076</v>
      </c>
      <c r="AE1607" s="417" t="s">
        <v>9077</v>
      </c>
      <c r="AF1607" s="416" t="s">
        <v>9078</v>
      </c>
    </row>
    <row r="1608" spans="1:32">
      <c r="A1608" s="1" t="s">
        <v>2462</v>
      </c>
      <c r="B1608" s="416" t="s">
        <v>9079</v>
      </c>
      <c r="AE1608" s="417" t="s">
        <v>9080</v>
      </c>
      <c r="AF1608" s="416" t="s">
        <v>9081</v>
      </c>
    </row>
    <row r="1609" spans="1:32">
      <c r="A1609" s="1" t="s">
        <v>2476</v>
      </c>
      <c r="B1609" s="416" t="s">
        <v>9082</v>
      </c>
      <c r="AE1609" s="417" t="s">
        <v>9083</v>
      </c>
      <c r="AF1609" s="416" t="s">
        <v>9084</v>
      </c>
    </row>
    <row r="1610" spans="1:32">
      <c r="A1610" s="1" t="s">
        <v>2476</v>
      </c>
      <c r="B1610" s="416" t="s">
        <v>9085</v>
      </c>
      <c r="AE1610" s="417" t="s">
        <v>9086</v>
      </c>
      <c r="AF1610" s="416" t="s">
        <v>9087</v>
      </c>
    </row>
    <row r="1611" spans="1:32">
      <c r="A1611" s="1" t="s">
        <v>2476</v>
      </c>
      <c r="B1611" s="416" t="s">
        <v>9088</v>
      </c>
      <c r="AE1611" s="417" t="s">
        <v>9089</v>
      </c>
      <c r="AF1611" s="416" t="s">
        <v>9090</v>
      </c>
    </row>
    <row r="1612" spans="1:32">
      <c r="A1612" s="1" t="s">
        <v>2476</v>
      </c>
      <c r="B1612" s="416" t="s">
        <v>7132</v>
      </c>
      <c r="AE1612" s="417" t="s">
        <v>9091</v>
      </c>
      <c r="AF1612" s="416" t="s">
        <v>9092</v>
      </c>
    </row>
    <row r="1613" spans="1:32">
      <c r="A1613" s="1" t="s">
        <v>2476</v>
      </c>
      <c r="B1613" s="416" t="s">
        <v>9093</v>
      </c>
      <c r="AE1613" s="417" t="s">
        <v>9094</v>
      </c>
      <c r="AF1613" s="416" t="s">
        <v>9095</v>
      </c>
    </row>
    <row r="1614" spans="1:32">
      <c r="A1614" s="1" t="s">
        <v>2476</v>
      </c>
      <c r="B1614" s="416" t="s">
        <v>9096</v>
      </c>
      <c r="AE1614" s="417" t="s">
        <v>9097</v>
      </c>
      <c r="AF1614" s="416" t="s">
        <v>9098</v>
      </c>
    </row>
    <row r="1615" spans="1:32">
      <c r="A1615" s="1" t="s">
        <v>2476</v>
      </c>
      <c r="B1615" s="416" t="s">
        <v>9099</v>
      </c>
      <c r="AE1615" s="417" t="s">
        <v>9100</v>
      </c>
      <c r="AF1615" s="416" t="s">
        <v>9101</v>
      </c>
    </row>
    <row r="1616" spans="1:32">
      <c r="A1616" s="1" t="s">
        <v>2476</v>
      </c>
      <c r="B1616" s="416" t="s">
        <v>9102</v>
      </c>
      <c r="AE1616" s="417" t="s">
        <v>9103</v>
      </c>
      <c r="AF1616" s="416" t="s">
        <v>9104</v>
      </c>
    </row>
    <row r="1617" spans="1:32">
      <c r="A1617" s="1" t="s">
        <v>2490</v>
      </c>
      <c r="B1617" s="416" t="s">
        <v>9105</v>
      </c>
      <c r="AE1617" s="417" t="s">
        <v>9106</v>
      </c>
      <c r="AF1617" s="416" t="s">
        <v>9107</v>
      </c>
    </row>
    <row r="1618" spans="1:32">
      <c r="A1618" s="1" t="s">
        <v>2490</v>
      </c>
      <c r="B1618" s="416" t="s">
        <v>9108</v>
      </c>
      <c r="AE1618" s="417" t="s">
        <v>9109</v>
      </c>
      <c r="AF1618" s="416" t="s">
        <v>9110</v>
      </c>
    </row>
    <row r="1619" spans="1:32">
      <c r="A1619" s="1" t="s">
        <v>2490</v>
      </c>
      <c r="B1619" s="416" t="s">
        <v>9111</v>
      </c>
      <c r="AE1619" s="417" t="s">
        <v>9112</v>
      </c>
      <c r="AF1619" s="416" t="s">
        <v>9113</v>
      </c>
    </row>
    <row r="1620" spans="1:32">
      <c r="A1620" s="1" t="s">
        <v>2490</v>
      </c>
      <c r="B1620" s="416" t="s">
        <v>9114</v>
      </c>
      <c r="AE1620" s="417" t="s">
        <v>9115</v>
      </c>
      <c r="AF1620" s="416" t="s">
        <v>9116</v>
      </c>
    </row>
    <row r="1621" spans="1:32">
      <c r="A1621" s="1" t="s">
        <v>2490</v>
      </c>
      <c r="B1621" s="416" t="s">
        <v>9117</v>
      </c>
      <c r="AE1621" s="417" t="s">
        <v>9118</v>
      </c>
      <c r="AF1621" s="416" t="s">
        <v>9119</v>
      </c>
    </row>
    <row r="1622" spans="1:32">
      <c r="A1622" s="1" t="s">
        <v>2490</v>
      </c>
      <c r="B1622" s="416" t="s">
        <v>9120</v>
      </c>
      <c r="AE1622" s="417" t="s">
        <v>9121</v>
      </c>
      <c r="AF1622" s="416" t="s">
        <v>9122</v>
      </c>
    </row>
    <row r="1623" spans="1:32">
      <c r="A1623" s="1" t="s">
        <v>2490</v>
      </c>
      <c r="B1623" s="416" t="s">
        <v>9123</v>
      </c>
      <c r="AE1623" s="417" t="s">
        <v>9124</v>
      </c>
      <c r="AF1623" s="416" t="s">
        <v>9125</v>
      </c>
    </row>
    <row r="1624" spans="1:32">
      <c r="A1624" s="1" t="s">
        <v>2503</v>
      </c>
      <c r="B1624" s="416" t="s">
        <v>9126</v>
      </c>
      <c r="AE1624" s="417" t="s">
        <v>9127</v>
      </c>
      <c r="AF1624" s="416" t="s">
        <v>9128</v>
      </c>
    </row>
    <row r="1625" spans="1:32">
      <c r="A1625" s="1" t="s">
        <v>2503</v>
      </c>
      <c r="B1625" s="416" t="s">
        <v>9129</v>
      </c>
      <c r="AE1625" s="417" t="s">
        <v>9130</v>
      </c>
      <c r="AF1625" s="416" t="s">
        <v>9131</v>
      </c>
    </row>
    <row r="1626" spans="1:32">
      <c r="A1626" s="1" t="s">
        <v>2503</v>
      </c>
      <c r="B1626" s="416" t="s">
        <v>9132</v>
      </c>
      <c r="AE1626" s="417" t="s">
        <v>9133</v>
      </c>
      <c r="AF1626" s="416" t="s">
        <v>9134</v>
      </c>
    </row>
    <row r="1627" spans="1:32">
      <c r="A1627" s="1" t="s">
        <v>2503</v>
      </c>
      <c r="B1627" s="416" t="s">
        <v>9135</v>
      </c>
      <c r="AE1627" s="417" t="s">
        <v>9136</v>
      </c>
      <c r="AF1627" s="416" t="s">
        <v>9137</v>
      </c>
    </row>
    <row r="1628" spans="1:32">
      <c r="A1628" s="1" t="s">
        <v>2503</v>
      </c>
      <c r="B1628" s="416" t="s">
        <v>9138</v>
      </c>
      <c r="AE1628" s="417" t="s">
        <v>9139</v>
      </c>
      <c r="AF1628" s="416" t="s">
        <v>9140</v>
      </c>
    </row>
    <row r="1629" spans="1:32">
      <c r="A1629" s="1" t="s">
        <v>2503</v>
      </c>
      <c r="B1629" s="416" t="s">
        <v>9141</v>
      </c>
      <c r="AE1629" s="417" t="s">
        <v>9142</v>
      </c>
      <c r="AF1629" s="416" t="s">
        <v>9143</v>
      </c>
    </row>
    <row r="1630" spans="1:32">
      <c r="A1630" s="1" t="s">
        <v>2503</v>
      </c>
      <c r="B1630" s="416" t="s">
        <v>9144</v>
      </c>
      <c r="AE1630" s="417" t="s">
        <v>9145</v>
      </c>
      <c r="AF1630" s="416" t="s">
        <v>9146</v>
      </c>
    </row>
    <row r="1631" spans="1:32">
      <c r="A1631" s="1" t="s">
        <v>2503</v>
      </c>
      <c r="B1631" s="416" t="s">
        <v>9147</v>
      </c>
      <c r="AE1631" s="417" t="s">
        <v>9148</v>
      </c>
      <c r="AF1631" s="416" t="s">
        <v>9149</v>
      </c>
    </row>
    <row r="1632" spans="1:32">
      <c r="A1632" s="1" t="s">
        <v>2515</v>
      </c>
      <c r="B1632" s="416" t="s">
        <v>9150</v>
      </c>
      <c r="AE1632" s="417" t="s">
        <v>9151</v>
      </c>
      <c r="AF1632" s="416" t="s">
        <v>9152</v>
      </c>
    </row>
    <row r="1633" spans="1:32">
      <c r="A1633" s="1" t="s">
        <v>2515</v>
      </c>
      <c r="B1633" s="416" t="s">
        <v>9153</v>
      </c>
      <c r="AE1633" s="417" t="s">
        <v>9154</v>
      </c>
      <c r="AF1633" s="416" t="s">
        <v>9155</v>
      </c>
    </row>
    <row r="1634" spans="1:32">
      <c r="A1634" s="1" t="s">
        <v>2515</v>
      </c>
      <c r="B1634" s="416" t="s">
        <v>9156</v>
      </c>
      <c r="AE1634" s="417" t="s">
        <v>9157</v>
      </c>
      <c r="AF1634" s="416" t="s">
        <v>9158</v>
      </c>
    </row>
    <row r="1635" spans="1:32">
      <c r="A1635" s="1" t="s">
        <v>2515</v>
      </c>
      <c r="B1635" s="416" t="s">
        <v>9159</v>
      </c>
      <c r="AE1635" s="417" t="s">
        <v>9160</v>
      </c>
      <c r="AF1635" s="416" t="s">
        <v>9161</v>
      </c>
    </row>
    <row r="1636" spans="1:32">
      <c r="A1636" s="1" t="s">
        <v>2515</v>
      </c>
      <c r="B1636" s="416" t="s">
        <v>8200</v>
      </c>
      <c r="AE1636" s="417" t="s">
        <v>9162</v>
      </c>
      <c r="AF1636" s="416" t="s">
        <v>9163</v>
      </c>
    </row>
    <row r="1637" spans="1:32">
      <c r="A1637" s="1" t="s">
        <v>2515</v>
      </c>
      <c r="B1637" s="416" t="s">
        <v>9164</v>
      </c>
      <c r="AE1637" s="417" t="s">
        <v>9165</v>
      </c>
      <c r="AF1637" s="416" t="s">
        <v>9166</v>
      </c>
    </row>
    <row r="1638" spans="1:32">
      <c r="A1638" s="1" t="s">
        <v>2515</v>
      </c>
      <c r="B1638" s="416" t="s">
        <v>9167</v>
      </c>
      <c r="AE1638" s="417" t="s">
        <v>9168</v>
      </c>
      <c r="AF1638" s="416" t="s">
        <v>9169</v>
      </c>
    </row>
    <row r="1639" spans="1:32">
      <c r="A1639" s="1" t="s">
        <v>2515</v>
      </c>
      <c r="B1639" s="416" t="s">
        <v>9170</v>
      </c>
      <c r="AE1639" s="417" t="s">
        <v>9171</v>
      </c>
      <c r="AF1639" s="416" t="s">
        <v>9172</v>
      </c>
    </row>
    <row r="1640" spans="1:32">
      <c r="A1640" s="1" t="s">
        <v>2515</v>
      </c>
      <c r="B1640" s="416" t="s">
        <v>9173</v>
      </c>
      <c r="AE1640" s="417" t="s">
        <v>9174</v>
      </c>
      <c r="AF1640" s="416" t="s">
        <v>9175</v>
      </c>
    </row>
    <row r="1641" spans="1:32">
      <c r="A1641" s="1" t="s">
        <v>2528</v>
      </c>
      <c r="B1641" s="416" t="s">
        <v>9176</v>
      </c>
      <c r="AE1641" s="417" t="s">
        <v>9177</v>
      </c>
      <c r="AF1641" s="416" t="s">
        <v>9178</v>
      </c>
    </row>
    <row r="1642" spans="1:32">
      <c r="A1642" s="1" t="s">
        <v>2528</v>
      </c>
      <c r="B1642" s="416" t="s">
        <v>9179</v>
      </c>
      <c r="AE1642" s="417" t="s">
        <v>9180</v>
      </c>
      <c r="AF1642" s="416" t="s">
        <v>9181</v>
      </c>
    </row>
    <row r="1643" spans="1:32">
      <c r="A1643" s="1" t="s">
        <v>2528</v>
      </c>
      <c r="B1643" s="416" t="s">
        <v>9182</v>
      </c>
      <c r="AE1643" s="417" t="s">
        <v>9183</v>
      </c>
      <c r="AF1643" s="416" t="s">
        <v>9184</v>
      </c>
    </row>
    <row r="1644" spans="1:32">
      <c r="A1644" s="1" t="s">
        <v>2528</v>
      </c>
      <c r="B1644" s="416" t="s">
        <v>9185</v>
      </c>
      <c r="AE1644" s="417" t="s">
        <v>9186</v>
      </c>
      <c r="AF1644" s="416" t="s">
        <v>9187</v>
      </c>
    </row>
    <row r="1645" spans="1:32">
      <c r="A1645" s="1" t="s">
        <v>2528</v>
      </c>
      <c r="B1645" s="416" t="s">
        <v>9188</v>
      </c>
      <c r="AE1645" s="417" t="s">
        <v>9189</v>
      </c>
      <c r="AF1645" s="416" t="s">
        <v>9190</v>
      </c>
    </row>
    <row r="1646" spans="1:32">
      <c r="A1646" s="1" t="s">
        <v>2528</v>
      </c>
      <c r="B1646" s="416" t="s">
        <v>9191</v>
      </c>
      <c r="AE1646" s="417" t="s">
        <v>9192</v>
      </c>
      <c r="AF1646" s="416" t="s">
        <v>9193</v>
      </c>
    </row>
    <row r="1647" spans="1:32">
      <c r="A1647" s="1" t="s">
        <v>2528</v>
      </c>
      <c r="B1647" s="416" t="s">
        <v>9194</v>
      </c>
      <c r="AE1647" s="417" t="s">
        <v>9195</v>
      </c>
      <c r="AF1647" s="416" t="s">
        <v>9196</v>
      </c>
    </row>
    <row r="1648" spans="1:32">
      <c r="A1648" s="1" t="s">
        <v>2528</v>
      </c>
      <c r="B1648" s="416" t="s">
        <v>9197</v>
      </c>
      <c r="AE1648" s="417" t="s">
        <v>9198</v>
      </c>
      <c r="AF1648" s="416" t="s">
        <v>9199</v>
      </c>
    </row>
    <row r="1649" spans="1:32">
      <c r="A1649" s="1" t="s">
        <v>2528</v>
      </c>
      <c r="B1649" s="416" t="s">
        <v>9200</v>
      </c>
      <c r="AE1649" s="417" t="s">
        <v>9201</v>
      </c>
      <c r="AF1649" s="416" t="s">
        <v>9202</v>
      </c>
    </row>
    <row r="1650" spans="1:32">
      <c r="AE1650" s="417" t="s">
        <v>9203</v>
      </c>
      <c r="AF1650" s="416" t="s">
        <v>9204</v>
      </c>
    </row>
    <row r="1651" spans="1:32">
      <c r="AE1651" s="417" t="s">
        <v>9205</v>
      </c>
      <c r="AF1651" s="416" t="s">
        <v>9206</v>
      </c>
    </row>
    <row r="1652" spans="1:32">
      <c r="AE1652" s="417" t="s">
        <v>9207</v>
      </c>
      <c r="AF1652" s="416" t="s">
        <v>9208</v>
      </c>
    </row>
    <row r="1653" spans="1:32">
      <c r="AE1653" s="417" t="s">
        <v>9209</v>
      </c>
      <c r="AF1653" s="416" t="s">
        <v>9210</v>
      </c>
    </row>
    <row r="1654" spans="1:32">
      <c r="AE1654" s="417" t="s">
        <v>9211</v>
      </c>
      <c r="AF1654" s="416" t="s">
        <v>9212</v>
      </c>
    </row>
    <row r="1655" spans="1:32">
      <c r="AE1655" s="417" t="s">
        <v>9213</v>
      </c>
      <c r="AF1655" s="416" t="s">
        <v>9214</v>
      </c>
    </row>
    <row r="1656" spans="1:32">
      <c r="AE1656" s="417" t="s">
        <v>9215</v>
      </c>
      <c r="AF1656" s="416" t="s">
        <v>9216</v>
      </c>
    </row>
    <row r="1657" spans="1:32">
      <c r="AE1657" s="417" t="s">
        <v>9217</v>
      </c>
      <c r="AF1657" s="416" t="s">
        <v>9218</v>
      </c>
    </row>
    <row r="1658" spans="1:32">
      <c r="AE1658" s="417" t="s">
        <v>9219</v>
      </c>
      <c r="AF1658" s="416" t="s">
        <v>9220</v>
      </c>
    </row>
    <row r="1659" spans="1:32">
      <c r="AE1659" s="417" t="s">
        <v>9221</v>
      </c>
      <c r="AF1659" s="416" t="s">
        <v>9222</v>
      </c>
    </row>
    <row r="1660" spans="1:32">
      <c r="AE1660" s="417" t="s">
        <v>9223</v>
      </c>
      <c r="AF1660" s="416" t="s">
        <v>9224</v>
      </c>
    </row>
    <row r="1661" spans="1:32">
      <c r="AE1661" s="417" t="s">
        <v>9225</v>
      </c>
      <c r="AF1661" s="416" t="s">
        <v>9226</v>
      </c>
    </row>
    <row r="1662" spans="1:32">
      <c r="AE1662" s="417" t="s">
        <v>9227</v>
      </c>
      <c r="AF1662" s="416" t="s">
        <v>9228</v>
      </c>
    </row>
    <row r="1663" spans="1:32">
      <c r="AE1663" s="417" t="s">
        <v>9229</v>
      </c>
      <c r="AF1663" s="416" t="s">
        <v>9230</v>
      </c>
    </row>
    <row r="1664" spans="1:32">
      <c r="AE1664" s="417" t="s">
        <v>9231</v>
      </c>
      <c r="AF1664" s="416" t="s">
        <v>9232</v>
      </c>
    </row>
    <row r="1665" spans="31:32">
      <c r="AE1665" s="417" t="s">
        <v>9233</v>
      </c>
      <c r="AF1665" s="416" t="s">
        <v>9234</v>
      </c>
    </row>
    <row r="1666" spans="31:32">
      <c r="AE1666" s="417" t="s">
        <v>9235</v>
      </c>
      <c r="AF1666" s="416" t="s">
        <v>9236</v>
      </c>
    </row>
    <row r="1667" spans="31:32">
      <c r="AE1667" s="417" t="s">
        <v>9237</v>
      </c>
      <c r="AF1667" s="416" t="s">
        <v>9238</v>
      </c>
    </row>
    <row r="1668" spans="31:32">
      <c r="AE1668" s="417" t="s">
        <v>9239</v>
      </c>
      <c r="AF1668" s="416" t="s">
        <v>9240</v>
      </c>
    </row>
    <row r="1669" spans="31:32">
      <c r="AE1669" s="417" t="s">
        <v>9241</v>
      </c>
      <c r="AF1669" s="416" t="s">
        <v>9242</v>
      </c>
    </row>
    <row r="1670" spans="31:32">
      <c r="AE1670" s="417" t="s">
        <v>9243</v>
      </c>
      <c r="AF1670" s="416" t="s">
        <v>9244</v>
      </c>
    </row>
    <row r="1671" spans="31:32">
      <c r="AE1671" s="417" t="s">
        <v>9245</v>
      </c>
      <c r="AF1671" s="416" t="s">
        <v>9246</v>
      </c>
    </row>
    <row r="1672" spans="31:32">
      <c r="AE1672" s="417" t="s">
        <v>9247</v>
      </c>
      <c r="AF1672" s="416" t="s">
        <v>9248</v>
      </c>
    </row>
    <row r="1673" spans="31:32">
      <c r="AE1673" s="417" t="s">
        <v>9249</v>
      </c>
      <c r="AF1673" s="416" t="s">
        <v>9250</v>
      </c>
    </row>
    <row r="1674" spans="31:32">
      <c r="AE1674" s="417" t="s">
        <v>9251</v>
      </c>
      <c r="AF1674" s="416" t="s">
        <v>9252</v>
      </c>
    </row>
    <row r="1675" spans="31:32">
      <c r="AE1675" s="417" t="s">
        <v>9253</v>
      </c>
      <c r="AF1675" s="416" t="s">
        <v>9254</v>
      </c>
    </row>
    <row r="1676" spans="31:32">
      <c r="AE1676" s="417" t="s">
        <v>9255</v>
      </c>
      <c r="AF1676" s="416" t="s">
        <v>9256</v>
      </c>
    </row>
    <row r="1677" spans="31:32">
      <c r="AE1677" s="417" t="s">
        <v>9257</v>
      </c>
      <c r="AF1677" s="416" t="s">
        <v>9258</v>
      </c>
    </row>
    <row r="1678" spans="31:32">
      <c r="AE1678" s="417" t="s">
        <v>9259</v>
      </c>
      <c r="AF1678" s="416" t="s">
        <v>9260</v>
      </c>
    </row>
    <row r="1679" spans="31:32">
      <c r="AE1679" s="417" t="s">
        <v>9261</v>
      </c>
      <c r="AF1679" s="416" t="s">
        <v>9262</v>
      </c>
    </row>
    <row r="1680" spans="31:32">
      <c r="AE1680" s="417" t="s">
        <v>9263</v>
      </c>
      <c r="AF1680" s="416" t="s">
        <v>9264</v>
      </c>
    </row>
    <row r="1681" spans="31:32">
      <c r="AE1681" s="417" t="s">
        <v>9265</v>
      </c>
      <c r="AF1681" s="416" t="s">
        <v>9266</v>
      </c>
    </row>
    <row r="1682" spans="31:32">
      <c r="AE1682" s="417" t="s">
        <v>9267</v>
      </c>
      <c r="AF1682" s="416" t="s">
        <v>9268</v>
      </c>
    </row>
    <row r="1683" spans="31:32">
      <c r="AE1683" s="417" t="s">
        <v>9269</v>
      </c>
      <c r="AF1683" s="416" t="s">
        <v>9270</v>
      </c>
    </row>
    <row r="1684" spans="31:32">
      <c r="AE1684" s="417" t="s">
        <v>9271</v>
      </c>
      <c r="AF1684" s="416" t="s">
        <v>9272</v>
      </c>
    </row>
    <row r="1685" spans="31:32">
      <c r="AE1685" s="417" t="s">
        <v>9273</v>
      </c>
      <c r="AF1685" s="416" t="s">
        <v>9274</v>
      </c>
    </row>
    <row r="1686" spans="31:32">
      <c r="AE1686" s="417" t="s">
        <v>9275</v>
      </c>
      <c r="AF1686" s="416" t="s">
        <v>9276</v>
      </c>
    </row>
    <row r="1687" spans="31:32">
      <c r="AE1687" s="417" t="s">
        <v>9277</v>
      </c>
      <c r="AF1687" s="416" t="s">
        <v>9278</v>
      </c>
    </row>
    <row r="1688" spans="31:32">
      <c r="AE1688" s="417" t="s">
        <v>9279</v>
      </c>
      <c r="AF1688" s="416" t="s">
        <v>9280</v>
      </c>
    </row>
    <row r="1689" spans="31:32">
      <c r="AE1689" s="417" t="s">
        <v>9281</v>
      </c>
      <c r="AF1689" s="416" t="s">
        <v>9282</v>
      </c>
    </row>
    <row r="1690" spans="31:32">
      <c r="AE1690" s="417" t="s">
        <v>9283</v>
      </c>
      <c r="AF1690" s="416" t="s">
        <v>9284</v>
      </c>
    </row>
    <row r="1691" spans="31:32">
      <c r="AE1691" s="417" t="s">
        <v>9285</v>
      </c>
      <c r="AF1691" s="416" t="s">
        <v>9286</v>
      </c>
    </row>
    <row r="1692" spans="31:32">
      <c r="AE1692" s="417" t="s">
        <v>9287</v>
      </c>
      <c r="AF1692" s="416" t="s">
        <v>9288</v>
      </c>
    </row>
    <row r="1693" spans="31:32">
      <c r="AE1693" s="417" t="s">
        <v>9289</v>
      </c>
      <c r="AF1693" s="416" t="s">
        <v>9290</v>
      </c>
    </row>
    <row r="1694" spans="31:32">
      <c r="AE1694" s="417" t="s">
        <v>9291</v>
      </c>
      <c r="AF1694" s="416" t="s">
        <v>9292</v>
      </c>
    </row>
    <row r="1695" spans="31:32">
      <c r="AE1695" s="417" t="s">
        <v>9293</v>
      </c>
      <c r="AF1695" s="416" t="s">
        <v>9294</v>
      </c>
    </row>
    <row r="1696" spans="31:32">
      <c r="AE1696" s="417" t="s">
        <v>9295</v>
      </c>
      <c r="AF1696" s="416" t="s">
        <v>9296</v>
      </c>
    </row>
    <row r="1697" spans="31:32">
      <c r="AE1697" s="417" t="s">
        <v>9297</v>
      </c>
      <c r="AF1697" s="416" t="s">
        <v>9298</v>
      </c>
    </row>
    <row r="1698" spans="31:32">
      <c r="AE1698" s="417" t="s">
        <v>9299</v>
      </c>
      <c r="AF1698" s="416" t="s">
        <v>9300</v>
      </c>
    </row>
    <row r="1699" spans="31:32">
      <c r="AE1699" s="417" t="s">
        <v>9301</v>
      </c>
      <c r="AF1699" s="416" t="s">
        <v>9302</v>
      </c>
    </row>
    <row r="1700" spans="31:32">
      <c r="AE1700" s="417" t="s">
        <v>9303</v>
      </c>
      <c r="AF1700" s="416" t="s">
        <v>9304</v>
      </c>
    </row>
    <row r="1701" spans="31:32">
      <c r="AE1701" s="417" t="s">
        <v>9305</v>
      </c>
      <c r="AF1701" s="416" t="s">
        <v>9306</v>
      </c>
    </row>
    <row r="1702" spans="31:32">
      <c r="AE1702" s="417" t="s">
        <v>9307</v>
      </c>
      <c r="AF1702" s="416" t="s">
        <v>9308</v>
      </c>
    </row>
    <row r="1703" spans="31:32">
      <c r="AE1703" s="417" t="s">
        <v>9309</v>
      </c>
      <c r="AF1703" s="416" t="s">
        <v>9310</v>
      </c>
    </row>
    <row r="1704" spans="31:32">
      <c r="AE1704" s="417" t="s">
        <v>9311</v>
      </c>
      <c r="AF1704" s="416" t="s">
        <v>9312</v>
      </c>
    </row>
    <row r="1705" spans="31:32">
      <c r="AE1705" s="417" t="s">
        <v>9313</v>
      </c>
      <c r="AF1705" s="416" t="s">
        <v>9314</v>
      </c>
    </row>
    <row r="1706" spans="31:32">
      <c r="AE1706" s="417" t="s">
        <v>9315</v>
      </c>
      <c r="AF1706" s="416" t="s">
        <v>9316</v>
      </c>
    </row>
    <row r="1707" spans="31:32">
      <c r="AE1707" s="417" t="s">
        <v>9317</v>
      </c>
      <c r="AF1707" s="416" t="s">
        <v>9318</v>
      </c>
    </row>
    <row r="1708" spans="31:32">
      <c r="AE1708" s="417" t="s">
        <v>9319</v>
      </c>
      <c r="AF1708" s="416" t="s">
        <v>9320</v>
      </c>
    </row>
    <row r="1709" spans="31:32">
      <c r="AE1709" s="417" t="s">
        <v>9321</v>
      </c>
      <c r="AF1709" s="416" t="s">
        <v>9322</v>
      </c>
    </row>
    <row r="1710" spans="31:32">
      <c r="AE1710" s="417" t="s">
        <v>9323</v>
      </c>
      <c r="AF1710" s="416" t="s">
        <v>9324</v>
      </c>
    </row>
    <row r="1711" spans="31:32">
      <c r="AE1711" s="417" t="s">
        <v>9325</v>
      </c>
      <c r="AF1711" s="416" t="s">
        <v>9326</v>
      </c>
    </row>
    <row r="1712" spans="31:32">
      <c r="AE1712" s="417" t="s">
        <v>9327</v>
      </c>
      <c r="AF1712" s="416" t="s">
        <v>9328</v>
      </c>
    </row>
    <row r="1713" spans="31:32">
      <c r="AE1713" s="417" t="s">
        <v>9329</v>
      </c>
      <c r="AF1713" s="416" t="s">
        <v>9330</v>
      </c>
    </row>
    <row r="1714" spans="31:32">
      <c r="AE1714" s="417" t="s">
        <v>9331</v>
      </c>
      <c r="AF1714" s="416" t="s">
        <v>9332</v>
      </c>
    </row>
    <row r="1715" spans="31:32">
      <c r="AE1715" s="417" t="s">
        <v>9333</v>
      </c>
      <c r="AF1715" s="416" t="s">
        <v>9334</v>
      </c>
    </row>
    <row r="1716" spans="31:32">
      <c r="AE1716" s="417" t="s">
        <v>9335</v>
      </c>
      <c r="AF1716" s="416" t="s">
        <v>9336</v>
      </c>
    </row>
    <row r="1717" spans="31:32">
      <c r="AE1717" s="417" t="s">
        <v>9337</v>
      </c>
      <c r="AF1717" s="416" t="s">
        <v>9338</v>
      </c>
    </row>
    <row r="1718" spans="31:32">
      <c r="AE1718" s="417" t="s">
        <v>9339</v>
      </c>
      <c r="AF1718" s="416" t="s">
        <v>9340</v>
      </c>
    </row>
    <row r="1719" spans="31:32">
      <c r="AE1719" s="417" t="s">
        <v>9341</v>
      </c>
      <c r="AF1719" s="416" t="s">
        <v>9342</v>
      </c>
    </row>
    <row r="1720" spans="31:32">
      <c r="AE1720" s="417" t="s">
        <v>9343</v>
      </c>
      <c r="AF1720" s="416" t="s">
        <v>9344</v>
      </c>
    </row>
    <row r="1721" spans="31:32">
      <c r="AE1721" s="417" t="s">
        <v>9345</v>
      </c>
      <c r="AF1721" s="416" t="s">
        <v>9346</v>
      </c>
    </row>
    <row r="1722" spans="31:32">
      <c r="AE1722" s="417" t="s">
        <v>9347</v>
      </c>
      <c r="AF1722" s="416" t="s">
        <v>9348</v>
      </c>
    </row>
    <row r="1723" spans="31:32">
      <c r="AE1723" s="417" t="s">
        <v>9349</v>
      </c>
      <c r="AF1723" s="416" t="s">
        <v>9350</v>
      </c>
    </row>
    <row r="1724" spans="31:32">
      <c r="AE1724" s="417" t="s">
        <v>9351</v>
      </c>
      <c r="AF1724" s="416" t="s">
        <v>9352</v>
      </c>
    </row>
    <row r="1725" spans="31:32">
      <c r="AE1725" s="417" t="s">
        <v>9353</v>
      </c>
      <c r="AF1725" s="416" t="s">
        <v>9354</v>
      </c>
    </row>
    <row r="1726" spans="31:32">
      <c r="AE1726" s="417" t="s">
        <v>9355</v>
      </c>
      <c r="AF1726" s="416" t="s">
        <v>9356</v>
      </c>
    </row>
    <row r="1727" spans="31:32">
      <c r="AE1727" s="417" t="s">
        <v>9357</v>
      </c>
      <c r="AF1727" s="416" t="s">
        <v>9358</v>
      </c>
    </row>
    <row r="1728" spans="31:32">
      <c r="AE1728" s="417" t="s">
        <v>9359</v>
      </c>
      <c r="AF1728" s="416" t="s">
        <v>9360</v>
      </c>
    </row>
    <row r="1729" spans="31:32">
      <c r="AE1729" s="417" t="s">
        <v>9361</v>
      </c>
      <c r="AF1729" s="416" t="s">
        <v>9362</v>
      </c>
    </row>
    <row r="1730" spans="31:32">
      <c r="AE1730" s="417" t="s">
        <v>9363</v>
      </c>
      <c r="AF1730" s="416" t="s">
        <v>9364</v>
      </c>
    </row>
    <row r="1731" spans="31:32">
      <c r="AE1731" s="417" t="s">
        <v>9365</v>
      </c>
      <c r="AF1731" s="416" t="s">
        <v>9366</v>
      </c>
    </row>
    <row r="1732" spans="31:32">
      <c r="AE1732" s="417" t="s">
        <v>9367</v>
      </c>
      <c r="AF1732" s="416" t="s">
        <v>9368</v>
      </c>
    </row>
    <row r="1733" spans="31:32">
      <c r="AE1733" s="417" t="s">
        <v>9369</v>
      </c>
      <c r="AF1733" s="416" t="s">
        <v>9370</v>
      </c>
    </row>
    <row r="1734" spans="31:32">
      <c r="AE1734" s="417" t="s">
        <v>9371</v>
      </c>
      <c r="AF1734" s="416" t="s">
        <v>9372</v>
      </c>
    </row>
    <row r="1735" spans="31:32">
      <c r="AE1735" s="417" t="s">
        <v>9373</v>
      </c>
      <c r="AF1735" s="416" t="s">
        <v>9374</v>
      </c>
    </row>
    <row r="1736" spans="31:32">
      <c r="AE1736" s="417" t="s">
        <v>9375</v>
      </c>
      <c r="AF1736" s="416" t="s">
        <v>9376</v>
      </c>
    </row>
    <row r="1737" spans="31:32">
      <c r="AE1737" s="417" t="s">
        <v>9377</v>
      </c>
      <c r="AF1737" s="416" t="s">
        <v>9378</v>
      </c>
    </row>
    <row r="1738" spans="31:32">
      <c r="AE1738" s="417" t="s">
        <v>9379</v>
      </c>
      <c r="AF1738" s="416" t="s">
        <v>9380</v>
      </c>
    </row>
    <row r="1739" spans="31:32">
      <c r="AE1739" s="417" t="s">
        <v>9381</v>
      </c>
      <c r="AF1739" s="416" t="s">
        <v>9382</v>
      </c>
    </row>
    <row r="1740" spans="31:32">
      <c r="AE1740" s="417" t="s">
        <v>9383</v>
      </c>
      <c r="AF1740" s="416" t="s">
        <v>9384</v>
      </c>
    </row>
    <row r="1741" spans="31:32">
      <c r="AE1741" s="417" t="s">
        <v>9385</v>
      </c>
      <c r="AF1741" s="416" t="s">
        <v>9386</v>
      </c>
    </row>
    <row r="1742" spans="31:32">
      <c r="AE1742" s="417" t="s">
        <v>9387</v>
      </c>
      <c r="AF1742" s="416" t="s">
        <v>9388</v>
      </c>
    </row>
    <row r="1743" spans="31:32">
      <c r="AE1743" s="417" t="s">
        <v>9389</v>
      </c>
      <c r="AF1743" s="416" t="s">
        <v>9390</v>
      </c>
    </row>
    <row r="1744" spans="31:32">
      <c r="AE1744" s="417" t="s">
        <v>9391</v>
      </c>
      <c r="AF1744" s="416" t="s">
        <v>9392</v>
      </c>
    </row>
    <row r="1745" spans="31:32">
      <c r="AE1745" s="417" t="s">
        <v>9393</v>
      </c>
      <c r="AF1745" s="416" t="s">
        <v>9394</v>
      </c>
    </row>
    <row r="1746" spans="31:32">
      <c r="AE1746" s="417" t="s">
        <v>9395</v>
      </c>
      <c r="AF1746" s="416" t="s">
        <v>9396</v>
      </c>
    </row>
    <row r="1747" spans="31:32">
      <c r="AE1747" s="417" t="s">
        <v>9397</v>
      </c>
      <c r="AF1747" s="416" t="s">
        <v>9398</v>
      </c>
    </row>
    <row r="1748" spans="31:32">
      <c r="AE1748" s="417" t="s">
        <v>9399</v>
      </c>
      <c r="AF1748" s="416" t="s">
        <v>9400</v>
      </c>
    </row>
    <row r="1749" spans="31:32">
      <c r="AE1749" s="417" t="s">
        <v>9401</v>
      </c>
      <c r="AF1749" s="416" t="s">
        <v>9402</v>
      </c>
    </row>
    <row r="1750" spans="31:32">
      <c r="AE1750" s="417" t="s">
        <v>9403</v>
      </c>
      <c r="AF1750" s="416" t="s">
        <v>9404</v>
      </c>
    </row>
    <row r="1751" spans="31:32">
      <c r="AE1751" s="417" t="s">
        <v>9405</v>
      </c>
      <c r="AF1751" s="416" t="s">
        <v>9406</v>
      </c>
    </row>
    <row r="1752" spans="31:32">
      <c r="AE1752" s="417" t="s">
        <v>9407</v>
      </c>
      <c r="AF1752" s="416" t="s">
        <v>9408</v>
      </c>
    </row>
    <row r="1753" spans="31:32">
      <c r="AE1753" s="417" t="s">
        <v>9409</v>
      </c>
      <c r="AF1753" s="416" t="s">
        <v>9410</v>
      </c>
    </row>
    <row r="1754" spans="31:32">
      <c r="AE1754" s="417" t="s">
        <v>9411</v>
      </c>
      <c r="AF1754" s="416" t="s">
        <v>9412</v>
      </c>
    </row>
    <row r="1755" spans="31:32">
      <c r="AE1755" s="417" t="s">
        <v>9413</v>
      </c>
      <c r="AF1755" s="416" t="s">
        <v>9414</v>
      </c>
    </row>
    <row r="1756" spans="31:32">
      <c r="AE1756" s="417" t="s">
        <v>9415</v>
      </c>
      <c r="AF1756" s="416" t="s">
        <v>9416</v>
      </c>
    </row>
    <row r="1757" spans="31:32">
      <c r="AE1757" s="417" t="s">
        <v>9417</v>
      </c>
      <c r="AF1757" s="416" t="s">
        <v>9418</v>
      </c>
    </row>
    <row r="1758" spans="31:32">
      <c r="AE1758" s="417" t="s">
        <v>9419</v>
      </c>
      <c r="AF1758" s="416" t="s">
        <v>9420</v>
      </c>
    </row>
    <row r="1759" spans="31:32">
      <c r="AE1759" s="417" t="s">
        <v>9421</v>
      </c>
      <c r="AF1759" s="416" t="s">
        <v>9422</v>
      </c>
    </row>
    <row r="1760" spans="31:32">
      <c r="AE1760" s="417" t="s">
        <v>9423</v>
      </c>
      <c r="AF1760" s="416" t="s">
        <v>9424</v>
      </c>
    </row>
    <row r="1761" spans="31:32">
      <c r="AE1761" s="417" t="s">
        <v>9425</v>
      </c>
      <c r="AF1761" s="416" t="s">
        <v>9426</v>
      </c>
    </row>
    <row r="1762" spans="31:32">
      <c r="AE1762" s="417" t="s">
        <v>9427</v>
      </c>
      <c r="AF1762" s="416" t="s">
        <v>9428</v>
      </c>
    </row>
    <row r="1763" spans="31:32">
      <c r="AE1763" s="417" t="s">
        <v>9429</v>
      </c>
      <c r="AF1763" s="416" t="s">
        <v>9430</v>
      </c>
    </row>
    <row r="1764" spans="31:32">
      <c r="AE1764" s="417" t="s">
        <v>9431</v>
      </c>
      <c r="AF1764" s="416" t="s">
        <v>9432</v>
      </c>
    </row>
    <row r="1765" spans="31:32">
      <c r="AE1765" s="417" t="s">
        <v>9433</v>
      </c>
      <c r="AF1765" s="416" t="s">
        <v>9434</v>
      </c>
    </row>
    <row r="1766" spans="31:32">
      <c r="AE1766" s="417" t="s">
        <v>9435</v>
      </c>
      <c r="AF1766" s="416" t="s">
        <v>9436</v>
      </c>
    </row>
    <row r="1767" spans="31:32">
      <c r="AE1767" s="417" t="s">
        <v>9437</v>
      </c>
      <c r="AF1767" s="416" t="s">
        <v>9438</v>
      </c>
    </row>
    <row r="1768" spans="31:32">
      <c r="AE1768" s="417" t="s">
        <v>9439</v>
      </c>
      <c r="AF1768" s="416" t="s">
        <v>9440</v>
      </c>
    </row>
    <row r="1769" spans="31:32">
      <c r="AE1769" s="417" t="s">
        <v>9441</v>
      </c>
      <c r="AF1769" s="416" t="s">
        <v>9442</v>
      </c>
    </row>
    <row r="1770" spans="31:32">
      <c r="AE1770" s="417" t="s">
        <v>9443</v>
      </c>
      <c r="AF1770" s="416" t="s">
        <v>9444</v>
      </c>
    </row>
    <row r="1771" spans="31:32">
      <c r="AE1771" s="417" t="s">
        <v>9445</v>
      </c>
      <c r="AF1771" s="416" t="s">
        <v>9446</v>
      </c>
    </row>
    <row r="1772" spans="31:32">
      <c r="AE1772" s="417" t="s">
        <v>9447</v>
      </c>
      <c r="AF1772" s="416" t="s">
        <v>9448</v>
      </c>
    </row>
    <row r="1773" spans="31:32">
      <c r="AE1773" s="417" t="s">
        <v>9449</v>
      </c>
      <c r="AF1773" s="416" t="s">
        <v>9450</v>
      </c>
    </row>
    <row r="1774" spans="31:32">
      <c r="AE1774" s="417" t="s">
        <v>9451</v>
      </c>
      <c r="AF1774" s="416" t="s">
        <v>9452</v>
      </c>
    </row>
    <row r="1775" spans="31:32">
      <c r="AE1775" s="417" t="s">
        <v>9453</v>
      </c>
      <c r="AF1775" s="416" t="s">
        <v>9454</v>
      </c>
    </row>
    <row r="1776" spans="31:32">
      <c r="AE1776" s="417" t="s">
        <v>9455</v>
      </c>
      <c r="AF1776" s="416" t="s">
        <v>9456</v>
      </c>
    </row>
    <row r="1777" spans="31:32">
      <c r="AE1777" s="417" t="s">
        <v>9457</v>
      </c>
      <c r="AF1777" s="416" t="s">
        <v>9458</v>
      </c>
    </row>
    <row r="1778" spans="31:32">
      <c r="AE1778" s="417" t="s">
        <v>9459</v>
      </c>
      <c r="AF1778" s="416" t="s">
        <v>9460</v>
      </c>
    </row>
    <row r="1779" spans="31:32">
      <c r="AE1779" s="417" t="s">
        <v>9461</v>
      </c>
      <c r="AF1779" s="416" t="s">
        <v>9462</v>
      </c>
    </row>
    <row r="1780" spans="31:32">
      <c r="AE1780" s="417" t="s">
        <v>9463</v>
      </c>
      <c r="AF1780" s="416" t="s">
        <v>9464</v>
      </c>
    </row>
    <row r="1781" spans="31:32">
      <c r="AE1781" s="417" t="s">
        <v>9465</v>
      </c>
      <c r="AF1781" s="416" t="s">
        <v>9466</v>
      </c>
    </row>
    <row r="1782" spans="31:32">
      <c r="AE1782" s="417" t="s">
        <v>9467</v>
      </c>
      <c r="AF1782" s="416" t="s">
        <v>9468</v>
      </c>
    </row>
    <row r="1783" spans="31:32">
      <c r="AE1783" s="417" t="s">
        <v>9469</v>
      </c>
      <c r="AF1783" s="416" t="s">
        <v>9470</v>
      </c>
    </row>
    <row r="1784" spans="31:32">
      <c r="AE1784" s="417" t="s">
        <v>9471</v>
      </c>
      <c r="AF1784" s="416" t="s">
        <v>9472</v>
      </c>
    </row>
    <row r="1785" spans="31:32">
      <c r="AE1785" s="417" t="s">
        <v>9473</v>
      </c>
      <c r="AF1785" s="416" t="s">
        <v>9474</v>
      </c>
    </row>
    <row r="1786" spans="31:32">
      <c r="AE1786" s="417" t="s">
        <v>9475</v>
      </c>
      <c r="AF1786" s="416" t="s">
        <v>9476</v>
      </c>
    </row>
    <row r="1787" spans="31:32">
      <c r="AE1787" s="417" t="s">
        <v>9477</v>
      </c>
      <c r="AF1787" s="416" t="s">
        <v>9478</v>
      </c>
    </row>
    <row r="1788" spans="31:32">
      <c r="AE1788" s="417" t="s">
        <v>9479</v>
      </c>
      <c r="AF1788" s="416" t="s">
        <v>9480</v>
      </c>
    </row>
    <row r="1789" spans="31:32">
      <c r="AE1789" s="417" t="s">
        <v>9481</v>
      </c>
      <c r="AF1789" s="416" t="s">
        <v>9482</v>
      </c>
    </row>
    <row r="1790" spans="31:32">
      <c r="AE1790" s="417" t="s">
        <v>9483</v>
      </c>
      <c r="AF1790" s="416" t="s">
        <v>9484</v>
      </c>
    </row>
    <row r="1791" spans="31:32">
      <c r="AE1791" s="417" t="s">
        <v>9485</v>
      </c>
      <c r="AF1791" s="416" t="s">
        <v>9486</v>
      </c>
    </row>
    <row r="1792" spans="31:32">
      <c r="AE1792" s="417" t="s">
        <v>9487</v>
      </c>
      <c r="AF1792" s="416" t="s">
        <v>9488</v>
      </c>
    </row>
    <row r="1793" spans="31:32">
      <c r="AE1793" s="417" t="s">
        <v>9489</v>
      </c>
      <c r="AF1793" s="416" t="s">
        <v>9490</v>
      </c>
    </row>
    <row r="1794" spans="31:32">
      <c r="AE1794" s="417" t="s">
        <v>9491</v>
      </c>
      <c r="AF1794" s="416" t="s">
        <v>9492</v>
      </c>
    </row>
    <row r="1795" spans="31:32">
      <c r="AE1795" s="417" t="s">
        <v>9493</v>
      </c>
      <c r="AF1795" s="416" t="s">
        <v>9494</v>
      </c>
    </row>
    <row r="1796" spans="31:32">
      <c r="AE1796" s="417" t="s">
        <v>9495</v>
      </c>
      <c r="AF1796" s="416" t="s">
        <v>9496</v>
      </c>
    </row>
    <row r="1797" spans="31:32">
      <c r="AE1797" s="417" t="s">
        <v>9497</v>
      </c>
      <c r="AF1797" s="416" t="s">
        <v>9498</v>
      </c>
    </row>
    <row r="1798" spans="31:32">
      <c r="AE1798" s="417" t="s">
        <v>9499</v>
      </c>
      <c r="AF1798" s="416" t="s">
        <v>9500</v>
      </c>
    </row>
    <row r="1799" spans="31:32">
      <c r="AE1799" s="417" t="s">
        <v>9501</v>
      </c>
      <c r="AF1799" s="416" t="s">
        <v>9502</v>
      </c>
    </row>
    <row r="1800" spans="31:32">
      <c r="AE1800" s="417" t="s">
        <v>9503</v>
      </c>
      <c r="AF1800" s="416" t="s">
        <v>9504</v>
      </c>
    </row>
    <row r="1801" spans="31:32">
      <c r="AE1801" s="417" t="s">
        <v>9505</v>
      </c>
      <c r="AF1801" s="416" t="s">
        <v>9506</v>
      </c>
    </row>
    <row r="1802" spans="31:32">
      <c r="AE1802" s="417" t="s">
        <v>9507</v>
      </c>
      <c r="AF1802" s="416" t="s">
        <v>9508</v>
      </c>
    </row>
    <row r="1803" spans="31:32">
      <c r="AE1803" s="417" t="s">
        <v>9509</v>
      </c>
      <c r="AF1803" s="416" t="s">
        <v>9510</v>
      </c>
    </row>
    <row r="1804" spans="31:32">
      <c r="AE1804" s="417" t="s">
        <v>9511</v>
      </c>
      <c r="AF1804" s="416" t="s">
        <v>9512</v>
      </c>
    </row>
    <row r="1805" spans="31:32">
      <c r="AE1805" s="417" t="s">
        <v>9513</v>
      </c>
      <c r="AF1805" s="416" t="s">
        <v>9514</v>
      </c>
    </row>
    <row r="1806" spans="31:32">
      <c r="AE1806" s="417" t="s">
        <v>9515</v>
      </c>
      <c r="AF1806" s="416" t="s">
        <v>9516</v>
      </c>
    </row>
    <row r="1807" spans="31:32">
      <c r="AE1807" s="417" t="s">
        <v>9517</v>
      </c>
      <c r="AF1807" s="416" t="s">
        <v>9518</v>
      </c>
    </row>
    <row r="1808" spans="31:32">
      <c r="AE1808" s="417" t="s">
        <v>9519</v>
      </c>
      <c r="AF1808" s="416" t="s">
        <v>9520</v>
      </c>
    </row>
    <row r="1809" spans="31:32">
      <c r="AE1809" s="417" t="s">
        <v>9521</v>
      </c>
      <c r="AF1809" s="416" t="s">
        <v>9522</v>
      </c>
    </row>
    <row r="1810" spans="31:32">
      <c r="AE1810" s="417" t="s">
        <v>9523</v>
      </c>
      <c r="AF1810" s="416" t="s">
        <v>9524</v>
      </c>
    </row>
    <row r="1811" spans="31:32">
      <c r="AE1811" s="417" t="s">
        <v>9525</v>
      </c>
      <c r="AF1811" s="416" t="s">
        <v>9526</v>
      </c>
    </row>
    <row r="1812" spans="31:32">
      <c r="AE1812" s="417" t="s">
        <v>9527</v>
      </c>
      <c r="AF1812" s="416" t="s">
        <v>9528</v>
      </c>
    </row>
    <row r="1813" spans="31:32">
      <c r="AE1813" s="417" t="s">
        <v>9529</v>
      </c>
      <c r="AF1813" s="416" t="s">
        <v>9530</v>
      </c>
    </row>
    <row r="1814" spans="31:32">
      <c r="AE1814" s="417" t="s">
        <v>9531</v>
      </c>
      <c r="AF1814" s="416" t="s">
        <v>9532</v>
      </c>
    </row>
    <row r="1815" spans="31:32">
      <c r="AE1815" s="417" t="s">
        <v>9533</v>
      </c>
      <c r="AF1815" s="416" t="s">
        <v>9534</v>
      </c>
    </row>
    <row r="1816" spans="31:32">
      <c r="AE1816" s="417" t="s">
        <v>9535</v>
      </c>
      <c r="AF1816" s="416" t="s">
        <v>9536</v>
      </c>
    </row>
    <row r="1817" spans="31:32">
      <c r="AE1817" s="417" t="s">
        <v>9537</v>
      </c>
      <c r="AF1817" s="416" t="s">
        <v>9538</v>
      </c>
    </row>
    <row r="1818" spans="31:32">
      <c r="AE1818" s="417" t="s">
        <v>9539</v>
      </c>
      <c r="AF1818" s="416" t="s">
        <v>9540</v>
      </c>
    </row>
    <row r="1819" spans="31:32">
      <c r="AE1819" s="417" t="s">
        <v>9541</v>
      </c>
      <c r="AF1819" s="416" t="s">
        <v>9542</v>
      </c>
    </row>
    <row r="1820" spans="31:32">
      <c r="AE1820" s="417" t="s">
        <v>9543</v>
      </c>
      <c r="AF1820" s="416" t="s">
        <v>9544</v>
      </c>
    </row>
    <row r="1821" spans="31:32">
      <c r="AE1821" s="417" t="s">
        <v>9545</v>
      </c>
      <c r="AF1821" s="416" t="s">
        <v>9546</v>
      </c>
    </row>
    <row r="1822" spans="31:32">
      <c r="AE1822" s="417" t="s">
        <v>9547</v>
      </c>
      <c r="AF1822" s="416" t="s">
        <v>9548</v>
      </c>
    </row>
    <row r="1823" spans="31:32">
      <c r="AE1823" s="417" t="s">
        <v>9549</v>
      </c>
      <c r="AF1823" s="416" t="s">
        <v>9550</v>
      </c>
    </row>
    <row r="1824" spans="31:32">
      <c r="AE1824" s="417" t="s">
        <v>9551</v>
      </c>
      <c r="AF1824" s="416" t="s">
        <v>9552</v>
      </c>
    </row>
    <row r="1825" spans="31:32">
      <c r="AE1825" s="417" t="s">
        <v>9553</v>
      </c>
      <c r="AF1825" s="416" t="s">
        <v>9554</v>
      </c>
    </row>
    <row r="1826" spans="31:32">
      <c r="AE1826" s="417" t="s">
        <v>9555</v>
      </c>
      <c r="AF1826" s="416" t="s">
        <v>9556</v>
      </c>
    </row>
    <row r="1827" spans="31:32">
      <c r="AE1827" s="417" t="s">
        <v>9557</v>
      </c>
      <c r="AF1827" s="416" t="s">
        <v>9558</v>
      </c>
    </row>
    <row r="1828" spans="31:32">
      <c r="AE1828" s="417" t="s">
        <v>9559</v>
      </c>
      <c r="AF1828" s="416" t="s">
        <v>9560</v>
      </c>
    </row>
    <row r="1829" spans="31:32">
      <c r="AE1829" s="417" t="s">
        <v>9561</v>
      </c>
      <c r="AF1829" s="416" t="s">
        <v>9562</v>
      </c>
    </row>
    <row r="1830" spans="31:32">
      <c r="AE1830" s="417" t="s">
        <v>9563</v>
      </c>
      <c r="AF1830" s="416" t="s">
        <v>9564</v>
      </c>
    </row>
    <row r="1831" spans="31:32">
      <c r="AE1831" s="417" t="s">
        <v>9565</v>
      </c>
      <c r="AF1831" s="416" t="s">
        <v>9566</v>
      </c>
    </row>
    <row r="1832" spans="31:32">
      <c r="AE1832" s="417" t="s">
        <v>9567</v>
      </c>
      <c r="AF1832" s="416" t="s">
        <v>9568</v>
      </c>
    </row>
    <row r="1833" spans="31:32">
      <c r="AE1833" s="417" t="s">
        <v>9569</v>
      </c>
      <c r="AF1833" s="416" t="s">
        <v>9570</v>
      </c>
    </row>
    <row r="1834" spans="31:32">
      <c r="AE1834" s="417" t="s">
        <v>9571</v>
      </c>
      <c r="AF1834" s="416" t="s">
        <v>9572</v>
      </c>
    </row>
    <row r="1835" spans="31:32">
      <c r="AE1835" s="417" t="s">
        <v>9573</v>
      </c>
      <c r="AF1835" s="416" t="s">
        <v>9574</v>
      </c>
    </row>
    <row r="1836" spans="31:32">
      <c r="AE1836" s="417" t="s">
        <v>9575</v>
      </c>
      <c r="AF1836" s="416" t="s">
        <v>9576</v>
      </c>
    </row>
    <row r="1837" spans="31:32">
      <c r="AE1837" s="417" t="s">
        <v>9577</v>
      </c>
      <c r="AF1837" s="416" t="s">
        <v>9578</v>
      </c>
    </row>
    <row r="1838" spans="31:32">
      <c r="AE1838" s="417" t="s">
        <v>9579</v>
      </c>
      <c r="AF1838" s="416" t="s">
        <v>9580</v>
      </c>
    </row>
    <row r="1839" spans="31:32">
      <c r="AE1839" s="417" t="s">
        <v>9581</v>
      </c>
      <c r="AF1839" s="416" t="s">
        <v>9582</v>
      </c>
    </row>
    <row r="1840" spans="31:32">
      <c r="AE1840" s="417" t="s">
        <v>9583</v>
      </c>
      <c r="AF1840" s="416" t="s">
        <v>9584</v>
      </c>
    </row>
    <row r="1841" spans="31:32">
      <c r="AE1841" s="417" t="s">
        <v>9585</v>
      </c>
      <c r="AF1841" s="416" t="s">
        <v>9586</v>
      </c>
    </row>
    <row r="1842" spans="31:32">
      <c r="AE1842" s="417" t="s">
        <v>9587</v>
      </c>
      <c r="AF1842" s="416" t="s">
        <v>9588</v>
      </c>
    </row>
    <row r="1843" spans="31:32">
      <c r="AE1843" s="417" t="s">
        <v>9589</v>
      </c>
      <c r="AF1843" s="416" t="s">
        <v>9590</v>
      </c>
    </row>
    <row r="1844" spans="31:32">
      <c r="AE1844" s="417" t="s">
        <v>9591</v>
      </c>
      <c r="AF1844" s="416" t="s">
        <v>9592</v>
      </c>
    </row>
    <row r="1845" spans="31:32">
      <c r="AE1845" s="417" t="s">
        <v>9593</v>
      </c>
      <c r="AF1845" s="416" t="s">
        <v>9594</v>
      </c>
    </row>
    <row r="1846" spans="31:32">
      <c r="AE1846" s="417" t="s">
        <v>9595</v>
      </c>
      <c r="AF1846" s="416" t="s">
        <v>9596</v>
      </c>
    </row>
    <row r="1847" spans="31:32">
      <c r="AE1847" s="417" t="s">
        <v>9597</v>
      </c>
      <c r="AF1847" s="416" t="s">
        <v>9598</v>
      </c>
    </row>
    <row r="1848" spans="31:32">
      <c r="AE1848" s="417" t="s">
        <v>9599</v>
      </c>
      <c r="AF1848" s="416" t="s">
        <v>9600</v>
      </c>
    </row>
    <row r="1849" spans="31:32">
      <c r="AE1849" s="417" t="s">
        <v>9601</v>
      </c>
      <c r="AF1849" s="416" t="s">
        <v>9602</v>
      </c>
    </row>
    <row r="1850" spans="31:32">
      <c r="AE1850" s="417" t="s">
        <v>9603</v>
      </c>
      <c r="AF1850" s="416" t="s">
        <v>9604</v>
      </c>
    </row>
    <row r="1851" spans="31:32">
      <c r="AE1851" s="417" t="s">
        <v>9605</v>
      </c>
      <c r="AF1851" s="416" t="s">
        <v>9606</v>
      </c>
    </row>
    <row r="1852" spans="31:32">
      <c r="AE1852" s="417" t="s">
        <v>9607</v>
      </c>
      <c r="AF1852" s="416" t="s">
        <v>9608</v>
      </c>
    </row>
    <row r="1853" spans="31:32">
      <c r="AE1853" s="417" t="s">
        <v>9609</v>
      </c>
      <c r="AF1853" s="416" t="s">
        <v>9610</v>
      </c>
    </row>
    <row r="1854" spans="31:32">
      <c r="AE1854" s="417" t="s">
        <v>9611</v>
      </c>
      <c r="AF1854" s="416" t="s">
        <v>9612</v>
      </c>
    </row>
    <row r="1855" spans="31:32">
      <c r="AE1855" s="417" t="s">
        <v>9613</v>
      </c>
      <c r="AF1855" s="416" t="s">
        <v>9614</v>
      </c>
    </row>
    <row r="1856" spans="31:32">
      <c r="AE1856" s="417" t="s">
        <v>9615</v>
      </c>
      <c r="AF1856" s="416" t="s">
        <v>9616</v>
      </c>
    </row>
    <row r="1857" spans="31:32">
      <c r="AE1857" s="417" t="s">
        <v>9617</v>
      </c>
      <c r="AF1857" s="416" t="s">
        <v>9618</v>
      </c>
    </row>
    <row r="1858" spans="31:32">
      <c r="AE1858" s="417" t="s">
        <v>9619</v>
      </c>
      <c r="AF1858" s="416" t="s">
        <v>9620</v>
      </c>
    </row>
    <row r="1859" spans="31:32">
      <c r="AE1859" s="417" t="s">
        <v>9621</v>
      </c>
      <c r="AF1859" s="416" t="s">
        <v>9622</v>
      </c>
    </row>
    <row r="1860" spans="31:32">
      <c r="AE1860" s="417" t="s">
        <v>9623</v>
      </c>
      <c r="AF1860" s="416" t="s">
        <v>9624</v>
      </c>
    </row>
    <row r="1861" spans="31:32">
      <c r="AE1861" s="417" t="s">
        <v>9625</v>
      </c>
      <c r="AF1861" s="416" t="s">
        <v>9626</v>
      </c>
    </row>
    <row r="1862" spans="31:32">
      <c r="AE1862" s="417" t="s">
        <v>9627</v>
      </c>
      <c r="AF1862" s="416" t="s">
        <v>9628</v>
      </c>
    </row>
    <row r="1863" spans="31:32">
      <c r="AE1863" s="417" t="s">
        <v>9629</v>
      </c>
      <c r="AF1863" s="416" t="s">
        <v>9630</v>
      </c>
    </row>
    <row r="1864" spans="31:32">
      <c r="AE1864" s="417" t="s">
        <v>9631</v>
      </c>
      <c r="AF1864" s="416" t="s">
        <v>9632</v>
      </c>
    </row>
    <row r="1865" spans="31:32">
      <c r="AE1865" s="417" t="s">
        <v>9633</v>
      </c>
      <c r="AF1865" s="416" t="s">
        <v>9634</v>
      </c>
    </row>
    <row r="1866" spans="31:32">
      <c r="AE1866" s="417" t="s">
        <v>9635</v>
      </c>
      <c r="AF1866" s="416" t="s">
        <v>9636</v>
      </c>
    </row>
    <row r="1867" spans="31:32">
      <c r="AE1867" s="417" t="s">
        <v>9637</v>
      </c>
      <c r="AF1867" s="416" t="s">
        <v>9638</v>
      </c>
    </row>
    <row r="1868" spans="31:32">
      <c r="AE1868" s="417" t="s">
        <v>9639</v>
      </c>
      <c r="AF1868" s="416" t="s">
        <v>9640</v>
      </c>
    </row>
    <row r="1869" spans="31:32">
      <c r="AE1869" s="417" t="s">
        <v>9641</v>
      </c>
      <c r="AF1869" s="416" t="s">
        <v>9642</v>
      </c>
    </row>
    <row r="1870" spans="31:32">
      <c r="AE1870" s="417" t="s">
        <v>9643</v>
      </c>
      <c r="AF1870" s="416" t="s">
        <v>9644</v>
      </c>
    </row>
    <row r="1871" spans="31:32">
      <c r="AE1871" s="417" t="s">
        <v>9645</v>
      </c>
      <c r="AF1871" s="416" t="s">
        <v>9646</v>
      </c>
    </row>
    <row r="1872" spans="31:32">
      <c r="AE1872" s="417" t="s">
        <v>9647</v>
      </c>
      <c r="AF1872" s="416" t="s">
        <v>9648</v>
      </c>
    </row>
    <row r="1873" spans="31:32">
      <c r="AE1873" s="417" t="s">
        <v>9649</v>
      </c>
      <c r="AF1873" s="416" t="s">
        <v>9650</v>
      </c>
    </row>
    <row r="1874" spans="31:32">
      <c r="AE1874" s="417" t="s">
        <v>9651</v>
      </c>
      <c r="AF1874" s="416" t="s">
        <v>9652</v>
      </c>
    </row>
    <row r="1875" spans="31:32">
      <c r="AE1875" s="417" t="s">
        <v>9653</v>
      </c>
      <c r="AF1875" s="416" t="s">
        <v>9654</v>
      </c>
    </row>
    <row r="1876" spans="31:32">
      <c r="AE1876" s="417" t="s">
        <v>9655</v>
      </c>
      <c r="AF1876" s="416" t="s">
        <v>9656</v>
      </c>
    </row>
    <row r="1877" spans="31:32">
      <c r="AE1877" s="417" t="s">
        <v>9657</v>
      </c>
      <c r="AF1877" s="416" t="s">
        <v>9658</v>
      </c>
    </row>
    <row r="1878" spans="31:32">
      <c r="AE1878" s="417" t="s">
        <v>9659</v>
      </c>
      <c r="AF1878" s="416" t="s">
        <v>9660</v>
      </c>
    </row>
    <row r="1879" spans="31:32">
      <c r="AE1879" s="417" t="s">
        <v>9661</v>
      </c>
      <c r="AF1879" s="416" t="s">
        <v>9662</v>
      </c>
    </row>
    <row r="1880" spans="31:32">
      <c r="AE1880" s="417" t="s">
        <v>9663</v>
      </c>
      <c r="AF1880" s="416" t="s">
        <v>9664</v>
      </c>
    </row>
    <row r="1881" spans="31:32">
      <c r="AE1881" s="417" t="s">
        <v>9665</v>
      </c>
      <c r="AF1881" s="416" t="s">
        <v>9666</v>
      </c>
    </row>
    <row r="1882" spans="31:32">
      <c r="AE1882" s="417" t="s">
        <v>9667</v>
      </c>
      <c r="AF1882" s="416" t="s">
        <v>9668</v>
      </c>
    </row>
    <row r="1883" spans="31:32">
      <c r="AE1883" s="417" t="s">
        <v>9669</v>
      </c>
      <c r="AF1883" s="416" t="s">
        <v>9670</v>
      </c>
    </row>
    <row r="1884" spans="31:32">
      <c r="AE1884" s="417" t="s">
        <v>9671</v>
      </c>
      <c r="AF1884" s="416" t="s">
        <v>9672</v>
      </c>
    </row>
    <row r="1885" spans="31:32">
      <c r="AE1885" s="417" t="s">
        <v>9673</v>
      </c>
      <c r="AF1885" s="416" t="s">
        <v>9674</v>
      </c>
    </row>
    <row r="1886" spans="31:32">
      <c r="AE1886" s="417" t="s">
        <v>9675</v>
      </c>
      <c r="AF1886" s="416" t="s">
        <v>9676</v>
      </c>
    </row>
    <row r="1887" spans="31:32">
      <c r="AE1887" s="417" t="s">
        <v>9677</v>
      </c>
      <c r="AF1887" s="416" t="s">
        <v>9678</v>
      </c>
    </row>
    <row r="1888" spans="31:32">
      <c r="AE1888" s="417" t="s">
        <v>9679</v>
      </c>
      <c r="AF1888" s="416" t="s">
        <v>9680</v>
      </c>
    </row>
    <row r="1889" spans="31:32">
      <c r="AE1889" s="417" t="s">
        <v>9681</v>
      </c>
      <c r="AF1889" s="416" t="s">
        <v>9682</v>
      </c>
    </row>
    <row r="1890" spans="31:32">
      <c r="AE1890" s="417" t="s">
        <v>9683</v>
      </c>
      <c r="AF1890" s="416" t="s">
        <v>9684</v>
      </c>
    </row>
    <row r="1891" spans="31:32">
      <c r="AE1891" s="417" t="s">
        <v>9685</v>
      </c>
      <c r="AF1891" s="416" t="s">
        <v>9686</v>
      </c>
    </row>
    <row r="1892" spans="31:32">
      <c r="AE1892" s="417" t="s">
        <v>9687</v>
      </c>
      <c r="AF1892" s="416" t="s">
        <v>9688</v>
      </c>
    </row>
    <row r="1893" spans="31:32">
      <c r="AE1893" s="417" t="s">
        <v>9689</v>
      </c>
      <c r="AF1893" s="416" t="s">
        <v>9690</v>
      </c>
    </row>
    <row r="1894" spans="31:32">
      <c r="AE1894" s="417" t="s">
        <v>9691</v>
      </c>
      <c r="AF1894" s="416" t="s">
        <v>9692</v>
      </c>
    </row>
    <row r="1895" spans="31:32">
      <c r="AE1895" s="417" t="s">
        <v>9693</v>
      </c>
      <c r="AF1895" s="416" t="s">
        <v>9694</v>
      </c>
    </row>
    <row r="1896" spans="31:32">
      <c r="AE1896" s="417" t="s">
        <v>9695</v>
      </c>
      <c r="AF1896" s="416" t="s">
        <v>9696</v>
      </c>
    </row>
    <row r="1897" spans="31:32">
      <c r="AE1897" s="417" t="s">
        <v>9697</v>
      </c>
      <c r="AF1897" s="416" t="s">
        <v>9698</v>
      </c>
    </row>
    <row r="1898" spans="31:32">
      <c r="AE1898" s="417" t="s">
        <v>9699</v>
      </c>
      <c r="AF1898" s="416" t="s">
        <v>9700</v>
      </c>
    </row>
    <row r="1899" spans="31:32">
      <c r="AE1899" s="417" t="s">
        <v>9701</v>
      </c>
      <c r="AF1899" s="416" t="s">
        <v>9702</v>
      </c>
    </row>
    <row r="1900" spans="31:32">
      <c r="AE1900" s="417" t="s">
        <v>9703</v>
      </c>
      <c r="AF1900" s="416" t="s">
        <v>9704</v>
      </c>
    </row>
    <row r="1901" spans="31:32">
      <c r="AE1901" s="417" t="s">
        <v>9705</v>
      </c>
      <c r="AF1901" s="416" t="s">
        <v>9706</v>
      </c>
    </row>
    <row r="1902" spans="31:32">
      <c r="AE1902" s="417" t="s">
        <v>9707</v>
      </c>
      <c r="AF1902" s="416" t="s">
        <v>9708</v>
      </c>
    </row>
    <row r="1903" spans="31:32">
      <c r="AE1903" s="417" t="s">
        <v>9709</v>
      </c>
      <c r="AF1903" s="416" t="s">
        <v>9710</v>
      </c>
    </row>
    <row r="1904" spans="31:32">
      <c r="AE1904" s="417" t="s">
        <v>9711</v>
      </c>
      <c r="AF1904" s="416" t="s">
        <v>9712</v>
      </c>
    </row>
    <row r="1905" spans="31:32">
      <c r="AE1905" s="417" t="s">
        <v>9713</v>
      </c>
      <c r="AF1905" s="416" t="s">
        <v>9714</v>
      </c>
    </row>
    <row r="1906" spans="31:32">
      <c r="AE1906" s="417" t="s">
        <v>9715</v>
      </c>
      <c r="AF1906" s="416" t="s">
        <v>9716</v>
      </c>
    </row>
    <row r="1907" spans="31:32">
      <c r="AE1907" s="417" t="s">
        <v>9717</v>
      </c>
      <c r="AF1907" s="416" t="s">
        <v>9718</v>
      </c>
    </row>
    <row r="1908" spans="31:32">
      <c r="AE1908" s="417" t="s">
        <v>9719</v>
      </c>
      <c r="AF1908" s="416" t="s">
        <v>9720</v>
      </c>
    </row>
    <row r="1909" spans="31:32">
      <c r="AE1909" s="417" t="s">
        <v>9721</v>
      </c>
      <c r="AF1909" s="416" t="s">
        <v>9722</v>
      </c>
    </row>
    <row r="1910" spans="31:32">
      <c r="AE1910" s="417" t="s">
        <v>9723</v>
      </c>
      <c r="AF1910" s="416" t="s">
        <v>9724</v>
      </c>
    </row>
    <row r="1911" spans="31:32">
      <c r="AE1911" s="417" t="s">
        <v>9725</v>
      </c>
      <c r="AF1911" s="416" t="s">
        <v>9726</v>
      </c>
    </row>
    <row r="1912" spans="31:32">
      <c r="AE1912" s="417" t="s">
        <v>9727</v>
      </c>
      <c r="AF1912" s="416" t="s">
        <v>9728</v>
      </c>
    </row>
    <row r="1913" spans="31:32">
      <c r="AE1913" s="417" t="s">
        <v>9729</v>
      </c>
      <c r="AF1913" s="416" t="s">
        <v>9730</v>
      </c>
    </row>
    <row r="1914" spans="31:32">
      <c r="AE1914" s="417" t="s">
        <v>9731</v>
      </c>
      <c r="AF1914" s="416" t="s">
        <v>9732</v>
      </c>
    </row>
    <row r="1915" spans="31:32">
      <c r="AE1915" s="417" t="s">
        <v>9733</v>
      </c>
      <c r="AF1915" s="416" t="s">
        <v>9734</v>
      </c>
    </row>
    <row r="1916" spans="31:32">
      <c r="AE1916" s="417" t="s">
        <v>9735</v>
      </c>
      <c r="AF1916" s="416" t="s">
        <v>9736</v>
      </c>
    </row>
    <row r="1917" spans="31:32">
      <c r="AE1917" s="417" t="s">
        <v>9737</v>
      </c>
      <c r="AF1917" s="416" t="s">
        <v>9738</v>
      </c>
    </row>
    <row r="1918" spans="31:32">
      <c r="AE1918" s="417" t="s">
        <v>9739</v>
      </c>
      <c r="AF1918" s="416" t="s">
        <v>9740</v>
      </c>
    </row>
    <row r="1919" spans="31:32">
      <c r="AE1919" s="417" t="s">
        <v>9741</v>
      </c>
      <c r="AF1919" s="416" t="s">
        <v>9742</v>
      </c>
    </row>
    <row r="1920" spans="31:32">
      <c r="AE1920" s="417" t="s">
        <v>9743</v>
      </c>
      <c r="AF1920" s="416" t="s">
        <v>9744</v>
      </c>
    </row>
    <row r="1921" spans="31:32">
      <c r="AE1921" s="417" t="s">
        <v>9745</v>
      </c>
      <c r="AF1921" s="416" t="s">
        <v>9746</v>
      </c>
    </row>
    <row r="1922" spans="31:32">
      <c r="AE1922" s="417" t="s">
        <v>9747</v>
      </c>
      <c r="AF1922" s="416" t="s">
        <v>9748</v>
      </c>
    </row>
    <row r="1923" spans="31:32">
      <c r="AE1923" s="417" t="s">
        <v>9749</v>
      </c>
      <c r="AF1923" s="416" t="s">
        <v>9750</v>
      </c>
    </row>
    <row r="1924" spans="31:32">
      <c r="AE1924" s="417" t="s">
        <v>9751</v>
      </c>
      <c r="AF1924" s="416" t="s">
        <v>9752</v>
      </c>
    </row>
    <row r="1925" spans="31:32">
      <c r="AE1925" s="417" t="s">
        <v>9753</v>
      </c>
      <c r="AF1925" s="416" t="s">
        <v>9754</v>
      </c>
    </row>
    <row r="1926" spans="31:32">
      <c r="AE1926" s="417" t="s">
        <v>9755</v>
      </c>
      <c r="AF1926" s="416" t="s">
        <v>9756</v>
      </c>
    </row>
    <row r="1927" spans="31:32">
      <c r="AE1927" s="417" t="s">
        <v>9757</v>
      </c>
      <c r="AF1927" s="416" t="s">
        <v>9758</v>
      </c>
    </row>
    <row r="1928" spans="31:32">
      <c r="AE1928" s="417" t="s">
        <v>9759</v>
      </c>
      <c r="AF1928" s="416" t="s">
        <v>9760</v>
      </c>
    </row>
    <row r="1929" spans="31:32">
      <c r="AE1929" s="417" t="s">
        <v>9761</v>
      </c>
      <c r="AF1929" s="416" t="s">
        <v>9762</v>
      </c>
    </row>
    <row r="1930" spans="31:32">
      <c r="AE1930" s="417" t="s">
        <v>9763</v>
      </c>
      <c r="AF1930" s="416" t="s">
        <v>9764</v>
      </c>
    </row>
    <row r="1931" spans="31:32">
      <c r="AE1931" s="417" t="s">
        <v>9765</v>
      </c>
      <c r="AF1931" s="416" t="s">
        <v>9766</v>
      </c>
    </row>
    <row r="1932" spans="31:32">
      <c r="AE1932" s="417" t="s">
        <v>9767</v>
      </c>
      <c r="AF1932" s="416" t="s">
        <v>9768</v>
      </c>
    </row>
    <row r="1933" spans="31:32">
      <c r="AE1933" s="417" t="s">
        <v>9769</v>
      </c>
      <c r="AF1933" s="416" t="s">
        <v>9770</v>
      </c>
    </row>
    <row r="1934" spans="31:32">
      <c r="AE1934" s="417" t="s">
        <v>9771</v>
      </c>
      <c r="AF1934" s="416" t="s">
        <v>9772</v>
      </c>
    </row>
    <row r="1935" spans="31:32">
      <c r="AE1935" s="417" t="s">
        <v>9773</v>
      </c>
      <c r="AF1935" s="416" t="s">
        <v>9774</v>
      </c>
    </row>
    <row r="1936" spans="31:32">
      <c r="AE1936" s="417" t="s">
        <v>9775</v>
      </c>
      <c r="AF1936" s="416" t="s">
        <v>9776</v>
      </c>
    </row>
    <row r="1937" spans="31:32">
      <c r="AE1937" s="417" t="s">
        <v>9777</v>
      </c>
      <c r="AF1937" s="416" t="s">
        <v>9778</v>
      </c>
    </row>
    <row r="1938" spans="31:32">
      <c r="AE1938" s="417" t="s">
        <v>9779</v>
      </c>
      <c r="AF1938" s="416" t="s">
        <v>9780</v>
      </c>
    </row>
    <row r="1939" spans="31:32">
      <c r="AE1939" s="417" t="s">
        <v>9781</v>
      </c>
      <c r="AF1939" s="416" t="s">
        <v>9782</v>
      </c>
    </row>
    <row r="1940" spans="31:32">
      <c r="AE1940" s="417" t="s">
        <v>9783</v>
      </c>
      <c r="AF1940" s="416" t="s">
        <v>9784</v>
      </c>
    </row>
    <row r="1941" spans="31:32">
      <c r="AE1941" s="417" t="s">
        <v>9785</v>
      </c>
      <c r="AF1941" s="416" t="s">
        <v>9786</v>
      </c>
    </row>
    <row r="1942" spans="31:32">
      <c r="AE1942" s="417" t="s">
        <v>9787</v>
      </c>
      <c r="AF1942" s="416" t="s">
        <v>9788</v>
      </c>
    </row>
    <row r="1943" spans="31:32">
      <c r="AE1943" s="417" t="s">
        <v>9789</v>
      </c>
      <c r="AF1943" s="416" t="s">
        <v>9790</v>
      </c>
    </row>
    <row r="1944" spans="31:32">
      <c r="AE1944" s="417" t="s">
        <v>9791</v>
      </c>
      <c r="AF1944" s="416" t="s">
        <v>9792</v>
      </c>
    </row>
    <row r="1945" spans="31:32">
      <c r="AE1945" s="417" t="s">
        <v>9793</v>
      </c>
      <c r="AF1945" s="416" t="s">
        <v>9794</v>
      </c>
    </row>
    <row r="1946" spans="31:32">
      <c r="AE1946" s="417" t="s">
        <v>9795</v>
      </c>
      <c r="AF1946" s="416" t="s">
        <v>9796</v>
      </c>
    </row>
    <row r="1947" spans="31:32">
      <c r="AE1947" s="417" t="s">
        <v>9797</v>
      </c>
      <c r="AF1947" s="416" t="s">
        <v>9798</v>
      </c>
    </row>
    <row r="1948" spans="31:32">
      <c r="AE1948" s="417" t="s">
        <v>9799</v>
      </c>
      <c r="AF1948" s="416" t="s">
        <v>9800</v>
      </c>
    </row>
    <row r="1949" spans="31:32">
      <c r="AE1949" s="417" t="s">
        <v>9801</v>
      </c>
      <c r="AF1949" s="416" t="s">
        <v>9802</v>
      </c>
    </row>
    <row r="1950" spans="31:32">
      <c r="AE1950" s="417" t="s">
        <v>9803</v>
      </c>
      <c r="AF1950" s="416" t="s">
        <v>9804</v>
      </c>
    </row>
    <row r="1951" spans="31:32">
      <c r="AE1951" s="417" t="s">
        <v>9805</v>
      </c>
      <c r="AF1951" s="416" t="s">
        <v>9806</v>
      </c>
    </row>
    <row r="1952" spans="31:32">
      <c r="AE1952" s="417" t="s">
        <v>9807</v>
      </c>
      <c r="AF1952" s="416" t="s">
        <v>9808</v>
      </c>
    </row>
    <row r="1953" spans="31:32">
      <c r="AE1953" s="417" t="s">
        <v>9809</v>
      </c>
      <c r="AF1953" s="416" t="s">
        <v>9810</v>
      </c>
    </row>
    <row r="1954" spans="31:32">
      <c r="AE1954" s="417" t="s">
        <v>9811</v>
      </c>
      <c r="AF1954" s="416" t="s">
        <v>9812</v>
      </c>
    </row>
    <row r="1955" spans="31:32">
      <c r="AE1955" s="417" t="s">
        <v>9813</v>
      </c>
      <c r="AF1955" s="416" t="s">
        <v>9814</v>
      </c>
    </row>
    <row r="1956" spans="31:32">
      <c r="AE1956" s="417" t="s">
        <v>9815</v>
      </c>
      <c r="AF1956" s="416" t="s">
        <v>9816</v>
      </c>
    </row>
    <row r="1957" spans="31:32">
      <c r="AE1957" s="417" t="s">
        <v>9817</v>
      </c>
      <c r="AF1957" s="416" t="s">
        <v>9818</v>
      </c>
    </row>
    <row r="1958" spans="31:32">
      <c r="AE1958" s="417" t="s">
        <v>9819</v>
      </c>
      <c r="AF1958" s="416" t="s">
        <v>9820</v>
      </c>
    </row>
    <row r="1959" spans="31:32">
      <c r="AE1959" s="417" t="s">
        <v>9821</v>
      </c>
      <c r="AF1959" s="416" t="s">
        <v>9822</v>
      </c>
    </row>
    <row r="1960" spans="31:32">
      <c r="AE1960" s="417" t="s">
        <v>9823</v>
      </c>
      <c r="AF1960" s="416" t="s">
        <v>9824</v>
      </c>
    </row>
    <row r="1961" spans="31:32">
      <c r="AE1961" s="417" t="s">
        <v>9825</v>
      </c>
      <c r="AF1961" s="416" t="s">
        <v>9826</v>
      </c>
    </row>
    <row r="1962" spans="31:32">
      <c r="AE1962" s="417" t="s">
        <v>9827</v>
      </c>
      <c r="AF1962" s="416" t="s">
        <v>9828</v>
      </c>
    </row>
    <row r="1963" spans="31:32">
      <c r="AE1963" s="417" t="s">
        <v>9829</v>
      </c>
      <c r="AF1963" s="416" t="s">
        <v>9830</v>
      </c>
    </row>
    <row r="1964" spans="31:32">
      <c r="AE1964" s="417" t="s">
        <v>9831</v>
      </c>
      <c r="AF1964" s="416" t="s">
        <v>9832</v>
      </c>
    </row>
    <row r="1965" spans="31:32">
      <c r="AE1965" s="417" t="s">
        <v>9833</v>
      </c>
      <c r="AF1965" s="416" t="s">
        <v>9834</v>
      </c>
    </row>
    <row r="1966" spans="31:32">
      <c r="AE1966" s="417" t="s">
        <v>9835</v>
      </c>
      <c r="AF1966" s="416" t="s">
        <v>9836</v>
      </c>
    </row>
    <row r="1967" spans="31:32">
      <c r="AE1967" s="417" t="s">
        <v>9837</v>
      </c>
      <c r="AF1967" s="416" t="s">
        <v>9838</v>
      </c>
    </row>
    <row r="1968" spans="31:32">
      <c r="AE1968" s="417" t="s">
        <v>9839</v>
      </c>
      <c r="AF1968" s="416" t="s">
        <v>9840</v>
      </c>
    </row>
    <row r="1969" spans="31:32">
      <c r="AE1969" s="417" t="s">
        <v>9841</v>
      </c>
      <c r="AF1969" s="416" t="s">
        <v>9842</v>
      </c>
    </row>
    <row r="1970" spans="31:32">
      <c r="AE1970" s="417" t="s">
        <v>9843</v>
      </c>
      <c r="AF1970" s="416" t="s">
        <v>9844</v>
      </c>
    </row>
    <row r="1971" spans="31:32">
      <c r="AE1971" s="417" t="s">
        <v>9845</v>
      </c>
      <c r="AF1971" s="416" t="s">
        <v>9846</v>
      </c>
    </row>
    <row r="1972" spans="31:32">
      <c r="AE1972" s="417" t="s">
        <v>9847</v>
      </c>
      <c r="AF1972" s="416" t="s">
        <v>9848</v>
      </c>
    </row>
    <row r="1973" spans="31:32">
      <c r="AE1973" s="417" t="s">
        <v>9849</v>
      </c>
      <c r="AF1973" s="416" t="s">
        <v>9850</v>
      </c>
    </row>
    <row r="1974" spans="31:32">
      <c r="AE1974" s="417" t="s">
        <v>9851</v>
      </c>
      <c r="AF1974" s="416" t="s">
        <v>9852</v>
      </c>
    </row>
    <row r="1975" spans="31:32">
      <c r="AE1975" s="417" t="s">
        <v>9853</v>
      </c>
      <c r="AF1975" s="416" t="s">
        <v>9854</v>
      </c>
    </row>
    <row r="1976" spans="31:32">
      <c r="AE1976" s="417" t="s">
        <v>9855</v>
      </c>
      <c r="AF1976" s="416" t="s">
        <v>9856</v>
      </c>
    </row>
    <row r="1977" spans="31:32">
      <c r="AE1977" s="417" t="s">
        <v>9857</v>
      </c>
      <c r="AF1977" s="416" t="s">
        <v>9858</v>
      </c>
    </row>
    <row r="1978" spans="31:32">
      <c r="AE1978" s="417" t="s">
        <v>9859</v>
      </c>
      <c r="AF1978" s="416" t="s">
        <v>9860</v>
      </c>
    </row>
    <row r="1979" spans="31:32">
      <c r="AE1979" s="417" t="s">
        <v>9861</v>
      </c>
      <c r="AF1979" s="416" t="s">
        <v>9862</v>
      </c>
    </row>
    <row r="1980" spans="31:32">
      <c r="AE1980" s="417" t="s">
        <v>9863</v>
      </c>
      <c r="AF1980" s="416" t="s">
        <v>9864</v>
      </c>
    </row>
    <row r="1981" spans="31:32">
      <c r="AE1981" s="417" t="s">
        <v>9865</v>
      </c>
      <c r="AF1981" s="416" t="s">
        <v>9866</v>
      </c>
    </row>
    <row r="1982" spans="31:32">
      <c r="AE1982" s="417" t="s">
        <v>9867</v>
      </c>
      <c r="AF1982" s="416" t="s">
        <v>9868</v>
      </c>
    </row>
    <row r="1983" spans="31:32">
      <c r="AE1983" s="417" t="s">
        <v>9869</v>
      </c>
      <c r="AF1983" s="416" t="s">
        <v>9870</v>
      </c>
    </row>
    <row r="1984" spans="31:32">
      <c r="AE1984" s="417" t="s">
        <v>9871</v>
      </c>
      <c r="AF1984" s="416" t="s">
        <v>9872</v>
      </c>
    </row>
    <row r="1985" spans="31:32">
      <c r="AE1985" s="417" t="s">
        <v>9873</v>
      </c>
      <c r="AF1985" s="416" t="s">
        <v>9874</v>
      </c>
    </row>
    <row r="1986" spans="31:32">
      <c r="AE1986" s="417" t="s">
        <v>9875</v>
      </c>
      <c r="AF1986" s="416" t="s">
        <v>9876</v>
      </c>
    </row>
    <row r="1987" spans="31:32">
      <c r="AE1987" s="417" t="s">
        <v>9877</v>
      </c>
      <c r="AF1987" s="416" t="s">
        <v>9878</v>
      </c>
    </row>
    <row r="1988" spans="31:32">
      <c r="AE1988" s="417" t="s">
        <v>9879</v>
      </c>
      <c r="AF1988" s="416" t="s">
        <v>9880</v>
      </c>
    </row>
    <row r="1989" spans="31:32">
      <c r="AE1989" s="417" t="s">
        <v>9881</v>
      </c>
      <c r="AF1989" s="416" t="s">
        <v>9882</v>
      </c>
    </row>
    <row r="1990" spans="31:32">
      <c r="AE1990" s="417" t="s">
        <v>9883</v>
      </c>
      <c r="AF1990" s="416" t="s">
        <v>9884</v>
      </c>
    </row>
    <row r="1991" spans="31:32">
      <c r="AE1991" s="417" t="s">
        <v>9885</v>
      </c>
      <c r="AF1991" s="416" t="s">
        <v>9886</v>
      </c>
    </row>
    <row r="1992" spans="31:32">
      <c r="AE1992" s="417" t="s">
        <v>9887</v>
      </c>
      <c r="AF1992" s="416" t="s">
        <v>9888</v>
      </c>
    </row>
    <row r="1993" spans="31:32">
      <c r="AE1993" s="417" t="s">
        <v>9889</v>
      </c>
      <c r="AF1993" s="416" t="s">
        <v>9890</v>
      </c>
    </row>
    <row r="1994" spans="31:32">
      <c r="AE1994" s="417" t="s">
        <v>9891</v>
      </c>
      <c r="AF1994" s="416" t="s">
        <v>9892</v>
      </c>
    </row>
    <row r="1995" spans="31:32">
      <c r="AE1995" s="417" t="s">
        <v>9893</v>
      </c>
      <c r="AF1995" s="416" t="s">
        <v>9894</v>
      </c>
    </row>
    <row r="1996" spans="31:32">
      <c r="AE1996" s="417" t="s">
        <v>9895</v>
      </c>
      <c r="AF1996" s="416" t="s">
        <v>9896</v>
      </c>
    </row>
    <row r="1997" spans="31:32">
      <c r="AE1997" s="417" t="s">
        <v>9897</v>
      </c>
      <c r="AF1997" s="416" t="s">
        <v>9898</v>
      </c>
    </row>
    <row r="1998" spans="31:32">
      <c r="AE1998" s="417" t="s">
        <v>9899</v>
      </c>
      <c r="AF1998" s="416" t="s">
        <v>9900</v>
      </c>
    </row>
    <row r="1999" spans="31:32">
      <c r="AE1999" s="417" t="s">
        <v>9901</v>
      </c>
      <c r="AF1999" s="416" t="s">
        <v>9902</v>
      </c>
    </row>
    <row r="2000" spans="31:32">
      <c r="AE2000" s="417" t="s">
        <v>9903</v>
      </c>
      <c r="AF2000" s="416" t="s">
        <v>9904</v>
      </c>
    </row>
    <row r="2001" spans="31:32">
      <c r="AE2001" s="417" t="s">
        <v>9905</v>
      </c>
      <c r="AF2001" s="416" t="s">
        <v>9906</v>
      </c>
    </row>
    <row r="2002" spans="31:32">
      <c r="AE2002" s="417" t="s">
        <v>9907</v>
      </c>
      <c r="AF2002" s="416" t="s">
        <v>9908</v>
      </c>
    </row>
    <row r="2003" spans="31:32">
      <c r="AE2003" s="417" t="s">
        <v>9909</v>
      </c>
      <c r="AF2003" s="416" t="s">
        <v>9910</v>
      </c>
    </row>
    <row r="2004" spans="31:32">
      <c r="AE2004" s="417" t="s">
        <v>9911</v>
      </c>
      <c r="AF2004" s="416" t="s">
        <v>9912</v>
      </c>
    </row>
    <row r="2005" spans="31:32">
      <c r="AE2005" s="417" t="s">
        <v>9913</v>
      </c>
      <c r="AF2005" s="416" t="s">
        <v>9914</v>
      </c>
    </row>
    <row r="2006" spans="31:32">
      <c r="AE2006" s="417" t="s">
        <v>9915</v>
      </c>
      <c r="AF2006" s="416" t="s">
        <v>9916</v>
      </c>
    </row>
    <row r="2007" spans="31:32">
      <c r="AE2007" s="417" t="s">
        <v>9917</v>
      </c>
      <c r="AF2007" s="416" t="s">
        <v>9918</v>
      </c>
    </row>
    <row r="2008" spans="31:32">
      <c r="AE2008" s="417" t="s">
        <v>9919</v>
      </c>
      <c r="AF2008" s="416" t="s">
        <v>9920</v>
      </c>
    </row>
    <row r="2009" spans="31:32">
      <c r="AE2009" s="417" t="s">
        <v>9921</v>
      </c>
      <c r="AF2009" s="416" t="s">
        <v>9922</v>
      </c>
    </row>
    <row r="2010" spans="31:32">
      <c r="AE2010" s="417" t="s">
        <v>9923</v>
      </c>
      <c r="AF2010" s="416" t="s">
        <v>9924</v>
      </c>
    </row>
    <row r="2011" spans="31:32">
      <c r="AE2011" s="417" t="s">
        <v>9925</v>
      </c>
      <c r="AF2011" s="416" t="s">
        <v>9926</v>
      </c>
    </row>
    <row r="2012" spans="31:32">
      <c r="AE2012" s="417" t="s">
        <v>9927</v>
      </c>
      <c r="AF2012" s="416" t="s">
        <v>9928</v>
      </c>
    </row>
    <row r="2013" spans="31:32">
      <c r="AE2013" s="417" t="s">
        <v>9929</v>
      </c>
      <c r="AF2013" s="416" t="s">
        <v>9930</v>
      </c>
    </row>
    <row r="2014" spans="31:32">
      <c r="AE2014" s="417" t="s">
        <v>9931</v>
      </c>
      <c r="AF2014" s="416" t="s">
        <v>9932</v>
      </c>
    </row>
    <row r="2015" spans="31:32">
      <c r="AE2015" s="417" t="s">
        <v>9933</v>
      </c>
      <c r="AF2015" s="416" t="s">
        <v>9934</v>
      </c>
    </row>
    <row r="2016" spans="31:32">
      <c r="AE2016" s="417" t="s">
        <v>9935</v>
      </c>
      <c r="AF2016" s="416" t="s">
        <v>9936</v>
      </c>
    </row>
    <row r="2017" spans="31:32">
      <c r="AE2017" s="417" t="s">
        <v>9937</v>
      </c>
      <c r="AF2017" s="416" t="s">
        <v>9938</v>
      </c>
    </row>
    <row r="2018" spans="31:32">
      <c r="AE2018" s="417" t="s">
        <v>9939</v>
      </c>
      <c r="AF2018" s="416" t="s">
        <v>9940</v>
      </c>
    </row>
    <row r="2019" spans="31:32">
      <c r="AE2019" s="417" t="s">
        <v>9941</v>
      </c>
      <c r="AF2019" s="416" t="s">
        <v>8239</v>
      </c>
    </row>
    <row r="2020" spans="31:32">
      <c r="AE2020" s="417" t="s">
        <v>9942</v>
      </c>
      <c r="AF2020" s="416" t="s">
        <v>9943</v>
      </c>
    </row>
    <row r="2021" spans="31:32">
      <c r="AE2021" s="417" t="s">
        <v>9944</v>
      </c>
      <c r="AF2021" s="416" t="s">
        <v>9945</v>
      </c>
    </row>
    <row r="2022" spans="31:32">
      <c r="AE2022" s="417" t="s">
        <v>9946</v>
      </c>
      <c r="AF2022" s="416" t="s">
        <v>9947</v>
      </c>
    </row>
    <row r="2023" spans="31:32">
      <c r="AE2023" s="417" t="s">
        <v>9948</v>
      </c>
      <c r="AF2023" s="416" t="s">
        <v>9949</v>
      </c>
    </row>
    <row r="2024" spans="31:32">
      <c r="AE2024" s="417" t="s">
        <v>9950</v>
      </c>
      <c r="AF2024" s="416" t="s">
        <v>9951</v>
      </c>
    </row>
    <row r="2025" spans="31:32">
      <c r="AE2025" s="417" t="s">
        <v>9952</v>
      </c>
      <c r="AF2025" s="416" t="s">
        <v>9953</v>
      </c>
    </row>
    <row r="2026" spans="31:32">
      <c r="AE2026" s="417" t="s">
        <v>9954</v>
      </c>
      <c r="AF2026" s="416" t="s">
        <v>9955</v>
      </c>
    </row>
    <row r="2027" spans="31:32">
      <c r="AE2027" s="417" t="s">
        <v>9956</v>
      </c>
      <c r="AF2027" s="416" t="s">
        <v>9957</v>
      </c>
    </row>
    <row r="2028" spans="31:32">
      <c r="AE2028" s="417" t="s">
        <v>9958</v>
      </c>
      <c r="AF2028" s="416" t="s">
        <v>9959</v>
      </c>
    </row>
    <row r="2029" spans="31:32">
      <c r="AE2029" s="417" t="s">
        <v>9960</v>
      </c>
      <c r="AF2029" s="416" t="s">
        <v>9961</v>
      </c>
    </row>
    <row r="2030" spans="31:32">
      <c r="AE2030" s="417" t="s">
        <v>9962</v>
      </c>
      <c r="AF2030" s="416" t="s">
        <v>9963</v>
      </c>
    </row>
    <row r="2031" spans="31:32">
      <c r="AE2031" s="417" t="s">
        <v>9964</v>
      </c>
      <c r="AF2031" s="416" t="s">
        <v>9432</v>
      </c>
    </row>
    <row r="2032" spans="31:32">
      <c r="AE2032" s="417" t="s">
        <v>9965</v>
      </c>
      <c r="AF2032" s="416" t="s">
        <v>9966</v>
      </c>
    </row>
    <row r="2033" spans="31:32">
      <c r="AE2033" s="417" t="s">
        <v>9967</v>
      </c>
      <c r="AF2033" s="416" t="s">
        <v>9968</v>
      </c>
    </row>
    <row r="2034" spans="31:32">
      <c r="AE2034" s="417" t="s">
        <v>9969</v>
      </c>
      <c r="AF2034" s="416" t="s">
        <v>9970</v>
      </c>
    </row>
    <row r="2035" spans="31:32">
      <c r="AE2035" s="417" t="s">
        <v>9971</v>
      </c>
      <c r="AF2035" s="416" t="s">
        <v>9972</v>
      </c>
    </row>
    <row r="2036" spans="31:32">
      <c r="AE2036" s="417" t="s">
        <v>9973</v>
      </c>
      <c r="AF2036" s="416" t="s">
        <v>9432</v>
      </c>
    </row>
    <row r="2037" spans="31:32">
      <c r="AE2037" s="417" t="s">
        <v>9974</v>
      </c>
      <c r="AF2037" s="416" t="s">
        <v>9975</v>
      </c>
    </row>
    <row r="2038" spans="31:32">
      <c r="AE2038" s="417" t="s">
        <v>9976</v>
      </c>
      <c r="AF2038" s="416" t="s">
        <v>9977</v>
      </c>
    </row>
    <row r="2039" spans="31:32">
      <c r="AE2039" s="417" t="s">
        <v>9978</v>
      </c>
      <c r="AF2039" s="416" t="s">
        <v>9979</v>
      </c>
    </row>
    <row r="2040" spans="31:32">
      <c r="AE2040" s="417" t="s">
        <v>9980</v>
      </c>
      <c r="AF2040" s="416" t="s">
        <v>9981</v>
      </c>
    </row>
    <row r="2041" spans="31:32">
      <c r="AE2041" s="417" t="s">
        <v>9982</v>
      </c>
      <c r="AF2041" s="416" t="s">
        <v>9983</v>
      </c>
    </row>
    <row r="2042" spans="31:32">
      <c r="AE2042" s="417" t="s">
        <v>9984</v>
      </c>
      <c r="AF2042" s="416" t="s">
        <v>9985</v>
      </c>
    </row>
    <row r="2043" spans="31:32">
      <c r="AE2043" s="417" t="s">
        <v>9986</v>
      </c>
      <c r="AF2043" s="416" t="s">
        <v>9987</v>
      </c>
    </row>
    <row r="2044" spans="31:32">
      <c r="AE2044" s="417" t="s">
        <v>9988</v>
      </c>
      <c r="AF2044" s="416" t="s">
        <v>9989</v>
      </c>
    </row>
    <row r="2045" spans="31:32">
      <c r="AE2045" s="417" t="s">
        <v>9990</v>
      </c>
      <c r="AF2045" s="416" t="s">
        <v>9991</v>
      </c>
    </row>
    <row r="2046" spans="31:32">
      <c r="AE2046" s="417" t="s">
        <v>9992</v>
      </c>
      <c r="AF2046" s="416" t="s">
        <v>9993</v>
      </c>
    </row>
    <row r="2047" spans="31:32">
      <c r="AE2047" s="417" t="s">
        <v>9994</v>
      </c>
      <c r="AF2047" s="416" t="s">
        <v>9995</v>
      </c>
    </row>
    <row r="2048" spans="31:32">
      <c r="AE2048" s="417" t="s">
        <v>9996</v>
      </c>
      <c r="AF2048" s="416" t="s">
        <v>9997</v>
      </c>
    </row>
    <row r="2049" spans="31:32">
      <c r="AE2049" s="417" t="s">
        <v>9998</v>
      </c>
      <c r="AF2049" s="416" t="s">
        <v>9999</v>
      </c>
    </row>
    <row r="2050" spans="31:32">
      <c r="AE2050" s="417" t="s">
        <v>10000</v>
      </c>
      <c r="AF2050" s="416" t="s">
        <v>10001</v>
      </c>
    </row>
    <row r="2051" spans="31:32">
      <c r="AE2051" s="417" t="s">
        <v>10002</v>
      </c>
      <c r="AF2051" s="416" t="s">
        <v>10003</v>
      </c>
    </row>
    <row r="2052" spans="31:32">
      <c r="AE2052" s="417" t="s">
        <v>10004</v>
      </c>
      <c r="AF2052" s="416" t="s">
        <v>10005</v>
      </c>
    </row>
    <row r="2053" spans="31:32">
      <c r="AE2053" s="417" t="s">
        <v>10006</v>
      </c>
      <c r="AF2053" s="416" t="s">
        <v>10007</v>
      </c>
    </row>
    <row r="2054" spans="31:32">
      <c r="AE2054" s="417" t="s">
        <v>10008</v>
      </c>
      <c r="AF2054" s="416" t="s">
        <v>10009</v>
      </c>
    </row>
    <row r="2055" spans="31:32">
      <c r="AE2055" s="417" t="s">
        <v>10010</v>
      </c>
      <c r="AF2055" s="416" t="s">
        <v>10011</v>
      </c>
    </row>
    <row r="2056" spans="31:32">
      <c r="AE2056" s="417" t="s">
        <v>10012</v>
      </c>
      <c r="AF2056" s="416" t="s">
        <v>10013</v>
      </c>
    </row>
    <row r="2057" spans="31:32">
      <c r="AE2057" s="417" t="s">
        <v>10014</v>
      </c>
      <c r="AF2057" s="416" t="s">
        <v>10015</v>
      </c>
    </row>
    <row r="2058" spans="31:32">
      <c r="AE2058" s="417" t="s">
        <v>10016</v>
      </c>
      <c r="AF2058" s="416" t="s">
        <v>10017</v>
      </c>
    </row>
    <row r="2059" spans="31:32">
      <c r="AE2059" s="417" t="s">
        <v>10018</v>
      </c>
      <c r="AF2059" s="416" t="s">
        <v>10019</v>
      </c>
    </row>
    <row r="2060" spans="31:32">
      <c r="AE2060" s="417" t="s">
        <v>10020</v>
      </c>
      <c r="AF2060" s="416" t="s">
        <v>10021</v>
      </c>
    </row>
    <row r="2061" spans="31:32">
      <c r="AE2061" s="417" t="s">
        <v>10022</v>
      </c>
      <c r="AF2061" s="416" t="s">
        <v>10023</v>
      </c>
    </row>
    <row r="2062" spans="31:32">
      <c r="AE2062" s="417" t="s">
        <v>10024</v>
      </c>
      <c r="AF2062" s="416" t="s">
        <v>10025</v>
      </c>
    </row>
    <row r="2063" spans="31:32">
      <c r="AE2063" s="417" t="s">
        <v>10026</v>
      </c>
      <c r="AF2063" s="416" t="s">
        <v>10027</v>
      </c>
    </row>
    <row r="2064" spans="31:32">
      <c r="AE2064" s="417" t="s">
        <v>10028</v>
      </c>
      <c r="AF2064" s="416" t="s">
        <v>10029</v>
      </c>
    </row>
    <row r="2065" spans="31:32">
      <c r="AE2065" s="417" t="s">
        <v>10030</v>
      </c>
      <c r="AF2065" s="416" t="s">
        <v>10031</v>
      </c>
    </row>
    <row r="2066" spans="31:32">
      <c r="AE2066" s="417" t="s">
        <v>10032</v>
      </c>
      <c r="AF2066" s="416" t="s">
        <v>10033</v>
      </c>
    </row>
    <row r="2067" spans="31:32">
      <c r="AE2067" s="417" t="s">
        <v>10034</v>
      </c>
      <c r="AF2067" s="416" t="s">
        <v>10035</v>
      </c>
    </row>
    <row r="2068" spans="31:32">
      <c r="AE2068" s="417" t="s">
        <v>10036</v>
      </c>
      <c r="AF2068" s="416" t="s">
        <v>10037</v>
      </c>
    </row>
    <row r="2069" spans="31:32">
      <c r="AE2069" s="417" t="s">
        <v>10038</v>
      </c>
      <c r="AF2069" s="416" t="s">
        <v>10039</v>
      </c>
    </row>
    <row r="2070" spans="31:32">
      <c r="AE2070" s="417" t="s">
        <v>10040</v>
      </c>
      <c r="AF2070" s="416" t="s">
        <v>10041</v>
      </c>
    </row>
    <row r="2071" spans="31:32">
      <c r="AE2071" s="417" t="s">
        <v>10042</v>
      </c>
      <c r="AF2071" s="416" t="s">
        <v>9826</v>
      </c>
    </row>
    <row r="2072" spans="31:32">
      <c r="AE2072" s="417" t="s">
        <v>10043</v>
      </c>
      <c r="AF2072" s="416" t="s">
        <v>10044</v>
      </c>
    </row>
    <row r="2073" spans="31:32">
      <c r="AE2073" s="417" t="s">
        <v>10045</v>
      </c>
      <c r="AF2073" s="416" t="s">
        <v>10046</v>
      </c>
    </row>
    <row r="2074" spans="31:32">
      <c r="AE2074" s="417" t="s">
        <v>10047</v>
      </c>
      <c r="AF2074" s="416" t="s">
        <v>10048</v>
      </c>
    </row>
    <row r="2075" spans="31:32">
      <c r="AE2075" s="417" t="s">
        <v>10049</v>
      </c>
      <c r="AF2075" s="416" t="s">
        <v>10050</v>
      </c>
    </row>
    <row r="2076" spans="31:32">
      <c r="AE2076" s="417" t="s">
        <v>10051</v>
      </c>
      <c r="AF2076" s="416" t="s">
        <v>10052</v>
      </c>
    </row>
    <row r="2077" spans="31:32">
      <c r="AE2077" s="417" t="s">
        <v>10053</v>
      </c>
      <c r="AF2077" s="416" t="s">
        <v>10054</v>
      </c>
    </row>
    <row r="2078" spans="31:32">
      <c r="AE2078" s="417" t="s">
        <v>10055</v>
      </c>
      <c r="AF2078" s="416" t="s">
        <v>10056</v>
      </c>
    </row>
    <row r="2079" spans="31:32">
      <c r="AE2079" s="417" t="s">
        <v>10057</v>
      </c>
      <c r="AF2079" s="416" t="s">
        <v>10058</v>
      </c>
    </row>
    <row r="2080" spans="31:32">
      <c r="AE2080" s="417" t="s">
        <v>10059</v>
      </c>
      <c r="AF2080" s="416" t="s">
        <v>10060</v>
      </c>
    </row>
    <row r="2081" spans="31:32">
      <c r="AE2081" s="417" t="s">
        <v>10061</v>
      </c>
      <c r="AF2081" s="416" t="s">
        <v>10062</v>
      </c>
    </row>
    <row r="2082" spans="31:32">
      <c r="AE2082" s="417" t="s">
        <v>10063</v>
      </c>
      <c r="AF2082" s="416" t="s">
        <v>10064</v>
      </c>
    </row>
    <row r="2083" spans="31:32">
      <c r="AE2083" s="417" t="s">
        <v>10065</v>
      </c>
      <c r="AF2083" s="416" t="s">
        <v>10066</v>
      </c>
    </row>
    <row r="2084" spans="31:32">
      <c r="AE2084" s="417" t="s">
        <v>10067</v>
      </c>
      <c r="AF2084" s="416" t="s">
        <v>10068</v>
      </c>
    </row>
    <row r="2085" spans="31:32">
      <c r="AE2085" s="417" t="s">
        <v>10069</v>
      </c>
      <c r="AF2085" s="416" t="s">
        <v>10070</v>
      </c>
    </row>
    <row r="2086" spans="31:32">
      <c r="AE2086" s="417" t="s">
        <v>10071</v>
      </c>
      <c r="AF2086" s="416" t="s">
        <v>10072</v>
      </c>
    </row>
    <row r="2087" spans="31:32">
      <c r="AE2087" s="417" t="s">
        <v>10073</v>
      </c>
      <c r="AF2087" s="416" t="s">
        <v>10074</v>
      </c>
    </row>
    <row r="2088" spans="31:32">
      <c r="AE2088" s="417" t="s">
        <v>10075</v>
      </c>
      <c r="AF2088" s="416" t="s">
        <v>10076</v>
      </c>
    </row>
    <row r="2089" spans="31:32">
      <c r="AE2089" s="417" t="s">
        <v>10077</v>
      </c>
      <c r="AF2089" s="416" t="s">
        <v>10078</v>
      </c>
    </row>
    <row r="2090" spans="31:32">
      <c r="AE2090" s="417" t="s">
        <v>10079</v>
      </c>
      <c r="AF2090" s="416" t="s">
        <v>10080</v>
      </c>
    </row>
    <row r="2091" spans="31:32">
      <c r="AE2091" s="417" t="s">
        <v>10081</v>
      </c>
      <c r="AF2091" s="416" t="s">
        <v>10082</v>
      </c>
    </row>
    <row r="2092" spans="31:32">
      <c r="AE2092" s="417" t="s">
        <v>10083</v>
      </c>
      <c r="AF2092" s="416" t="s">
        <v>10084</v>
      </c>
    </row>
    <row r="2093" spans="31:32">
      <c r="AE2093" s="417" t="s">
        <v>10085</v>
      </c>
      <c r="AF2093" s="416" t="s">
        <v>10086</v>
      </c>
    </row>
    <row r="2094" spans="31:32">
      <c r="AE2094" s="417" t="s">
        <v>10087</v>
      </c>
      <c r="AF2094" s="416" t="s">
        <v>10088</v>
      </c>
    </row>
    <row r="2095" spans="31:32">
      <c r="AE2095" s="417" t="s">
        <v>10089</v>
      </c>
      <c r="AF2095" s="416" t="s">
        <v>10090</v>
      </c>
    </row>
    <row r="2096" spans="31:32">
      <c r="AE2096" s="417" t="s">
        <v>10091</v>
      </c>
      <c r="AF2096" s="416" t="s">
        <v>10092</v>
      </c>
    </row>
    <row r="2097" spans="31:32">
      <c r="AE2097" s="417" t="s">
        <v>10093</v>
      </c>
      <c r="AF2097" s="416" t="s">
        <v>10094</v>
      </c>
    </row>
    <row r="2098" spans="31:32">
      <c r="AE2098" s="417" t="s">
        <v>10095</v>
      </c>
      <c r="AF2098" s="416" t="s">
        <v>10096</v>
      </c>
    </row>
    <row r="2099" spans="31:32">
      <c r="AE2099" s="417" t="s">
        <v>10097</v>
      </c>
      <c r="AF2099" s="416" t="s">
        <v>10098</v>
      </c>
    </row>
    <row r="2100" spans="31:32">
      <c r="AE2100" s="417" t="s">
        <v>10099</v>
      </c>
      <c r="AF2100" s="416" t="s">
        <v>10100</v>
      </c>
    </row>
    <row r="2101" spans="31:32">
      <c r="AE2101" s="417" t="s">
        <v>10101</v>
      </c>
      <c r="AF2101" s="416" t="s">
        <v>10102</v>
      </c>
    </row>
    <row r="2102" spans="31:32">
      <c r="AE2102" s="417" t="s">
        <v>10103</v>
      </c>
      <c r="AF2102" s="416" t="s">
        <v>10104</v>
      </c>
    </row>
    <row r="2103" spans="31:32">
      <c r="AE2103" s="417" t="s">
        <v>10105</v>
      </c>
      <c r="AF2103" s="416" t="s">
        <v>9432</v>
      </c>
    </row>
    <row r="2104" spans="31:32">
      <c r="AE2104" s="417" t="s">
        <v>10106</v>
      </c>
      <c r="AF2104" s="416" t="s">
        <v>9432</v>
      </c>
    </row>
    <row r="2105" spans="31:32">
      <c r="AE2105" s="417" t="s">
        <v>10107</v>
      </c>
      <c r="AF2105" s="416" t="s">
        <v>10108</v>
      </c>
    </row>
    <row r="2106" spans="31:32">
      <c r="AE2106" s="417" t="s">
        <v>10109</v>
      </c>
      <c r="AF2106" s="416" t="s">
        <v>10110</v>
      </c>
    </row>
    <row r="2107" spans="31:32">
      <c r="AE2107" s="417" t="s">
        <v>10111</v>
      </c>
      <c r="AF2107" s="416" t="s">
        <v>10112</v>
      </c>
    </row>
    <row r="2108" spans="31:32">
      <c r="AE2108" s="417" t="s">
        <v>10113</v>
      </c>
      <c r="AF2108" s="416" t="s">
        <v>10114</v>
      </c>
    </row>
    <row r="2109" spans="31:32">
      <c r="AE2109" s="417" t="s">
        <v>10115</v>
      </c>
      <c r="AF2109" s="416" t="s">
        <v>10116</v>
      </c>
    </row>
    <row r="2110" spans="31:32">
      <c r="AE2110" s="417" t="s">
        <v>10117</v>
      </c>
      <c r="AF2110" s="416" t="s">
        <v>10118</v>
      </c>
    </row>
    <row r="2111" spans="31:32">
      <c r="AE2111" s="417" t="s">
        <v>10119</v>
      </c>
      <c r="AF2111" s="416" t="s">
        <v>10120</v>
      </c>
    </row>
    <row r="2112" spans="31:32">
      <c r="AE2112" s="417" t="s">
        <v>10121</v>
      </c>
      <c r="AF2112" s="416" t="s">
        <v>10122</v>
      </c>
    </row>
    <row r="2113" spans="31:32">
      <c r="AE2113" s="417" t="s">
        <v>10123</v>
      </c>
      <c r="AF2113" s="416" t="s">
        <v>10124</v>
      </c>
    </row>
    <row r="2114" spans="31:32">
      <c r="AE2114" s="417" t="s">
        <v>10125</v>
      </c>
      <c r="AF2114" s="416" t="s">
        <v>9432</v>
      </c>
    </row>
    <row r="2115" spans="31:32">
      <c r="AE2115" s="417" t="s">
        <v>10126</v>
      </c>
      <c r="AF2115" s="416" t="s">
        <v>10127</v>
      </c>
    </row>
    <row r="2116" spans="31:32">
      <c r="AE2116" s="417" t="s">
        <v>10128</v>
      </c>
      <c r="AF2116" s="416" t="s">
        <v>10129</v>
      </c>
    </row>
    <row r="2117" spans="31:32">
      <c r="AE2117" s="417" t="s">
        <v>10130</v>
      </c>
      <c r="AF2117" s="416" t="s">
        <v>10131</v>
      </c>
    </row>
    <row r="2118" spans="31:32">
      <c r="AE2118" s="417" t="s">
        <v>10132</v>
      </c>
      <c r="AF2118" s="416" t="s">
        <v>10133</v>
      </c>
    </row>
    <row r="2119" spans="31:32">
      <c r="AE2119" s="417" t="s">
        <v>10134</v>
      </c>
      <c r="AF2119" s="416" t="s">
        <v>10135</v>
      </c>
    </row>
    <row r="2120" spans="31:32">
      <c r="AE2120" s="417" t="s">
        <v>10136</v>
      </c>
      <c r="AF2120" s="416" t="s">
        <v>10137</v>
      </c>
    </row>
    <row r="2121" spans="31:32">
      <c r="AE2121" s="417" t="s">
        <v>10138</v>
      </c>
      <c r="AF2121" s="416" t="s">
        <v>10139</v>
      </c>
    </row>
    <row r="2122" spans="31:32">
      <c r="AE2122" s="417" t="s">
        <v>10140</v>
      </c>
      <c r="AF2122" s="416" t="s">
        <v>10141</v>
      </c>
    </row>
    <row r="2123" spans="31:32">
      <c r="AE2123" s="417" t="s">
        <v>10142</v>
      </c>
      <c r="AF2123" s="416" t="s">
        <v>10143</v>
      </c>
    </row>
    <row r="2124" spans="31:32">
      <c r="AE2124" s="417" t="s">
        <v>10144</v>
      </c>
      <c r="AF2124" s="416" t="s">
        <v>10145</v>
      </c>
    </row>
    <row r="2125" spans="31:32">
      <c r="AE2125" s="417" t="s">
        <v>10146</v>
      </c>
      <c r="AF2125" s="416" t="s">
        <v>10147</v>
      </c>
    </row>
    <row r="2126" spans="31:32">
      <c r="AE2126" s="417" t="s">
        <v>10148</v>
      </c>
      <c r="AF2126" s="416" t="s">
        <v>10149</v>
      </c>
    </row>
    <row r="2127" spans="31:32">
      <c r="AE2127" s="417" t="s">
        <v>10150</v>
      </c>
      <c r="AF2127" s="416" t="s">
        <v>10151</v>
      </c>
    </row>
    <row r="2128" spans="31:32">
      <c r="AE2128" s="417" t="s">
        <v>10152</v>
      </c>
      <c r="AF2128" s="416" t="s">
        <v>10153</v>
      </c>
    </row>
    <row r="2129" spans="31:32">
      <c r="AE2129" s="417" t="s">
        <v>10154</v>
      </c>
      <c r="AF2129" s="416" t="s">
        <v>10155</v>
      </c>
    </row>
    <row r="2130" spans="31:32">
      <c r="AE2130" s="417" t="s">
        <v>10156</v>
      </c>
      <c r="AF2130" s="416" t="s">
        <v>10157</v>
      </c>
    </row>
    <row r="2131" spans="31:32">
      <c r="AE2131" s="417" t="s">
        <v>10158</v>
      </c>
      <c r="AF2131" s="416" t="s">
        <v>10159</v>
      </c>
    </row>
    <row r="2132" spans="31:32">
      <c r="AE2132" s="417" t="s">
        <v>10160</v>
      </c>
      <c r="AF2132" s="416" t="s">
        <v>10161</v>
      </c>
    </row>
    <row r="2133" spans="31:32">
      <c r="AE2133" s="417" t="s">
        <v>10162</v>
      </c>
      <c r="AF2133" s="416" t="s">
        <v>10163</v>
      </c>
    </row>
    <row r="2134" spans="31:32">
      <c r="AE2134" s="417" t="s">
        <v>10164</v>
      </c>
      <c r="AF2134" s="416" t="s">
        <v>10165</v>
      </c>
    </row>
    <row r="2135" spans="31:32">
      <c r="AE2135" s="417" t="s">
        <v>10166</v>
      </c>
      <c r="AF2135" s="416" t="s">
        <v>10167</v>
      </c>
    </row>
    <row r="2136" spans="31:32">
      <c r="AE2136" s="417" t="s">
        <v>10168</v>
      </c>
      <c r="AF2136" s="416" t="s">
        <v>10169</v>
      </c>
    </row>
    <row r="2137" spans="31:32">
      <c r="AE2137" s="417" t="s">
        <v>10170</v>
      </c>
      <c r="AF2137" s="416" t="s">
        <v>10171</v>
      </c>
    </row>
    <row r="2138" spans="31:32">
      <c r="AE2138" s="417" t="s">
        <v>10172</v>
      </c>
      <c r="AF2138" s="416" t="s">
        <v>10173</v>
      </c>
    </row>
    <row r="2139" spans="31:32">
      <c r="AE2139" s="417" t="s">
        <v>10174</v>
      </c>
      <c r="AF2139" s="416" t="s">
        <v>10175</v>
      </c>
    </row>
    <row r="2140" spans="31:32">
      <c r="AE2140" s="417" t="s">
        <v>10176</v>
      </c>
      <c r="AF2140" s="416" t="s">
        <v>10177</v>
      </c>
    </row>
    <row r="2141" spans="31:32">
      <c r="AE2141" s="417" t="s">
        <v>10178</v>
      </c>
      <c r="AF2141" s="416" t="s">
        <v>10179</v>
      </c>
    </row>
    <row r="2142" spans="31:32">
      <c r="AE2142" s="417" t="s">
        <v>10180</v>
      </c>
      <c r="AF2142" s="416" t="s">
        <v>10181</v>
      </c>
    </row>
    <row r="2143" spans="31:32">
      <c r="AE2143" s="417" t="s">
        <v>10182</v>
      </c>
      <c r="AF2143" s="416" t="s">
        <v>10183</v>
      </c>
    </row>
    <row r="2144" spans="31:32">
      <c r="AE2144" s="417" t="s">
        <v>10184</v>
      </c>
      <c r="AF2144" s="416" t="s">
        <v>10185</v>
      </c>
    </row>
    <row r="2145" spans="31:32">
      <c r="AE2145" s="417" t="s">
        <v>10186</v>
      </c>
      <c r="AF2145" s="416" t="s">
        <v>9432</v>
      </c>
    </row>
    <row r="2146" spans="31:32">
      <c r="AE2146" s="417" t="s">
        <v>10187</v>
      </c>
      <c r="AF2146" s="416" t="s">
        <v>9432</v>
      </c>
    </row>
    <row r="2147" spans="31:32">
      <c r="AE2147" s="417" t="s">
        <v>10188</v>
      </c>
      <c r="AF2147" s="416" t="s">
        <v>10189</v>
      </c>
    </row>
    <row r="2148" spans="31:32">
      <c r="AE2148" s="417" t="s">
        <v>10190</v>
      </c>
      <c r="AF2148" s="416" t="s">
        <v>10191</v>
      </c>
    </row>
    <row r="2149" spans="31:32">
      <c r="AE2149" s="417" t="s">
        <v>10192</v>
      </c>
      <c r="AF2149" s="416" t="s">
        <v>10193</v>
      </c>
    </row>
    <row r="2150" spans="31:32">
      <c r="AE2150" s="417" t="s">
        <v>10194</v>
      </c>
      <c r="AF2150" s="416" t="s">
        <v>10195</v>
      </c>
    </row>
    <row r="2151" spans="31:32">
      <c r="AE2151" s="417" t="s">
        <v>10196</v>
      </c>
      <c r="AF2151" s="416" t="s">
        <v>10197</v>
      </c>
    </row>
    <row r="2152" spans="31:32">
      <c r="AE2152" s="417" t="s">
        <v>10198</v>
      </c>
      <c r="AF2152" s="416" t="s">
        <v>10199</v>
      </c>
    </row>
    <row r="2153" spans="31:32">
      <c r="AE2153" s="417" t="s">
        <v>10200</v>
      </c>
      <c r="AF2153" s="416" t="s">
        <v>10201</v>
      </c>
    </row>
    <row r="2154" spans="31:32">
      <c r="AE2154" s="417" t="s">
        <v>10202</v>
      </c>
      <c r="AF2154" s="416" t="s">
        <v>10203</v>
      </c>
    </row>
    <row r="2155" spans="31:32">
      <c r="AE2155" s="417" t="s">
        <v>10204</v>
      </c>
      <c r="AF2155" s="416" t="s">
        <v>10205</v>
      </c>
    </row>
    <row r="2156" spans="31:32">
      <c r="AE2156" s="417" t="s">
        <v>10206</v>
      </c>
      <c r="AF2156" s="416" t="s">
        <v>10207</v>
      </c>
    </row>
    <row r="2157" spans="31:32">
      <c r="AE2157" s="417" t="s">
        <v>10208</v>
      </c>
      <c r="AF2157" s="416" t="s">
        <v>10209</v>
      </c>
    </row>
    <row r="2158" spans="31:32">
      <c r="AE2158" s="417" t="s">
        <v>10210</v>
      </c>
      <c r="AF2158" s="416" t="s">
        <v>10211</v>
      </c>
    </row>
    <row r="2159" spans="31:32">
      <c r="AE2159" s="417" t="s">
        <v>10212</v>
      </c>
      <c r="AF2159" s="416" t="s">
        <v>10213</v>
      </c>
    </row>
    <row r="2160" spans="31:32">
      <c r="AE2160" s="417" t="s">
        <v>10214</v>
      </c>
      <c r="AF2160" s="416" t="s">
        <v>9432</v>
      </c>
    </row>
    <row r="2161" spans="31:32">
      <c r="AE2161" s="417" t="s">
        <v>10215</v>
      </c>
      <c r="AF2161" s="416" t="s">
        <v>10216</v>
      </c>
    </row>
    <row r="2162" spans="31:32">
      <c r="AE2162" s="417" t="s">
        <v>10217</v>
      </c>
      <c r="AF2162" s="416" t="s">
        <v>10218</v>
      </c>
    </row>
    <row r="2163" spans="31:32">
      <c r="AE2163" s="417" t="s">
        <v>10219</v>
      </c>
      <c r="AF2163" s="416" t="s">
        <v>10220</v>
      </c>
    </row>
    <row r="2164" spans="31:32">
      <c r="AE2164" s="417" t="s">
        <v>10221</v>
      </c>
      <c r="AF2164" s="416" t="s">
        <v>10222</v>
      </c>
    </row>
    <row r="2165" spans="31:32">
      <c r="AE2165" s="417" t="s">
        <v>10223</v>
      </c>
      <c r="AF2165" s="416" t="s">
        <v>10224</v>
      </c>
    </row>
    <row r="2166" spans="31:32">
      <c r="AE2166" s="417" t="s">
        <v>10225</v>
      </c>
      <c r="AF2166" s="416" t="s">
        <v>10226</v>
      </c>
    </row>
    <row r="2167" spans="31:32">
      <c r="AE2167" s="417" t="s">
        <v>10227</v>
      </c>
      <c r="AF2167" s="416" t="s">
        <v>10228</v>
      </c>
    </row>
    <row r="2168" spans="31:32">
      <c r="AE2168" s="417" t="s">
        <v>10229</v>
      </c>
      <c r="AF2168" s="416" t="s">
        <v>10230</v>
      </c>
    </row>
    <row r="2169" spans="31:32">
      <c r="AE2169" s="417" t="s">
        <v>10231</v>
      </c>
      <c r="AF2169" s="416" t="s">
        <v>10232</v>
      </c>
    </row>
    <row r="2170" spans="31:32">
      <c r="AE2170" s="417" t="s">
        <v>10233</v>
      </c>
      <c r="AF2170" s="416" t="s">
        <v>10234</v>
      </c>
    </row>
    <row r="2171" spans="31:32">
      <c r="AE2171" s="417" t="s">
        <v>10235</v>
      </c>
      <c r="AF2171" s="416" t="s">
        <v>10236</v>
      </c>
    </row>
    <row r="2172" spans="31:32">
      <c r="AE2172" s="417" t="s">
        <v>10237</v>
      </c>
      <c r="AF2172" s="416" t="s">
        <v>10238</v>
      </c>
    </row>
    <row r="2173" spans="31:32">
      <c r="AE2173" s="417" t="s">
        <v>10239</v>
      </c>
      <c r="AF2173" s="416" t="s">
        <v>10240</v>
      </c>
    </row>
    <row r="2174" spans="31:32">
      <c r="AE2174" s="417" t="s">
        <v>10241</v>
      </c>
      <c r="AF2174" s="416" t="s">
        <v>10242</v>
      </c>
    </row>
    <row r="2175" spans="31:32">
      <c r="AE2175" s="417" t="s">
        <v>10243</v>
      </c>
      <c r="AF2175" s="416" t="s">
        <v>10244</v>
      </c>
    </row>
    <row r="2176" spans="31:32">
      <c r="AE2176" s="417" t="s">
        <v>10245</v>
      </c>
      <c r="AF2176" s="416" t="s">
        <v>10246</v>
      </c>
    </row>
    <row r="2177" spans="31:32">
      <c r="AE2177" s="417" t="s">
        <v>10247</v>
      </c>
      <c r="AF2177" s="416" t="s">
        <v>10248</v>
      </c>
    </row>
    <row r="2178" spans="31:32">
      <c r="AE2178" s="417" t="s">
        <v>10249</v>
      </c>
      <c r="AF2178" s="416" t="s">
        <v>10250</v>
      </c>
    </row>
    <row r="2179" spans="31:32">
      <c r="AE2179" s="417" t="s">
        <v>10251</v>
      </c>
      <c r="AF2179" s="416" t="s">
        <v>10252</v>
      </c>
    </row>
    <row r="2180" spans="31:32">
      <c r="AE2180" s="417" t="s">
        <v>10253</v>
      </c>
      <c r="AF2180" s="416" t="s">
        <v>10254</v>
      </c>
    </row>
    <row r="2181" spans="31:32">
      <c r="AE2181" s="417" t="s">
        <v>10255</v>
      </c>
      <c r="AF2181" s="416" t="s">
        <v>10256</v>
      </c>
    </row>
    <row r="2182" spans="31:32">
      <c r="AE2182" s="417" t="s">
        <v>10257</v>
      </c>
      <c r="AF2182" s="416" t="s">
        <v>10258</v>
      </c>
    </row>
    <row r="2183" spans="31:32">
      <c r="AE2183" s="417" t="s">
        <v>10259</v>
      </c>
      <c r="AF2183" s="416" t="s">
        <v>10260</v>
      </c>
    </row>
    <row r="2184" spans="31:32">
      <c r="AE2184" s="417" t="s">
        <v>10261</v>
      </c>
      <c r="AF2184" s="416" t="s">
        <v>10262</v>
      </c>
    </row>
    <row r="2185" spans="31:32">
      <c r="AE2185" s="417" t="s">
        <v>10263</v>
      </c>
      <c r="AF2185" s="416" t="s">
        <v>10264</v>
      </c>
    </row>
    <row r="2186" spans="31:32">
      <c r="AE2186" s="417" t="s">
        <v>10265</v>
      </c>
      <c r="AF2186" s="416" t="s">
        <v>10266</v>
      </c>
    </row>
    <row r="2187" spans="31:32">
      <c r="AE2187" s="417" t="s">
        <v>10267</v>
      </c>
      <c r="AF2187" s="416" t="s">
        <v>10268</v>
      </c>
    </row>
    <row r="2188" spans="31:32">
      <c r="AE2188" s="417" t="s">
        <v>10269</v>
      </c>
      <c r="AF2188" s="416" t="s">
        <v>10270</v>
      </c>
    </row>
    <row r="2189" spans="31:32">
      <c r="AE2189" s="417" t="s">
        <v>10271</v>
      </c>
      <c r="AF2189" s="416" t="s">
        <v>10272</v>
      </c>
    </row>
    <row r="2190" spans="31:32">
      <c r="AE2190" s="417" t="s">
        <v>10273</v>
      </c>
      <c r="AF2190" s="416" t="s">
        <v>10274</v>
      </c>
    </row>
    <row r="2191" spans="31:32">
      <c r="AE2191" s="417" t="s">
        <v>10275</v>
      </c>
      <c r="AF2191" s="416" t="s">
        <v>10276</v>
      </c>
    </row>
    <row r="2192" spans="31:32">
      <c r="AE2192" s="417" t="s">
        <v>10277</v>
      </c>
      <c r="AF2192" s="416" t="s">
        <v>10278</v>
      </c>
    </row>
    <row r="2193" spans="31:32">
      <c r="AE2193" s="417" t="s">
        <v>10279</v>
      </c>
      <c r="AF2193" s="416" t="s">
        <v>10280</v>
      </c>
    </row>
    <row r="2194" spans="31:32">
      <c r="AE2194" s="417" t="s">
        <v>10281</v>
      </c>
      <c r="AF2194" s="416" t="s">
        <v>10282</v>
      </c>
    </row>
    <row r="2195" spans="31:32">
      <c r="AE2195" s="417" t="s">
        <v>10283</v>
      </c>
      <c r="AF2195" s="416" t="s">
        <v>10284</v>
      </c>
    </row>
    <row r="2196" spans="31:32">
      <c r="AE2196" s="417" t="s">
        <v>10285</v>
      </c>
      <c r="AF2196" s="416" t="s">
        <v>10286</v>
      </c>
    </row>
    <row r="2197" spans="31:32">
      <c r="AE2197" s="417" t="s">
        <v>10287</v>
      </c>
      <c r="AF2197" s="416" t="s">
        <v>10288</v>
      </c>
    </row>
    <row r="2198" spans="31:32">
      <c r="AE2198" s="417" t="s">
        <v>10289</v>
      </c>
      <c r="AF2198" s="416" t="s">
        <v>10290</v>
      </c>
    </row>
    <row r="2199" spans="31:32">
      <c r="AE2199" s="417" t="s">
        <v>10291</v>
      </c>
      <c r="AF2199" s="416" t="s">
        <v>10292</v>
      </c>
    </row>
    <row r="2200" spans="31:32">
      <c r="AE2200" s="417" t="s">
        <v>10293</v>
      </c>
      <c r="AF2200" s="416" t="s">
        <v>8421</v>
      </c>
    </row>
    <row r="2201" spans="31:32">
      <c r="AE2201" s="417" t="s">
        <v>10294</v>
      </c>
      <c r="AF2201" s="416" t="s">
        <v>10295</v>
      </c>
    </row>
    <row r="2202" spans="31:32">
      <c r="AE2202" s="417" t="s">
        <v>10296</v>
      </c>
      <c r="AF2202" s="416" t="s">
        <v>10297</v>
      </c>
    </row>
    <row r="2203" spans="31:32">
      <c r="AE2203" s="417" t="s">
        <v>10298</v>
      </c>
      <c r="AF2203" s="416" t="s">
        <v>10299</v>
      </c>
    </row>
    <row r="2204" spans="31:32">
      <c r="AE2204" s="417" t="s">
        <v>10300</v>
      </c>
      <c r="AF2204" s="416" t="s">
        <v>10301</v>
      </c>
    </row>
    <row r="2205" spans="31:32">
      <c r="AE2205" s="417" t="s">
        <v>10302</v>
      </c>
      <c r="AF2205" s="416" t="s">
        <v>10303</v>
      </c>
    </row>
    <row r="2206" spans="31:32">
      <c r="AE2206" s="417" t="s">
        <v>10304</v>
      </c>
      <c r="AF2206" s="416" t="s">
        <v>10305</v>
      </c>
    </row>
    <row r="2207" spans="31:32">
      <c r="AE2207" s="417" t="s">
        <v>10306</v>
      </c>
      <c r="AF2207" s="416" t="s">
        <v>10307</v>
      </c>
    </row>
    <row r="2208" spans="31:32">
      <c r="AE2208" s="417" t="s">
        <v>10308</v>
      </c>
      <c r="AF2208" s="416" t="s">
        <v>10309</v>
      </c>
    </row>
    <row r="2209" spans="31:32">
      <c r="AE2209" s="417" t="s">
        <v>10310</v>
      </c>
      <c r="AF2209" s="416" t="s">
        <v>10311</v>
      </c>
    </row>
    <row r="2210" spans="31:32">
      <c r="AE2210" s="417" t="s">
        <v>10312</v>
      </c>
      <c r="AF2210" s="416" t="s">
        <v>10313</v>
      </c>
    </row>
    <row r="2211" spans="31:32">
      <c r="AE2211" s="417" t="s">
        <v>10314</v>
      </c>
      <c r="AF2211" s="416" t="s">
        <v>10315</v>
      </c>
    </row>
    <row r="2212" spans="31:32">
      <c r="AE2212" s="417" t="s">
        <v>10316</v>
      </c>
      <c r="AF2212" s="416" t="s">
        <v>10317</v>
      </c>
    </row>
    <row r="2213" spans="31:32">
      <c r="AE2213" s="417" t="s">
        <v>10318</v>
      </c>
      <c r="AF2213" s="416" t="s">
        <v>10319</v>
      </c>
    </row>
    <row r="2214" spans="31:32">
      <c r="AE2214" s="417" t="s">
        <v>10320</v>
      </c>
      <c r="AF2214" s="416" t="s">
        <v>10321</v>
      </c>
    </row>
    <row r="2215" spans="31:32">
      <c r="AE2215" s="417" t="s">
        <v>10322</v>
      </c>
      <c r="AF2215" s="416" t="s">
        <v>10323</v>
      </c>
    </row>
    <row r="2216" spans="31:32">
      <c r="AE2216" s="417" t="s">
        <v>10324</v>
      </c>
      <c r="AF2216" s="416" t="s">
        <v>10325</v>
      </c>
    </row>
    <row r="2217" spans="31:32">
      <c r="AE2217" s="417" t="s">
        <v>10326</v>
      </c>
      <c r="AF2217" s="416" t="s">
        <v>10327</v>
      </c>
    </row>
    <row r="2218" spans="31:32">
      <c r="AE2218" s="417" t="s">
        <v>10328</v>
      </c>
      <c r="AF2218" s="416" t="s">
        <v>10329</v>
      </c>
    </row>
    <row r="2219" spans="31:32">
      <c r="AE2219" s="417" t="s">
        <v>10330</v>
      </c>
      <c r="AF2219" s="416" t="s">
        <v>10331</v>
      </c>
    </row>
    <row r="2220" spans="31:32">
      <c r="AE2220" s="417" t="s">
        <v>10332</v>
      </c>
      <c r="AF2220" s="416" t="s">
        <v>10333</v>
      </c>
    </row>
    <row r="2221" spans="31:32">
      <c r="AE2221" s="417" t="s">
        <v>10334</v>
      </c>
      <c r="AF2221" s="416" t="s">
        <v>10335</v>
      </c>
    </row>
    <row r="2222" spans="31:32">
      <c r="AE2222" s="417" t="s">
        <v>10336</v>
      </c>
      <c r="AF2222" s="416" t="s">
        <v>10337</v>
      </c>
    </row>
    <row r="2223" spans="31:32">
      <c r="AE2223" s="417" t="s">
        <v>10338</v>
      </c>
      <c r="AF2223" s="416" t="s">
        <v>8537</v>
      </c>
    </row>
    <row r="2224" spans="31:32">
      <c r="AE2224" s="417" t="s">
        <v>10339</v>
      </c>
      <c r="AF2224" s="416" t="s">
        <v>10340</v>
      </c>
    </row>
    <row r="2225" spans="31:32">
      <c r="AE2225" s="417" t="s">
        <v>10341</v>
      </c>
      <c r="AF2225" s="416" t="s">
        <v>10342</v>
      </c>
    </row>
    <row r="2226" spans="31:32">
      <c r="AE2226" s="417" t="s">
        <v>10343</v>
      </c>
      <c r="AF2226" s="416" t="s">
        <v>10344</v>
      </c>
    </row>
    <row r="2227" spans="31:32">
      <c r="AE2227" s="417" t="s">
        <v>10345</v>
      </c>
      <c r="AF2227" s="416" t="s">
        <v>10346</v>
      </c>
    </row>
    <row r="2228" spans="31:32">
      <c r="AE2228" s="417" t="s">
        <v>10347</v>
      </c>
      <c r="AF2228" s="416" t="s">
        <v>10348</v>
      </c>
    </row>
    <row r="2229" spans="31:32">
      <c r="AE2229" s="417" t="s">
        <v>10349</v>
      </c>
      <c r="AF2229" s="416" t="s">
        <v>10350</v>
      </c>
    </row>
    <row r="2230" spans="31:32">
      <c r="AE2230" s="417" t="s">
        <v>10351</v>
      </c>
      <c r="AF2230" s="416" t="s">
        <v>10352</v>
      </c>
    </row>
    <row r="2231" spans="31:32">
      <c r="AE2231" s="417" t="s">
        <v>10353</v>
      </c>
      <c r="AF2231" s="416" t="s">
        <v>10354</v>
      </c>
    </row>
    <row r="2232" spans="31:32">
      <c r="AE2232" s="417" t="s">
        <v>10355</v>
      </c>
      <c r="AF2232" s="416" t="s">
        <v>10356</v>
      </c>
    </row>
    <row r="2233" spans="31:32">
      <c r="AE2233" s="417" t="s">
        <v>10357</v>
      </c>
      <c r="AF2233" s="416" t="s">
        <v>10358</v>
      </c>
    </row>
    <row r="2234" spans="31:32">
      <c r="AE2234" s="417" t="s">
        <v>10359</v>
      </c>
      <c r="AF2234" s="416" t="s">
        <v>10360</v>
      </c>
    </row>
    <row r="2235" spans="31:32">
      <c r="AE2235" s="417" t="s">
        <v>10361</v>
      </c>
      <c r="AF2235" s="416" t="s">
        <v>10362</v>
      </c>
    </row>
    <row r="2236" spans="31:32">
      <c r="AE2236" s="417" t="s">
        <v>10363</v>
      </c>
      <c r="AF2236" s="416" t="s">
        <v>10364</v>
      </c>
    </row>
    <row r="2237" spans="31:32">
      <c r="AE2237" s="417" t="s">
        <v>10365</v>
      </c>
      <c r="AF2237" s="416" t="s">
        <v>10366</v>
      </c>
    </row>
    <row r="2238" spans="31:32">
      <c r="AE2238" s="417" t="s">
        <v>10367</v>
      </c>
      <c r="AF2238" s="416" t="s">
        <v>10368</v>
      </c>
    </row>
    <row r="2239" spans="31:32">
      <c r="AE2239" s="417" t="s">
        <v>10369</v>
      </c>
      <c r="AF2239" s="416" t="s">
        <v>10370</v>
      </c>
    </row>
    <row r="2240" spans="31:32">
      <c r="AE2240" s="417" t="s">
        <v>10371</v>
      </c>
      <c r="AF2240" s="416" t="s">
        <v>10372</v>
      </c>
    </row>
    <row r="2241" spans="31:32">
      <c r="AE2241" s="417" t="s">
        <v>10373</v>
      </c>
      <c r="AF2241" s="416" t="s">
        <v>9008</v>
      </c>
    </row>
    <row r="2242" spans="31:32">
      <c r="AE2242" s="417" t="s">
        <v>10374</v>
      </c>
      <c r="AF2242" s="416" t="s">
        <v>10375</v>
      </c>
    </row>
    <row r="2243" spans="31:32">
      <c r="AE2243" s="417" t="s">
        <v>10376</v>
      </c>
      <c r="AF2243" s="416" t="s">
        <v>10377</v>
      </c>
    </row>
    <row r="2244" spans="31:32">
      <c r="AE2244" s="417" t="s">
        <v>10378</v>
      </c>
      <c r="AF2244" s="416" t="s">
        <v>10379</v>
      </c>
    </row>
    <row r="2245" spans="31:32">
      <c r="AE2245" s="417" t="s">
        <v>10380</v>
      </c>
      <c r="AF2245" s="416" t="s">
        <v>10381</v>
      </c>
    </row>
    <row r="2246" spans="31:32">
      <c r="AE2246" s="417" t="s">
        <v>10382</v>
      </c>
      <c r="AF2246" s="416" t="s">
        <v>10383</v>
      </c>
    </row>
    <row r="2247" spans="31:32">
      <c r="AE2247" s="417" t="s">
        <v>10384</v>
      </c>
      <c r="AF2247" s="416" t="s">
        <v>10385</v>
      </c>
    </row>
    <row r="2248" spans="31:32">
      <c r="AE2248" s="417" t="s">
        <v>10386</v>
      </c>
      <c r="AF2248" s="416" t="s">
        <v>10387</v>
      </c>
    </row>
    <row r="2249" spans="31:32">
      <c r="AE2249" s="417" t="s">
        <v>10388</v>
      </c>
      <c r="AF2249" s="416" t="s">
        <v>10389</v>
      </c>
    </row>
    <row r="2250" spans="31:32">
      <c r="AE2250" s="417" t="s">
        <v>10390</v>
      </c>
      <c r="AF2250" s="416" t="s">
        <v>10391</v>
      </c>
    </row>
    <row r="2251" spans="31:32">
      <c r="AE2251" s="417" t="s">
        <v>10392</v>
      </c>
      <c r="AF2251" s="416" t="s">
        <v>10393</v>
      </c>
    </row>
    <row r="2252" spans="31:32">
      <c r="AE2252" s="417" t="s">
        <v>10394</v>
      </c>
      <c r="AF2252" s="416" t="s">
        <v>10395</v>
      </c>
    </row>
    <row r="2253" spans="31:32">
      <c r="AE2253" s="417" t="s">
        <v>10396</v>
      </c>
      <c r="AF2253" s="416" t="s">
        <v>10397</v>
      </c>
    </row>
    <row r="2254" spans="31:32">
      <c r="AE2254" s="417" t="s">
        <v>10398</v>
      </c>
      <c r="AF2254" s="416" t="s">
        <v>10399</v>
      </c>
    </row>
    <row r="2255" spans="31:32">
      <c r="AE2255" s="417" t="s">
        <v>10400</v>
      </c>
      <c r="AF2255" s="416" t="s">
        <v>10401</v>
      </c>
    </row>
    <row r="2256" spans="31:32">
      <c r="AE2256" s="417" t="s">
        <v>10402</v>
      </c>
      <c r="AF2256" s="416" t="s">
        <v>10403</v>
      </c>
    </row>
    <row r="2257" spans="31:32">
      <c r="AE2257" s="417" t="s">
        <v>10404</v>
      </c>
      <c r="AF2257" s="416" t="s">
        <v>10405</v>
      </c>
    </row>
    <row r="2258" spans="31:32">
      <c r="AE2258" s="417" t="s">
        <v>10406</v>
      </c>
      <c r="AF2258" s="416" t="s">
        <v>10407</v>
      </c>
    </row>
    <row r="2259" spans="31:32">
      <c r="AE2259" s="417" t="s">
        <v>10408</v>
      </c>
      <c r="AF2259" s="416" t="s">
        <v>8882</v>
      </c>
    </row>
    <row r="2260" spans="31:32">
      <c r="AE2260" s="417" t="s">
        <v>10409</v>
      </c>
      <c r="AF2260" s="416" t="s">
        <v>10410</v>
      </c>
    </row>
    <row r="2261" spans="31:32">
      <c r="AE2261" s="417" t="s">
        <v>10411</v>
      </c>
      <c r="AF2261" s="416" t="s">
        <v>10412</v>
      </c>
    </row>
    <row r="2262" spans="31:32">
      <c r="AE2262" s="417" t="s">
        <v>10413</v>
      </c>
      <c r="AF2262" s="416" t="s">
        <v>10414</v>
      </c>
    </row>
    <row r="2263" spans="31:32">
      <c r="AE2263" s="417" t="s">
        <v>10415</v>
      </c>
      <c r="AF2263" s="416" t="s">
        <v>10416</v>
      </c>
    </row>
    <row r="2264" spans="31:32">
      <c r="AE2264" s="417" t="s">
        <v>10417</v>
      </c>
      <c r="AF2264" s="416" t="s">
        <v>10418</v>
      </c>
    </row>
    <row r="2265" spans="31:32">
      <c r="AE2265" s="417" t="s">
        <v>10419</v>
      </c>
      <c r="AF2265" s="416" t="s">
        <v>10420</v>
      </c>
    </row>
    <row r="2266" spans="31:32">
      <c r="AE2266" s="417" t="s">
        <v>10421</v>
      </c>
      <c r="AF2266" s="416" t="s">
        <v>10422</v>
      </c>
    </row>
    <row r="2267" spans="31:32">
      <c r="AE2267" s="417" t="s">
        <v>10423</v>
      </c>
      <c r="AF2267" s="416" t="s">
        <v>10424</v>
      </c>
    </row>
    <row r="2268" spans="31:32">
      <c r="AE2268" s="417" t="s">
        <v>10425</v>
      </c>
      <c r="AF2268" s="416" t="s">
        <v>10426</v>
      </c>
    </row>
    <row r="2269" spans="31:32">
      <c r="AE2269" s="417" t="s">
        <v>10427</v>
      </c>
      <c r="AF2269" s="416" t="s">
        <v>10428</v>
      </c>
    </row>
    <row r="2270" spans="31:32">
      <c r="AE2270" s="417" t="s">
        <v>10429</v>
      </c>
      <c r="AF2270" s="416" t="s">
        <v>10430</v>
      </c>
    </row>
    <row r="2271" spans="31:32">
      <c r="AE2271" s="417" t="s">
        <v>10431</v>
      </c>
      <c r="AF2271" s="416" t="s">
        <v>10432</v>
      </c>
    </row>
    <row r="2272" spans="31:32">
      <c r="AE2272" s="417" t="s">
        <v>10433</v>
      </c>
      <c r="AF2272" s="416" t="s">
        <v>10434</v>
      </c>
    </row>
    <row r="2273" spans="31:32">
      <c r="AE2273" s="417" t="s">
        <v>10435</v>
      </c>
      <c r="AF2273" s="416" t="s">
        <v>10436</v>
      </c>
    </row>
    <row r="2274" spans="31:32">
      <c r="AE2274" s="417" t="s">
        <v>10437</v>
      </c>
      <c r="AF2274" s="416" t="s">
        <v>10438</v>
      </c>
    </row>
    <row r="2275" spans="31:32">
      <c r="AE2275" s="417" t="s">
        <v>10439</v>
      </c>
      <c r="AF2275" s="416" t="s">
        <v>10440</v>
      </c>
    </row>
    <row r="2276" spans="31:32">
      <c r="AE2276" s="417" t="s">
        <v>10441</v>
      </c>
      <c r="AF2276" s="416" t="s">
        <v>10442</v>
      </c>
    </row>
    <row r="2277" spans="31:32">
      <c r="AE2277" s="417" t="s">
        <v>10443</v>
      </c>
      <c r="AF2277" s="416" t="s">
        <v>10444</v>
      </c>
    </row>
    <row r="2278" spans="31:32">
      <c r="AE2278" s="417" t="s">
        <v>10445</v>
      </c>
      <c r="AF2278" s="416" t="s">
        <v>10446</v>
      </c>
    </row>
    <row r="2279" spans="31:32">
      <c r="AE2279" s="417" t="s">
        <v>10447</v>
      </c>
      <c r="AF2279" s="416" t="s">
        <v>10448</v>
      </c>
    </row>
    <row r="2280" spans="31:32">
      <c r="AE2280" s="417" t="s">
        <v>10449</v>
      </c>
      <c r="AF2280" s="416" t="s">
        <v>10450</v>
      </c>
    </row>
    <row r="2281" spans="31:32">
      <c r="AE2281" s="417" t="s">
        <v>10451</v>
      </c>
      <c r="AF2281" s="416" t="s">
        <v>10452</v>
      </c>
    </row>
    <row r="2282" spans="31:32">
      <c r="AE2282" s="417" t="s">
        <v>10453</v>
      </c>
      <c r="AF2282" s="416" t="s">
        <v>10454</v>
      </c>
    </row>
    <row r="2283" spans="31:32">
      <c r="AE2283" s="417" t="s">
        <v>10455</v>
      </c>
      <c r="AF2283" s="416" t="s">
        <v>10456</v>
      </c>
    </row>
    <row r="2284" spans="31:32">
      <c r="AE2284" s="417" t="s">
        <v>10457</v>
      </c>
      <c r="AF2284" s="416" t="s">
        <v>10458</v>
      </c>
    </row>
    <row r="2285" spans="31:32">
      <c r="AE2285" s="417" t="s">
        <v>10459</v>
      </c>
      <c r="AF2285" s="416" t="s">
        <v>10460</v>
      </c>
    </row>
    <row r="2286" spans="31:32">
      <c r="AE2286" s="417" t="s">
        <v>10461</v>
      </c>
      <c r="AF2286" s="416" t="s">
        <v>10462</v>
      </c>
    </row>
    <row r="2287" spans="31:32">
      <c r="AE2287" s="417" t="s">
        <v>10463</v>
      </c>
      <c r="AF2287" s="416" t="s">
        <v>10464</v>
      </c>
    </row>
    <row r="2288" spans="31:32">
      <c r="AE2288" s="417" t="s">
        <v>10465</v>
      </c>
      <c r="AF2288" s="416" t="s">
        <v>10466</v>
      </c>
    </row>
    <row r="2289" spans="31:32">
      <c r="AE2289" s="417" t="s">
        <v>10467</v>
      </c>
      <c r="AF2289" s="416" t="s">
        <v>10468</v>
      </c>
    </row>
    <row r="2290" spans="31:32">
      <c r="AE2290" s="417" t="s">
        <v>10469</v>
      </c>
      <c r="AF2290" s="416" t="s">
        <v>10470</v>
      </c>
    </row>
    <row r="2291" spans="31:32">
      <c r="AE2291" s="417" t="s">
        <v>10471</v>
      </c>
      <c r="AF2291" s="416" t="s">
        <v>10472</v>
      </c>
    </row>
    <row r="2292" spans="31:32">
      <c r="AE2292" s="417" t="s">
        <v>10473</v>
      </c>
      <c r="AF2292" s="416" t="s">
        <v>10474</v>
      </c>
    </row>
    <row r="2293" spans="31:32">
      <c r="AE2293" s="417" t="s">
        <v>10475</v>
      </c>
      <c r="AF2293" s="416" t="s">
        <v>10476</v>
      </c>
    </row>
    <row r="2294" spans="31:32">
      <c r="AE2294" s="417" t="s">
        <v>10477</v>
      </c>
      <c r="AF2294" s="416" t="s">
        <v>10478</v>
      </c>
    </row>
    <row r="2295" spans="31:32">
      <c r="AE2295" s="417" t="s">
        <v>10479</v>
      </c>
      <c r="AF2295" s="416" t="s">
        <v>10480</v>
      </c>
    </row>
    <row r="2296" spans="31:32">
      <c r="AE2296" s="417" t="s">
        <v>10481</v>
      </c>
      <c r="AF2296" s="416" t="s">
        <v>8984</v>
      </c>
    </row>
    <row r="2297" spans="31:32">
      <c r="AE2297" s="417" t="s">
        <v>10482</v>
      </c>
      <c r="AF2297" s="416" t="s">
        <v>10483</v>
      </c>
    </row>
    <row r="2298" spans="31:32">
      <c r="AE2298" s="417" t="s">
        <v>10484</v>
      </c>
      <c r="AF2298" s="416" t="s">
        <v>10485</v>
      </c>
    </row>
    <row r="2299" spans="31:32">
      <c r="AE2299" s="417" t="s">
        <v>10486</v>
      </c>
      <c r="AF2299" s="416" t="s">
        <v>10487</v>
      </c>
    </row>
    <row r="2300" spans="31:32">
      <c r="AE2300" s="417" t="s">
        <v>10488</v>
      </c>
      <c r="AF2300" s="416" t="s">
        <v>10489</v>
      </c>
    </row>
    <row r="2301" spans="31:32">
      <c r="AE2301" s="417" t="s">
        <v>10490</v>
      </c>
      <c r="AF2301" s="416" t="s">
        <v>10491</v>
      </c>
    </row>
    <row r="2302" spans="31:32">
      <c r="AE2302" s="417" t="s">
        <v>10492</v>
      </c>
      <c r="AF2302" s="416" t="s">
        <v>10493</v>
      </c>
    </row>
    <row r="2303" spans="31:32">
      <c r="AE2303" s="417" t="s">
        <v>10494</v>
      </c>
      <c r="AF2303" s="416" t="s">
        <v>10495</v>
      </c>
    </row>
    <row r="2304" spans="31:32">
      <c r="AE2304" s="417" t="s">
        <v>10496</v>
      </c>
      <c r="AF2304" s="416" t="s">
        <v>10497</v>
      </c>
    </row>
    <row r="2305" spans="31:32">
      <c r="AE2305" s="417" t="s">
        <v>10498</v>
      </c>
      <c r="AF2305" s="416" t="s">
        <v>10499</v>
      </c>
    </row>
    <row r="2306" spans="31:32">
      <c r="AE2306" s="417" t="s">
        <v>10500</v>
      </c>
      <c r="AF2306" s="416" t="s">
        <v>10501</v>
      </c>
    </row>
    <row r="2307" spans="31:32">
      <c r="AE2307" s="417" t="s">
        <v>10502</v>
      </c>
      <c r="AF2307" s="416" t="s">
        <v>10503</v>
      </c>
    </row>
    <row r="2308" spans="31:32">
      <c r="AE2308" s="417" t="s">
        <v>10504</v>
      </c>
      <c r="AF2308" s="416" t="s">
        <v>10505</v>
      </c>
    </row>
    <row r="2309" spans="31:32">
      <c r="AE2309" s="417" t="s">
        <v>10506</v>
      </c>
      <c r="AF2309" s="416" t="s">
        <v>10507</v>
      </c>
    </row>
    <row r="2310" spans="31:32">
      <c r="AE2310" s="417" t="s">
        <v>10508</v>
      </c>
      <c r="AF2310" s="416" t="s">
        <v>10509</v>
      </c>
    </row>
    <row r="2311" spans="31:32">
      <c r="AE2311" s="417" t="s">
        <v>10510</v>
      </c>
      <c r="AF2311" s="416" t="s">
        <v>10511</v>
      </c>
    </row>
    <row r="2312" spans="31:32">
      <c r="AE2312" s="417" t="s">
        <v>10512</v>
      </c>
      <c r="AF2312" s="416" t="s">
        <v>10513</v>
      </c>
    </row>
    <row r="2313" spans="31:32">
      <c r="AE2313" s="417" t="s">
        <v>10514</v>
      </c>
      <c r="AF2313" s="416" t="s">
        <v>10515</v>
      </c>
    </row>
    <row r="2314" spans="31:32">
      <c r="AE2314" s="417" t="s">
        <v>10516</v>
      </c>
      <c r="AF2314" s="416" t="s">
        <v>10517</v>
      </c>
    </row>
    <row r="2315" spans="31:32">
      <c r="AE2315" s="417" t="s">
        <v>10518</v>
      </c>
      <c r="AF2315" s="416" t="s">
        <v>10519</v>
      </c>
    </row>
    <row r="2316" spans="31:32">
      <c r="AE2316" s="417" t="s">
        <v>10520</v>
      </c>
      <c r="AF2316" s="416" t="s">
        <v>10521</v>
      </c>
    </row>
    <row r="2317" spans="31:32">
      <c r="AE2317" s="417" t="s">
        <v>10522</v>
      </c>
      <c r="AF2317" s="416" t="s">
        <v>10523</v>
      </c>
    </row>
    <row r="2318" spans="31:32">
      <c r="AE2318" s="417" t="s">
        <v>10524</v>
      </c>
      <c r="AF2318" s="416" t="s">
        <v>10525</v>
      </c>
    </row>
    <row r="2319" spans="31:32">
      <c r="AE2319" s="417" t="s">
        <v>10526</v>
      </c>
      <c r="AF2319" s="416" t="s">
        <v>10527</v>
      </c>
    </row>
    <row r="2320" spans="31:32">
      <c r="AE2320" s="417" t="s">
        <v>10528</v>
      </c>
      <c r="AF2320" s="416" t="s">
        <v>10529</v>
      </c>
    </row>
    <row r="2321" spans="31:32">
      <c r="AE2321" s="417" t="s">
        <v>10530</v>
      </c>
      <c r="AF2321" s="416" t="s">
        <v>10531</v>
      </c>
    </row>
    <row r="2322" spans="31:32">
      <c r="AE2322" s="417" t="s">
        <v>10532</v>
      </c>
      <c r="AF2322" s="416" t="s">
        <v>10533</v>
      </c>
    </row>
    <row r="2323" spans="31:32">
      <c r="AE2323" s="417" t="s">
        <v>10534</v>
      </c>
      <c r="AF2323" s="416" t="s">
        <v>10535</v>
      </c>
    </row>
    <row r="2324" spans="31:32">
      <c r="AE2324" s="417" t="s">
        <v>10536</v>
      </c>
      <c r="AF2324" s="416" t="s">
        <v>10537</v>
      </c>
    </row>
    <row r="2325" spans="31:32">
      <c r="AE2325" s="417" t="s">
        <v>10538</v>
      </c>
      <c r="AF2325" s="416" t="s">
        <v>10539</v>
      </c>
    </row>
    <row r="2326" spans="31:32">
      <c r="AE2326" s="417" t="s">
        <v>10540</v>
      </c>
      <c r="AF2326" s="416" t="s">
        <v>10541</v>
      </c>
    </row>
    <row r="2327" spans="31:32">
      <c r="AE2327" s="417" t="s">
        <v>10542</v>
      </c>
      <c r="AF2327" s="416" t="s">
        <v>10543</v>
      </c>
    </row>
    <row r="2328" spans="31:32">
      <c r="AE2328" s="417" t="s">
        <v>10544</v>
      </c>
      <c r="AF2328" s="416" t="s">
        <v>10545</v>
      </c>
    </row>
    <row r="2329" spans="31:32">
      <c r="AE2329" s="417" t="s">
        <v>10546</v>
      </c>
      <c r="AF2329" s="416" t="s">
        <v>10547</v>
      </c>
    </row>
    <row r="2330" spans="31:32">
      <c r="AE2330" s="417" t="s">
        <v>10548</v>
      </c>
      <c r="AF2330" s="416" t="s">
        <v>10549</v>
      </c>
    </row>
    <row r="2331" spans="31:32">
      <c r="AE2331" s="417" t="s">
        <v>10550</v>
      </c>
      <c r="AF2331" s="416" t="s">
        <v>10551</v>
      </c>
    </row>
    <row r="2332" spans="31:32">
      <c r="AE2332" s="417" t="s">
        <v>10552</v>
      </c>
      <c r="AF2332" s="416" t="s">
        <v>10553</v>
      </c>
    </row>
    <row r="2333" spans="31:32">
      <c r="AE2333" s="417" t="s">
        <v>10554</v>
      </c>
      <c r="AF2333" s="416" t="s">
        <v>10555</v>
      </c>
    </row>
    <row r="2334" spans="31:32">
      <c r="AE2334" s="417" t="s">
        <v>10556</v>
      </c>
      <c r="AF2334" s="416" t="s">
        <v>10557</v>
      </c>
    </row>
    <row r="2335" spans="31:32">
      <c r="AE2335" s="417" t="s">
        <v>10558</v>
      </c>
      <c r="AF2335" s="416" t="s">
        <v>10559</v>
      </c>
    </row>
    <row r="2336" spans="31:32">
      <c r="AE2336" s="417" t="s">
        <v>10560</v>
      </c>
      <c r="AF2336" s="416" t="s">
        <v>10561</v>
      </c>
    </row>
    <row r="2337" spans="31:32">
      <c r="AE2337" s="417" t="s">
        <v>10562</v>
      </c>
      <c r="AF2337" s="416" t="s">
        <v>10563</v>
      </c>
    </row>
    <row r="2338" spans="31:32">
      <c r="AE2338" s="417" t="s">
        <v>10564</v>
      </c>
      <c r="AF2338" s="416" t="s">
        <v>10565</v>
      </c>
    </row>
    <row r="2339" spans="31:32">
      <c r="AE2339" s="417" t="s">
        <v>10566</v>
      </c>
      <c r="AF2339" s="416" t="s">
        <v>10567</v>
      </c>
    </row>
    <row r="2340" spans="31:32">
      <c r="AE2340" s="417" t="s">
        <v>10568</v>
      </c>
      <c r="AF2340" s="416" t="s">
        <v>10569</v>
      </c>
    </row>
    <row r="2341" spans="31:32">
      <c r="AE2341" s="417" t="s">
        <v>10570</v>
      </c>
      <c r="AF2341" s="416" t="s">
        <v>10571</v>
      </c>
    </row>
    <row r="2342" spans="31:32">
      <c r="AE2342" s="417" t="s">
        <v>10572</v>
      </c>
      <c r="AF2342" s="416" t="s">
        <v>10573</v>
      </c>
    </row>
    <row r="2343" spans="31:32">
      <c r="AE2343" s="417" t="s">
        <v>10574</v>
      </c>
      <c r="AF2343" s="416" t="s">
        <v>10575</v>
      </c>
    </row>
    <row r="2344" spans="31:32">
      <c r="AE2344" s="417" t="s">
        <v>10576</v>
      </c>
      <c r="AF2344" s="416" t="s">
        <v>10577</v>
      </c>
    </row>
    <row r="2345" spans="31:32">
      <c r="AE2345" s="417" t="s">
        <v>10578</v>
      </c>
      <c r="AF2345" s="416" t="s">
        <v>10579</v>
      </c>
    </row>
    <row r="2346" spans="31:32">
      <c r="AE2346" s="417" t="s">
        <v>10580</v>
      </c>
      <c r="AF2346" s="416" t="s">
        <v>10581</v>
      </c>
    </row>
    <row r="2347" spans="31:32">
      <c r="AE2347" s="417" t="s">
        <v>10582</v>
      </c>
      <c r="AF2347" s="416" t="s">
        <v>10583</v>
      </c>
    </row>
    <row r="2348" spans="31:32">
      <c r="AE2348" s="417" t="s">
        <v>10584</v>
      </c>
      <c r="AF2348" s="416" t="s">
        <v>10585</v>
      </c>
    </row>
    <row r="2349" spans="31:32">
      <c r="AE2349" s="417" t="s">
        <v>10586</v>
      </c>
      <c r="AF2349" s="416" t="s">
        <v>10587</v>
      </c>
    </row>
    <row r="2350" spans="31:32">
      <c r="AE2350" s="417" t="s">
        <v>10588</v>
      </c>
      <c r="AF2350" s="416" t="s">
        <v>10589</v>
      </c>
    </row>
    <row r="2351" spans="31:32">
      <c r="AE2351" s="417" t="s">
        <v>10590</v>
      </c>
      <c r="AF2351" s="416" t="s">
        <v>10591</v>
      </c>
    </row>
    <row r="2352" spans="31:32">
      <c r="AE2352" s="417" t="s">
        <v>10592</v>
      </c>
      <c r="AF2352" s="416" t="s">
        <v>10593</v>
      </c>
    </row>
    <row r="2353" spans="31:32">
      <c r="AE2353" s="417" t="s">
        <v>10594</v>
      </c>
      <c r="AF2353" s="416" t="s">
        <v>10595</v>
      </c>
    </row>
    <row r="2354" spans="31:32">
      <c r="AE2354" s="417" t="s">
        <v>10596</v>
      </c>
      <c r="AF2354" s="416" t="s">
        <v>10597</v>
      </c>
    </row>
    <row r="2355" spans="31:32">
      <c r="AE2355" s="417" t="s">
        <v>10598</v>
      </c>
      <c r="AF2355" s="416" t="s">
        <v>10599</v>
      </c>
    </row>
    <row r="2356" spans="31:32">
      <c r="AE2356" s="417" t="s">
        <v>10600</v>
      </c>
      <c r="AF2356" s="416" t="s">
        <v>10601</v>
      </c>
    </row>
    <row r="2357" spans="31:32">
      <c r="AE2357" s="417" t="s">
        <v>10602</v>
      </c>
      <c r="AF2357" s="416" t="s">
        <v>10603</v>
      </c>
    </row>
    <row r="2358" spans="31:32">
      <c r="AE2358" s="417" t="s">
        <v>10604</v>
      </c>
      <c r="AF2358" s="416" t="s">
        <v>10605</v>
      </c>
    </row>
    <row r="2359" spans="31:32">
      <c r="AE2359" s="417" t="s">
        <v>10606</v>
      </c>
      <c r="AF2359" s="416" t="s">
        <v>10607</v>
      </c>
    </row>
    <row r="2360" spans="31:32">
      <c r="AE2360" s="417" t="s">
        <v>10608</v>
      </c>
      <c r="AF2360" s="416" t="s">
        <v>10609</v>
      </c>
    </row>
    <row r="2361" spans="31:32">
      <c r="AE2361" s="417" t="s">
        <v>10610</v>
      </c>
      <c r="AF2361" s="416" t="s">
        <v>10611</v>
      </c>
    </row>
    <row r="2362" spans="31:32">
      <c r="AE2362" s="417" t="s">
        <v>10612</v>
      </c>
      <c r="AF2362" s="416" t="s">
        <v>10613</v>
      </c>
    </row>
    <row r="2363" spans="31:32">
      <c r="AE2363" s="417" t="s">
        <v>10614</v>
      </c>
      <c r="AF2363" s="416" t="s">
        <v>10615</v>
      </c>
    </row>
    <row r="2364" spans="31:32">
      <c r="AE2364" s="417" t="s">
        <v>10616</v>
      </c>
      <c r="AF2364" s="416" t="s">
        <v>10617</v>
      </c>
    </row>
    <row r="2365" spans="31:32">
      <c r="AE2365" s="417" t="s">
        <v>10618</v>
      </c>
      <c r="AF2365" s="416" t="s">
        <v>10619</v>
      </c>
    </row>
    <row r="2366" spans="31:32">
      <c r="AE2366" s="417" t="s">
        <v>10620</v>
      </c>
      <c r="AF2366" s="416" t="s">
        <v>10621</v>
      </c>
    </row>
    <row r="2367" spans="31:32">
      <c r="AE2367" s="417" t="s">
        <v>10622</v>
      </c>
      <c r="AF2367" s="416" t="s">
        <v>10623</v>
      </c>
    </row>
    <row r="2368" spans="31:32">
      <c r="AE2368" s="417" t="s">
        <v>10624</v>
      </c>
      <c r="AF2368" s="416" t="s">
        <v>10625</v>
      </c>
    </row>
    <row r="2369" spans="31:32">
      <c r="AE2369" s="417" t="s">
        <v>10626</v>
      </c>
      <c r="AF2369" s="416" t="s">
        <v>10627</v>
      </c>
    </row>
    <row r="2370" spans="31:32">
      <c r="AE2370" s="417" t="s">
        <v>10628</v>
      </c>
      <c r="AF2370" s="416" t="s">
        <v>10629</v>
      </c>
    </row>
    <row r="2371" spans="31:32">
      <c r="AE2371" s="417" t="s">
        <v>10630</v>
      </c>
      <c r="AF2371" s="416" t="s">
        <v>10631</v>
      </c>
    </row>
    <row r="2372" spans="31:32">
      <c r="AE2372" s="417" t="s">
        <v>10632</v>
      </c>
      <c r="AF2372" s="416" t="s">
        <v>10633</v>
      </c>
    </row>
    <row r="2373" spans="31:32">
      <c r="AE2373" s="417" t="s">
        <v>10634</v>
      </c>
      <c r="AF2373" s="416" t="s">
        <v>10635</v>
      </c>
    </row>
    <row r="2374" spans="31:32">
      <c r="AE2374" s="417" t="s">
        <v>10636</v>
      </c>
      <c r="AF2374" s="416" t="s">
        <v>10637</v>
      </c>
    </row>
    <row r="2375" spans="31:32">
      <c r="AE2375" s="417" t="s">
        <v>10638</v>
      </c>
      <c r="AF2375" s="416" t="s">
        <v>10639</v>
      </c>
    </row>
    <row r="2376" spans="31:32">
      <c r="AE2376" s="417" t="s">
        <v>10640</v>
      </c>
      <c r="AF2376" s="416" t="s">
        <v>10641</v>
      </c>
    </row>
    <row r="2377" spans="31:32">
      <c r="AE2377" s="417" t="s">
        <v>10642</v>
      </c>
      <c r="AF2377" s="416" t="s">
        <v>10643</v>
      </c>
    </row>
    <row r="2378" spans="31:32">
      <c r="AE2378" s="417" t="s">
        <v>10644</v>
      </c>
      <c r="AF2378" s="416" t="s">
        <v>10645</v>
      </c>
    </row>
    <row r="2379" spans="31:32">
      <c r="AE2379" s="417" t="s">
        <v>10646</v>
      </c>
      <c r="AF2379" s="416" t="s">
        <v>10647</v>
      </c>
    </row>
    <row r="2380" spans="31:32">
      <c r="AE2380" s="417" t="s">
        <v>10648</v>
      </c>
      <c r="AF2380" s="416" t="s">
        <v>10649</v>
      </c>
    </row>
    <row r="2381" spans="31:32">
      <c r="AE2381" s="417" t="s">
        <v>10650</v>
      </c>
      <c r="AF2381" s="416" t="s">
        <v>10651</v>
      </c>
    </row>
    <row r="2382" spans="31:32">
      <c r="AE2382" s="417" t="s">
        <v>10652</v>
      </c>
      <c r="AF2382" s="416" t="s">
        <v>8260</v>
      </c>
    </row>
    <row r="2383" spans="31:32">
      <c r="AE2383" s="417" t="s">
        <v>10653</v>
      </c>
      <c r="AF2383" s="416" t="s">
        <v>10654</v>
      </c>
    </row>
    <row r="2384" spans="31:32">
      <c r="AE2384" s="417" t="s">
        <v>10655</v>
      </c>
      <c r="AF2384" s="416" t="s">
        <v>10656</v>
      </c>
    </row>
    <row r="2385" spans="31:32">
      <c r="AE2385" s="417" t="s">
        <v>10657</v>
      </c>
      <c r="AF2385" s="416" t="s">
        <v>10658</v>
      </c>
    </row>
    <row r="2386" spans="31:32">
      <c r="AE2386" s="417" t="s">
        <v>10659</v>
      </c>
      <c r="AF2386" s="416" t="s">
        <v>10660</v>
      </c>
    </row>
    <row r="2387" spans="31:32">
      <c r="AE2387" s="417" t="s">
        <v>10661</v>
      </c>
      <c r="AF2387" s="416" t="s">
        <v>10662</v>
      </c>
    </row>
    <row r="2388" spans="31:32">
      <c r="AE2388" s="417" t="s">
        <v>10663</v>
      </c>
      <c r="AF2388" s="416" t="s">
        <v>10664</v>
      </c>
    </row>
    <row r="2389" spans="31:32">
      <c r="AE2389" s="417" t="s">
        <v>10665</v>
      </c>
      <c r="AF2389" s="416" t="s">
        <v>10666</v>
      </c>
    </row>
    <row r="2390" spans="31:32">
      <c r="AE2390" s="417" t="s">
        <v>10667</v>
      </c>
      <c r="AF2390" s="416" t="s">
        <v>10668</v>
      </c>
    </row>
    <row r="2391" spans="31:32">
      <c r="AE2391" s="417" t="s">
        <v>10669</v>
      </c>
      <c r="AF2391" s="416" t="s">
        <v>10670</v>
      </c>
    </row>
    <row r="2392" spans="31:32">
      <c r="AE2392" s="417" t="s">
        <v>10671</v>
      </c>
      <c r="AF2392" s="416" t="s">
        <v>10672</v>
      </c>
    </row>
    <row r="2393" spans="31:32">
      <c r="AE2393" s="417" t="s">
        <v>10673</v>
      </c>
      <c r="AF2393" s="416" t="s">
        <v>10674</v>
      </c>
    </row>
    <row r="2394" spans="31:32">
      <c r="AE2394" s="417" t="s">
        <v>10675</v>
      </c>
      <c r="AF2394" s="416" t="s">
        <v>10676</v>
      </c>
    </row>
    <row r="2395" spans="31:32">
      <c r="AE2395" s="417" t="s">
        <v>10677</v>
      </c>
      <c r="AF2395" s="416" t="s">
        <v>10678</v>
      </c>
    </row>
    <row r="2396" spans="31:32">
      <c r="AE2396" s="417" t="s">
        <v>10679</v>
      </c>
      <c r="AF2396" s="416" t="s">
        <v>10680</v>
      </c>
    </row>
    <row r="2397" spans="31:32">
      <c r="AE2397" s="417" t="s">
        <v>10681</v>
      </c>
      <c r="AF2397" s="416" t="s">
        <v>10682</v>
      </c>
    </row>
    <row r="2398" spans="31:32">
      <c r="AE2398" s="417" t="s">
        <v>10683</v>
      </c>
      <c r="AF2398" s="416" t="s">
        <v>10684</v>
      </c>
    </row>
    <row r="2399" spans="31:32">
      <c r="AE2399" s="417" t="s">
        <v>10685</v>
      </c>
      <c r="AF2399" s="416" t="s">
        <v>10686</v>
      </c>
    </row>
    <row r="2400" spans="31:32">
      <c r="AE2400" s="417" t="s">
        <v>10687</v>
      </c>
      <c r="AF2400" s="416" t="s">
        <v>10688</v>
      </c>
    </row>
    <row r="2401" spans="31:32">
      <c r="AE2401" s="417" t="s">
        <v>10689</v>
      </c>
      <c r="AF2401" s="416" t="s">
        <v>10690</v>
      </c>
    </row>
    <row r="2402" spans="31:32">
      <c r="AE2402" s="417" t="s">
        <v>10691</v>
      </c>
      <c r="AF2402" s="416" t="s">
        <v>10692</v>
      </c>
    </row>
    <row r="2403" spans="31:32">
      <c r="AE2403" s="417" t="s">
        <v>10693</v>
      </c>
      <c r="AF2403" s="416" t="s">
        <v>9955</v>
      </c>
    </row>
    <row r="2404" spans="31:32">
      <c r="AE2404" s="417" t="s">
        <v>10694</v>
      </c>
      <c r="AF2404" s="416" t="s">
        <v>10695</v>
      </c>
    </row>
    <row r="2405" spans="31:32">
      <c r="AE2405" s="417" t="s">
        <v>10696</v>
      </c>
      <c r="AF2405" s="416" t="s">
        <v>10697</v>
      </c>
    </row>
    <row r="2406" spans="31:32">
      <c r="AE2406" s="417" t="s">
        <v>10698</v>
      </c>
      <c r="AF2406" s="416" t="s">
        <v>10699</v>
      </c>
    </row>
    <row r="2407" spans="31:32">
      <c r="AE2407" s="417" t="s">
        <v>10700</v>
      </c>
      <c r="AF2407" s="416" t="s">
        <v>10701</v>
      </c>
    </row>
    <row r="2408" spans="31:32">
      <c r="AE2408" s="417" t="s">
        <v>10702</v>
      </c>
      <c r="AF2408" s="416" t="s">
        <v>10703</v>
      </c>
    </row>
    <row r="2409" spans="31:32">
      <c r="AE2409" s="417" t="s">
        <v>10704</v>
      </c>
      <c r="AF2409" s="416" t="s">
        <v>10705</v>
      </c>
    </row>
    <row r="2410" spans="31:32">
      <c r="AE2410" s="417" t="s">
        <v>10706</v>
      </c>
      <c r="AF2410" s="416" t="s">
        <v>10707</v>
      </c>
    </row>
    <row r="2411" spans="31:32">
      <c r="AE2411" s="417" t="s">
        <v>10708</v>
      </c>
      <c r="AF2411" s="416" t="s">
        <v>10709</v>
      </c>
    </row>
    <row r="2412" spans="31:32">
      <c r="AE2412" s="417" t="s">
        <v>10710</v>
      </c>
      <c r="AF2412" s="416" t="s">
        <v>10711</v>
      </c>
    </row>
    <row r="2413" spans="31:32">
      <c r="AE2413" s="417" t="s">
        <v>10712</v>
      </c>
      <c r="AF2413" s="416" t="s">
        <v>10713</v>
      </c>
    </row>
    <row r="2414" spans="31:32">
      <c r="AE2414" s="417" t="s">
        <v>10714</v>
      </c>
      <c r="AF2414" s="416" t="s">
        <v>10715</v>
      </c>
    </row>
    <row r="2415" spans="31:32">
      <c r="AE2415" s="417" t="s">
        <v>10716</v>
      </c>
      <c r="AF2415" s="416" t="s">
        <v>10717</v>
      </c>
    </row>
    <row r="2416" spans="31:32">
      <c r="AE2416" s="417" t="s">
        <v>10718</v>
      </c>
      <c r="AF2416" s="416" t="s">
        <v>10719</v>
      </c>
    </row>
    <row r="2417" spans="31:32">
      <c r="AE2417" s="417" t="s">
        <v>10720</v>
      </c>
      <c r="AF2417" s="416" t="s">
        <v>10721</v>
      </c>
    </row>
    <row r="2418" spans="31:32">
      <c r="AE2418" s="417" t="s">
        <v>10722</v>
      </c>
      <c r="AF2418" s="416" t="s">
        <v>10723</v>
      </c>
    </row>
    <row r="2419" spans="31:32">
      <c r="AE2419" s="417" t="s">
        <v>10724</v>
      </c>
      <c r="AF2419" s="416" t="s">
        <v>10725</v>
      </c>
    </row>
    <row r="2420" spans="31:32">
      <c r="AE2420" s="417" t="s">
        <v>10726</v>
      </c>
      <c r="AF2420" s="416" t="s">
        <v>10727</v>
      </c>
    </row>
    <row r="2421" spans="31:32">
      <c r="AE2421" s="417" t="s">
        <v>10728</v>
      </c>
      <c r="AF2421" s="416" t="s">
        <v>10729</v>
      </c>
    </row>
    <row r="2422" spans="31:32">
      <c r="AE2422" s="417" t="s">
        <v>10730</v>
      </c>
      <c r="AF2422" s="416" t="s">
        <v>10731</v>
      </c>
    </row>
    <row r="2423" spans="31:32">
      <c r="AE2423" s="417" t="s">
        <v>10732</v>
      </c>
      <c r="AF2423" s="416" t="s">
        <v>10733</v>
      </c>
    </row>
    <row r="2424" spans="31:32">
      <c r="AE2424" s="417" t="s">
        <v>10734</v>
      </c>
      <c r="AF2424" s="416" t="s">
        <v>10735</v>
      </c>
    </row>
    <row r="2425" spans="31:32">
      <c r="AE2425" s="417" t="s">
        <v>10736</v>
      </c>
      <c r="AF2425" s="416" t="s">
        <v>10737</v>
      </c>
    </row>
    <row r="2426" spans="31:32">
      <c r="AE2426" s="417" t="s">
        <v>10738</v>
      </c>
      <c r="AF2426" s="416" t="s">
        <v>10739</v>
      </c>
    </row>
    <row r="2427" spans="31:32">
      <c r="AE2427" s="417" t="s">
        <v>10740</v>
      </c>
      <c r="AF2427" s="416" t="s">
        <v>10741</v>
      </c>
    </row>
    <row r="2428" spans="31:32">
      <c r="AE2428" s="417" t="s">
        <v>10742</v>
      </c>
      <c r="AF2428" s="416" t="s">
        <v>10743</v>
      </c>
    </row>
    <row r="2429" spans="31:32">
      <c r="AE2429" s="417" t="s">
        <v>10744</v>
      </c>
      <c r="AF2429" s="416" t="s">
        <v>10745</v>
      </c>
    </row>
    <row r="2430" spans="31:32">
      <c r="AE2430" s="417" t="s">
        <v>10746</v>
      </c>
      <c r="AF2430" s="416" t="s">
        <v>10747</v>
      </c>
    </row>
    <row r="2431" spans="31:32">
      <c r="AE2431" s="417" t="s">
        <v>10748</v>
      </c>
      <c r="AF2431" s="416" t="s">
        <v>10749</v>
      </c>
    </row>
    <row r="2432" spans="31:32">
      <c r="AE2432" s="417" t="s">
        <v>10750</v>
      </c>
      <c r="AF2432" s="416" t="s">
        <v>10751</v>
      </c>
    </row>
    <row r="2433" spans="31:32">
      <c r="AE2433" s="417" t="s">
        <v>10752</v>
      </c>
      <c r="AF2433" s="416" t="s">
        <v>10753</v>
      </c>
    </row>
    <row r="2434" spans="31:32">
      <c r="AE2434" s="417" t="s">
        <v>10754</v>
      </c>
      <c r="AF2434" s="416" t="s">
        <v>10755</v>
      </c>
    </row>
    <row r="2435" spans="31:32">
      <c r="AE2435" s="417" t="s">
        <v>10756</v>
      </c>
      <c r="AF2435" s="416" t="s">
        <v>10757</v>
      </c>
    </row>
    <row r="2436" spans="31:32">
      <c r="AE2436" s="417" t="s">
        <v>10758</v>
      </c>
      <c r="AF2436" s="416" t="s">
        <v>10759</v>
      </c>
    </row>
    <row r="2437" spans="31:32">
      <c r="AE2437" s="417" t="s">
        <v>10760</v>
      </c>
      <c r="AF2437" s="416" t="s">
        <v>10761</v>
      </c>
    </row>
    <row r="2438" spans="31:32">
      <c r="AE2438" s="417" t="s">
        <v>10762</v>
      </c>
      <c r="AF2438" s="416" t="s">
        <v>10763</v>
      </c>
    </row>
    <row r="2439" spans="31:32">
      <c r="AE2439" s="417" t="s">
        <v>10764</v>
      </c>
      <c r="AF2439" s="416" t="s">
        <v>10765</v>
      </c>
    </row>
    <row r="2440" spans="31:32">
      <c r="AE2440" s="417" t="s">
        <v>10766</v>
      </c>
      <c r="AF2440" s="416" t="s">
        <v>10767</v>
      </c>
    </row>
    <row r="2441" spans="31:32">
      <c r="AE2441" s="417" t="s">
        <v>10768</v>
      </c>
      <c r="AF2441" s="416" t="s">
        <v>10769</v>
      </c>
    </row>
    <row r="2442" spans="31:32">
      <c r="AE2442" s="417" t="s">
        <v>10770</v>
      </c>
      <c r="AF2442" s="416" t="s">
        <v>10771</v>
      </c>
    </row>
    <row r="2443" spans="31:32">
      <c r="AE2443" s="417" t="s">
        <v>10772</v>
      </c>
      <c r="AF2443" s="416" t="s">
        <v>10773</v>
      </c>
    </row>
    <row r="2444" spans="31:32">
      <c r="AE2444" s="417" t="s">
        <v>10774</v>
      </c>
      <c r="AF2444" s="416" t="s">
        <v>10775</v>
      </c>
    </row>
    <row r="2445" spans="31:32">
      <c r="AE2445" s="417" t="s">
        <v>10776</v>
      </c>
      <c r="AF2445" s="416" t="s">
        <v>10777</v>
      </c>
    </row>
    <row r="2446" spans="31:32">
      <c r="AE2446" s="417" t="s">
        <v>10778</v>
      </c>
      <c r="AF2446" s="416" t="s">
        <v>10779</v>
      </c>
    </row>
    <row r="2447" spans="31:32">
      <c r="AE2447" s="417" t="s">
        <v>10780</v>
      </c>
      <c r="AF2447" s="416" t="s">
        <v>10781</v>
      </c>
    </row>
    <row r="2448" spans="31:32">
      <c r="AE2448" s="417" t="s">
        <v>10782</v>
      </c>
      <c r="AF2448" s="416" t="s">
        <v>10783</v>
      </c>
    </row>
    <row r="2449" spans="31:32">
      <c r="AE2449" s="417" t="s">
        <v>10784</v>
      </c>
      <c r="AF2449" s="416" t="s">
        <v>10785</v>
      </c>
    </row>
    <row r="2450" spans="31:32">
      <c r="AE2450" s="417" t="s">
        <v>10786</v>
      </c>
      <c r="AF2450" s="416" t="s">
        <v>10787</v>
      </c>
    </row>
    <row r="2451" spans="31:32">
      <c r="AE2451" s="417" t="s">
        <v>10788</v>
      </c>
      <c r="AF2451" s="416" t="s">
        <v>10789</v>
      </c>
    </row>
    <row r="2452" spans="31:32">
      <c r="AE2452" s="417" t="s">
        <v>10790</v>
      </c>
      <c r="AF2452" s="416" t="s">
        <v>10791</v>
      </c>
    </row>
    <row r="2453" spans="31:32">
      <c r="AE2453" s="417" t="s">
        <v>10792</v>
      </c>
      <c r="AF2453" s="416" t="s">
        <v>10793</v>
      </c>
    </row>
    <row r="2454" spans="31:32">
      <c r="AE2454" s="417" t="s">
        <v>10794</v>
      </c>
      <c r="AF2454" s="416" t="s">
        <v>10795</v>
      </c>
    </row>
    <row r="2455" spans="31:32">
      <c r="AE2455" s="417" t="s">
        <v>10796</v>
      </c>
      <c r="AF2455" s="416" t="s">
        <v>10797</v>
      </c>
    </row>
    <row r="2456" spans="31:32">
      <c r="AE2456" s="417" t="s">
        <v>10798</v>
      </c>
      <c r="AF2456" s="416" t="s">
        <v>10799</v>
      </c>
    </row>
    <row r="2457" spans="31:32">
      <c r="AE2457" s="417" t="s">
        <v>10800</v>
      </c>
      <c r="AF2457" s="416" t="s">
        <v>10801</v>
      </c>
    </row>
    <row r="2458" spans="31:32">
      <c r="AE2458" s="417" t="s">
        <v>10802</v>
      </c>
      <c r="AF2458" s="416" t="s">
        <v>10803</v>
      </c>
    </row>
    <row r="2459" spans="31:32">
      <c r="AE2459" s="417" t="s">
        <v>10804</v>
      </c>
      <c r="AF2459" s="416" t="s">
        <v>10805</v>
      </c>
    </row>
    <row r="2460" spans="31:32">
      <c r="AE2460" s="417" t="s">
        <v>10806</v>
      </c>
      <c r="AF2460" s="416" t="s">
        <v>10807</v>
      </c>
    </row>
    <row r="2461" spans="31:32">
      <c r="AE2461" s="417" t="s">
        <v>10808</v>
      </c>
      <c r="AF2461" s="416" t="s">
        <v>10809</v>
      </c>
    </row>
    <row r="2462" spans="31:32">
      <c r="AE2462" s="417" t="s">
        <v>10810</v>
      </c>
      <c r="AF2462" s="416" t="s">
        <v>10811</v>
      </c>
    </row>
    <row r="2463" spans="31:32">
      <c r="AE2463" s="417" t="s">
        <v>10812</v>
      </c>
      <c r="AF2463" s="416" t="s">
        <v>10813</v>
      </c>
    </row>
    <row r="2464" spans="31:32">
      <c r="AE2464" s="417" t="s">
        <v>10814</v>
      </c>
      <c r="AF2464" s="416" t="s">
        <v>10815</v>
      </c>
    </row>
    <row r="2465" spans="31:32">
      <c r="AE2465" s="417" t="s">
        <v>10816</v>
      </c>
      <c r="AF2465" s="416" t="s">
        <v>10817</v>
      </c>
    </row>
    <row r="2466" spans="31:32">
      <c r="AE2466" s="417" t="s">
        <v>10818</v>
      </c>
      <c r="AF2466" s="416" t="s">
        <v>10819</v>
      </c>
    </row>
    <row r="2467" spans="31:32">
      <c r="AE2467" s="417" t="s">
        <v>10820</v>
      </c>
      <c r="AF2467" s="416" t="s">
        <v>10821</v>
      </c>
    </row>
    <row r="2468" spans="31:32">
      <c r="AE2468" s="417" t="s">
        <v>10822</v>
      </c>
      <c r="AF2468" s="416" t="s">
        <v>10823</v>
      </c>
    </row>
    <row r="2469" spans="31:32">
      <c r="AE2469" s="417" t="s">
        <v>10824</v>
      </c>
      <c r="AF2469" s="416" t="s">
        <v>10825</v>
      </c>
    </row>
    <row r="2470" spans="31:32">
      <c r="AE2470" s="417" t="s">
        <v>10826</v>
      </c>
      <c r="AF2470" s="416" t="s">
        <v>10827</v>
      </c>
    </row>
    <row r="2471" spans="31:32">
      <c r="AE2471" s="417" t="s">
        <v>10828</v>
      </c>
      <c r="AF2471" s="416" t="s">
        <v>10829</v>
      </c>
    </row>
    <row r="2472" spans="31:32">
      <c r="AE2472" s="417" t="s">
        <v>10830</v>
      </c>
      <c r="AF2472" s="416" t="s">
        <v>10831</v>
      </c>
    </row>
    <row r="2473" spans="31:32">
      <c r="AE2473" s="417" t="s">
        <v>10832</v>
      </c>
      <c r="AF2473" s="416" t="s">
        <v>10833</v>
      </c>
    </row>
    <row r="2474" spans="31:32">
      <c r="AE2474" s="417" t="s">
        <v>10834</v>
      </c>
      <c r="AF2474" s="416" t="s">
        <v>10835</v>
      </c>
    </row>
    <row r="2475" spans="31:32">
      <c r="AE2475" s="417" t="s">
        <v>10836</v>
      </c>
      <c r="AF2475" s="416" t="s">
        <v>10837</v>
      </c>
    </row>
    <row r="2476" spans="31:32">
      <c r="AE2476" s="417" t="s">
        <v>10838</v>
      </c>
      <c r="AF2476" s="416" t="s">
        <v>10839</v>
      </c>
    </row>
    <row r="2477" spans="31:32">
      <c r="AE2477" s="417" t="s">
        <v>10840</v>
      </c>
      <c r="AF2477" s="416" t="s">
        <v>10841</v>
      </c>
    </row>
    <row r="2478" spans="31:32">
      <c r="AE2478" s="417" t="s">
        <v>10842</v>
      </c>
      <c r="AF2478" s="416" t="s">
        <v>10843</v>
      </c>
    </row>
    <row r="2479" spans="31:32">
      <c r="AE2479" s="417" t="s">
        <v>10844</v>
      </c>
      <c r="AF2479" s="416" t="s">
        <v>10845</v>
      </c>
    </row>
    <row r="2480" spans="31:32">
      <c r="AE2480" s="417" t="s">
        <v>10846</v>
      </c>
      <c r="AF2480" s="416" t="s">
        <v>10847</v>
      </c>
    </row>
    <row r="2481" spans="31:32">
      <c r="AE2481" s="417" t="s">
        <v>10848</v>
      </c>
      <c r="AF2481" s="416" t="s">
        <v>10849</v>
      </c>
    </row>
    <row r="2482" spans="31:32">
      <c r="AE2482" s="417" t="s">
        <v>10850</v>
      </c>
      <c r="AF2482" s="416" t="s">
        <v>10851</v>
      </c>
    </row>
    <row r="2483" spans="31:32">
      <c r="AE2483" s="417" t="s">
        <v>10852</v>
      </c>
      <c r="AF2483" s="416" t="s">
        <v>10853</v>
      </c>
    </row>
    <row r="2484" spans="31:32">
      <c r="AE2484" s="417" t="s">
        <v>10854</v>
      </c>
      <c r="AF2484" s="416" t="s">
        <v>10855</v>
      </c>
    </row>
    <row r="2485" spans="31:32">
      <c r="AE2485" s="417" t="s">
        <v>10856</v>
      </c>
      <c r="AF2485" s="416" t="s">
        <v>10857</v>
      </c>
    </row>
    <row r="2486" spans="31:32">
      <c r="AE2486" s="417" t="s">
        <v>10858</v>
      </c>
      <c r="AF2486" s="416" t="s">
        <v>10859</v>
      </c>
    </row>
    <row r="2487" spans="31:32">
      <c r="AE2487" s="417" t="s">
        <v>10860</v>
      </c>
      <c r="AF2487" s="416" t="s">
        <v>10861</v>
      </c>
    </row>
    <row r="2488" spans="31:32">
      <c r="AE2488" s="417" t="s">
        <v>10862</v>
      </c>
      <c r="AF2488" s="416" t="s">
        <v>10863</v>
      </c>
    </row>
    <row r="2489" spans="31:32">
      <c r="AE2489" s="417" t="s">
        <v>10864</v>
      </c>
      <c r="AF2489" s="416" t="s">
        <v>10865</v>
      </c>
    </row>
    <row r="2490" spans="31:32">
      <c r="AE2490" s="417" t="s">
        <v>10866</v>
      </c>
      <c r="AF2490" s="416" t="s">
        <v>10867</v>
      </c>
    </row>
    <row r="2491" spans="31:32">
      <c r="AE2491" s="417" t="s">
        <v>10868</v>
      </c>
      <c r="AF2491" s="416" t="s">
        <v>10869</v>
      </c>
    </row>
    <row r="2492" spans="31:32">
      <c r="AE2492" s="417" t="s">
        <v>10870</v>
      </c>
      <c r="AF2492" s="416" t="s">
        <v>10871</v>
      </c>
    </row>
    <row r="2493" spans="31:32">
      <c r="AE2493" s="417" t="s">
        <v>10872</v>
      </c>
      <c r="AF2493" s="416" t="s">
        <v>10873</v>
      </c>
    </row>
    <row r="2494" spans="31:32">
      <c r="AE2494" s="417" t="s">
        <v>10874</v>
      </c>
      <c r="AF2494" s="416" t="s">
        <v>10875</v>
      </c>
    </row>
    <row r="2495" spans="31:32">
      <c r="AE2495" s="417" t="s">
        <v>10876</v>
      </c>
      <c r="AF2495" s="416" t="s">
        <v>10877</v>
      </c>
    </row>
    <row r="2496" spans="31:32">
      <c r="AE2496" s="417" t="s">
        <v>10878</v>
      </c>
      <c r="AF2496" s="416" t="s">
        <v>10879</v>
      </c>
    </row>
    <row r="2497" spans="31:32">
      <c r="AE2497" s="417" t="s">
        <v>10880</v>
      </c>
      <c r="AF2497" s="416" t="s">
        <v>10881</v>
      </c>
    </row>
    <row r="2498" spans="31:32">
      <c r="AE2498" s="417" t="s">
        <v>10882</v>
      </c>
      <c r="AF2498" s="416" t="s">
        <v>10883</v>
      </c>
    </row>
    <row r="2499" spans="31:32">
      <c r="AE2499" s="417" t="s">
        <v>10884</v>
      </c>
      <c r="AF2499" s="416" t="s">
        <v>10885</v>
      </c>
    </row>
    <row r="2500" spans="31:32">
      <c r="AE2500" s="417" t="s">
        <v>10886</v>
      </c>
      <c r="AF2500" s="416" t="s">
        <v>10887</v>
      </c>
    </row>
    <row r="2501" spans="31:32">
      <c r="AE2501" s="417" t="s">
        <v>10888</v>
      </c>
      <c r="AF2501" s="416" t="s">
        <v>10889</v>
      </c>
    </row>
    <row r="2502" spans="31:32">
      <c r="AE2502" s="417" t="s">
        <v>10890</v>
      </c>
      <c r="AF2502" s="416" t="s">
        <v>10891</v>
      </c>
    </row>
    <row r="2503" spans="31:32">
      <c r="AE2503" s="417" t="s">
        <v>10892</v>
      </c>
      <c r="AF2503" s="416" t="s">
        <v>10893</v>
      </c>
    </row>
    <row r="2504" spans="31:32">
      <c r="AE2504" s="417" t="s">
        <v>10894</v>
      </c>
      <c r="AF2504" s="416" t="s">
        <v>10895</v>
      </c>
    </row>
    <row r="2505" spans="31:32">
      <c r="AE2505" s="417" t="s">
        <v>10896</v>
      </c>
      <c r="AF2505" s="416" t="s">
        <v>10897</v>
      </c>
    </row>
    <row r="2506" spans="31:32">
      <c r="AE2506" s="417" t="s">
        <v>10898</v>
      </c>
      <c r="AF2506" s="416" t="s">
        <v>10899</v>
      </c>
    </row>
    <row r="2507" spans="31:32">
      <c r="AE2507" s="417" t="s">
        <v>10900</v>
      </c>
      <c r="AF2507" s="416" t="s">
        <v>10901</v>
      </c>
    </row>
    <row r="2508" spans="31:32">
      <c r="AE2508" s="417" t="s">
        <v>10902</v>
      </c>
      <c r="AF2508" s="416" t="s">
        <v>10903</v>
      </c>
    </row>
    <row r="2509" spans="31:32">
      <c r="AE2509" s="417" t="s">
        <v>10904</v>
      </c>
      <c r="AF2509" s="416" t="s">
        <v>10905</v>
      </c>
    </row>
    <row r="2510" spans="31:32">
      <c r="AE2510" s="417" t="s">
        <v>10906</v>
      </c>
      <c r="AF2510" s="416" t="s">
        <v>10907</v>
      </c>
    </row>
    <row r="2511" spans="31:32">
      <c r="AE2511" s="417" t="s">
        <v>10908</v>
      </c>
      <c r="AF2511" s="416" t="s">
        <v>10909</v>
      </c>
    </row>
    <row r="2512" spans="31:32">
      <c r="AE2512" s="417" t="s">
        <v>10910</v>
      </c>
      <c r="AF2512" s="416" t="s">
        <v>10911</v>
      </c>
    </row>
    <row r="2513" spans="31:32">
      <c r="AE2513" s="417" t="s">
        <v>10912</v>
      </c>
      <c r="AF2513" s="416" t="s">
        <v>10913</v>
      </c>
    </row>
    <row r="2514" spans="31:32">
      <c r="AE2514" s="417" t="s">
        <v>10914</v>
      </c>
      <c r="AF2514" s="416" t="s">
        <v>10915</v>
      </c>
    </row>
    <row r="2515" spans="31:32">
      <c r="AE2515" s="417" t="s">
        <v>10916</v>
      </c>
      <c r="AF2515" s="416" t="s">
        <v>10917</v>
      </c>
    </row>
    <row r="2516" spans="31:32">
      <c r="AE2516" s="417" t="s">
        <v>10918</v>
      </c>
      <c r="AF2516" s="416" t="s">
        <v>10919</v>
      </c>
    </row>
    <row r="2517" spans="31:32">
      <c r="AE2517" s="417" t="s">
        <v>10920</v>
      </c>
      <c r="AF2517" s="416" t="s">
        <v>10921</v>
      </c>
    </row>
    <row r="2518" spans="31:32">
      <c r="AE2518" s="417" t="s">
        <v>10922</v>
      </c>
      <c r="AF2518" s="416" t="s">
        <v>10923</v>
      </c>
    </row>
    <row r="2519" spans="31:32">
      <c r="AE2519" s="417" t="s">
        <v>10924</v>
      </c>
      <c r="AF2519" s="416" t="s">
        <v>10925</v>
      </c>
    </row>
    <row r="2520" spans="31:32">
      <c r="AE2520" s="417" t="s">
        <v>10926</v>
      </c>
      <c r="AF2520" s="416" t="s">
        <v>10927</v>
      </c>
    </row>
    <row r="2521" spans="31:32">
      <c r="AE2521" s="417" t="s">
        <v>10928</v>
      </c>
      <c r="AF2521" s="416" t="s">
        <v>10929</v>
      </c>
    </row>
    <row r="2522" spans="31:32">
      <c r="AE2522" s="417" t="s">
        <v>10930</v>
      </c>
      <c r="AF2522" s="416" t="s">
        <v>10931</v>
      </c>
    </row>
    <row r="2523" spans="31:32">
      <c r="AE2523" s="417" t="s">
        <v>10932</v>
      </c>
      <c r="AF2523" s="416" t="s">
        <v>10933</v>
      </c>
    </row>
    <row r="2524" spans="31:32">
      <c r="AE2524" s="417" t="s">
        <v>10934</v>
      </c>
      <c r="AF2524" s="416" t="s">
        <v>10935</v>
      </c>
    </row>
    <row r="2525" spans="31:32">
      <c r="AE2525" s="417" t="s">
        <v>10936</v>
      </c>
      <c r="AF2525" s="416" t="s">
        <v>10937</v>
      </c>
    </row>
    <row r="2526" spans="31:32">
      <c r="AE2526" s="417" t="s">
        <v>10938</v>
      </c>
      <c r="AF2526" s="416" t="s">
        <v>10939</v>
      </c>
    </row>
    <row r="2527" spans="31:32">
      <c r="AE2527" s="417" t="s">
        <v>10940</v>
      </c>
      <c r="AF2527" s="416" t="s">
        <v>10941</v>
      </c>
    </row>
    <row r="2528" spans="31:32">
      <c r="AE2528" s="417" t="s">
        <v>10942</v>
      </c>
      <c r="AF2528" s="416" t="s">
        <v>10943</v>
      </c>
    </row>
    <row r="2529" spans="31:32">
      <c r="AE2529" s="417" t="s">
        <v>10944</v>
      </c>
      <c r="AF2529" s="416" t="s">
        <v>10945</v>
      </c>
    </row>
    <row r="2530" spans="31:32">
      <c r="AE2530" s="417" t="s">
        <v>10946</v>
      </c>
      <c r="AF2530" s="416" t="s">
        <v>10947</v>
      </c>
    </row>
    <row r="2531" spans="31:32">
      <c r="AE2531" s="417" t="s">
        <v>10948</v>
      </c>
      <c r="AF2531" s="416" t="s">
        <v>10949</v>
      </c>
    </row>
    <row r="2532" spans="31:32">
      <c r="AE2532" s="417" t="s">
        <v>10950</v>
      </c>
      <c r="AF2532" s="416" t="s">
        <v>10951</v>
      </c>
    </row>
    <row r="2533" spans="31:32">
      <c r="AE2533" s="417" t="s">
        <v>10952</v>
      </c>
      <c r="AF2533" s="416" t="s">
        <v>10953</v>
      </c>
    </row>
    <row r="2534" spans="31:32">
      <c r="AE2534" s="417" t="s">
        <v>10954</v>
      </c>
      <c r="AF2534" s="416" t="s">
        <v>10955</v>
      </c>
    </row>
    <row r="2535" spans="31:32">
      <c r="AE2535" s="417" t="s">
        <v>10956</v>
      </c>
      <c r="AF2535" s="416" t="s">
        <v>10957</v>
      </c>
    </row>
    <row r="2536" spans="31:32">
      <c r="AE2536" s="417" t="s">
        <v>10958</v>
      </c>
      <c r="AF2536" s="416" t="s">
        <v>10959</v>
      </c>
    </row>
    <row r="2537" spans="31:32">
      <c r="AE2537" s="417" t="s">
        <v>10960</v>
      </c>
      <c r="AF2537" s="416" t="s">
        <v>10961</v>
      </c>
    </row>
    <row r="2538" spans="31:32">
      <c r="AE2538" s="417" t="s">
        <v>10962</v>
      </c>
      <c r="AF2538" s="416" t="s">
        <v>10963</v>
      </c>
    </row>
    <row r="2539" spans="31:32">
      <c r="AE2539" s="417" t="s">
        <v>10964</v>
      </c>
      <c r="AF2539" s="416" t="s">
        <v>10965</v>
      </c>
    </row>
    <row r="2540" spans="31:32">
      <c r="AE2540" s="417" t="s">
        <v>10966</v>
      </c>
      <c r="AF2540" s="416" t="s">
        <v>10967</v>
      </c>
    </row>
    <row r="2541" spans="31:32">
      <c r="AE2541" s="417" t="s">
        <v>10968</v>
      </c>
      <c r="AF2541" s="416" t="s">
        <v>10969</v>
      </c>
    </row>
    <row r="2542" spans="31:32">
      <c r="AE2542" s="417" t="s">
        <v>10970</v>
      </c>
      <c r="AF2542" s="416" t="s">
        <v>10971</v>
      </c>
    </row>
    <row r="2543" spans="31:32">
      <c r="AE2543" s="417" t="s">
        <v>10972</v>
      </c>
      <c r="AF2543" s="416" t="s">
        <v>10973</v>
      </c>
    </row>
    <row r="2544" spans="31:32">
      <c r="AE2544" s="417" t="s">
        <v>10974</v>
      </c>
      <c r="AF2544" s="416" t="s">
        <v>10975</v>
      </c>
    </row>
    <row r="2545" spans="31:32">
      <c r="AE2545" s="417" t="s">
        <v>10976</v>
      </c>
      <c r="AF2545" s="416" t="s">
        <v>10977</v>
      </c>
    </row>
    <row r="2546" spans="31:32">
      <c r="AE2546" s="417" t="s">
        <v>10978</v>
      </c>
      <c r="AF2546" s="416" t="s">
        <v>10979</v>
      </c>
    </row>
    <row r="2547" spans="31:32">
      <c r="AE2547" s="417" t="s">
        <v>10980</v>
      </c>
      <c r="AF2547" s="416" t="s">
        <v>10981</v>
      </c>
    </row>
    <row r="2548" spans="31:32">
      <c r="AE2548" s="417" t="s">
        <v>10982</v>
      </c>
      <c r="AF2548" s="416" t="s">
        <v>10983</v>
      </c>
    </row>
    <row r="2549" spans="31:32">
      <c r="AE2549" s="417" t="s">
        <v>10984</v>
      </c>
      <c r="AF2549" s="416" t="s">
        <v>10985</v>
      </c>
    </row>
    <row r="2550" spans="31:32">
      <c r="AE2550" s="417" t="s">
        <v>10986</v>
      </c>
      <c r="AF2550" s="416" t="s">
        <v>10987</v>
      </c>
    </row>
    <row r="2551" spans="31:32">
      <c r="AE2551" s="417" t="s">
        <v>10988</v>
      </c>
      <c r="AF2551" s="416" t="s">
        <v>10989</v>
      </c>
    </row>
    <row r="2552" spans="31:32">
      <c r="AE2552" s="417" t="s">
        <v>10990</v>
      </c>
      <c r="AF2552" s="416" t="s">
        <v>10991</v>
      </c>
    </row>
    <row r="2553" spans="31:32">
      <c r="AE2553" s="417" t="s">
        <v>10992</v>
      </c>
      <c r="AF2553" s="416" t="s">
        <v>10993</v>
      </c>
    </row>
    <row r="2554" spans="31:32">
      <c r="AE2554" s="417" t="s">
        <v>10994</v>
      </c>
      <c r="AF2554" s="416" t="s">
        <v>10995</v>
      </c>
    </row>
    <row r="2555" spans="31:32">
      <c r="AE2555" s="417" t="s">
        <v>10996</v>
      </c>
      <c r="AF2555" s="416" t="s">
        <v>10997</v>
      </c>
    </row>
    <row r="2556" spans="31:32">
      <c r="AE2556" s="417" t="s">
        <v>10998</v>
      </c>
      <c r="AF2556" s="416" t="s">
        <v>10999</v>
      </c>
    </row>
    <row r="2557" spans="31:32">
      <c r="AE2557" s="417" t="s">
        <v>11000</v>
      </c>
      <c r="AF2557" s="416" t="s">
        <v>11001</v>
      </c>
    </row>
    <row r="2558" spans="31:32">
      <c r="AE2558" s="417" t="s">
        <v>11002</v>
      </c>
      <c r="AF2558" s="416" t="s">
        <v>11003</v>
      </c>
    </row>
    <row r="2559" spans="31:32">
      <c r="AE2559" s="417" t="s">
        <v>11004</v>
      </c>
      <c r="AF2559" s="416" t="s">
        <v>11005</v>
      </c>
    </row>
    <row r="2560" spans="31:32">
      <c r="AE2560" s="417" t="s">
        <v>11006</v>
      </c>
      <c r="AF2560" s="416" t="s">
        <v>11007</v>
      </c>
    </row>
    <row r="2561" spans="31:32">
      <c r="AE2561" s="417" t="s">
        <v>11008</v>
      </c>
      <c r="AF2561" s="416" t="s">
        <v>11009</v>
      </c>
    </row>
    <row r="2562" spans="31:32">
      <c r="AE2562" s="417" t="s">
        <v>11010</v>
      </c>
      <c r="AF2562" s="416" t="s">
        <v>11011</v>
      </c>
    </row>
    <row r="2563" spans="31:32">
      <c r="AE2563" s="417" t="s">
        <v>11012</v>
      </c>
      <c r="AF2563" s="416" t="s">
        <v>11013</v>
      </c>
    </row>
    <row r="2564" spans="31:32">
      <c r="AE2564" s="417" t="s">
        <v>11014</v>
      </c>
      <c r="AF2564" s="416" t="s">
        <v>11015</v>
      </c>
    </row>
    <row r="2565" spans="31:32">
      <c r="AE2565" s="417" t="s">
        <v>11016</v>
      </c>
      <c r="AF2565" s="416" t="s">
        <v>11017</v>
      </c>
    </row>
    <row r="2566" spans="31:32">
      <c r="AE2566" s="417" t="s">
        <v>11018</v>
      </c>
      <c r="AF2566" s="416" t="s">
        <v>11019</v>
      </c>
    </row>
    <row r="2567" spans="31:32">
      <c r="AE2567" s="417" t="s">
        <v>11020</v>
      </c>
      <c r="AF2567" s="416" t="s">
        <v>11021</v>
      </c>
    </row>
    <row r="2568" spans="31:32">
      <c r="AE2568" s="417" t="s">
        <v>11022</v>
      </c>
      <c r="AF2568" s="416" t="s">
        <v>11023</v>
      </c>
    </row>
    <row r="2569" spans="31:32">
      <c r="AE2569" s="417" t="s">
        <v>11024</v>
      </c>
      <c r="AF2569" s="416" t="s">
        <v>11025</v>
      </c>
    </row>
    <row r="2570" spans="31:32">
      <c r="AE2570" s="417" t="s">
        <v>11026</v>
      </c>
      <c r="AF2570" s="416" t="s">
        <v>11027</v>
      </c>
    </row>
    <row r="2571" spans="31:32">
      <c r="AE2571" s="417" t="s">
        <v>11028</v>
      </c>
      <c r="AF2571" s="416" t="s">
        <v>11029</v>
      </c>
    </row>
    <row r="2572" spans="31:32">
      <c r="AE2572" s="417" t="s">
        <v>11030</v>
      </c>
      <c r="AF2572" s="416" t="s">
        <v>11031</v>
      </c>
    </row>
    <row r="2573" spans="31:32">
      <c r="AE2573" s="417" t="s">
        <v>11032</v>
      </c>
      <c r="AF2573" s="416" t="s">
        <v>11033</v>
      </c>
    </row>
    <row r="2574" spans="31:32">
      <c r="AE2574" s="417" t="s">
        <v>11034</v>
      </c>
      <c r="AF2574" s="416" t="s">
        <v>11035</v>
      </c>
    </row>
    <row r="2575" spans="31:32">
      <c r="AE2575" s="417" t="s">
        <v>11036</v>
      </c>
      <c r="AF2575" s="416" t="s">
        <v>11037</v>
      </c>
    </row>
    <row r="2576" spans="31:32">
      <c r="AE2576" s="417" t="s">
        <v>11038</v>
      </c>
      <c r="AF2576" s="416" t="s">
        <v>11039</v>
      </c>
    </row>
    <row r="2577" spans="31:32">
      <c r="AE2577" s="417" t="s">
        <v>11040</v>
      </c>
      <c r="AF2577" s="416" t="s">
        <v>11041</v>
      </c>
    </row>
    <row r="2578" spans="31:32">
      <c r="AE2578" s="417" t="s">
        <v>11042</v>
      </c>
      <c r="AF2578" s="416" t="s">
        <v>11043</v>
      </c>
    </row>
    <row r="2579" spans="31:32">
      <c r="AE2579" s="417" t="s">
        <v>11044</v>
      </c>
      <c r="AF2579" s="416" t="s">
        <v>11045</v>
      </c>
    </row>
    <row r="2580" spans="31:32">
      <c r="AE2580" s="417" t="s">
        <v>11046</v>
      </c>
      <c r="AF2580" s="416" t="s">
        <v>11047</v>
      </c>
    </row>
    <row r="2581" spans="31:32">
      <c r="AE2581" s="417" t="s">
        <v>11048</v>
      </c>
      <c r="AF2581" s="416" t="s">
        <v>11049</v>
      </c>
    </row>
    <row r="2582" spans="31:32">
      <c r="AE2582" s="417" t="s">
        <v>11050</v>
      </c>
      <c r="AF2582" s="416" t="s">
        <v>11051</v>
      </c>
    </row>
    <row r="2583" spans="31:32">
      <c r="AE2583" s="417" t="s">
        <v>11052</v>
      </c>
      <c r="AF2583" s="416" t="s">
        <v>11053</v>
      </c>
    </row>
    <row r="2584" spans="31:32">
      <c r="AE2584" s="417" t="s">
        <v>11054</v>
      </c>
      <c r="AF2584" s="416" t="s">
        <v>11055</v>
      </c>
    </row>
    <row r="2585" spans="31:32">
      <c r="AE2585" s="417" t="s">
        <v>11056</v>
      </c>
      <c r="AF2585" s="416" t="s">
        <v>11057</v>
      </c>
    </row>
    <row r="2586" spans="31:32">
      <c r="AE2586" s="417" t="s">
        <v>11058</v>
      </c>
      <c r="AF2586" s="416" t="s">
        <v>11059</v>
      </c>
    </row>
    <row r="2587" spans="31:32">
      <c r="AE2587" s="417" t="s">
        <v>11060</v>
      </c>
      <c r="AF2587" s="416" t="s">
        <v>11061</v>
      </c>
    </row>
    <row r="2588" spans="31:32">
      <c r="AE2588" s="417" t="s">
        <v>11062</v>
      </c>
      <c r="AF2588" s="416" t="s">
        <v>11063</v>
      </c>
    </row>
    <row r="2589" spans="31:32">
      <c r="AE2589" s="417" t="s">
        <v>11064</v>
      </c>
      <c r="AF2589" s="416" t="s">
        <v>11065</v>
      </c>
    </row>
    <row r="2590" spans="31:32">
      <c r="AE2590" s="417" t="s">
        <v>11066</v>
      </c>
      <c r="AF2590" s="416" t="s">
        <v>11067</v>
      </c>
    </row>
    <row r="2591" spans="31:32">
      <c r="AE2591" s="417" t="s">
        <v>11068</v>
      </c>
      <c r="AF2591" s="416" t="s">
        <v>11069</v>
      </c>
    </row>
    <row r="2592" spans="31:32">
      <c r="AE2592" s="417" t="s">
        <v>11070</v>
      </c>
      <c r="AF2592" s="416" t="s">
        <v>11071</v>
      </c>
    </row>
    <row r="2593" spans="31:32">
      <c r="AE2593" s="417" t="s">
        <v>11072</v>
      </c>
      <c r="AF2593" s="416" t="s">
        <v>11073</v>
      </c>
    </row>
    <row r="2594" spans="31:32">
      <c r="AE2594" s="417" t="s">
        <v>11074</v>
      </c>
      <c r="AF2594" s="416" t="s">
        <v>11075</v>
      </c>
    </row>
    <row r="2595" spans="31:32">
      <c r="AE2595" s="417" t="s">
        <v>11076</v>
      </c>
      <c r="AF2595" s="416" t="s">
        <v>11077</v>
      </c>
    </row>
    <row r="2596" spans="31:32">
      <c r="AE2596" s="417" t="s">
        <v>11078</v>
      </c>
      <c r="AF2596" s="416" t="s">
        <v>11079</v>
      </c>
    </row>
    <row r="2597" spans="31:32">
      <c r="AE2597" s="417" t="s">
        <v>11080</v>
      </c>
      <c r="AF2597" s="416" t="s">
        <v>11081</v>
      </c>
    </row>
    <row r="2598" spans="31:32">
      <c r="AE2598" s="417" t="s">
        <v>11082</v>
      </c>
      <c r="AF2598" s="416" t="s">
        <v>11083</v>
      </c>
    </row>
    <row r="2599" spans="31:32">
      <c r="AE2599" s="417" t="s">
        <v>11084</v>
      </c>
      <c r="AF2599" s="416" t="s">
        <v>11085</v>
      </c>
    </row>
    <row r="2600" spans="31:32">
      <c r="AE2600" s="417" t="s">
        <v>11086</v>
      </c>
      <c r="AF2600" s="416" t="s">
        <v>11087</v>
      </c>
    </row>
    <row r="2601" spans="31:32">
      <c r="AE2601" s="417" t="s">
        <v>11088</v>
      </c>
      <c r="AF2601" s="416" t="s">
        <v>11089</v>
      </c>
    </row>
    <row r="2602" spans="31:32">
      <c r="AE2602" s="417" t="s">
        <v>11090</v>
      </c>
      <c r="AF2602" s="416" t="s">
        <v>11091</v>
      </c>
    </row>
    <row r="2603" spans="31:32">
      <c r="AE2603" s="417" t="s">
        <v>11092</v>
      </c>
      <c r="AF2603" s="416" t="s">
        <v>11093</v>
      </c>
    </row>
    <row r="2604" spans="31:32">
      <c r="AE2604" s="417" t="s">
        <v>11094</v>
      </c>
      <c r="AF2604" s="416" t="s">
        <v>11095</v>
      </c>
    </row>
    <row r="2605" spans="31:32">
      <c r="AE2605" s="417" t="s">
        <v>11096</v>
      </c>
      <c r="AF2605" s="416" t="s">
        <v>11097</v>
      </c>
    </row>
    <row r="2606" spans="31:32">
      <c r="AE2606" s="417" t="s">
        <v>11098</v>
      </c>
      <c r="AF2606" s="416" t="s">
        <v>11099</v>
      </c>
    </row>
    <row r="2607" spans="31:32">
      <c r="AE2607" s="417" t="s">
        <v>11100</v>
      </c>
      <c r="AF2607" s="416" t="s">
        <v>11101</v>
      </c>
    </row>
    <row r="2608" spans="31:32">
      <c r="AE2608" s="417" t="s">
        <v>11102</v>
      </c>
      <c r="AF2608" s="416" t="s">
        <v>11103</v>
      </c>
    </row>
    <row r="2609" spans="31:32">
      <c r="AE2609" s="417" t="s">
        <v>11104</v>
      </c>
      <c r="AF2609" s="416" t="s">
        <v>11105</v>
      </c>
    </row>
    <row r="2610" spans="31:32">
      <c r="AE2610" s="417" t="s">
        <v>11106</v>
      </c>
      <c r="AF2610" s="416" t="s">
        <v>11107</v>
      </c>
    </row>
    <row r="2611" spans="31:32">
      <c r="AE2611" s="417" t="s">
        <v>11108</v>
      </c>
      <c r="AF2611" s="416" t="s">
        <v>11109</v>
      </c>
    </row>
    <row r="2612" spans="31:32">
      <c r="AE2612" s="417" t="s">
        <v>11110</v>
      </c>
      <c r="AF2612" s="416" t="s">
        <v>11111</v>
      </c>
    </row>
    <row r="2613" spans="31:32">
      <c r="AE2613" s="417" t="s">
        <v>11112</v>
      </c>
      <c r="AF2613" s="416" t="s">
        <v>11113</v>
      </c>
    </row>
    <row r="2614" spans="31:32">
      <c r="AE2614" s="417" t="s">
        <v>11114</v>
      </c>
      <c r="AF2614" s="416" t="s">
        <v>11115</v>
      </c>
    </row>
    <row r="2615" spans="31:32">
      <c r="AE2615" s="417" t="s">
        <v>11116</v>
      </c>
      <c r="AF2615" s="416" t="s">
        <v>11117</v>
      </c>
    </row>
    <row r="2616" spans="31:32">
      <c r="AE2616" s="417" t="s">
        <v>11118</v>
      </c>
      <c r="AF2616" s="416" t="s">
        <v>11119</v>
      </c>
    </row>
    <row r="2617" spans="31:32">
      <c r="AE2617" s="417" t="s">
        <v>11120</v>
      </c>
      <c r="AF2617" s="416" t="s">
        <v>11121</v>
      </c>
    </row>
    <row r="2618" spans="31:32">
      <c r="AE2618" s="417" t="s">
        <v>11122</v>
      </c>
      <c r="AF2618" s="416" t="s">
        <v>11123</v>
      </c>
    </row>
    <row r="2619" spans="31:32">
      <c r="AE2619" s="417" t="s">
        <v>11124</v>
      </c>
      <c r="AF2619" s="416" t="s">
        <v>11125</v>
      </c>
    </row>
    <row r="2620" spans="31:32">
      <c r="AE2620" s="417" t="s">
        <v>11126</v>
      </c>
      <c r="AF2620" s="416" t="s">
        <v>11127</v>
      </c>
    </row>
    <row r="2621" spans="31:32">
      <c r="AE2621" s="417" t="s">
        <v>11128</v>
      </c>
      <c r="AF2621" s="416" t="s">
        <v>11129</v>
      </c>
    </row>
    <row r="2622" spans="31:32">
      <c r="AE2622" s="417" t="s">
        <v>11130</v>
      </c>
      <c r="AF2622" s="416" t="s">
        <v>11131</v>
      </c>
    </row>
    <row r="2623" spans="31:32">
      <c r="AE2623" s="417" t="s">
        <v>11132</v>
      </c>
      <c r="AF2623" s="416" t="s">
        <v>11133</v>
      </c>
    </row>
    <row r="2624" spans="31:32">
      <c r="AE2624" s="417" t="s">
        <v>11134</v>
      </c>
      <c r="AF2624" s="416" t="s">
        <v>11135</v>
      </c>
    </row>
    <row r="2625" spans="31:32">
      <c r="AE2625" s="417" t="s">
        <v>11136</v>
      </c>
      <c r="AF2625" s="416" t="s">
        <v>11137</v>
      </c>
    </row>
    <row r="2626" spans="31:32">
      <c r="AE2626" s="417" t="s">
        <v>11138</v>
      </c>
      <c r="AF2626" s="416" t="s">
        <v>11139</v>
      </c>
    </row>
    <row r="2627" spans="31:32">
      <c r="AE2627" s="417" t="s">
        <v>11140</v>
      </c>
      <c r="AF2627" s="416" t="s">
        <v>11141</v>
      </c>
    </row>
    <row r="2628" spans="31:32">
      <c r="AE2628" s="417" t="s">
        <v>11142</v>
      </c>
      <c r="AF2628" s="416" t="s">
        <v>11143</v>
      </c>
    </row>
    <row r="2629" spans="31:32">
      <c r="AE2629" s="417" t="s">
        <v>11144</v>
      </c>
      <c r="AF2629" s="416" t="s">
        <v>11145</v>
      </c>
    </row>
    <row r="2630" spans="31:32">
      <c r="AE2630" s="417" t="s">
        <v>11146</v>
      </c>
      <c r="AF2630" s="416" t="s">
        <v>11147</v>
      </c>
    </row>
    <row r="2631" spans="31:32">
      <c r="AE2631" s="417" t="s">
        <v>11148</v>
      </c>
      <c r="AF2631" s="416" t="s">
        <v>11149</v>
      </c>
    </row>
    <row r="2632" spans="31:32">
      <c r="AE2632" s="417" t="s">
        <v>11150</v>
      </c>
      <c r="AF2632" s="416" t="s">
        <v>11151</v>
      </c>
    </row>
    <row r="2633" spans="31:32">
      <c r="AE2633" s="417" t="s">
        <v>11152</v>
      </c>
      <c r="AF2633" s="416" t="s">
        <v>11153</v>
      </c>
    </row>
    <row r="2634" spans="31:32">
      <c r="AE2634" s="417" t="s">
        <v>11154</v>
      </c>
      <c r="AF2634" s="416" t="s">
        <v>11155</v>
      </c>
    </row>
    <row r="2635" spans="31:32">
      <c r="AE2635" s="417" t="s">
        <v>11156</v>
      </c>
      <c r="AF2635" s="416" t="s">
        <v>11157</v>
      </c>
    </row>
    <row r="2636" spans="31:32">
      <c r="AE2636" s="417" t="s">
        <v>11158</v>
      </c>
      <c r="AF2636" s="416" t="s">
        <v>11159</v>
      </c>
    </row>
    <row r="2637" spans="31:32">
      <c r="AE2637" s="417" t="s">
        <v>11160</v>
      </c>
      <c r="AF2637" s="416" t="s">
        <v>11161</v>
      </c>
    </row>
    <row r="2638" spans="31:32">
      <c r="AE2638" s="417" t="s">
        <v>11162</v>
      </c>
      <c r="AF2638" s="416" t="s">
        <v>11163</v>
      </c>
    </row>
    <row r="2639" spans="31:32">
      <c r="AE2639" s="417" t="s">
        <v>11164</v>
      </c>
      <c r="AF2639" s="416" t="s">
        <v>11165</v>
      </c>
    </row>
    <row r="2640" spans="31:32">
      <c r="AE2640" s="417" t="s">
        <v>11166</v>
      </c>
      <c r="AF2640" s="416" t="s">
        <v>11167</v>
      </c>
    </row>
    <row r="2641" spans="31:32">
      <c r="AE2641" s="417" t="s">
        <v>11168</v>
      </c>
      <c r="AF2641" s="416" t="s">
        <v>11169</v>
      </c>
    </row>
    <row r="2642" spans="31:32">
      <c r="AE2642" s="417" t="s">
        <v>11170</v>
      </c>
      <c r="AF2642" s="416" t="s">
        <v>11171</v>
      </c>
    </row>
    <row r="2643" spans="31:32">
      <c r="AE2643" s="417" t="s">
        <v>11172</v>
      </c>
      <c r="AF2643" s="416" t="s">
        <v>11173</v>
      </c>
    </row>
    <row r="2644" spans="31:32">
      <c r="AE2644" s="417" t="s">
        <v>11174</v>
      </c>
      <c r="AF2644" s="416" t="s">
        <v>11175</v>
      </c>
    </row>
    <row r="2645" spans="31:32">
      <c r="AE2645" s="417" t="s">
        <v>11176</v>
      </c>
      <c r="AF2645" s="416" t="s">
        <v>11177</v>
      </c>
    </row>
    <row r="2646" spans="31:32">
      <c r="AE2646" s="417" t="s">
        <v>11178</v>
      </c>
      <c r="AF2646" s="416" t="s">
        <v>11179</v>
      </c>
    </row>
    <row r="2647" spans="31:32">
      <c r="AE2647" s="417" t="s">
        <v>11180</v>
      </c>
      <c r="AF2647" s="416" t="s">
        <v>11181</v>
      </c>
    </row>
    <row r="2648" spans="31:32">
      <c r="AE2648" s="417" t="s">
        <v>11182</v>
      </c>
      <c r="AF2648" s="416" t="s">
        <v>11183</v>
      </c>
    </row>
    <row r="2649" spans="31:32">
      <c r="AE2649" s="417" t="s">
        <v>11184</v>
      </c>
      <c r="AF2649" s="416" t="s">
        <v>11185</v>
      </c>
    </row>
    <row r="2650" spans="31:32">
      <c r="AE2650" s="417" t="s">
        <v>11186</v>
      </c>
      <c r="AF2650" s="416" t="s">
        <v>11187</v>
      </c>
    </row>
    <row r="2651" spans="31:32">
      <c r="AE2651" s="417" t="s">
        <v>11188</v>
      </c>
      <c r="AF2651" s="416" t="s">
        <v>11189</v>
      </c>
    </row>
    <row r="2652" spans="31:32">
      <c r="AE2652" s="417" t="s">
        <v>11190</v>
      </c>
      <c r="AF2652" s="416" t="s">
        <v>11191</v>
      </c>
    </row>
    <row r="2653" spans="31:32">
      <c r="AE2653" s="417" t="s">
        <v>11192</v>
      </c>
      <c r="AF2653" s="416" t="s">
        <v>11193</v>
      </c>
    </row>
    <row r="2654" spans="31:32">
      <c r="AE2654" s="417" t="s">
        <v>11194</v>
      </c>
      <c r="AF2654" s="416" t="s">
        <v>11195</v>
      </c>
    </row>
    <row r="2655" spans="31:32">
      <c r="AE2655" s="417" t="s">
        <v>11196</v>
      </c>
      <c r="AF2655" s="416" t="s">
        <v>11197</v>
      </c>
    </row>
    <row r="2656" spans="31:32">
      <c r="AE2656" s="417" t="s">
        <v>11198</v>
      </c>
      <c r="AF2656" s="416" t="s">
        <v>11199</v>
      </c>
    </row>
    <row r="2657" spans="31:32">
      <c r="AE2657" s="417" t="s">
        <v>11200</v>
      </c>
      <c r="AF2657" s="416" t="s">
        <v>11201</v>
      </c>
    </row>
    <row r="2658" spans="31:32">
      <c r="AE2658" s="417" t="s">
        <v>11202</v>
      </c>
      <c r="AF2658" s="416" t="s">
        <v>11203</v>
      </c>
    </row>
    <row r="2659" spans="31:32">
      <c r="AE2659" s="417" t="s">
        <v>11204</v>
      </c>
      <c r="AF2659" s="416" t="s">
        <v>11205</v>
      </c>
    </row>
    <row r="2660" spans="31:32">
      <c r="AE2660" s="417" t="s">
        <v>11206</v>
      </c>
      <c r="AF2660" s="416" t="s">
        <v>11207</v>
      </c>
    </row>
    <row r="2661" spans="31:32">
      <c r="AE2661" s="417" t="s">
        <v>11208</v>
      </c>
      <c r="AF2661" s="416" t="s">
        <v>11209</v>
      </c>
    </row>
    <row r="2662" spans="31:32">
      <c r="AE2662" s="417" t="s">
        <v>11210</v>
      </c>
      <c r="AF2662" s="416" t="s">
        <v>11211</v>
      </c>
    </row>
    <row r="2663" spans="31:32">
      <c r="AE2663" s="417" t="s">
        <v>11212</v>
      </c>
      <c r="AF2663" s="416" t="s">
        <v>11213</v>
      </c>
    </row>
    <row r="2664" spans="31:32">
      <c r="AE2664" s="417" t="s">
        <v>11214</v>
      </c>
      <c r="AF2664" s="416" t="s">
        <v>11215</v>
      </c>
    </row>
    <row r="2665" spans="31:32">
      <c r="AE2665" s="417" t="s">
        <v>11216</v>
      </c>
      <c r="AF2665" s="416" t="s">
        <v>11217</v>
      </c>
    </row>
    <row r="2666" spans="31:32">
      <c r="AE2666" s="417" t="s">
        <v>11218</v>
      </c>
      <c r="AF2666" s="416" t="s">
        <v>11219</v>
      </c>
    </row>
    <row r="2667" spans="31:32">
      <c r="AE2667" s="417" t="s">
        <v>11220</v>
      </c>
      <c r="AF2667" s="416" t="s">
        <v>11221</v>
      </c>
    </row>
    <row r="2668" spans="31:32">
      <c r="AE2668" s="417" t="s">
        <v>11222</v>
      </c>
      <c r="AF2668" s="416" t="s">
        <v>11223</v>
      </c>
    </row>
    <row r="2669" spans="31:32">
      <c r="AE2669" s="417" t="s">
        <v>11224</v>
      </c>
      <c r="AF2669" s="416" t="s">
        <v>11225</v>
      </c>
    </row>
    <row r="2670" spans="31:32">
      <c r="AE2670" s="417" t="s">
        <v>11226</v>
      </c>
      <c r="AF2670" s="416" t="s">
        <v>11227</v>
      </c>
    </row>
    <row r="2671" spans="31:32">
      <c r="AE2671" s="417" t="s">
        <v>11228</v>
      </c>
      <c r="AF2671" s="416" t="s">
        <v>11229</v>
      </c>
    </row>
    <row r="2672" spans="31:32">
      <c r="AE2672" s="417" t="s">
        <v>11230</v>
      </c>
      <c r="AF2672" s="416" t="s">
        <v>11231</v>
      </c>
    </row>
    <row r="2673" spans="31:32">
      <c r="AE2673" s="417" t="s">
        <v>11232</v>
      </c>
      <c r="AF2673" s="416" t="s">
        <v>11233</v>
      </c>
    </row>
    <row r="2674" spans="31:32">
      <c r="AE2674" s="417" t="s">
        <v>11234</v>
      </c>
      <c r="AF2674" s="416" t="s">
        <v>11235</v>
      </c>
    </row>
    <row r="2675" spans="31:32">
      <c r="AE2675" s="417" t="s">
        <v>11236</v>
      </c>
      <c r="AF2675" s="416" t="s">
        <v>11237</v>
      </c>
    </row>
    <row r="2676" spans="31:32">
      <c r="AE2676" s="417" t="s">
        <v>11238</v>
      </c>
      <c r="AF2676" s="416" t="s">
        <v>11239</v>
      </c>
    </row>
    <row r="2677" spans="31:32">
      <c r="AE2677" s="417" t="s">
        <v>11240</v>
      </c>
      <c r="AF2677" s="416" t="s">
        <v>11241</v>
      </c>
    </row>
    <row r="2678" spans="31:32">
      <c r="AE2678" s="417" t="s">
        <v>11242</v>
      </c>
      <c r="AF2678" s="416" t="s">
        <v>11243</v>
      </c>
    </row>
    <row r="2679" spans="31:32">
      <c r="AE2679" s="417" t="s">
        <v>11244</v>
      </c>
      <c r="AF2679" s="416" t="s">
        <v>11245</v>
      </c>
    </row>
    <row r="2680" spans="31:32">
      <c r="AE2680" s="417" t="s">
        <v>11246</v>
      </c>
      <c r="AF2680" s="416" t="s">
        <v>11247</v>
      </c>
    </row>
    <row r="2681" spans="31:32">
      <c r="AE2681" s="417" t="s">
        <v>11248</v>
      </c>
      <c r="AF2681" s="416" t="s">
        <v>11249</v>
      </c>
    </row>
    <row r="2682" spans="31:32">
      <c r="AE2682" s="417" t="s">
        <v>11250</v>
      </c>
      <c r="AF2682" s="416" t="s">
        <v>11251</v>
      </c>
    </row>
    <row r="2683" spans="31:32">
      <c r="AE2683" s="417" t="s">
        <v>11252</v>
      </c>
      <c r="AF2683" s="416" t="s">
        <v>11253</v>
      </c>
    </row>
    <row r="2684" spans="31:32">
      <c r="AE2684" s="417" t="s">
        <v>11254</v>
      </c>
      <c r="AF2684" s="416" t="s">
        <v>11255</v>
      </c>
    </row>
    <row r="2685" spans="31:32">
      <c r="AE2685" s="417" t="s">
        <v>11256</v>
      </c>
      <c r="AF2685" s="416" t="s">
        <v>11257</v>
      </c>
    </row>
    <row r="2686" spans="31:32">
      <c r="AE2686" s="417" t="s">
        <v>11258</v>
      </c>
      <c r="AF2686" s="416" t="s">
        <v>11259</v>
      </c>
    </row>
    <row r="2687" spans="31:32">
      <c r="AE2687" s="417" t="s">
        <v>11260</v>
      </c>
      <c r="AF2687" s="416" t="s">
        <v>11261</v>
      </c>
    </row>
    <row r="2688" spans="31:32">
      <c r="AE2688" s="417" t="s">
        <v>11262</v>
      </c>
      <c r="AF2688" s="416" t="s">
        <v>11263</v>
      </c>
    </row>
    <row r="2689" spans="31:32">
      <c r="AE2689" s="417" t="s">
        <v>11264</v>
      </c>
      <c r="AF2689" s="416" t="s">
        <v>11265</v>
      </c>
    </row>
    <row r="2690" spans="31:32">
      <c r="AE2690" s="417" t="s">
        <v>11266</v>
      </c>
      <c r="AF2690" s="416" t="s">
        <v>11267</v>
      </c>
    </row>
    <row r="2691" spans="31:32">
      <c r="AE2691" s="417" t="s">
        <v>11268</v>
      </c>
      <c r="AF2691" s="416" t="s">
        <v>11269</v>
      </c>
    </row>
    <row r="2692" spans="31:32">
      <c r="AE2692" s="417" t="s">
        <v>11270</v>
      </c>
      <c r="AF2692" s="416" t="s">
        <v>11271</v>
      </c>
    </row>
    <row r="2693" spans="31:32">
      <c r="AE2693" s="417" t="s">
        <v>11272</v>
      </c>
      <c r="AF2693" s="416" t="s">
        <v>11273</v>
      </c>
    </row>
    <row r="2694" spans="31:32">
      <c r="AE2694" s="417" t="s">
        <v>11274</v>
      </c>
      <c r="AF2694" s="416" t="s">
        <v>11275</v>
      </c>
    </row>
    <row r="2695" spans="31:32">
      <c r="AE2695" s="417" t="s">
        <v>11276</v>
      </c>
      <c r="AF2695" s="416" t="s">
        <v>11277</v>
      </c>
    </row>
    <row r="2696" spans="31:32">
      <c r="AE2696" s="417" t="s">
        <v>11278</v>
      </c>
      <c r="AF2696" s="416" t="s">
        <v>11279</v>
      </c>
    </row>
    <row r="2697" spans="31:32">
      <c r="AE2697" s="417" t="s">
        <v>11280</v>
      </c>
      <c r="AF2697" s="416" t="s">
        <v>11281</v>
      </c>
    </row>
    <row r="2698" spans="31:32">
      <c r="AE2698" s="417" t="s">
        <v>11282</v>
      </c>
      <c r="AF2698" s="416" t="s">
        <v>11283</v>
      </c>
    </row>
    <row r="2699" spans="31:32">
      <c r="AE2699" s="417" t="s">
        <v>11284</v>
      </c>
      <c r="AF2699" s="416" t="s">
        <v>11285</v>
      </c>
    </row>
    <row r="2700" spans="31:32">
      <c r="AE2700" s="417" t="s">
        <v>11286</v>
      </c>
      <c r="AF2700" s="416" t="s">
        <v>11287</v>
      </c>
    </row>
    <row r="2701" spans="31:32">
      <c r="AE2701" s="417" t="s">
        <v>11288</v>
      </c>
      <c r="AF2701" s="416" t="s">
        <v>11289</v>
      </c>
    </row>
    <row r="2702" spans="31:32">
      <c r="AE2702" s="417" t="s">
        <v>11290</v>
      </c>
      <c r="AF2702" s="416" t="s">
        <v>11291</v>
      </c>
    </row>
    <row r="2703" spans="31:32">
      <c r="AE2703" s="417" t="s">
        <v>11292</v>
      </c>
      <c r="AF2703" s="416" t="s">
        <v>11293</v>
      </c>
    </row>
    <row r="2704" spans="31:32">
      <c r="AE2704" s="417" t="s">
        <v>11294</v>
      </c>
      <c r="AF2704" s="416" t="s">
        <v>11295</v>
      </c>
    </row>
    <row r="2705" spans="31:32">
      <c r="AE2705" s="417" t="s">
        <v>11296</v>
      </c>
      <c r="AF2705" s="416" t="s">
        <v>11297</v>
      </c>
    </row>
    <row r="2706" spans="31:32">
      <c r="AE2706" s="417" t="s">
        <v>11298</v>
      </c>
      <c r="AF2706" s="416" t="s">
        <v>11299</v>
      </c>
    </row>
    <row r="2707" spans="31:32">
      <c r="AE2707" s="417" t="s">
        <v>11300</v>
      </c>
      <c r="AF2707" s="416" t="s">
        <v>11301</v>
      </c>
    </row>
    <row r="2708" spans="31:32">
      <c r="AE2708" s="417" t="s">
        <v>11302</v>
      </c>
      <c r="AF2708" s="416" t="s">
        <v>11303</v>
      </c>
    </row>
    <row r="2709" spans="31:32">
      <c r="AE2709" s="417" t="s">
        <v>11304</v>
      </c>
      <c r="AF2709" s="416" t="s">
        <v>11305</v>
      </c>
    </row>
    <row r="2710" spans="31:32">
      <c r="AE2710" s="417" t="s">
        <v>11306</v>
      </c>
      <c r="AF2710" s="416" t="s">
        <v>11307</v>
      </c>
    </row>
    <row r="2711" spans="31:32">
      <c r="AE2711" s="417" t="s">
        <v>11308</v>
      </c>
      <c r="AF2711" s="416" t="s">
        <v>11309</v>
      </c>
    </row>
    <row r="2712" spans="31:32">
      <c r="AE2712" s="417" t="s">
        <v>11310</v>
      </c>
      <c r="AF2712" s="416" t="s">
        <v>11311</v>
      </c>
    </row>
    <row r="2713" spans="31:32">
      <c r="AE2713" s="417" t="s">
        <v>11312</v>
      </c>
      <c r="AF2713" s="416" t="s">
        <v>11313</v>
      </c>
    </row>
    <row r="2714" spans="31:32">
      <c r="AE2714" s="417" t="s">
        <v>11314</v>
      </c>
      <c r="AF2714" s="416" t="s">
        <v>11315</v>
      </c>
    </row>
    <row r="2715" spans="31:32">
      <c r="AE2715" s="417" t="s">
        <v>11316</v>
      </c>
      <c r="AF2715" s="416" t="s">
        <v>11317</v>
      </c>
    </row>
    <row r="2716" spans="31:32">
      <c r="AE2716" s="417" t="s">
        <v>11318</v>
      </c>
      <c r="AF2716" s="416" t="s">
        <v>11319</v>
      </c>
    </row>
    <row r="2717" spans="31:32">
      <c r="AE2717" s="417" t="s">
        <v>11320</v>
      </c>
      <c r="AF2717" s="416" t="s">
        <v>11321</v>
      </c>
    </row>
    <row r="2718" spans="31:32">
      <c r="AE2718" s="417" t="s">
        <v>11322</v>
      </c>
      <c r="AF2718" s="416" t="s">
        <v>11323</v>
      </c>
    </row>
    <row r="2719" spans="31:32">
      <c r="AE2719" s="417" t="s">
        <v>11324</v>
      </c>
      <c r="AF2719" s="416" t="s">
        <v>11325</v>
      </c>
    </row>
    <row r="2720" spans="31:32">
      <c r="AE2720" s="417" t="s">
        <v>11326</v>
      </c>
      <c r="AF2720" s="416" t="s">
        <v>11327</v>
      </c>
    </row>
    <row r="2721" spans="31:32">
      <c r="AE2721" s="417" t="s">
        <v>11328</v>
      </c>
      <c r="AF2721" s="416" t="s">
        <v>11329</v>
      </c>
    </row>
    <row r="2722" spans="31:32">
      <c r="AE2722" s="417" t="s">
        <v>11330</v>
      </c>
      <c r="AF2722" s="416" t="s">
        <v>11331</v>
      </c>
    </row>
    <row r="2723" spans="31:32">
      <c r="AE2723" s="417" t="s">
        <v>11332</v>
      </c>
      <c r="AF2723" s="416" t="s">
        <v>11333</v>
      </c>
    </row>
    <row r="2724" spans="31:32">
      <c r="AE2724" s="417" t="s">
        <v>11334</v>
      </c>
      <c r="AF2724" s="416" t="s">
        <v>11335</v>
      </c>
    </row>
    <row r="2725" spans="31:32">
      <c r="AE2725" s="417" t="s">
        <v>11336</v>
      </c>
      <c r="AF2725" s="416" t="s">
        <v>11337</v>
      </c>
    </row>
    <row r="2726" spans="31:32">
      <c r="AE2726" s="417" t="s">
        <v>11338</v>
      </c>
      <c r="AF2726" s="416" t="s">
        <v>11339</v>
      </c>
    </row>
    <row r="2727" spans="31:32">
      <c r="AE2727" s="417" t="s">
        <v>11340</v>
      </c>
      <c r="AF2727" s="416" t="s">
        <v>11341</v>
      </c>
    </row>
    <row r="2728" spans="31:32">
      <c r="AE2728" s="417" t="s">
        <v>11342</v>
      </c>
      <c r="AF2728" s="416" t="s">
        <v>11343</v>
      </c>
    </row>
    <row r="2729" spans="31:32">
      <c r="AE2729" s="417" t="s">
        <v>11344</v>
      </c>
      <c r="AF2729" s="416" t="s">
        <v>11345</v>
      </c>
    </row>
    <row r="2730" spans="31:32">
      <c r="AE2730" s="417" t="s">
        <v>11346</v>
      </c>
      <c r="AF2730" s="416" t="s">
        <v>11347</v>
      </c>
    </row>
    <row r="2731" spans="31:32">
      <c r="AE2731" s="417" t="s">
        <v>11348</v>
      </c>
      <c r="AF2731" s="416" t="s">
        <v>11349</v>
      </c>
    </row>
    <row r="2732" spans="31:32">
      <c r="AE2732" s="417" t="s">
        <v>11350</v>
      </c>
      <c r="AF2732" s="416" t="s">
        <v>11351</v>
      </c>
    </row>
    <row r="2733" spans="31:32">
      <c r="AE2733" s="417" t="s">
        <v>11352</v>
      </c>
      <c r="AF2733" s="416" t="s">
        <v>11353</v>
      </c>
    </row>
    <row r="2734" spans="31:32">
      <c r="AE2734" s="417" t="s">
        <v>11354</v>
      </c>
      <c r="AF2734" s="416" t="s">
        <v>11355</v>
      </c>
    </row>
    <row r="2735" spans="31:32">
      <c r="AE2735" s="417" t="s">
        <v>11356</v>
      </c>
      <c r="AF2735" s="416" t="s">
        <v>11357</v>
      </c>
    </row>
    <row r="2736" spans="31:32">
      <c r="AE2736" s="417" t="s">
        <v>11358</v>
      </c>
      <c r="AF2736" s="416" t="s">
        <v>11359</v>
      </c>
    </row>
    <row r="2737" spans="31:32">
      <c r="AE2737" s="417" t="s">
        <v>11360</v>
      </c>
      <c r="AF2737" s="416" t="s">
        <v>11361</v>
      </c>
    </row>
    <row r="2738" spans="31:32">
      <c r="AE2738" s="417" t="s">
        <v>11362</v>
      </c>
      <c r="AF2738" s="416" t="s">
        <v>11363</v>
      </c>
    </row>
    <row r="2739" spans="31:32">
      <c r="AE2739" s="417" t="s">
        <v>11364</v>
      </c>
      <c r="AF2739" s="416" t="s">
        <v>11365</v>
      </c>
    </row>
    <row r="2740" spans="31:32">
      <c r="AE2740" s="417" t="s">
        <v>11366</v>
      </c>
      <c r="AF2740" s="416" t="s">
        <v>11367</v>
      </c>
    </row>
    <row r="2741" spans="31:32">
      <c r="AE2741" s="417" t="s">
        <v>11368</v>
      </c>
      <c r="AF2741" s="416" t="s">
        <v>11369</v>
      </c>
    </row>
    <row r="2742" spans="31:32">
      <c r="AE2742" s="417" t="s">
        <v>11370</v>
      </c>
      <c r="AF2742" s="416" t="s">
        <v>11371</v>
      </c>
    </row>
    <row r="2743" spans="31:32">
      <c r="AE2743" s="417" t="s">
        <v>11372</v>
      </c>
      <c r="AF2743" s="416" t="s">
        <v>11373</v>
      </c>
    </row>
    <row r="2744" spans="31:32">
      <c r="AE2744" s="417" t="s">
        <v>11374</v>
      </c>
      <c r="AF2744" s="416" t="s">
        <v>11375</v>
      </c>
    </row>
    <row r="2745" spans="31:32">
      <c r="AE2745" s="417" t="s">
        <v>11376</v>
      </c>
      <c r="AF2745" s="416" t="s">
        <v>11377</v>
      </c>
    </row>
    <row r="2746" spans="31:32">
      <c r="AE2746" s="417" t="s">
        <v>11378</v>
      </c>
      <c r="AF2746" s="416" t="s">
        <v>11379</v>
      </c>
    </row>
    <row r="2747" spans="31:32">
      <c r="AE2747" s="417" t="s">
        <v>11380</v>
      </c>
      <c r="AF2747" s="416" t="s">
        <v>11381</v>
      </c>
    </row>
    <row r="2748" spans="31:32">
      <c r="AE2748" s="417" t="s">
        <v>11382</v>
      </c>
      <c r="AF2748" s="416" t="s">
        <v>11383</v>
      </c>
    </row>
    <row r="2749" spans="31:32">
      <c r="AE2749" s="417" t="s">
        <v>11384</v>
      </c>
      <c r="AF2749" s="416" t="s">
        <v>11385</v>
      </c>
    </row>
    <row r="2750" spans="31:32">
      <c r="AE2750" s="417" t="s">
        <v>11386</v>
      </c>
      <c r="AF2750" s="416" t="s">
        <v>11387</v>
      </c>
    </row>
    <row r="2751" spans="31:32">
      <c r="AE2751" s="417" t="s">
        <v>11388</v>
      </c>
      <c r="AF2751" s="416" t="s">
        <v>11389</v>
      </c>
    </row>
    <row r="2752" spans="31:32">
      <c r="AE2752" s="417" t="s">
        <v>11390</v>
      </c>
      <c r="AF2752" s="416" t="s">
        <v>11391</v>
      </c>
    </row>
    <row r="2753" spans="31:32">
      <c r="AE2753" s="417" t="s">
        <v>11392</v>
      </c>
      <c r="AF2753" s="416" t="s">
        <v>11393</v>
      </c>
    </row>
    <row r="2754" spans="31:32">
      <c r="AE2754" s="417" t="s">
        <v>11394</v>
      </c>
      <c r="AF2754" s="416" t="s">
        <v>11395</v>
      </c>
    </row>
    <row r="2755" spans="31:32">
      <c r="AE2755" s="417" t="s">
        <v>11396</v>
      </c>
      <c r="AF2755" s="416" t="s">
        <v>11397</v>
      </c>
    </row>
    <row r="2756" spans="31:32">
      <c r="AE2756" s="417" t="s">
        <v>11398</v>
      </c>
      <c r="AF2756" s="416" t="s">
        <v>11399</v>
      </c>
    </row>
    <row r="2757" spans="31:32">
      <c r="AE2757" s="417" t="s">
        <v>11400</v>
      </c>
      <c r="AF2757" s="416" t="s">
        <v>11401</v>
      </c>
    </row>
    <row r="2758" spans="31:32">
      <c r="AE2758" s="417" t="s">
        <v>11402</v>
      </c>
      <c r="AF2758" s="416" t="s">
        <v>11403</v>
      </c>
    </row>
    <row r="2759" spans="31:32">
      <c r="AE2759" s="417" t="s">
        <v>11404</v>
      </c>
      <c r="AF2759" s="416" t="s">
        <v>11405</v>
      </c>
    </row>
    <row r="2760" spans="31:32">
      <c r="AE2760" s="417" t="s">
        <v>11406</v>
      </c>
      <c r="AF2760" s="416" t="s">
        <v>11407</v>
      </c>
    </row>
    <row r="2761" spans="31:32">
      <c r="AE2761" s="417" t="s">
        <v>11408</v>
      </c>
      <c r="AF2761" s="416" t="s">
        <v>11409</v>
      </c>
    </row>
    <row r="2762" spans="31:32">
      <c r="AE2762" s="417" t="s">
        <v>11410</v>
      </c>
      <c r="AF2762" s="416" t="s">
        <v>11411</v>
      </c>
    </row>
    <row r="2763" spans="31:32">
      <c r="AE2763" s="417" t="s">
        <v>11412</v>
      </c>
      <c r="AF2763" s="416" t="s">
        <v>11413</v>
      </c>
    </row>
    <row r="2764" spans="31:32">
      <c r="AE2764" s="417" t="s">
        <v>11414</v>
      </c>
      <c r="AF2764" s="416" t="s">
        <v>11415</v>
      </c>
    </row>
    <row r="2765" spans="31:32">
      <c r="AE2765" s="417" t="s">
        <v>11416</v>
      </c>
      <c r="AF2765" s="416" t="s">
        <v>11417</v>
      </c>
    </row>
    <row r="2766" spans="31:32">
      <c r="AE2766" s="417" t="s">
        <v>11418</v>
      </c>
      <c r="AF2766" s="416" t="s">
        <v>11419</v>
      </c>
    </row>
    <row r="2767" spans="31:32">
      <c r="AE2767" s="417" t="s">
        <v>11420</v>
      </c>
      <c r="AF2767" s="416" t="s">
        <v>11421</v>
      </c>
    </row>
    <row r="2768" spans="31:32">
      <c r="AE2768" s="417" t="s">
        <v>11422</v>
      </c>
      <c r="AF2768" s="416" t="s">
        <v>11423</v>
      </c>
    </row>
    <row r="2769" spans="31:32">
      <c r="AE2769" s="417" t="s">
        <v>11424</v>
      </c>
      <c r="AF2769" s="416" t="s">
        <v>11425</v>
      </c>
    </row>
    <row r="2770" spans="31:32">
      <c r="AE2770" s="417" t="s">
        <v>11426</v>
      </c>
      <c r="AF2770" s="416" t="s">
        <v>11427</v>
      </c>
    </row>
    <row r="2771" spans="31:32">
      <c r="AE2771" s="417" t="s">
        <v>11428</v>
      </c>
      <c r="AF2771" s="416" t="s">
        <v>11429</v>
      </c>
    </row>
    <row r="2772" spans="31:32">
      <c r="AE2772" s="417" t="s">
        <v>11430</v>
      </c>
      <c r="AF2772" s="416" t="s">
        <v>11431</v>
      </c>
    </row>
    <row r="2773" spans="31:32">
      <c r="AE2773" s="417" t="s">
        <v>11432</v>
      </c>
      <c r="AF2773" s="416" t="s">
        <v>11433</v>
      </c>
    </row>
    <row r="2774" spans="31:32">
      <c r="AE2774" s="417" t="s">
        <v>11434</v>
      </c>
      <c r="AF2774" s="416" t="s">
        <v>11435</v>
      </c>
    </row>
    <row r="2775" spans="31:32">
      <c r="AE2775" s="417" t="s">
        <v>11436</v>
      </c>
      <c r="AF2775" s="416" t="s">
        <v>11437</v>
      </c>
    </row>
    <row r="2776" spans="31:32">
      <c r="AE2776" s="417" t="s">
        <v>11438</v>
      </c>
      <c r="AF2776" s="416" t="s">
        <v>11439</v>
      </c>
    </row>
    <row r="2777" spans="31:32">
      <c r="AE2777" s="417" t="s">
        <v>11440</v>
      </c>
      <c r="AF2777" s="416" t="s">
        <v>11441</v>
      </c>
    </row>
    <row r="2778" spans="31:32">
      <c r="AE2778" s="417" t="s">
        <v>11442</v>
      </c>
      <c r="AF2778" s="416" t="s">
        <v>11443</v>
      </c>
    </row>
    <row r="2779" spans="31:32">
      <c r="AE2779" s="417" t="s">
        <v>11444</v>
      </c>
      <c r="AF2779" s="416" t="s">
        <v>11445</v>
      </c>
    </row>
    <row r="2780" spans="31:32">
      <c r="AE2780" s="417" t="s">
        <v>11446</v>
      </c>
      <c r="AF2780" s="416" t="s">
        <v>11447</v>
      </c>
    </row>
    <row r="2781" spans="31:32">
      <c r="AE2781" s="417" t="s">
        <v>11448</v>
      </c>
      <c r="AF2781" s="416" t="s">
        <v>11449</v>
      </c>
    </row>
    <row r="2782" spans="31:32">
      <c r="AE2782" s="417" t="s">
        <v>11450</v>
      </c>
      <c r="AF2782" s="416" t="s">
        <v>11451</v>
      </c>
    </row>
    <row r="2783" spans="31:32">
      <c r="AE2783" s="417" t="s">
        <v>11452</v>
      </c>
      <c r="AF2783" s="416" t="s">
        <v>11453</v>
      </c>
    </row>
    <row r="2784" spans="31:32">
      <c r="AE2784" s="417" t="s">
        <v>11454</v>
      </c>
      <c r="AF2784" s="416" t="s">
        <v>11455</v>
      </c>
    </row>
    <row r="2785" spans="31:32">
      <c r="AE2785" s="417" t="s">
        <v>11456</v>
      </c>
      <c r="AF2785" s="416" t="s">
        <v>11457</v>
      </c>
    </row>
    <row r="2786" spans="31:32">
      <c r="AE2786" s="417" t="s">
        <v>11458</v>
      </c>
      <c r="AF2786" s="416" t="s">
        <v>11459</v>
      </c>
    </row>
    <row r="2787" spans="31:32">
      <c r="AE2787" s="417" t="s">
        <v>11460</v>
      </c>
      <c r="AF2787" s="416" t="s">
        <v>11461</v>
      </c>
    </row>
    <row r="2788" spans="31:32">
      <c r="AE2788" s="417" t="s">
        <v>11462</v>
      </c>
      <c r="AF2788" s="416" t="s">
        <v>11463</v>
      </c>
    </row>
    <row r="2789" spans="31:32">
      <c r="AE2789" s="417" t="s">
        <v>11464</v>
      </c>
      <c r="AF2789" s="416" t="s">
        <v>11465</v>
      </c>
    </row>
    <row r="2790" spans="31:32">
      <c r="AE2790" s="417" t="s">
        <v>11466</v>
      </c>
      <c r="AF2790" s="416" t="s">
        <v>11467</v>
      </c>
    </row>
    <row r="2791" spans="31:32">
      <c r="AE2791" s="417" t="s">
        <v>11468</v>
      </c>
      <c r="AF2791" s="416" t="s">
        <v>11469</v>
      </c>
    </row>
    <row r="2792" spans="31:32">
      <c r="AE2792" s="417" t="s">
        <v>11470</v>
      </c>
      <c r="AF2792" s="416" t="s">
        <v>11471</v>
      </c>
    </row>
    <row r="2793" spans="31:32">
      <c r="AE2793" s="417" t="s">
        <v>11472</v>
      </c>
      <c r="AF2793" s="416" t="s">
        <v>11473</v>
      </c>
    </row>
    <row r="2794" spans="31:32">
      <c r="AE2794" s="417" t="s">
        <v>11474</v>
      </c>
      <c r="AF2794" s="416" t="s">
        <v>11475</v>
      </c>
    </row>
    <row r="2795" spans="31:32">
      <c r="AE2795" s="417" t="s">
        <v>11476</v>
      </c>
      <c r="AF2795" s="416" t="s">
        <v>11477</v>
      </c>
    </row>
    <row r="2796" spans="31:32">
      <c r="AE2796" s="417" t="s">
        <v>11478</v>
      </c>
      <c r="AF2796" s="416" t="s">
        <v>11479</v>
      </c>
    </row>
    <row r="2797" spans="31:32">
      <c r="AE2797" s="417" t="s">
        <v>11480</v>
      </c>
      <c r="AF2797" s="416" t="s">
        <v>11481</v>
      </c>
    </row>
    <row r="2798" spans="31:32">
      <c r="AE2798" s="417" t="s">
        <v>11482</v>
      </c>
      <c r="AF2798" s="416" t="s">
        <v>11483</v>
      </c>
    </row>
    <row r="2799" spans="31:32">
      <c r="AE2799" s="417" t="s">
        <v>11484</v>
      </c>
      <c r="AF2799" s="416" t="s">
        <v>11485</v>
      </c>
    </row>
    <row r="2800" spans="31:32">
      <c r="AE2800" s="417" t="s">
        <v>11486</v>
      </c>
      <c r="AF2800" s="416" t="s">
        <v>11487</v>
      </c>
    </row>
    <row r="2801" spans="31:32">
      <c r="AE2801" s="417" t="s">
        <v>11488</v>
      </c>
      <c r="AF2801" s="416" t="s">
        <v>11489</v>
      </c>
    </row>
    <row r="2802" spans="31:32">
      <c r="AE2802" s="417" t="s">
        <v>11490</v>
      </c>
      <c r="AF2802" s="416" t="s">
        <v>11491</v>
      </c>
    </row>
    <row r="2803" spans="31:32">
      <c r="AE2803" s="417" t="s">
        <v>11492</v>
      </c>
      <c r="AF2803" s="416" t="s">
        <v>11493</v>
      </c>
    </row>
    <row r="2804" spans="31:32">
      <c r="AE2804" s="417" t="s">
        <v>11494</v>
      </c>
      <c r="AF2804" s="416" t="s">
        <v>11495</v>
      </c>
    </row>
    <row r="2805" spans="31:32">
      <c r="AE2805" s="417" t="s">
        <v>11496</v>
      </c>
      <c r="AF2805" s="416" t="s">
        <v>11497</v>
      </c>
    </row>
    <row r="2806" spans="31:32">
      <c r="AE2806" s="417" t="s">
        <v>11498</v>
      </c>
      <c r="AF2806" s="416" t="s">
        <v>11499</v>
      </c>
    </row>
    <row r="2807" spans="31:32">
      <c r="AE2807" s="417" t="s">
        <v>11500</v>
      </c>
      <c r="AF2807" s="416" t="s">
        <v>11501</v>
      </c>
    </row>
    <row r="2808" spans="31:32">
      <c r="AE2808" s="417" t="s">
        <v>11502</v>
      </c>
      <c r="AF2808" s="416" t="s">
        <v>11503</v>
      </c>
    </row>
    <row r="2809" spans="31:32">
      <c r="AE2809" s="417" t="s">
        <v>11504</v>
      </c>
      <c r="AF2809" s="416" t="s">
        <v>11505</v>
      </c>
    </row>
    <row r="2810" spans="31:32">
      <c r="AE2810" s="417" t="s">
        <v>11506</v>
      </c>
      <c r="AF2810" s="416" t="s">
        <v>11507</v>
      </c>
    </row>
    <row r="2811" spans="31:32">
      <c r="AE2811" s="417" t="s">
        <v>11508</v>
      </c>
      <c r="AF2811" s="416" t="s">
        <v>11509</v>
      </c>
    </row>
    <row r="2812" spans="31:32">
      <c r="AE2812" s="417" t="s">
        <v>11510</v>
      </c>
      <c r="AF2812" s="416" t="s">
        <v>11511</v>
      </c>
    </row>
    <row r="2813" spans="31:32">
      <c r="AE2813" s="417" t="s">
        <v>11512</v>
      </c>
      <c r="AF2813" s="416" t="s">
        <v>11513</v>
      </c>
    </row>
    <row r="2814" spans="31:32">
      <c r="AE2814" s="417" t="s">
        <v>11514</v>
      </c>
      <c r="AF2814" s="416" t="s">
        <v>11515</v>
      </c>
    </row>
    <row r="2815" spans="31:32">
      <c r="AE2815" s="417" t="s">
        <v>11516</v>
      </c>
      <c r="AF2815" s="416" t="s">
        <v>11517</v>
      </c>
    </row>
    <row r="2816" spans="31:32">
      <c r="AE2816" s="417" t="s">
        <v>11518</v>
      </c>
      <c r="AF2816" s="416" t="s">
        <v>11519</v>
      </c>
    </row>
    <row r="2817" spans="31:32">
      <c r="AE2817" s="417" t="s">
        <v>11520</v>
      </c>
      <c r="AF2817" s="416" t="s">
        <v>11521</v>
      </c>
    </row>
    <row r="2818" spans="31:32">
      <c r="AE2818" s="417" t="s">
        <v>11522</v>
      </c>
      <c r="AF2818" s="416" t="s">
        <v>11523</v>
      </c>
    </row>
    <row r="2819" spans="31:32">
      <c r="AE2819" s="417" t="s">
        <v>11524</v>
      </c>
      <c r="AF2819" s="416" t="s">
        <v>11525</v>
      </c>
    </row>
    <row r="2820" spans="31:32">
      <c r="AE2820" s="417" t="s">
        <v>11526</v>
      </c>
      <c r="AF2820" s="416" t="s">
        <v>11527</v>
      </c>
    </row>
    <row r="2821" spans="31:32">
      <c r="AE2821" s="417" t="s">
        <v>11528</v>
      </c>
      <c r="AF2821" s="416" t="s">
        <v>11529</v>
      </c>
    </row>
    <row r="2822" spans="31:32">
      <c r="AE2822" s="417" t="s">
        <v>11530</v>
      </c>
      <c r="AF2822" s="416" t="s">
        <v>11531</v>
      </c>
    </row>
    <row r="2823" spans="31:32">
      <c r="AE2823" s="417" t="s">
        <v>11532</v>
      </c>
      <c r="AF2823" s="416" t="s">
        <v>11533</v>
      </c>
    </row>
    <row r="2824" spans="31:32">
      <c r="AE2824" s="417" t="s">
        <v>11534</v>
      </c>
      <c r="AF2824" s="416" t="s">
        <v>11535</v>
      </c>
    </row>
    <row r="2825" spans="31:32">
      <c r="AE2825" s="417" t="s">
        <v>11536</v>
      </c>
      <c r="AF2825" s="416" t="s">
        <v>11537</v>
      </c>
    </row>
    <row r="2826" spans="31:32">
      <c r="AE2826" s="417" t="s">
        <v>11538</v>
      </c>
      <c r="AF2826" s="416" t="s">
        <v>11539</v>
      </c>
    </row>
    <row r="2827" spans="31:32">
      <c r="AE2827" s="417" t="s">
        <v>11540</v>
      </c>
      <c r="AF2827" s="416" t="s">
        <v>11541</v>
      </c>
    </row>
    <row r="2828" spans="31:32">
      <c r="AE2828" s="417" t="s">
        <v>11542</v>
      </c>
      <c r="AF2828" s="416" t="s">
        <v>11543</v>
      </c>
    </row>
    <row r="2829" spans="31:32">
      <c r="AE2829" s="417" t="s">
        <v>11544</v>
      </c>
      <c r="AF2829" s="416" t="s">
        <v>11545</v>
      </c>
    </row>
    <row r="2830" spans="31:32">
      <c r="AE2830" s="417" t="s">
        <v>11546</v>
      </c>
      <c r="AF2830" s="416" t="s">
        <v>11547</v>
      </c>
    </row>
    <row r="2831" spans="31:32">
      <c r="AE2831" s="417" t="s">
        <v>11548</v>
      </c>
      <c r="AF2831" s="416" t="s">
        <v>11549</v>
      </c>
    </row>
    <row r="2832" spans="31:32">
      <c r="AE2832" s="417" t="s">
        <v>11550</v>
      </c>
      <c r="AF2832" s="416" t="s">
        <v>11551</v>
      </c>
    </row>
    <row r="2833" spans="31:32">
      <c r="AE2833" s="417" t="s">
        <v>11552</v>
      </c>
      <c r="AF2833" s="416" t="s">
        <v>11553</v>
      </c>
    </row>
    <row r="2834" spans="31:32">
      <c r="AE2834" s="417" t="s">
        <v>11554</v>
      </c>
      <c r="AF2834" s="416" t="s">
        <v>11555</v>
      </c>
    </row>
    <row r="2835" spans="31:32">
      <c r="AE2835" s="417" t="s">
        <v>11556</v>
      </c>
      <c r="AF2835" s="416" t="s">
        <v>11557</v>
      </c>
    </row>
    <row r="2836" spans="31:32">
      <c r="AE2836" s="417" t="s">
        <v>11558</v>
      </c>
      <c r="AF2836" s="416" t="s">
        <v>11559</v>
      </c>
    </row>
    <row r="2837" spans="31:32">
      <c r="AE2837" s="417" t="s">
        <v>11560</v>
      </c>
      <c r="AF2837" s="416" t="s">
        <v>11561</v>
      </c>
    </row>
    <row r="2838" spans="31:32">
      <c r="AE2838" s="417" t="s">
        <v>11562</v>
      </c>
      <c r="AF2838" s="416" t="s">
        <v>11563</v>
      </c>
    </row>
    <row r="2839" spans="31:32">
      <c r="AE2839" s="417" t="s">
        <v>11564</v>
      </c>
      <c r="AF2839" s="416" t="s">
        <v>11565</v>
      </c>
    </row>
    <row r="2840" spans="31:32">
      <c r="AE2840" s="417" t="s">
        <v>11566</v>
      </c>
      <c r="AF2840" s="416" t="s">
        <v>11567</v>
      </c>
    </row>
    <row r="2841" spans="31:32">
      <c r="AE2841" s="417" t="s">
        <v>11568</v>
      </c>
      <c r="AF2841" s="416" t="s">
        <v>11569</v>
      </c>
    </row>
    <row r="2842" spans="31:32">
      <c r="AE2842" s="417" t="s">
        <v>11570</v>
      </c>
      <c r="AF2842" s="416" t="s">
        <v>11571</v>
      </c>
    </row>
    <row r="2843" spans="31:32">
      <c r="AE2843" s="417" t="s">
        <v>11572</v>
      </c>
      <c r="AF2843" s="416" t="s">
        <v>11573</v>
      </c>
    </row>
    <row r="2844" spans="31:32">
      <c r="AE2844" s="417" t="s">
        <v>11574</v>
      </c>
      <c r="AF2844" s="416" t="s">
        <v>11575</v>
      </c>
    </row>
    <row r="2845" spans="31:32">
      <c r="AE2845" s="417" t="s">
        <v>11576</v>
      </c>
      <c r="AF2845" s="416" t="s">
        <v>11577</v>
      </c>
    </row>
    <row r="2846" spans="31:32">
      <c r="AE2846" s="417" t="s">
        <v>11578</v>
      </c>
      <c r="AF2846" s="416" t="s">
        <v>11579</v>
      </c>
    </row>
    <row r="2847" spans="31:32">
      <c r="AE2847" s="417" t="s">
        <v>11580</v>
      </c>
      <c r="AF2847" s="416" t="s">
        <v>11581</v>
      </c>
    </row>
    <row r="2848" spans="31:32">
      <c r="AE2848" s="417" t="s">
        <v>11582</v>
      </c>
      <c r="AF2848" s="416" t="s">
        <v>11583</v>
      </c>
    </row>
    <row r="2849" spans="31:32">
      <c r="AE2849" s="417" t="s">
        <v>11584</v>
      </c>
      <c r="AF2849" s="416" t="s">
        <v>11585</v>
      </c>
    </row>
    <row r="2850" spans="31:32">
      <c r="AE2850" s="417" t="s">
        <v>11586</v>
      </c>
      <c r="AF2850" s="416" t="s">
        <v>11587</v>
      </c>
    </row>
    <row r="2851" spans="31:32">
      <c r="AE2851" s="417" t="s">
        <v>11588</v>
      </c>
      <c r="AF2851" s="416" t="s">
        <v>11589</v>
      </c>
    </row>
    <row r="2852" spans="31:32">
      <c r="AE2852" s="417" t="s">
        <v>11590</v>
      </c>
      <c r="AF2852" s="416" t="s">
        <v>11591</v>
      </c>
    </row>
    <row r="2853" spans="31:32">
      <c r="AE2853" s="417" t="s">
        <v>11592</v>
      </c>
      <c r="AF2853" s="416" t="s">
        <v>11593</v>
      </c>
    </row>
    <row r="2854" spans="31:32">
      <c r="AE2854" s="417" t="s">
        <v>11594</v>
      </c>
      <c r="AF2854" s="416" t="s">
        <v>11595</v>
      </c>
    </row>
    <row r="2855" spans="31:32">
      <c r="AE2855" s="417" t="s">
        <v>11596</v>
      </c>
      <c r="AF2855" s="416" t="s">
        <v>11597</v>
      </c>
    </row>
    <row r="2856" spans="31:32">
      <c r="AE2856" s="417" t="s">
        <v>11598</v>
      </c>
      <c r="AF2856" s="416" t="s">
        <v>11599</v>
      </c>
    </row>
    <row r="2857" spans="31:32">
      <c r="AE2857" s="417" t="s">
        <v>11600</v>
      </c>
      <c r="AF2857" s="416" t="s">
        <v>11601</v>
      </c>
    </row>
    <row r="2858" spans="31:32">
      <c r="AE2858" s="417" t="s">
        <v>11602</v>
      </c>
      <c r="AF2858" s="416" t="s">
        <v>11603</v>
      </c>
    </row>
    <row r="2859" spans="31:32">
      <c r="AE2859" s="417" t="s">
        <v>11604</v>
      </c>
      <c r="AF2859" s="416" t="s">
        <v>11605</v>
      </c>
    </row>
    <row r="2860" spans="31:32">
      <c r="AE2860" s="417" t="s">
        <v>11606</v>
      </c>
      <c r="AF2860" s="416" t="s">
        <v>11607</v>
      </c>
    </row>
    <row r="2861" spans="31:32">
      <c r="AE2861" s="417" t="s">
        <v>11608</v>
      </c>
      <c r="AF2861" s="416" t="s">
        <v>11609</v>
      </c>
    </row>
    <row r="2862" spans="31:32">
      <c r="AE2862" s="417" t="s">
        <v>11610</v>
      </c>
      <c r="AF2862" s="416" t="s">
        <v>11611</v>
      </c>
    </row>
    <row r="2863" spans="31:32">
      <c r="AE2863" s="417" t="s">
        <v>11612</v>
      </c>
      <c r="AF2863" s="416" t="s">
        <v>11613</v>
      </c>
    </row>
    <row r="2864" spans="31:32">
      <c r="AE2864" s="417" t="s">
        <v>11614</v>
      </c>
      <c r="AF2864" s="416" t="s">
        <v>11615</v>
      </c>
    </row>
    <row r="2865" spans="31:32">
      <c r="AE2865" s="417" t="s">
        <v>11616</v>
      </c>
      <c r="AF2865" s="416" t="s">
        <v>11617</v>
      </c>
    </row>
    <row r="2866" spans="31:32">
      <c r="AE2866" s="417" t="s">
        <v>11618</v>
      </c>
      <c r="AF2866" s="416" t="s">
        <v>11619</v>
      </c>
    </row>
    <row r="2867" spans="31:32">
      <c r="AE2867" s="417" t="s">
        <v>11620</v>
      </c>
      <c r="AF2867" s="416" t="s">
        <v>11621</v>
      </c>
    </row>
    <row r="2868" spans="31:32">
      <c r="AE2868" s="417" t="s">
        <v>11622</v>
      </c>
      <c r="AF2868" s="416" t="s">
        <v>11623</v>
      </c>
    </row>
    <row r="2869" spans="31:32">
      <c r="AE2869" s="417" t="s">
        <v>11624</v>
      </c>
      <c r="AF2869" s="416" t="s">
        <v>11625</v>
      </c>
    </row>
    <row r="2870" spans="31:32">
      <c r="AE2870" s="417" t="s">
        <v>11626</v>
      </c>
      <c r="AF2870" s="416" t="s">
        <v>11627</v>
      </c>
    </row>
    <row r="2871" spans="31:32">
      <c r="AE2871" s="417" t="s">
        <v>11628</v>
      </c>
      <c r="AF2871" s="416" t="s">
        <v>11629</v>
      </c>
    </row>
    <row r="2872" spans="31:32">
      <c r="AE2872" s="417" t="s">
        <v>11630</v>
      </c>
      <c r="AF2872" s="416" t="s">
        <v>11631</v>
      </c>
    </row>
    <row r="2873" spans="31:32">
      <c r="AE2873" s="417" t="s">
        <v>11632</v>
      </c>
      <c r="AF2873" s="416" t="s">
        <v>11633</v>
      </c>
    </row>
    <row r="2874" spans="31:32">
      <c r="AE2874" s="417" t="s">
        <v>11634</v>
      </c>
      <c r="AF2874" s="416" t="s">
        <v>11635</v>
      </c>
    </row>
    <row r="2875" spans="31:32">
      <c r="AE2875" s="417" t="s">
        <v>11636</v>
      </c>
      <c r="AF2875" s="416" t="s">
        <v>11637</v>
      </c>
    </row>
    <row r="2876" spans="31:32">
      <c r="AE2876" s="417" t="s">
        <v>11638</v>
      </c>
      <c r="AF2876" s="416" t="s">
        <v>11639</v>
      </c>
    </row>
    <row r="2877" spans="31:32">
      <c r="AE2877" s="417" t="s">
        <v>11640</v>
      </c>
      <c r="AF2877" s="416" t="s">
        <v>11641</v>
      </c>
    </row>
    <row r="2878" spans="31:32">
      <c r="AE2878" s="417" t="s">
        <v>11642</v>
      </c>
      <c r="AF2878" s="416" t="s">
        <v>11643</v>
      </c>
    </row>
    <row r="2879" spans="31:32">
      <c r="AE2879" s="417" t="s">
        <v>11644</v>
      </c>
      <c r="AF2879" s="416" t="s">
        <v>11645</v>
      </c>
    </row>
    <row r="2880" spans="31:32">
      <c r="AE2880" s="417" t="s">
        <v>11646</v>
      </c>
      <c r="AF2880" s="416" t="s">
        <v>11647</v>
      </c>
    </row>
    <row r="2881" spans="31:32">
      <c r="AE2881" s="417" t="s">
        <v>11648</v>
      </c>
      <c r="AF2881" s="416" t="s">
        <v>11649</v>
      </c>
    </row>
    <row r="2882" spans="31:32">
      <c r="AE2882" s="417" t="s">
        <v>11650</v>
      </c>
      <c r="AF2882" s="416" t="s">
        <v>11651</v>
      </c>
    </row>
    <row r="2883" spans="31:32">
      <c r="AE2883" s="417" t="s">
        <v>11652</v>
      </c>
      <c r="AF2883" s="416" t="s">
        <v>11653</v>
      </c>
    </row>
    <row r="2884" spans="31:32">
      <c r="AE2884" s="417" t="s">
        <v>11654</v>
      </c>
      <c r="AF2884" s="416" t="s">
        <v>11655</v>
      </c>
    </row>
    <row r="2885" spans="31:32">
      <c r="AE2885" s="417" t="s">
        <v>11656</v>
      </c>
      <c r="AF2885" s="416" t="s">
        <v>11657</v>
      </c>
    </row>
    <row r="2886" spans="31:32">
      <c r="AE2886" s="417" t="s">
        <v>11658</v>
      </c>
      <c r="AF2886" s="416" t="s">
        <v>11659</v>
      </c>
    </row>
    <row r="2887" spans="31:32">
      <c r="AE2887" s="417" t="s">
        <v>11660</v>
      </c>
      <c r="AF2887" s="416" t="s">
        <v>11661</v>
      </c>
    </row>
    <row r="2888" spans="31:32">
      <c r="AE2888" s="417" t="s">
        <v>11662</v>
      </c>
      <c r="AF2888" s="416" t="s">
        <v>11663</v>
      </c>
    </row>
    <row r="2889" spans="31:32">
      <c r="AE2889" s="417" t="s">
        <v>11664</v>
      </c>
      <c r="AF2889" s="416" t="s">
        <v>11665</v>
      </c>
    </row>
    <row r="2890" spans="31:32">
      <c r="AE2890" s="417" t="s">
        <v>11666</v>
      </c>
      <c r="AF2890" s="416" t="s">
        <v>11667</v>
      </c>
    </row>
    <row r="2891" spans="31:32">
      <c r="AE2891" s="417" t="s">
        <v>11668</v>
      </c>
      <c r="AF2891" s="416" t="s">
        <v>11669</v>
      </c>
    </row>
    <row r="2892" spans="31:32">
      <c r="AE2892" s="417" t="s">
        <v>11670</v>
      </c>
      <c r="AF2892" s="416" t="s">
        <v>11671</v>
      </c>
    </row>
    <row r="2893" spans="31:32">
      <c r="AE2893" s="417" t="s">
        <v>11672</v>
      </c>
      <c r="AF2893" s="416" t="s">
        <v>11673</v>
      </c>
    </row>
    <row r="2894" spans="31:32">
      <c r="AE2894" s="417" t="s">
        <v>11674</v>
      </c>
      <c r="AF2894" s="416" t="s">
        <v>11675</v>
      </c>
    </row>
    <row r="2895" spans="31:32">
      <c r="AE2895" s="417" t="s">
        <v>11676</v>
      </c>
      <c r="AF2895" s="416" t="s">
        <v>11677</v>
      </c>
    </row>
    <row r="2896" spans="31:32">
      <c r="AE2896" s="417" t="s">
        <v>11678</v>
      </c>
      <c r="AF2896" s="416" t="s">
        <v>11679</v>
      </c>
    </row>
    <row r="2897" spans="31:32">
      <c r="AE2897" s="417" t="s">
        <v>11680</v>
      </c>
      <c r="AF2897" s="416" t="s">
        <v>11681</v>
      </c>
    </row>
    <row r="2898" spans="31:32">
      <c r="AE2898" s="417" t="s">
        <v>11682</v>
      </c>
      <c r="AF2898" s="416" t="s">
        <v>11683</v>
      </c>
    </row>
    <row r="2899" spans="31:32">
      <c r="AE2899" s="417" t="s">
        <v>11684</v>
      </c>
      <c r="AF2899" s="416" t="s">
        <v>11685</v>
      </c>
    </row>
    <row r="2900" spans="31:32">
      <c r="AE2900" s="417" t="s">
        <v>11686</v>
      </c>
      <c r="AF2900" s="416" t="s">
        <v>11687</v>
      </c>
    </row>
    <row r="2901" spans="31:32">
      <c r="AE2901" s="417" t="s">
        <v>11688</v>
      </c>
      <c r="AF2901" s="416" t="s">
        <v>11689</v>
      </c>
    </row>
    <row r="2902" spans="31:32">
      <c r="AE2902" s="417" t="s">
        <v>11690</v>
      </c>
      <c r="AF2902" s="416" t="s">
        <v>11691</v>
      </c>
    </row>
    <row r="2903" spans="31:32">
      <c r="AE2903" s="417" t="s">
        <v>11692</v>
      </c>
      <c r="AF2903" s="416" t="s">
        <v>11693</v>
      </c>
    </row>
    <row r="2904" spans="31:32">
      <c r="AE2904" s="417" t="s">
        <v>11694</v>
      </c>
      <c r="AF2904" s="416" t="s">
        <v>11695</v>
      </c>
    </row>
    <row r="2905" spans="31:32">
      <c r="AE2905" s="417" t="s">
        <v>11696</v>
      </c>
      <c r="AF2905" s="416" t="s">
        <v>11697</v>
      </c>
    </row>
    <row r="2906" spans="31:32">
      <c r="AE2906" s="417" t="s">
        <v>11698</v>
      </c>
      <c r="AF2906" s="416" t="s">
        <v>11699</v>
      </c>
    </row>
    <row r="2907" spans="31:32">
      <c r="AE2907" s="417" t="s">
        <v>11700</v>
      </c>
      <c r="AF2907" s="416" t="s">
        <v>11701</v>
      </c>
    </row>
    <row r="2908" spans="31:32">
      <c r="AE2908" s="417" t="s">
        <v>11702</v>
      </c>
      <c r="AF2908" s="416" t="s">
        <v>11703</v>
      </c>
    </row>
    <row r="2909" spans="31:32">
      <c r="AE2909" s="417" t="s">
        <v>11704</v>
      </c>
      <c r="AF2909" s="416" t="s">
        <v>11705</v>
      </c>
    </row>
    <row r="2910" spans="31:32">
      <c r="AE2910" s="417" t="s">
        <v>11706</v>
      </c>
      <c r="AF2910" s="416" t="s">
        <v>11707</v>
      </c>
    </row>
    <row r="2911" spans="31:32">
      <c r="AE2911" s="417" t="s">
        <v>11708</v>
      </c>
      <c r="AF2911" s="416" t="s">
        <v>11709</v>
      </c>
    </row>
    <row r="2912" spans="31:32">
      <c r="AE2912" s="417" t="s">
        <v>11710</v>
      </c>
      <c r="AF2912" s="416" t="s">
        <v>11711</v>
      </c>
    </row>
    <row r="2913" spans="31:32">
      <c r="AE2913" s="417" t="s">
        <v>11712</v>
      </c>
      <c r="AF2913" s="416" t="s">
        <v>11713</v>
      </c>
    </row>
    <row r="2914" spans="31:32">
      <c r="AE2914" s="417" t="s">
        <v>11714</v>
      </c>
      <c r="AF2914" s="416" t="s">
        <v>11715</v>
      </c>
    </row>
    <row r="2915" spans="31:32">
      <c r="AE2915" s="417" t="s">
        <v>11716</v>
      </c>
      <c r="AF2915" s="416" t="s">
        <v>11717</v>
      </c>
    </row>
    <row r="2916" spans="31:32">
      <c r="AE2916" s="417" t="s">
        <v>11718</v>
      </c>
      <c r="AF2916" s="416" t="s">
        <v>11719</v>
      </c>
    </row>
    <row r="2917" spans="31:32">
      <c r="AE2917" s="417" t="s">
        <v>11720</v>
      </c>
      <c r="AF2917" s="416" t="s">
        <v>11721</v>
      </c>
    </row>
    <row r="2918" spans="31:32">
      <c r="AE2918" s="417" t="s">
        <v>11722</v>
      </c>
      <c r="AF2918" s="416" t="s">
        <v>11723</v>
      </c>
    </row>
    <row r="2919" spans="31:32">
      <c r="AE2919" s="417" t="s">
        <v>11724</v>
      </c>
      <c r="AF2919" s="416" t="s">
        <v>11725</v>
      </c>
    </row>
    <row r="2920" spans="31:32">
      <c r="AE2920" s="417" t="s">
        <v>11726</v>
      </c>
      <c r="AF2920" s="416" t="s">
        <v>11727</v>
      </c>
    </row>
    <row r="2921" spans="31:32">
      <c r="AE2921" s="417" t="s">
        <v>11728</v>
      </c>
      <c r="AF2921" s="416" t="s">
        <v>11729</v>
      </c>
    </row>
    <row r="2922" spans="31:32">
      <c r="AE2922" s="417" t="s">
        <v>11730</v>
      </c>
      <c r="AF2922" s="416" t="s">
        <v>11731</v>
      </c>
    </row>
    <row r="2923" spans="31:32">
      <c r="AE2923" s="417" t="s">
        <v>11732</v>
      </c>
      <c r="AF2923" s="416" t="s">
        <v>11733</v>
      </c>
    </row>
    <row r="2924" spans="31:32">
      <c r="AE2924" s="417" t="s">
        <v>11734</v>
      </c>
      <c r="AF2924" s="416" t="s">
        <v>11735</v>
      </c>
    </row>
    <row r="2925" spans="31:32">
      <c r="AE2925" s="417" t="s">
        <v>11736</v>
      </c>
      <c r="AF2925" s="416" t="s">
        <v>11737</v>
      </c>
    </row>
    <row r="2926" spans="31:32">
      <c r="AE2926" s="417" t="s">
        <v>11738</v>
      </c>
      <c r="AF2926" s="416" t="s">
        <v>11739</v>
      </c>
    </row>
    <row r="2927" spans="31:32">
      <c r="AE2927" s="417" t="s">
        <v>11740</v>
      </c>
      <c r="AF2927" s="416" t="s">
        <v>11741</v>
      </c>
    </row>
    <row r="2928" spans="31:32">
      <c r="AE2928" s="417" t="s">
        <v>11742</v>
      </c>
      <c r="AF2928" s="416" t="s">
        <v>11743</v>
      </c>
    </row>
    <row r="2929" spans="31:32">
      <c r="AE2929" s="417" t="s">
        <v>11744</v>
      </c>
      <c r="AF2929" s="416" t="s">
        <v>11745</v>
      </c>
    </row>
    <row r="2930" spans="31:32">
      <c r="AE2930" s="417" t="s">
        <v>11746</v>
      </c>
      <c r="AF2930" s="416" t="s">
        <v>11747</v>
      </c>
    </row>
    <row r="2931" spans="31:32">
      <c r="AE2931" s="417" t="s">
        <v>11748</v>
      </c>
      <c r="AF2931" s="416" t="s">
        <v>11749</v>
      </c>
    </row>
    <row r="2932" spans="31:32">
      <c r="AE2932" s="417" t="s">
        <v>11750</v>
      </c>
      <c r="AF2932" s="416" t="s">
        <v>11751</v>
      </c>
    </row>
    <row r="2933" spans="31:32">
      <c r="AE2933" s="417" t="s">
        <v>11752</v>
      </c>
      <c r="AF2933" s="416" t="s">
        <v>11753</v>
      </c>
    </row>
    <row r="2934" spans="31:32">
      <c r="AE2934" s="417" t="s">
        <v>11754</v>
      </c>
      <c r="AF2934" s="416" t="s">
        <v>11755</v>
      </c>
    </row>
    <row r="2935" spans="31:32">
      <c r="AE2935" s="417" t="s">
        <v>11756</v>
      </c>
      <c r="AF2935" s="416" t="s">
        <v>11757</v>
      </c>
    </row>
    <row r="2936" spans="31:32">
      <c r="AE2936" s="417" t="s">
        <v>11758</v>
      </c>
      <c r="AF2936" s="416" t="s">
        <v>11759</v>
      </c>
    </row>
    <row r="2937" spans="31:32">
      <c r="AE2937" s="417" t="s">
        <v>11760</v>
      </c>
      <c r="AF2937" s="416" t="s">
        <v>11761</v>
      </c>
    </row>
    <row r="2938" spans="31:32">
      <c r="AE2938" s="417" t="s">
        <v>11762</v>
      </c>
      <c r="AF2938" s="416" t="s">
        <v>11763</v>
      </c>
    </row>
    <row r="2939" spans="31:32">
      <c r="AE2939" s="417" t="s">
        <v>11764</v>
      </c>
      <c r="AF2939" s="416" t="s">
        <v>11765</v>
      </c>
    </row>
    <row r="2940" spans="31:32">
      <c r="AE2940" s="417" t="s">
        <v>11766</v>
      </c>
      <c r="AF2940" s="416" t="s">
        <v>11767</v>
      </c>
    </row>
    <row r="2941" spans="31:32">
      <c r="AE2941" s="417" t="s">
        <v>11768</v>
      </c>
      <c r="AF2941" s="416" t="s">
        <v>11769</v>
      </c>
    </row>
    <row r="2942" spans="31:32">
      <c r="AE2942" s="417" t="s">
        <v>11770</v>
      </c>
      <c r="AF2942" s="416" t="s">
        <v>11771</v>
      </c>
    </row>
    <row r="2943" spans="31:32">
      <c r="AE2943" s="417" t="s">
        <v>11772</v>
      </c>
      <c r="AF2943" s="416" t="s">
        <v>11773</v>
      </c>
    </row>
    <row r="2944" spans="31:32">
      <c r="AE2944" s="417" t="s">
        <v>11774</v>
      </c>
      <c r="AF2944" s="416" t="s">
        <v>11775</v>
      </c>
    </row>
    <row r="2945" spans="31:32">
      <c r="AE2945" s="417" t="s">
        <v>11776</v>
      </c>
      <c r="AF2945" s="416" t="s">
        <v>11777</v>
      </c>
    </row>
    <row r="2946" spans="31:32">
      <c r="AE2946" s="417" t="s">
        <v>11778</v>
      </c>
      <c r="AF2946" s="416" t="s">
        <v>11779</v>
      </c>
    </row>
    <row r="2947" spans="31:32">
      <c r="AE2947" s="417" t="s">
        <v>11780</v>
      </c>
      <c r="AF2947" s="416" t="s">
        <v>11781</v>
      </c>
    </row>
    <row r="2948" spans="31:32">
      <c r="AE2948" s="417" t="s">
        <v>11782</v>
      </c>
      <c r="AF2948" s="416" t="s">
        <v>11783</v>
      </c>
    </row>
    <row r="2949" spans="31:32">
      <c r="AE2949" s="417" t="s">
        <v>11784</v>
      </c>
      <c r="AF2949" s="416" t="s">
        <v>11785</v>
      </c>
    </row>
    <row r="2950" spans="31:32">
      <c r="AE2950" s="417" t="s">
        <v>11786</v>
      </c>
      <c r="AF2950" s="416" t="s">
        <v>11787</v>
      </c>
    </row>
    <row r="2951" spans="31:32">
      <c r="AE2951" s="417" t="s">
        <v>11788</v>
      </c>
      <c r="AF2951" s="416" t="s">
        <v>11789</v>
      </c>
    </row>
    <row r="2952" spans="31:32">
      <c r="AE2952" s="417" t="s">
        <v>11790</v>
      </c>
      <c r="AF2952" s="416" t="s">
        <v>11791</v>
      </c>
    </row>
    <row r="2953" spans="31:32">
      <c r="AE2953" s="417" t="s">
        <v>11792</v>
      </c>
      <c r="AF2953" s="416" t="s">
        <v>11793</v>
      </c>
    </row>
    <row r="2954" spans="31:32">
      <c r="AE2954" s="417" t="s">
        <v>11794</v>
      </c>
      <c r="AF2954" s="416" t="s">
        <v>11795</v>
      </c>
    </row>
    <row r="2955" spans="31:32">
      <c r="AE2955" s="417" t="s">
        <v>11796</v>
      </c>
      <c r="AF2955" s="416" t="s">
        <v>11797</v>
      </c>
    </row>
    <row r="2956" spans="31:32">
      <c r="AE2956" s="417" t="s">
        <v>11798</v>
      </c>
      <c r="AF2956" s="416" t="s">
        <v>11799</v>
      </c>
    </row>
    <row r="2957" spans="31:32">
      <c r="AE2957" s="417" t="s">
        <v>11800</v>
      </c>
      <c r="AF2957" s="416" t="s">
        <v>11801</v>
      </c>
    </row>
    <row r="2958" spans="31:32">
      <c r="AE2958" s="417" t="s">
        <v>11802</v>
      </c>
      <c r="AF2958" s="416" t="s">
        <v>11803</v>
      </c>
    </row>
    <row r="2959" spans="31:32">
      <c r="AE2959" s="417" t="s">
        <v>11804</v>
      </c>
      <c r="AF2959" s="416" t="s">
        <v>11805</v>
      </c>
    </row>
    <row r="2960" spans="31:32">
      <c r="AE2960" s="417" t="s">
        <v>11806</v>
      </c>
      <c r="AF2960" s="416" t="s">
        <v>11807</v>
      </c>
    </row>
    <row r="2961" spans="31:32">
      <c r="AE2961" s="417" t="s">
        <v>11808</v>
      </c>
      <c r="AF2961" s="416" t="s">
        <v>11809</v>
      </c>
    </row>
    <row r="2962" spans="31:32">
      <c r="AE2962" s="417" t="s">
        <v>11810</v>
      </c>
      <c r="AF2962" s="416" t="s">
        <v>11811</v>
      </c>
    </row>
    <row r="2963" spans="31:32">
      <c r="AE2963" s="417" t="s">
        <v>11812</v>
      </c>
      <c r="AF2963" s="416" t="s">
        <v>11813</v>
      </c>
    </row>
    <row r="2964" spans="31:32">
      <c r="AE2964" s="417" t="s">
        <v>11814</v>
      </c>
      <c r="AF2964" s="416" t="s">
        <v>11815</v>
      </c>
    </row>
    <row r="2965" spans="31:32">
      <c r="AE2965" s="417" t="s">
        <v>11816</v>
      </c>
      <c r="AF2965" s="416" t="s">
        <v>11817</v>
      </c>
    </row>
    <row r="2966" spans="31:32">
      <c r="AE2966" s="417" t="s">
        <v>11818</v>
      </c>
      <c r="AF2966" s="416" t="s">
        <v>11819</v>
      </c>
    </row>
    <row r="2967" spans="31:32">
      <c r="AE2967" s="417" t="s">
        <v>11820</v>
      </c>
      <c r="AF2967" s="416" t="s">
        <v>11821</v>
      </c>
    </row>
    <row r="2968" spans="31:32">
      <c r="AE2968" s="417" t="s">
        <v>11822</v>
      </c>
      <c r="AF2968" s="416" t="s">
        <v>11823</v>
      </c>
    </row>
    <row r="2969" spans="31:32">
      <c r="AE2969" s="417" t="s">
        <v>11824</v>
      </c>
      <c r="AF2969" s="416" t="s">
        <v>11825</v>
      </c>
    </row>
    <row r="2970" spans="31:32">
      <c r="AE2970" s="417" t="s">
        <v>11826</v>
      </c>
      <c r="AF2970" s="416" t="s">
        <v>11827</v>
      </c>
    </row>
    <row r="2971" spans="31:32">
      <c r="AE2971" s="417" t="s">
        <v>11828</v>
      </c>
      <c r="AF2971" s="416" t="s">
        <v>11829</v>
      </c>
    </row>
    <row r="2972" spans="31:32">
      <c r="AE2972" s="417" t="s">
        <v>11830</v>
      </c>
      <c r="AF2972" s="416" t="s">
        <v>11831</v>
      </c>
    </row>
    <row r="2973" spans="31:32">
      <c r="AE2973" s="417" t="s">
        <v>11832</v>
      </c>
      <c r="AF2973" s="416" t="s">
        <v>11833</v>
      </c>
    </row>
    <row r="2974" spans="31:32">
      <c r="AE2974" s="417" t="s">
        <v>11834</v>
      </c>
      <c r="AF2974" s="416" t="s">
        <v>11835</v>
      </c>
    </row>
    <row r="2975" spans="31:32">
      <c r="AE2975" s="417" t="s">
        <v>11836</v>
      </c>
      <c r="AF2975" s="416" t="s">
        <v>11837</v>
      </c>
    </row>
    <row r="2976" spans="31:32">
      <c r="AE2976" s="417" t="s">
        <v>11838</v>
      </c>
      <c r="AF2976" s="416" t="s">
        <v>11839</v>
      </c>
    </row>
    <row r="2977" spans="31:32">
      <c r="AE2977" s="417" t="s">
        <v>11840</v>
      </c>
      <c r="AF2977" s="416" t="s">
        <v>11841</v>
      </c>
    </row>
    <row r="2978" spans="31:32">
      <c r="AE2978" s="417" t="s">
        <v>11842</v>
      </c>
      <c r="AF2978" s="416" t="s">
        <v>11843</v>
      </c>
    </row>
    <row r="2979" spans="31:32">
      <c r="AE2979" s="417" t="s">
        <v>11844</v>
      </c>
      <c r="AF2979" s="416" t="s">
        <v>11845</v>
      </c>
    </row>
    <row r="2980" spans="31:32">
      <c r="AE2980" s="417" t="s">
        <v>11846</v>
      </c>
      <c r="AF2980" s="416" t="s">
        <v>11847</v>
      </c>
    </row>
    <row r="2981" spans="31:32">
      <c r="AE2981" s="417" t="s">
        <v>11848</v>
      </c>
      <c r="AF2981" s="416" t="s">
        <v>11849</v>
      </c>
    </row>
    <row r="2982" spans="31:32">
      <c r="AE2982" s="417" t="s">
        <v>11850</v>
      </c>
      <c r="AF2982" s="416" t="s">
        <v>11173</v>
      </c>
    </row>
    <row r="2983" spans="31:32">
      <c r="AE2983" s="417" t="s">
        <v>11851</v>
      </c>
      <c r="AF2983" s="416" t="s">
        <v>11852</v>
      </c>
    </row>
    <row r="2984" spans="31:32">
      <c r="AE2984" s="417" t="s">
        <v>11853</v>
      </c>
      <c r="AF2984" s="416" t="s">
        <v>11854</v>
      </c>
    </row>
    <row r="2985" spans="31:32">
      <c r="AE2985" s="417" t="s">
        <v>11855</v>
      </c>
      <c r="AF2985" s="416" t="s">
        <v>11856</v>
      </c>
    </row>
    <row r="2986" spans="31:32">
      <c r="AE2986" s="417" t="s">
        <v>11857</v>
      </c>
      <c r="AF2986" s="416" t="s">
        <v>11858</v>
      </c>
    </row>
    <row r="2987" spans="31:32">
      <c r="AE2987" s="417" t="s">
        <v>11859</v>
      </c>
      <c r="AF2987" s="416" t="s">
        <v>11860</v>
      </c>
    </row>
    <row r="2988" spans="31:32">
      <c r="AE2988" s="417" t="s">
        <v>11861</v>
      </c>
      <c r="AF2988" s="416" t="s">
        <v>11862</v>
      </c>
    </row>
    <row r="2989" spans="31:32">
      <c r="AE2989" s="417" t="s">
        <v>11863</v>
      </c>
      <c r="AF2989" s="416" t="s">
        <v>11864</v>
      </c>
    </row>
    <row r="2990" spans="31:32">
      <c r="AE2990" s="417" t="s">
        <v>11865</v>
      </c>
      <c r="AF2990" s="416" t="s">
        <v>11866</v>
      </c>
    </row>
    <row r="2991" spans="31:32">
      <c r="AE2991" s="417" t="s">
        <v>11867</v>
      </c>
      <c r="AF2991" s="416" t="s">
        <v>11868</v>
      </c>
    </row>
    <row r="2992" spans="31:32">
      <c r="AE2992" s="417" t="s">
        <v>11869</v>
      </c>
      <c r="AF2992" s="416" t="s">
        <v>11870</v>
      </c>
    </row>
    <row r="2993" spans="31:32">
      <c r="AE2993" s="417" t="s">
        <v>11871</v>
      </c>
      <c r="AF2993" s="416" t="s">
        <v>11872</v>
      </c>
    </row>
    <row r="2994" spans="31:32">
      <c r="AE2994" s="417" t="s">
        <v>11873</v>
      </c>
      <c r="AF2994" s="416" t="s">
        <v>11874</v>
      </c>
    </row>
    <row r="2995" spans="31:32">
      <c r="AE2995" s="417" t="s">
        <v>11875</v>
      </c>
      <c r="AF2995" s="416" t="s">
        <v>11876</v>
      </c>
    </row>
    <row r="2996" spans="31:32">
      <c r="AE2996" s="417" t="s">
        <v>11877</v>
      </c>
      <c r="AF2996" s="416" t="s">
        <v>11878</v>
      </c>
    </row>
    <row r="2997" spans="31:32">
      <c r="AE2997" s="417" t="s">
        <v>11879</v>
      </c>
      <c r="AF2997" s="416" t="s">
        <v>11880</v>
      </c>
    </row>
    <row r="2998" spans="31:32">
      <c r="AE2998" s="417" t="s">
        <v>11881</v>
      </c>
      <c r="AF2998" s="416" t="s">
        <v>11882</v>
      </c>
    </row>
    <row r="2999" spans="31:32">
      <c r="AE2999" s="417" t="s">
        <v>11883</v>
      </c>
      <c r="AF2999" s="416" t="s">
        <v>11884</v>
      </c>
    </row>
    <row r="3000" spans="31:32">
      <c r="AE3000" s="417" t="s">
        <v>11885</v>
      </c>
      <c r="AF3000" s="416" t="s">
        <v>11886</v>
      </c>
    </row>
    <row r="3001" spans="31:32">
      <c r="AE3001" s="417" t="s">
        <v>11887</v>
      </c>
      <c r="AF3001" s="416" t="s">
        <v>11888</v>
      </c>
    </row>
    <row r="3002" spans="31:32">
      <c r="AE3002" s="417" t="s">
        <v>11889</v>
      </c>
      <c r="AF3002" s="416" t="s">
        <v>11890</v>
      </c>
    </row>
    <row r="3003" spans="31:32">
      <c r="AE3003" s="417" t="s">
        <v>11891</v>
      </c>
      <c r="AF3003" s="416" t="s">
        <v>11892</v>
      </c>
    </row>
    <row r="3004" spans="31:32">
      <c r="AE3004" s="417" t="s">
        <v>11893</v>
      </c>
      <c r="AF3004" s="416" t="s">
        <v>11894</v>
      </c>
    </row>
    <row r="3005" spans="31:32">
      <c r="AE3005" s="417" t="s">
        <v>11895</v>
      </c>
      <c r="AF3005" s="416" t="s">
        <v>11896</v>
      </c>
    </row>
    <row r="3006" spans="31:32">
      <c r="AE3006" s="417" t="s">
        <v>11897</v>
      </c>
      <c r="AF3006" s="416" t="s">
        <v>11898</v>
      </c>
    </row>
    <row r="3007" spans="31:32">
      <c r="AE3007" s="417" t="s">
        <v>11899</v>
      </c>
      <c r="AF3007" s="416" t="s">
        <v>11900</v>
      </c>
    </row>
    <row r="3008" spans="31:32">
      <c r="AE3008" s="417" t="s">
        <v>11901</v>
      </c>
      <c r="AF3008" s="416" t="s">
        <v>11902</v>
      </c>
    </row>
    <row r="3009" spans="31:32">
      <c r="AE3009" s="417" t="s">
        <v>11903</v>
      </c>
      <c r="AF3009" s="416" t="s">
        <v>11904</v>
      </c>
    </row>
    <row r="3010" spans="31:32">
      <c r="AE3010" s="417" t="s">
        <v>11905</v>
      </c>
      <c r="AF3010" s="416" t="s">
        <v>11906</v>
      </c>
    </row>
    <row r="3011" spans="31:32">
      <c r="AE3011" s="417" t="s">
        <v>11907</v>
      </c>
      <c r="AF3011" s="416" t="s">
        <v>11908</v>
      </c>
    </row>
    <row r="3012" spans="31:32">
      <c r="AE3012" s="417" t="s">
        <v>11909</v>
      </c>
      <c r="AF3012" s="416" t="s">
        <v>11910</v>
      </c>
    </row>
    <row r="3013" spans="31:32">
      <c r="AE3013" s="417" t="s">
        <v>11911</v>
      </c>
      <c r="AF3013" s="416" t="s">
        <v>11912</v>
      </c>
    </row>
    <row r="3014" spans="31:32">
      <c r="AE3014" s="417" t="s">
        <v>11913</v>
      </c>
      <c r="AF3014" s="416" t="s">
        <v>11914</v>
      </c>
    </row>
    <row r="3015" spans="31:32">
      <c r="AE3015" s="417" t="s">
        <v>11915</v>
      </c>
      <c r="AF3015" s="416" t="s">
        <v>11916</v>
      </c>
    </row>
    <row r="3016" spans="31:32">
      <c r="AE3016" s="417" t="s">
        <v>11917</v>
      </c>
      <c r="AF3016" s="416" t="s">
        <v>11918</v>
      </c>
    </row>
    <row r="3017" spans="31:32">
      <c r="AE3017" s="417" t="s">
        <v>11919</v>
      </c>
      <c r="AF3017" s="416" t="s">
        <v>11920</v>
      </c>
    </row>
    <row r="3018" spans="31:32">
      <c r="AE3018" s="417" t="s">
        <v>11921</v>
      </c>
      <c r="AF3018" s="416" t="s">
        <v>11922</v>
      </c>
    </row>
    <row r="3019" spans="31:32">
      <c r="AE3019" s="417" t="s">
        <v>11923</v>
      </c>
      <c r="AF3019" s="416" t="s">
        <v>11924</v>
      </c>
    </row>
    <row r="3020" spans="31:32">
      <c r="AE3020" s="417" t="s">
        <v>11925</v>
      </c>
      <c r="AF3020" s="416" t="s">
        <v>11926</v>
      </c>
    </row>
    <row r="3021" spans="31:32">
      <c r="AE3021" s="417" t="s">
        <v>11927</v>
      </c>
      <c r="AF3021" s="416" t="s">
        <v>11928</v>
      </c>
    </row>
    <row r="3022" spans="31:32">
      <c r="AE3022" s="417" t="s">
        <v>11929</v>
      </c>
      <c r="AF3022" s="416" t="s">
        <v>11930</v>
      </c>
    </row>
    <row r="3023" spans="31:32">
      <c r="AE3023" s="417" t="s">
        <v>11931</v>
      </c>
      <c r="AF3023" s="416" t="s">
        <v>11932</v>
      </c>
    </row>
    <row r="3024" spans="31:32">
      <c r="AE3024" s="417" t="s">
        <v>11933</v>
      </c>
      <c r="AF3024" s="416" t="s">
        <v>11934</v>
      </c>
    </row>
    <row r="3025" spans="31:32">
      <c r="AE3025" s="417" t="s">
        <v>11935</v>
      </c>
      <c r="AF3025" s="416" t="s">
        <v>11936</v>
      </c>
    </row>
    <row r="3026" spans="31:32">
      <c r="AE3026" s="417" t="s">
        <v>11937</v>
      </c>
      <c r="AF3026" s="416" t="s">
        <v>11938</v>
      </c>
    </row>
    <row r="3027" spans="31:32">
      <c r="AE3027" s="417" t="s">
        <v>11939</v>
      </c>
      <c r="AF3027" s="416" t="s">
        <v>11940</v>
      </c>
    </row>
    <row r="3028" spans="31:32">
      <c r="AE3028" s="417" t="s">
        <v>11941</v>
      </c>
      <c r="AF3028" s="416" t="s">
        <v>11942</v>
      </c>
    </row>
    <row r="3029" spans="31:32">
      <c r="AE3029" s="417" t="s">
        <v>11943</v>
      </c>
      <c r="AF3029" s="416" t="s">
        <v>11944</v>
      </c>
    </row>
    <row r="3030" spans="31:32">
      <c r="AE3030" s="417" t="s">
        <v>11945</v>
      </c>
      <c r="AF3030" s="416" t="s">
        <v>11946</v>
      </c>
    </row>
    <row r="3031" spans="31:32">
      <c r="AE3031" s="417" t="s">
        <v>11947</v>
      </c>
      <c r="AF3031" s="416" t="s">
        <v>11948</v>
      </c>
    </row>
    <row r="3032" spans="31:32">
      <c r="AE3032" s="417" t="s">
        <v>11949</v>
      </c>
      <c r="AF3032" s="416" t="s">
        <v>11950</v>
      </c>
    </row>
    <row r="3033" spans="31:32">
      <c r="AE3033" s="417" t="s">
        <v>11951</v>
      </c>
      <c r="AF3033" s="416" t="s">
        <v>11952</v>
      </c>
    </row>
    <row r="3034" spans="31:32">
      <c r="AE3034" s="417" t="s">
        <v>11953</v>
      </c>
      <c r="AF3034" s="416" t="s">
        <v>11954</v>
      </c>
    </row>
    <row r="3035" spans="31:32">
      <c r="AE3035" s="417" t="s">
        <v>11955</v>
      </c>
      <c r="AF3035" s="416" t="s">
        <v>11956</v>
      </c>
    </row>
    <row r="3036" spans="31:32">
      <c r="AE3036" s="417" t="s">
        <v>11957</v>
      </c>
      <c r="AF3036" s="416" t="s">
        <v>11958</v>
      </c>
    </row>
    <row r="3037" spans="31:32">
      <c r="AE3037" s="417" t="s">
        <v>11959</v>
      </c>
      <c r="AF3037" s="416" t="s">
        <v>11960</v>
      </c>
    </row>
    <row r="3038" spans="31:32">
      <c r="AE3038" s="417" t="s">
        <v>11961</v>
      </c>
      <c r="AF3038" s="416" t="s">
        <v>11962</v>
      </c>
    </row>
    <row r="3039" spans="31:32">
      <c r="AE3039" s="417" t="s">
        <v>11963</v>
      </c>
      <c r="AF3039" s="416" t="s">
        <v>11964</v>
      </c>
    </row>
    <row r="3040" spans="31:32">
      <c r="AE3040" s="417" t="s">
        <v>11965</v>
      </c>
      <c r="AF3040" s="416" t="s">
        <v>11966</v>
      </c>
    </row>
    <row r="3041" spans="31:32">
      <c r="AE3041" s="417" t="s">
        <v>11967</v>
      </c>
      <c r="AF3041" s="416" t="s">
        <v>11968</v>
      </c>
    </row>
    <row r="3042" spans="31:32">
      <c r="AE3042" s="417" t="s">
        <v>11969</v>
      </c>
      <c r="AF3042" s="416" t="s">
        <v>11970</v>
      </c>
    </row>
    <row r="3043" spans="31:32">
      <c r="AE3043" s="417" t="s">
        <v>11971</v>
      </c>
      <c r="AF3043" s="416" t="s">
        <v>11972</v>
      </c>
    </row>
    <row r="3044" spans="31:32">
      <c r="AE3044" s="417" t="s">
        <v>11973</v>
      </c>
      <c r="AF3044" s="416" t="s">
        <v>11974</v>
      </c>
    </row>
    <row r="3045" spans="31:32">
      <c r="AE3045" s="417" t="s">
        <v>11975</v>
      </c>
      <c r="AF3045" s="416" t="s">
        <v>11976</v>
      </c>
    </row>
    <row r="3046" spans="31:32">
      <c r="AE3046" s="417" t="s">
        <v>11977</v>
      </c>
      <c r="AF3046" s="416" t="s">
        <v>11978</v>
      </c>
    </row>
    <row r="3047" spans="31:32">
      <c r="AE3047" s="417" t="s">
        <v>11979</v>
      </c>
      <c r="AF3047" s="416" t="s">
        <v>11980</v>
      </c>
    </row>
    <row r="3048" spans="31:32">
      <c r="AE3048" s="417" t="s">
        <v>11981</v>
      </c>
      <c r="AF3048" s="416" t="s">
        <v>11982</v>
      </c>
    </row>
    <row r="3049" spans="31:32">
      <c r="AE3049" s="417" t="s">
        <v>11983</v>
      </c>
      <c r="AF3049" s="416" t="s">
        <v>11984</v>
      </c>
    </row>
    <row r="3050" spans="31:32">
      <c r="AE3050" s="417" t="s">
        <v>11985</v>
      </c>
      <c r="AF3050" s="416" t="s">
        <v>11986</v>
      </c>
    </row>
    <row r="3051" spans="31:32">
      <c r="AE3051" s="417" t="s">
        <v>11987</v>
      </c>
      <c r="AF3051" s="416" t="s">
        <v>11988</v>
      </c>
    </row>
    <row r="3052" spans="31:32">
      <c r="AE3052" s="417" t="s">
        <v>11989</v>
      </c>
      <c r="AF3052" s="416" t="s">
        <v>11990</v>
      </c>
    </row>
    <row r="3053" spans="31:32">
      <c r="AE3053" s="417" t="s">
        <v>11991</v>
      </c>
      <c r="AF3053" s="416" t="s">
        <v>11992</v>
      </c>
    </row>
    <row r="3054" spans="31:32">
      <c r="AE3054" s="417" t="s">
        <v>11993</v>
      </c>
      <c r="AF3054" s="416" t="s">
        <v>11994</v>
      </c>
    </row>
    <row r="3055" spans="31:32">
      <c r="AE3055" s="417" t="s">
        <v>11995</v>
      </c>
      <c r="AF3055" s="416" t="s">
        <v>11996</v>
      </c>
    </row>
    <row r="3056" spans="31:32">
      <c r="AE3056" s="417" t="s">
        <v>11997</v>
      </c>
      <c r="AF3056" s="416" t="s">
        <v>11998</v>
      </c>
    </row>
    <row r="3057" spans="31:32">
      <c r="AE3057" s="417" t="s">
        <v>11999</v>
      </c>
      <c r="AF3057" s="416" t="s">
        <v>12000</v>
      </c>
    </row>
    <row r="3058" spans="31:32">
      <c r="AE3058" s="417" t="s">
        <v>12001</v>
      </c>
      <c r="AF3058" s="416" t="s">
        <v>12002</v>
      </c>
    </row>
    <row r="3059" spans="31:32">
      <c r="AE3059" s="417" t="s">
        <v>12003</v>
      </c>
      <c r="AF3059" s="416" t="s">
        <v>11173</v>
      </c>
    </row>
    <row r="3060" spans="31:32">
      <c r="AE3060" s="417" t="s">
        <v>12004</v>
      </c>
      <c r="AF3060" s="416" t="s">
        <v>11173</v>
      </c>
    </row>
    <row r="3061" spans="31:32">
      <c r="AE3061" s="417" t="s">
        <v>12005</v>
      </c>
      <c r="AF3061" s="416" t="s">
        <v>11173</v>
      </c>
    </row>
    <row r="3062" spans="31:32">
      <c r="AE3062" s="417" t="s">
        <v>12006</v>
      </c>
      <c r="AF3062" s="416" t="s">
        <v>11173</v>
      </c>
    </row>
    <row r="3063" spans="31:32">
      <c r="AE3063" s="417" t="s">
        <v>12007</v>
      </c>
      <c r="AF3063" s="416" t="s">
        <v>12008</v>
      </c>
    </row>
    <row r="3064" spans="31:32">
      <c r="AE3064" s="417" t="s">
        <v>12009</v>
      </c>
      <c r="AF3064" s="416" t="s">
        <v>12010</v>
      </c>
    </row>
    <row r="3065" spans="31:32">
      <c r="AE3065" s="417" t="s">
        <v>12011</v>
      </c>
      <c r="AF3065" s="416" t="s">
        <v>12012</v>
      </c>
    </row>
    <row r="3066" spans="31:32">
      <c r="AE3066" s="417" t="s">
        <v>12013</v>
      </c>
      <c r="AF3066" s="416" t="s">
        <v>12014</v>
      </c>
    </row>
    <row r="3067" spans="31:32">
      <c r="AE3067" s="417" t="s">
        <v>12015</v>
      </c>
      <c r="AF3067" s="416" t="s">
        <v>12016</v>
      </c>
    </row>
    <row r="3068" spans="31:32">
      <c r="AE3068" s="417" t="s">
        <v>12017</v>
      </c>
      <c r="AF3068" s="416" t="s">
        <v>12018</v>
      </c>
    </row>
    <row r="3069" spans="31:32">
      <c r="AE3069" s="417" t="s">
        <v>12019</v>
      </c>
      <c r="AF3069" s="416" t="s">
        <v>12020</v>
      </c>
    </row>
    <row r="3070" spans="31:32">
      <c r="AE3070" s="417" t="s">
        <v>12021</v>
      </c>
      <c r="AF3070" s="416" t="s">
        <v>12022</v>
      </c>
    </row>
    <row r="3071" spans="31:32">
      <c r="AE3071" s="417" t="s">
        <v>12023</v>
      </c>
      <c r="AF3071" s="416" t="s">
        <v>12024</v>
      </c>
    </row>
    <row r="3072" spans="31:32">
      <c r="AE3072" s="417" t="s">
        <v>12025</v>
      </c>
      <c r="AF3072" s="416" t="s">
        <v>12026</v>
      </c>
    </row>
    <row r="3073" spans="31:32">
      <c r="AE3073" s="417" t="s">
        <v>12027</v>
      </c>
      <c r="AF3073" s="416" t="s">
        <v>12028</v>
      </c>
    </row>
    <row r="3074" spans="31:32">
      <c r="AE3074" s="417" t="s">
        <v>12029</v>
      </c>
      <c r="AF3074" s="416" t="s">
        <v>12030</v>
      </c>
    </row>
    <row r="3075" spans="31:32">
      <c r="AE3075" s="417" t="s">
        <v>12031</v>
      </c>
      <c r="AF3075" s="416" t="s">
        <v>12032</v>
      </c>
    </row>
    <row r="3076" spans="31:32">
      <c r="AE3076" s="417" t="s">
        <v>12033</v>
      </c>
      <c r="AF3076" s="416" t="s">
        <v>12034</v>
      </c>
    </row>
    <row r="3077" spans="31:32">
      <c r="AE3077" s="417" t="s">
        <v>12035</v>
      </c>
      <c r="AF3077" s="416" t="s">
        <v>12036</v>
      </c>
    </row>
    <row r="3078" spans="31:32">
      <c r="AE3078" s="417" t="s">
        <v>12037</v>
      </c>
      <c r="AF3078" s="416" t="s">
        <v>12038</v>
      </c>
    </row>
    <row r="3079" spans="31:32">
      <c r="AE3079" s="417" t="s">
        <v>12039</v>
      </c>
      <c r="AF3079" s="416" t="s">
        <v>12040</v>
      </c>
    </row>
    <row r="3080" spans="31:32">
      <c r="AE3080" s="417" t="s">
        <v>12041</v>
      </c>
      <c r="AF3080" s="416" t="s">
        <v>12042</v>
      </c>
    </row>
    <row r="3081" spans="31:32">
      <c r="AE3081" s="417" t="s">
        <v>12043</v>
      </c>
      <c r="AF3081" s="416" t="s">
        <v>11173</v>
      </c>
    </row>
    <row r="3082" spans="31:32">
      <c r="AE3082" s="417" t="s">
        <v>12044</v>
      </c>
      <c r="AF3082" s="416" t="s">
        <v>12045</v>
      </c>
    </row>
    <row r="3083" spans="31:32">
      <c r="AE3083" s="417" t="s">
        <v>12046</v>
      </c>
      <c r="AF3083" s="416" t="s">
        <v>12047</v>
      </c>
    </row>
    <row r="3084" spans="31:32">
      <c r="AE3084" s="417" t="s">
        <v>12048</v>
      </c>
      <c r="AF3084" s="416" t="s">
        <v>12049</v>
      </c>
    </row>
    <row r="3085" spans="31:32">
      <c r="AE3085" s="417" t="s">
        <v>12050</v>
      </c>
      <c r="AF3085" s="416" t="s">
        <v>12051</v>
      </c>
    </row>
    <row r="3086" spans="31:32">
      <c r="AE3086" s="417" t="s">
        <v>12052</v>
      </c>
      <c r="AF3086" s="416" t="s">
        <v>12053</v>
      </c>
    </row>
    <row r="3087" spans="31:32">
      <c r="AE3087" s="417" t="s">
        <v>12054</v>
      </c>
      <c r="AF3087" s="416" t="s">
        <v>12055</v>
      </c>
    </row>
    <row r="3088" spans="31:32">
      <c r="AE3088" s="417" t="s">
        <v>12056</v>
      </c>
      <c r="AF3088" s="416" t="s">
        <v>12057</v>
      </c>
    </row>
    <row r="3089" spans="31:32">
      <c r="AE3089" s="417" t="s">
        <v>12058</v>
      </c>
      <c r="AF3089" s="416" t="s">
        <v>12059</v>
      </c>
    </row>
    <row r="3090" spans="31:32">
      <c r="AE3090" s="417" t="s">
        <v>12060</v>
      </c>
      <c r="AF3090" s="416" t="s">
        <v>12061</v>
      </c>
    </row>
    <row r="3091" spans="31:32">
      <c r="AE3091" s="417" t="s">
        <v>12062</v>
      </c>
      <c r="AF3091" s="416" t="s">
        <v>12063</v>
      </c>
    </row>
    <row r="3092" spans="31:32">
      <c r="AE3092" s="417" t="s">
        <v>12064</v>
      </c>
      <c r="AF3092" s="416" t="s">
        <v>12065</v>
      </c>
    </row>
    <row r="3093" spans="31:32">
      <c r="AE3093" s="417" t="s">
        <v>12066</v>
      </c>
      <c r="AF3093" s="416" t="s">
        <v>12067</v>
      </c>
    </row>
    <row r="3094" spans="31:32">
      <c r="AE3094" s="417" t="s">
        <v>12068</v>
      </c>
      <c r="AF3094" s="416" t="s">
        <v>12069</v>
      </c>
    </row>
    <row r="3095" spans="31:32">
      <c r="AE3095" s="417" t="s">
        <v>12070</v>
      </c>
      <c r="AF3095" s="416" t="s">
        <v>12071</v>
      </c>
    </row>
    <row r="3096" spans="31:32">
      <c r="AE3096" s="417" t="s">
        <v>12072</v>
      </c>
      <c r="AF3096" s="416" t="s">
        <v>12073</v>
      </c>
    </row>
    <row r="3097" spans="31:32">
      <c r="AE3097" s="417" t="s">
        <v>12074</v>
      </c>
      <c r="AF3097" s="416" t="s">
        <v>12075</v>
      </c>
    </row>
    <row r="3098" spans="31:32">
      <c r="AE3098" s="417" t="s">
        <v>12076</v>
      </c>
      <c r="AF3098" s="416" t="s">
        <v>12077</v>
      </c>
    </row>
    <row r="3099" spans="31:32">
      <c r="AE3099" s="417" t="s">
        <v>12078</v>
      </c>
      <c r="AF3099" s="416" t="s">
        <v>12079</v>
      </c>
    </row>
    <row r="3100" spans="31:32">
      <c r="AE3100" s="417" t="s">
        <v>12080</v>
      </c>
      <c r="AF3100" s="416" t="s">
        <v>12081</v>
      </c>
    </row>
    <row r="3101" spans="31:32">
      <c r="AE3101" s="417" t="s">
        <v>12082</v>
      </c>
      <c r="AF3101" s="416" t="s">
        <v>12083</v>
      </c>
    </row>
    <row r="3102" spans="31:32">
      <c r="AE3102" s="417" t="s">
        <v>12084</v>
      </c>
      <c r="AF3102" s="416" t="s">
        <v>12085</v>
      </c>
    </row>
    <row r="3103" spans="31:32">
      <c r="AE3103" s="417" t="s">
        <v>12086</v>
      </c>
      <c r="AF3103" s="416" t="s">
        <v>12087</v>
      </c>
    </row>
    <row r="3104" spans="31:32">
      <c r="AE3104" s="417" t="s">
        <v>12088</v>
      </c>
      <c r="AF3104" s="416" t="s">
        <v>12089</v>
      </c>
    </row>
    <row r="3105" spans="31:32">
      <c r="AE3105" s="417" t="s">
        <v>12090</v>
      </c>
      <c r="AF3105" s="416" t="s">
        <v>12091</v>
      </c>
    </row>
    <row r="3106" spans="31:32">
      <c r="AE3106" s="417" t="s">
        <v>12092</v>
      </c>
      <c r="AF3106" s="416" t="s">
        <v>12093</v>
      </c>
    </row>
    <row r="3107" spans="31:32">
      <c r="AE3107" s="417" t="s">
        <v>12094</v>
      </c>
      <c r="AF3107" s="416" t="s">
        <v>12095</v>
      </c>
    </row>
    <row r="3108" spans="31:32">
      <c r="AE3108" s="417" t="s">
        <v>12096</v>
      </c>
      <c r="AF3108" s="416" t="s">
        <v>12097</v>
      </c>
    </row>
    <row r="3109" spans="31:32">
      <c r="AE3109" s="417" t="s">
        <v>12098</v>
      </c>
      <c r="AF3109" s="416" t="s">
        <v>12099</v>
      </c>
    </row>
    <row r="3110" spans="31:32">
      <c r="AE3110" s="417" t="s">
        <v>12100</v>
      </c>
      <c r="AF3110" s="416" t="s">
        <v>12101</v>
      </c>
    </row>
    <row r="3111" spans="31:32">
      <c r="AE3111" s="417" t="s">
        <v>12102</v>
      </c>
      <c r="AF3111" s="416" t="s">
        <v>12103</v>
      </c>
    </row>
    <row r="3112" spans="31:32">
      <c r="AE3112" s="417" t="s">
        <v>12104</v>
      </c>
      <c r="AF3112" s="416" t="s">
        <v>12105</v>
      </c>
    </row>
    <row r="3113" spans="31:32">
      <c r="AE3113" s="417" t="s">
        <v>12106</v>
      </c>
      <c r="AF3113" s="416" t="s">
        <v>12107</v>
      </c>
    </row>
    <row r="3114" spans="31:32">
      <c r="AE3114" s="417" t="s">
        <v>12108</v>
      </c>
      <c r="AF3114" s="416" t="s">
        <v>12109</v>
      </c>
    </row>
    <row r="3115" spans="31:32">
      <c r="AE3115" s="417" t="s">
        <v>12110</v>
      </c>
      <c r="AF3115" s="416" t="s">
        <v>12111</v>
      </c>
    </row>
    <row r="3116" spans="31:32">
      <c r="AE3116" s="417" t="s">
        <v>12112</v>
      </c>
      <c r="AF3116" s="416" t="s">
        <v>12113</v>
      </c>
    </row>
    <row r="3117" spans="31:32">
      <c r="AE3117" s="417" t="s">
        <v>12114</v>
      </c>
      <c r="AF3117" s="416" t="s">
        <v>12115</v>
      </c>
    </row>
    <row r="3118" spans="31:32">
      <c r="AE3118" s="417" t="s">
        <v>12116</v>
      </c>
      <c r="AF3118" s="416" t="s">
        <v>12117</v>
      </c>
    </row>
    <row r="3119" spans="31:32">
      <c r="AE3119" s="417" t="s">
        <v>12118</v>
      </c>
      <c r="AF3119" s="416" t="s">
        <v>12119</v>
      </c>
    </row>
    <row r="3120" spans="31:32">
      <c r="AE3120" s="417" t="s">
        <v>12120</v>
      </c>
      <c r="AF3120" s="416" t="s">
        <v>12121</v>
      </c>
    </row>
    <row r="3121" spans="31:32">
      <c r="AE3121" s="417" t="s">
        <v>12122</v>
      </c>
      <c r="AF3121" s="416" t="s">
        <v>12123</v>
      </c>
    </row>
    <row r="3122" spans="31:32">
      <c r="AE3122" s="417" t="s">
        <v>12124</v>
      </c>
      <c r="AF3122" s="416" t="s">
        <v>12125</v>
      </c>
    </row>
    <row r="3123" spans="31:32">
      <c r="AE3123" s="417" t="s">
        <v>12126</v>
      </c>
      <c r="AF3123" s="416" t="s">
        <v>12127</v>
      </c>
    </row>
    <row r="3124" spans="31:32">
      <c r="AE3124" s="417" t="s">
        <v>12128</v>
      </c>
      <c r="AF3124" s="416" t="s">
        <v>12129</v>
      </c>
    </row>
    <row r="3125" spans="31:32">
      <c r="AE3125" s="417" t="s">
        <v>12130</v>
      </c>
      <c r="AF3125" s="416" t="s">
        <v>12131</v>
      </c>
    </row>
    <row r="3126" spans="31:32">
      <c r="AE3126" s="417" t="s">
        <v>12132</v>
      </c>
      <c r="AF3126" s="416" t="s">
        <v>12133</v>
      </c>
    </row>
    <row r="3127" spans="31:32">
      <c r="AE3127" s="417" t="s">
        <v>12134</v>
      </c>
      <c r="AF3127" s="416" t="s">
        <v>12135</v>
      </c>
    </row>
    <row r="3128" spans="31:32">
      <c r="AE3128" s="417" t="s">
        <v>12136</v>
      </c>
      <c r="AF3128" s="416" t="s">
        <v>12137</v>
      </c>
    </row>
    <row r="3129" spans="31:32">
      <c r="AE3129" s="417" t="s">
        <v>12138</v>
      </c>
      <c r="AF3129" s="416" t="s">
        <v>12139</v>
      </c>
    </row>
    <row r="3130" spans="31:32">
      <c r="AE3130" s="417" t="s">
        <v>12140</v>
      </c>
      <c r="AF3130" s="416" t="s">
        <v>12141</v>
      </c>
    </row>
    <row r="3131" spans="31:32">
      <c r="AE3131" s="417" t="s">
        <v>12142</v>
      </c>
      <c r="AF3131" s="416" t="s">
        <v>12143</v>
      </c>
    </row>
    <row r="3132" spans="31:32">
      <c r="AE3132" s="417" t="s">
        <v>12144</v>
      </c>
      <c r="AF3132" s="416" t="s">
        <v>12145</v>
      </c>
    </row>
    <row r="3133" spans="31:32">
      <c r="AE3133" s="417" t="s">
        <v>12146</v>
      </c>
      <c r="AF3133" s="416" t="s">
        <v>12147</v>
      </c>
    </row>
    <row r="3134" spans="31:32">
      <c r="AE3134" s="417" t="s">
        <v>12148</v>
      </c>
      <c r="AF3134" s="416" t="s">
        <v>12149</v>
      </c>
    </row>
    <row r="3135" spans="31:32">
      <c r="AE3135" s="417" t="s">
        <v>12150</v>
      </c>
      <c r="AF3135" s="416" t="s">
        <v>12151</v>
      </c>
    </row>
    <row r="3136" spans="31:32">
      <c r="AE3136" s="417" t="s">
        <v>12152</v>
      </c>
      <c r="AF3136" s="416" t="s">
        <v>12153</v>
      </c>
    </row>
    <row r="3137" spans="31:32">
      <c r="AE3137" s="417" t="s">
        <v>12154</v>
      </c>
      <c r="AF3137" s="416" t="s">
        <v>12155</v>
      </c>
    </row>
    <row r="3138" spans="31:32">
      <c r="AE3138" s="417" t="s">
        <v>12156</v>
      </c>
      <c r="AF3138" s="416" t="s">
        <v>12157</v>
      </c>
    </row>
    <row r="3139" spans="31:32">
      <c r="AE3139" s="417" t="s">
        <v>12158</v>
      </c>
      <c r="AF3139" s="416" t="s">
        <v>12159</v>
      </c>
    </row>
    <row r="3140" spans="31:32">
      <c r="AE3140" s="417" t="s">
        <v>12160</v>
      </c>
      <c r="AF3140" s="416" t="s">
        <v>12161</v>
      </c>
    </row>
    <row r="3141" spans="31:32">
      <c r="AE3141" s="417" t="s">
        <v>12162</v>
      </c>
      <c r="AF3141" s="416" t="s">
        <v>12163</v>
      </c>
    </row>
    <row r="3142" spans="31:32">
      <c r="AE3142" s="417" t="s">
        <v>12164</v>
      </c>
      <c r="AF3142" s="416" t="s">
        <v>12165</v>
      </c>
    </row>
    <row r="3143" spans="31:32">
      <c r="AE3143" s="417" t="s">
        <v>12166</v>
      </c>
      <c r="AF3143" s="416" t="s">
        <v>12167</v>
      </c>
    </row>
    <row r="3144" spans="31:32">
      <c r="AE3144" s="417" t="s">
        <v>12168</v>
      </c>
      <c r="AF3144" s="416" t="s">
        <v>12169</v>
      </c>
    </row>
    <row r="3145" spans="31:32">
      <c r="AE3145" s="417" t="s">
        <v>12170</v>
      </c>
      <c r="AF3145" s="416" t="s">
        <v>12171</v>
      </c>
    </row>
    <row r="3146" spans="31:32">
      <c r="AE3146" s="417" t="s">
        <v>12172</v>
      </c>
      <c r="AF3146" s="416" t="s">
        <v>12173</v>
      </c>
    </row>
    <row r="3147" spans="31:32">
      <c r="AE3147" s="417" t="s">
        <v>12174</v>
      </c>
      <c r="AF3147" s="416" t="s">
        <v>12175</v>
      </c>
    </row>
    <row r="3148" spans="31:32">
      <c r="AE3148" s="417" t="s">
        <v>12176</v>
      </c>
      <c r="AF3148" s="416" t="s">
        <v>12177</v>
      </c>
    </row>
    <row r="3149" spans="31:32">
      <c r="AE3149" s="417" t="s">
        <v>12178</v>
      </c>
      <c r="AF3149" s="416" t="s">
        <v>12179</v>
      </c>
    </row>
    <row r="3150" spans="31:32">
      <c r="AE3150" s="417" t="s">
        <v>12180</v>
      </c>
      <c r="AF3150" s="416" t="s">
        <v>12181</v>
      </c>
    </row>
    <row r="3151" spans="31:32">
      <c r="AE3151" s="417" t="s">
        <v>12182</v>
      </c>
      <c r="AF3151" s="416" t="s">
        <v>12183</v>
      </c>
    </row>
    <row r="3152" spans="31:32">
      <c r="AE3152" s="417" t="s">
        <v>12184</v>
      </c>
      <c r="AF3152" s="416" t="s">
        <v>12185</v>
      </c>
    </row>
    <row r="3153" spans="31:32">
      <c r="AE3153" s="417" t="s">
        <v>12186</v>
      </c>
      <c r="AF3153" s="416" t="s">
        <v>12187</v>
      </c>
    </row>
    <row r="3154" spans="31:32">
      <c r="AE3154" s="417" t="s">
        <v>12188</v>
      </c>
      <c r="AF3154" s="416" t="s">
        <v>12189</v>
      </c>
    </row>
    <row r="3155" spans="31:32">
      <c r="AE3155" s="417" t="s">
        <v>12190</v>
      </c>
      <c r="AF3155" s="416" t="s">
        <v>12191</v>
      </c>
    </row>
    <row r="3156" spans="31:32">
      <c r="AE3156" s="417" t="s">
        <v>12192</v>
      </c>
      <c r="AF3156" s="416" t="s">
        <v>12193</v>
      </c>
    </row>
    <row r="3157" spans="31:32">
      <c r="AE3157" s="417" t="s">
        <v>12194</v>
      </c>
      <c r="AF3157" s="416" t="s">
        <v>12195</v>
      </c>
    </row>
    <row r="3158" spans="31:32">
      <c r="AE3158" s="417" t="s">
        <v>12196</v>
      </c>
      <c r="AF3158" s="416" t="s">
        <v>12197</v>
      </c>
    </row>
    <row r="3159" spans="31:32">
      <c r="AE3159" s="417" t="s">
        <v>12198</v>
      </c>
      <c r="AF3159" s="416" t="s">
        <v>12199</v>
      </c>
    </row>
    <row r="3160" spans="31:32">
      <c r="AE3160" s="417" t="s">
        <v>12200</v>
      </c>
      <c r="AF3160" s="416" t="s">
        <v>12201</v>
      </c>
    </row>
    <row r="3161" spans="31:32">
      <c r="AE3161" s="417" t="s">
        <v>12202</v>
      </c>
      <c r="AF3161" s="416" t="s">
        <v>12203</v>
      </c>
    </row>
    <row r="3162" spans="31:32">
      <c r="AE3162" s="417" t="s">
        <v>12204</v>
      </c>
      <c r="AF3162" s="416" t="s">
        <v>12205</v>
      </c>
    </row>
    <row r="3163" spans="31:32">
      <c r="AE3163" s="417" t="s">
        <v>12206</v>
      </c>
      <c r="AF3163" s="416" t="s">
        <v>12207</v>
      </c>
    </row>
    <row r="3164" spans="31:32">
      <c r="AE3164" s="417" t="s">
        <v>12208</v>
      </c>
      <c r="AF3164" s="416" t="s">
        <v>12209</v>
      </c>
    </row>
    <row r="3165" spans="31:32">
      <c r="AE3165" s="417" t="s">
        <v>12210</v>
      </c>
      <c r="AF3165" s="416" t="s">
        <v>12211</v>
      </c>
    </row>
    <row r="3166" spans="31:32">
      <c r="AE3166" s="417" t="s">
        <v>12212</v>
      </c>
      <c r="AF3166" s="416" t="s">
        <v>12213</v>
      </c>
    </row>
    <row r="3167" spans="31:32">
      <c r="AE3167" s="417" t="s">
        <v>12214</v>
      </c>
      <c r="AF3167" s="416" t="s">
        <v>12215</v>
      </c>
    </row>
    <row r="3168" spans="31:32">
      <c r="AE3168" s="417" t="s">
        <v>12216</v>
      </c>
      <c r="AF3168" s="416" t="s">
        <v>12217</v>
      </c>
    </row>
    <row r="3169" spans="31:32">
      <c r="AE3169" s="417" t="s">
        <v>12218</v>
      </c>
      <c r="AF3169" s="416" t="s">
        <v>12219</v>
      </c>
    </row>
    <row r="3170" spans="31:32">
      <c r="AE3170" s="417" t="s">
        <v>12220</v>
      </c>
      <c r="AF3170" s="416" t="s">
        <v>12221</v>
      </c>
    </row>
    <row r="3171" spans="31:32">
      <c r="AE3171" s="417" t="s">
        <v>12222</v>
      </c>
      <c r="AF3171" s="416" t="s">
        <v>12223</v>
      </c>
    </row>
    <row r="3172" spans="31:32">
      <c r="AE3172" s="417" t="s">
        <v>12224</v>
      </c>
      <c r="AF3172" s="416" t="s">
        <v>12225</v>
      </c>
    </row>
    <row r="3173" spans="31:32">
      <c r="AE3173" s="417" t="s">
        <v>12226</v>
      </c>
      <c r="AF3173" s="416" t="s">
        <v>12227</v>
      </c>
    </row>
    <row r="3174" spans="31:32">
      <c r="AE3174" s="417" t="s">
        <v>12228</v>
      </c>
      <c r="AF3174" s="416" t="s">
        <v>12229</v>
      </c>
    </row>
    <row r="3175" spans="31:32">
      <c r="AE3175" s="417" t="s">
        <v>12230</v>
      </c>
      <c r="AF3175" s="416" t="s">
        <v>12231</v>
      </c>
    </row>
    <row r="3176" spans="31:32">
      <c r="AE3176" s="417" t="s">
        <v>12232</v>
      </c>
      <c r="AF3176" s="416" t="s">
        <v>12233</v>
      </c>
    </row>
    <row r="3177" spans="31:32">
      <c r="AE3177" s="417" t="s">
        <v>12234</v>
      </c>
      <c r="AF3177" s="416" t="s">
        <v>12235</v>
      </c>
    </row>
    <row r="3178" spans="31:32">
      <c r="AE3178" s="417" t="s">
        <v>12236</v>
      </c>
      <c r="AF3178" s="416" t="s">
        <v>12237</v>
      </c>
    </row>
    <row r="3179" spans="31:32">
      <c r="AE3179" s="417" t="s">
        <v>12238</v>
      </c>
      <c r="AF3179" s="416" t="s">
        <v>12239</v>
      </c>
    </row>
    <row r="3180" spans="31:32">
      <c r="AE3180" s="417" t="s">
        <v>12240</v>
      </c>
      <c r="AF3180" s="416" t="s">
        <v>12241</v>
      </c>
    </row>
    <row r="3181" spans="31:32">
      <c r="AE3181" s="417" t="s">
        <v>12242</v>
      </c>
      <c r="AF3181" s="416" t="s">
        <v>12243</v>
      </c>
    </row>
    <row r="3182" spans="31:32">
      <c r="AE3182" s="417" t="s">
        <v>12244</v>
      </c>
      <c r="AF3182" s="416" t="s">
        <v>12245</v>
      </c>
    </row>
    <row r="3183" spans="31:32">
      <c r="AE3183" s="417" t="s">
        <v>12246</v>
      </c>
      <c r="AF3183" s="416" t="s">
        <v>12247</v>
      </c>
    </row>
    <row r="3184" spans="31:32">
      <c r="AE3184" s="417" t="s">
        <v>12248</v>
      </c>
      <c r="AF3184" s="416" t="s">
        <v>12249</v>
      </c>
    </row>
    <row r="3185" spans="31:32">
      <c r="AE3185" s="417" t="s">
        <v>12250</v>
      </c>
      <c r="AF3185" s="416" t="s">
        <v>12251</v>
      </c>
    </row>
    <row r="3186" spans="31:32">
      <c r="AE3186" s="417" t="s">
        <v>12252</v>
      </c>
      <c r="AF3186" s="416" t="s">
        <v>12253</v>
      </c>
    </row>
    <row r="3187" spans="31:32">
      <c r="AE3187" s="417" t="s">
        <v>12254</v>
      </c>
      <c r="AF3187" s="416" t="s">
        <v>12255</v>
      </c>
    </row>
    <row r="3188" spans="31:32">
      <c r="AE3188" s="417" t="s">
        <v>12256</v>
      </c>
      <c r="AF3188" s="416" t="s">
        <v>12257</v>
      </c>
    </row>
    <row r="3189" spans="31:32">
      <c r="AE3189" s="417" t="s">
        <v>12258</v>
      </c>
      <c r="AF3189" s="416" t="s">
        <v>12259</v>
      </c>
    </row>
    <row r="3190" spans="31:32">
      <c r="AE3190" s="417" t="s">
        <v>12260</v>
      </c>
      <c r="AF3190" s="416" t="s">
        <v>12261</v>
      </c>
    </row>
    <row r="3191" spans="31:32">
      <c r="AE3191" s="417" t="s">
        <v>12262</v>
      </c>
      <c r="AF3191" s="416" t="s">
        <v>12263</v>
      </c>
    </row>
    <row r="3192" spans="31:32">
      <c r="AE3192" s="417" t="s">
        <v>12264</v>
      </c>
      <c r="AF3192" s="416" t="s">
        <v>12265</v>
      </c>
    </row>
    <row r="3193" spans="31:32">
      <c r="AE3193" s="417" t="s">
        <v>12266</v>
      </c>
      <c r="AF3193" s="416" t="s">
        <v>12267</v>
      </c>
    </row>
    <row r="3194" spans="31:32">
      <c r="AE3194" s="417" t="s">
        <v>12268</v>
      </c>
      <c r="AF3194" s="416" t="s">
        <v>12269</v>
      </c>
    </row>
    <row r="3195" spans="31:32">
      <c r="AE3195" s="417" t="s">
        <v>12270</v>
      </c>
      <c r="AF3195" s="416" t="s">
        <v>12271</v>
      </c>
    </row>
    <row r="3196" spans="31:32">
      <c r="AE3196" s="417" t="s">
        <v>12272</v>
      </c>
      <c r="AF3196" s="416" t="s">
        <v>12273</v>
      </c>
    </row>
    <row r="3197" spans="31:32">
      <c r="AE3197" s="417" t="s">
        <v>12274</v>
      </c>
      <c r="AF3197" s="416" t="s">
        <v>12275</v>
      </c>
    </row>
    <row r="3198" spans="31:32">
      <c r="AE3198" s="417" t="s">
        <v>12276</v>
      </c>
      <c r="AF3198" s="416" t="s">
        <v>12277</v>
      </c>
    </row>
    <row r="3199" spans="31:32">
      <c r="AE3199" s="417" t="s">
        <v>12278</v>
      </c>
      <c r="AF3199" s="416" t="s">
        <v>12279</v>
      </c>
    </row>
    <row r="3200" spans="31:32">
      <c r="AE3200" s="417" t="s">
        <v>12280</v>
      </c>
      <c r="AF3200" s="416" t="s">
        <v>12281</v>
      </c>
    </row>
    <row r="3201" spans="31:32">
      <c r="AE3201" s="417" t="s">
        <v>12282</v>
      </c>
      <c r="AF3201" s="416" t="s">
        <v>12283</v>
      </c>
    </row>
    <row r="3202" spans="31:32">
      <c r="AE3202" s="417" t="s">
        <v>12284</v>
      </c>
      <c r="AF3202" s="416" t="s">
        <v>12285</v>
      </c>
    </row>
    <row r="3203" spans="31:32">
      <c r="AE3203" s="417" t="s">
        <v>12286</v>
      </c>
      <c r="AF3203" s="416" t="s">
        <v>12287</v>
      </c>
    </row>
    <row r="3204" spans="31:32">
      <c r="AE3204" s="417" t="s">
        <v>12288</v>
      </c>
      <c r="AF3204" s="416" t="s">
        <v>12289</v>
      </c>
    </row>
    <row r="3205" spans="31:32">
      <c r="AE3205" s="417" t="s">
        <v>12290</v>
      </c>
      <c r="AF3205" s="416" t="s">
        <v>12291</v>
      </c>
    </row>
    <row r="3206" spans="31:32">
      <c r="AE3206" s="417" t="s">
        <v>12292</v>
      </c>
      <c r="AF3206" s="416" t="s">
        <v>12293</v>
      </c>
    </row>
    <row r="3207" spans="31:32">
      <c r="AE3207" s="417" t="s">
        <v>12294</v>
      </c>
      <c r="AF3207" s="416" t="s">
        <v>12295</v>
      </c>
    </row>
    <row r="3208" spans="31:32">
      <c r="AE3208" s="417" t="s">
        <v>12296</v>
      </c>
      <c r="AF3208" s="416" t="s">
        <v>12297</v>
      </c>
    </row>
    <row r="3209" spans="31:32">
      <c r="AE3209" s="417" t="s">
        <v>12298</v>
      </c>
      <c r="AF3209" s="416" t="s">
        <v>12299</v>
      </c>
    </row>
    <row r="3210" spans="31:32">
      <c r="AE3210" s="417" t="s">
        <v>12300</v>
      </c>
      <c r="AF3210" s="416" t="s">
        <v>12301</v>
      </c>
    </row>
    <row r="3211" spans="31:32">
      <c r="AE3211" s="417" t="s">
        <v>12302</v>
      </c>
      <c r="AF3211" s="416" t="s">
        <v>12303</v>
      </c>
    </row>
    <row r="3212" spans="31:32">
      <c r="AE3212" s="417" t="s">
        <v>12304</v>
      </c>
      <c r="AF3212" s="416" t="s">
        <v>12305</v>
      </c>
    </row>
    <row r="3213" spans="31:32">
      <c r="AE3213" s="417" t="s">
        <v>12306</v>
      </c>
      <c r="AF3213" s="416" t="s">
        <v>12307</v>
      </c>
    </row>
    <row r="3214" spans="31:32">
      <c r="AE3214" s="417" t="s">
        <v>12308</v>
      </c>
      <c r="AF3214" s="416" t="s">
        <v>12309</v>
      </c>
    </row>
    <row r="3215" spans="31:32">
      <c r="AE3215" s="417" t="s">
        <v>12310</v>
      </c>
      <c r="AF3215" s="416" t="s">
        <v>12311</v>
      </c>
    </row>
    <row r="3216" spans="31:32">
      <c r="AE3216" s="417" t="s">
        <v>12312</v>
      </c>
      <c r="AF3216" s="416" t="s">
        <v>12313</v>
      </c>
    </row>
    <row r="3217" spans="31:32">
      <c r="AE3217" s="417" t="s">
        <v>12314</v>
      </c>
      <c r="AF3217" s="416" t="s">
        <v>12315</v>
      </c>
    </row>
    <row r="3218" spans="31:32">
      <c r="AE3218" s="417" t="s">
        <v>12316</v>
      </c>
      <c r="AF3218" s="416" t="s">
        <v>12317</v>
      </c>
    </row>
    <row r="3219" spans="31:32">
      <c r="AE3219" s="417" t="s">
        <v>12318</v>
      </c>
      <c r="AF3219" s="416" t="s">
        <v>12319</v>
      </c>
    </row>
    <row r="3220" spans="31:32">
      <c r="AE3220" s="417" t="s">
        <v>12320</v>
      </c>
      <c r="AF3220" s="416" t="s">
        <v>12321</v>
      </c>
    </row>
    <row r="3221" spans="31:32">
      <c r="AE3221" s="417" t="s">
        <v>12322</v>
      </c>
      <c r="AF3221" s="416" t="s">
        <v>12323</v>
      </c>
    </row>
    <row r="3222" spans="31:32">
      <c r="AE3222" s="417" t="s">
        <v>12324</v>
      </c>
      <c r="AF3222" s="416" t="s">
        <v>12325</v>
      </c>
    </row>
    <row r="3223" spans="31:32">
      <c r="AE3223" s="417" t="s">
        <v>12326</v>
      </c>
      <c r="AF3223" s="416" t="s">
        <v>12327</v>
      </c>
    </row>
    <row r="3224" spans="31:32">
      <c r="AE3224" s="417" t="s">
        <v>12328</v>
      </c>
      <c r="AF3224" s="416" t="s">
        <v>12329</v>
      </c>
    </row>
    <row r="3225" spans="31:32">
      <c r="AE3225" s="417" t="s">
        <v>12330</v>
      </c>
      <c r="AF3225" s="416" t="s">
        <v>12331</v>
      </c>
    </row>
    <row r="3226" spans="31:32">
      <c r="AE3226" s="417" t="s">
        <v>12332</v>
      </c>
      <c r="AF3226" s="416" t="s">
        <v>12333</v>
      </c>
    </row>
    <row r="3227" spans="31:32">
      <c r="AE3227" s="417" t="s">
        <v>12334</v>
      </c>
      <c r="AF3227" s="416" t="s">
        <v>12335</v>
      </c>
    </row>
    <row r="3228" spans="31:32">
      <c r="AE3228" s="417" t="s">
        <v>12336</v>
      </c>
      <c r="AF3228" s="416" t="s">
        <v>12337</v>
      </c>
    </row>
    <row r="3229" spans="31:32">
      <c r="AE3229" s="417" t="s">
        <v>12338</v>
      </c>
      <c r="AF3229" s="416" t="s">
        <v>12339</v>
      </c>
    </row>
    <row r="3230" spans="31:32">
      <c r="AE3230" s="417" t="s">
        <v>12340</v>
      </c>
      <c r="AF3230" s="416" t="s">
        <v>12341</v>
      </c>
    </row>
    <row r="3231" spans="31:32">
      <c r="AE3231" s="417" t="s">
        <v>12342</v>
      </c>
      <c r="AF3231" s="416" t="s">
        <v>12343</v>
      </c>
    </row>
    <row r="3232" spans="31:32">
      <c r="AE3232" s="417" t="s">
        <v>12344</v>
      </c>
      <c r="AF3232" s="416" t="s">
        <v>12345</v>
      </c>
    </row>
    <row r="3233" spans="31:32">
      <c r="AE3233" s="417" t="s">
        <v>12346</v>
      </c>
      <c r="AF3233" s="416" t="s">
        <v>12347</v>
      </c>
    </row>
    <row r="3234" spans="31:32">
      <c r="AE3234" s="417" t="s">
        <v>12348</v>
      </c>
      <c r="AF3234" s="416" t="s">
        <v>12349</v>
      </c>
    </row>
    <row r="3235" spans="31:32">
      <c r="AE3235" s="417" t="s">
        <v>12350</v>
      </c>
      <c r="AF3235" s="416" t="s">
        <v>12351</v>
      </c>
    </row>
    <row r="3236" spans="31:32">
      <c r="AE3236" s="417" t="s">
        <v>12352</v>
      </c>
      <c r="AF3236" s="416" t="s">
        <v>12353</v>
      </c>
    </row>
    <row r="3237" spans="31:32">
      <c r="AE3237" s="417" t="s">
        <v>12354</v>
      </c>
      <c r="AF3237" s="416" t="s">
        <v>12355</v>
      </c>
    </row>
    <row r="3238" spans="31:32">
      <c r="AE3238" s="417" t="s">
        <v>12356</v>
      </c>
      <c r="AF3238" s="416" t="s">
        <v>12357</v>
      </c>
    </row>
    <row r="3239" spans="31:32">
      <c r="AE3239" s="417" t="s">
        <v>12358</v>
      </c>
      <c r="AF3239" s="416" t="s">
        <v>12359</v>
      </c>
    </row>
    <row r="3240" spans="31:32">
      <c r="AE3240" s="417" t="s">
        <v>12360</v>
      </c>
      <c r="AF3240" s="416" t="s">
        <v>12361</v>
      </c>
    </row>
    <row r="3241" spans="31:32">
      <c r="AE3241" s="417" t="s">
        <v>12362</v>
      </c>
      <c r="AF3241" s="416" t="s">
        <v>12363</v>
      </c>
    </row>
    <row r="3242" spans="31:32">
      <c r="AE3242" s="417" t="s">
        <v>12364</v>
      </c>
      <c r="AF3242" s="416" t="s">
        <v>12365</v>
      </c>
    </row>
    <row r="3243" spans="31:32">
      <c r="AE3243" s="417" t="s">
        <v>12366</v>
      </c>
      <c r="AF3243" s="416" t="s">
        <v>12367</v>
      </c>
    </row>
    <row r="3244" spans="31:32">
      <c r="AE3244" s="417" t="s">
        <v>12368</v>
      </c>
      <c r="AF3244" s="416" t="s">
        <v>12369</v>
      </c>
    </row>
    <row r="3245" spans="31:32">
      <c r="AE3245" s="417" t="s">
        <v>12370</v>
      </c>
      <c r="AF3245" s="416" t="s">
        <v>12371</v>
      </c>
    </row>
    <row r="3246" spans="31:32">
      <c r="AE3246" s="417" t="s">
        <v>12372</v>
      </c>
      <c r="AF3246" s="416" t="s">
        <v>12373</v>
      </c>
    </row>
    <row r="3247" spans="31:32">
      <c r="AE3247" s="417" t="s">
        <v>12374</v>
      </c>
      <c r="AF3247" s="416" t="s">
        <v>12375</v>
      </c>
    </row>
    <row r="3248" spans="31:32">
      <c r="AE3248" s="417" t="s">
        <v>12376</v>
      </c>
      <c r="AF3248" s="416" t="s">
        <v>12377</v>
      </c>
    </row>
    <row r="3249" spans="31:32">
      <c r="AE3249" s="417" t="s">
        <v>12378</v>
      </c>
      <c r="AF3249" s="416" t="s">
        <v>12379</v>
      </c>
    </row>
    <row r="3250" spans="31:32">
      <c r="AE3250" s="417" t="s">
        <v>12380</v>
      </c>
      <c r="AF3250" s="416" t="s">
        <v>12381</v>
      </c>
    </row>
    <row r="3251" spans="31:32">
      <c r="AE3251" s="417" t="s">
        <v>12382</v>
      </c>
      <c r="AF3251" s="416" t="s">
        <v>12383</v>
      </c>
    </row>
    <row r="3252" spans="31:32">
      <c r="AE3252" s="417" t="s">
        <v>12384</v>
      </c>
      <c r="AF3252" s="416" t="s">
        <v>12385</v>
      </c>
    </row>
    <row r="3253" spans="31:32">
      <c r="AE3253" s="417" t="s">
        <v>12386</v>
      </c>
      <c r="AF3253" s="416" t="s">
        <v>12387</v>
      </c>
    </row>
    <row r="3254" spans="31:32">
      <c r="AE3254" s="417" t="s">
        <v>12388</v>
      </c>
      <c r="AF3254" s="416" t="s">
        <v>12389</v>
      </c>
    </row>
    <row r="3255" spans="31:32">
      <c r="AE3255" s="417" t="s">
        <v>12390</v>
      </c>
      <c r="AF3255" s="416" t="s">
        <v>12391</v>
      </c>
    </row>
    <row r="3256" spans="31:32">
      <c r="AE3256" s="417" t="s">
        <v>12392</v>
      </c>
      <c r="AF3256" s="416" t="s">
        <v>12393</v>
      </c>
    </row>
    <row r="3257" spans="31:32">
      <c r="AE3257" s="417" t="s">
        <v>12394</v>
      </c>
      <c r="AF3257" s="416" t="s">
        <v>12395</v>
      </c>
    </row>
    <row r="3258" spans="31:32">
      <c r="AE3258" s="417" t="s">
        <v>12396</v>
      </c>
      <c r="AF3258" s="416" t="s">
        <v>12397</v>
      </c>
    </row>
    <row r="3259" spans="31:32">
      <c r="AE3259" s="417" t="s">
        <v>12398</v>
      </c>
      <c r="AF3259" s="416" t="s">
        <v>12399</v>
      </c>
    </row>
    <row r="3260" spans="31:32">
      <c r="AE3260" s="417" t="s">
        <v>12400</v>
      </c>
      <c r="AF3260" s="416" t="s">
        <v>12401</v>
      </c>
    </row>
    <row r="3261" spans="31:32">
      <c r="AE3261" s="417" t="s">
        <v>12402</v>
      </c>
      <c r="AF3261" s="416" t="s">
        <v>12403</v>
      </c>
    </row>
    <row r="3262" spans="31:32">
      <c r="AE3262" s="417" t="s">
        <v>12404</v>
      </c>
      <c r="AF3262" s="416" t="s">
        <v>12405</v>
      </c>
    </row>
    <row r="3263" spans="31:32">
      <c r="AE3263" s="417" t="s">
        <v>12406</v>
      </c>
      <c r="AF3263" s="416" t="s">
        <v>12407</v>
      </c>
    </row>
    <row r="3264" spans="31:32">
      <c r="AE3264" s="417" t="s">
        <v>12408</v>
      </c>
      <c r="AF3264" s="416" t="s">
        <v>12409</v>
      </c>
    </row>
    <row r="3265" spans="31:32">
      <c r="AE3265" s="417" t="s">
        <v>12410</v>
      </c>
      <c r="AF3265" s="416" t="s">
        <v>12411</v>
      </c>
    </row>
    <row r="3266" spans="31:32">
      <c r="AE3266" s="417" t="s">
        <v>12412</v>
      </c>
      <c r="AF3266" s="416" t="s">
        <v>12413</v>
      </c>
    </row>
    <row r="3267" spans="31:32">
      <c r="AE3267" s="417" t="s">
        <v>12414</v>
      </c>
      <c r="AF3267" s="416" t="s">
        <v>12415</v>
      </c>
    </row>
    <row r="3268" spans="31:32">
      <c r="AE3268" s="417" t="s">
        <v>12416</v>
      </c>
      <c r="AF3268" s="416" t="s">
        <v>12417</v>
      </c>
    </row>
    <row r="3269" spans="31:32">
      <c r="AE3269" s="417" t="s">
        <v>12418</v>
      </c>
      <c r="AF3269" s="416" t="s">
        <v>12419</v>
      </c>
    </row>
    <row r="3270" spans="31:32">
      <c r="AE3270" s="417" t="s">
        <v>12420</v>
      </c>
      <c r="AF3270" s="416" t="s">
        <v>12421</v>
      </c>
    </row>
    <row r="3271" spans="31:32">
      <c r="AE3271" s="417" t="s">
        <v>12422</v>
      </c>
      <c r="AF3271" s="416" t="s">
        <v>12423</v>
      </c>
    </row>
    <row r="3272" spans="31:32">
      <c r="AE3272" s="417" t="s">
        <v>12424</v>
      </c>
      <c r="AF3272" s="416" t="s">
        <v>12425</v>
      </c>
    </row>
    <row r="3273" spans="31:32">
      <c r="AE3273" s="417" t="s">
        <v>12426</v>
      </c>
      <c r="AF3273" s="416" t="s">
        <v>12427</v>
      </c>
    </row>
    <row r="3274" spans="31:32">
      <c r="AE3274" s="417" t="s">
        <v>12428</v>
      </c>
      <c r="AF3274" s="416" t="s">
        <v>12429</v>
      </c>
    </row>
    <row r="3275" spans="31:32">
      <c r="AE3275" s="417" t="s">
        <v>12430</v>
      </c>
      <c r="AF3275" s="416" t="s">
        <v>12431</v>
      </c>
    </row>
    <row r="3276" spans="31:32">
      <c r="AE3276" s="417" t="s">
        <v>12432</v>
      </c>
      <c r="AF3276" s="416" t="s">
        <v>12433</v>
      </c>
    </row>
    <row r="3277" spans="31:32">
      <c r="AE3277" s="417" t="s">
        <v>12434</v>
      </c>
      <c r="AF3277" s="416" t="s">
        <v>12435</v>
      </c>
    </row>
    <row r="3278" spans="31:32">
      <c r="AE3278" s="417" t="s">
        <v>12436</v>
      </c>
      <c r="AF3278" s="416" t="s">
        <v>12437</v>
      </c>
    </row>
    <row r="3279" spans="31:32">
      <c r="AE3279" s="417" t="s">
        <v>12438</v>
      </c>
      <c r="AF3279" s="416" t="s">
        <v>12439</v>
      </c>
    </row>
    <row r="3280" spans="31:32">
      <c r="AE3280" s="417" t="s">
        <v>12440</v>
      </c>
      <c r="AF3280" s="416" t="s">
        <v>12441</v>
      </c>
    </row>
    <row r="3281" spans="31:32">
      <c r="AE3281" s="417" t="s">
        <v>12442</v>
      </c>
      <c r="AF3281" s="416" t="s">
        <v>12443</v>
      </c>
    </row>
    <row r="3282" spans="31:32">
      <c r="AE3282" s="417" t="s">
        <v>12444</v>
      </c>
      <c r="AF3282" s="416" t="s">
        <v>12445</v>
      </c>
    </row>
    <row r="3283" spans="31:32">
      <c r="AE3283" s="417" t="s">
        <v>12446</v>
      </c>
      <c r="AF3283" s="416" t="s">
        <v>12447</v>
      </c>
    </row>
    <row r="3284" spans="31:32">
      <c r="AE3284" s="417" t="s">
        <v>12448</v>
      </c>
      <c r="AF3284" s="416" t="s">
        <v>12449</v>
      </c>
    </row>
    <row r="3285" spans="31:32">
      <c r="AE3285" s="417" t="s">
        <v>12450</v>
      </c>
      <c r="AF3285" s="416" t="s">
        <v>12451</v>
      </c>
    </row>
    <row r="3286" spans="31:32">
      <c r="AE3286" s="417" t="s">
        <v>12452</v>
      </c>
      <c r="AF3286" s="416" t="s">
        <v>12453</v>
      </c>
    </row>
    <row r="3287" spans="31:32">
      <c r="AE3287" s="417" t="s">
        <v>12454</v>
      </c>
      <c r="AF3287" s="416" t="s">
        <v>12455</v>
      </c>
    </row>
    <row r="3288" spans="31:32">
      <c r="AE3288" s="417" t="s">
        <v>12456</v>
      </c>
      <c r="AF3288" s="416" t="s">
        <v>12457</v>
      </c>
    </row>
    <row r="3289" spans="31:32">
      <c r="AE3289" s="417" t="s">
        <v>12458</v>
      </c>
      <c r="AF3289" s="416" t="s">
        <v>12459</v>
      </c>
    </row>
    <row r="3290" spans="31:32">
      <c r="AE3290" s="417" t="s">
        <v>12460</v>
      </c>
      <c r="AF3290" s="416" t="s">
        <v>12461</v>
      </c>
    </row>
    <row r="3291" spans="31:32">
      <c r="AE3291" s="417" t="s">
        <v>12462</v>
      </c>
      <c r="AF3291" s="416" t="s">
        <v>12463</v>
      </c>
    </row>
    <row r="3292" spans="31:32">
      <c r="AE3292" s="417" t="s">
        <v>12464</v>
      </c>
      <c r="AF3292" s="416" t="s">
        <v>12465</v>
      </c>
    </row>
    <row r="3293" spans="31:32">
      <c r="AE3293" s="417" t="s">
        <v>12466</v>
      </c>
      <c r="AF3293" s="416" t="s">
        <v>12467</v>
      </c>
    </row>
    <row r="3294" spans="31:32">
      <c r="AE3294" s="417" t="s">
        <v>12468</v>
      </c>
      <c r="AF3294" s="416" t="s">
        <v>12469</v>
      </c>
    </row>
    <row r="3295" spans="31:32">
      <c r="AE3295" s="417" t="s">
        <v>12470</v>
      </c>
      <c r="AF3295" s="416" t="s">
        <v>12471</v>
      </c>
    </row>
    <row r="3296" spans="31:32">
      <c r="AE3296" s="417" t="s">
        <v>12472</v>
      </c>
      <c r="AF3296" s="416" t="s">
        <v>12473</v>
      </c>
    </row>
    <row r="3297" spans="31:32">
      <c r="AE3297" s="417" t="s">
        <v>12474</v>
      </c>
      <c r="AF3297" s="416" t="s">
        <v>12475</v>
      </c>
    </row>
    <row r="3298" spans="31:32">
      <c r="AE3298" s="417" t="s">
        <v>12476</v>
      </c>
      <c r="AF3298" s="416" t="s">
        <v>12477</v>
      </c>
    </row>
    <row r="3299" spans="31:32">
      <c r="AE3299" s="417" t="s">
        <v>12478</v>
      </c>
      <c r="AF3299" s="416" t="s">
        <v>12479</v>
      </c>
    </row>
    <row r="3300" spans="31:32">
      <c r="AE3300" s="417" t="s">
        <v>12480</v>
      </c>
      <c r="AF3300" s="416" t="s">
        <v>12481</v>
      </c>
    </row>
    <row r="3301" spans="31:32">
      <c r="AE3301" s="417" t="s">
        <v>12482</v>
      </c>
      <c r="AF3301" s="416" t="s">
        <v>12483</v>
      </c>
    </row>
    <row r="3302" spans="31:32">
      <c r="AE3302" s="417" t="s">
        <v>12484</v>
      </c>
      <c r="AF3302" s="416" t="s">
        <v>12485</v>
      </c>
    </row>
    <row r="3303" spans="31:32">
      <c r="AE3303" s="417" t="s">
        <v>12486</v>
      </c>
      <c r="AF3303" s="416" t="s">
        <v>12487</v>
      </c>
    </row>
    <row r="3304" spans="31:32">
      <c r="AE3304" s="417" t="s">
        <v>12488</v>
      </c>
      <c r="AF3304" s="416" t="s">
        <v>12489</v>
      </c>
    </row>
    <row r="3305" spans="31:32">
      <c r="AE3305" s="417" t="s">
        <v>12490</v>
      </c>
      <c r="AF3305" s="416" t="s">
        <v>12491</v>
      </c>
    </row>
    <row r="3306" spans="31:32">
      <c r="AE3306" s="417" t="s">
        <v>12492</v>
      </c>
      <c r="AF3306" s="416" t="s">
        <v>12493</v>
      </c>
    </row>
    <row r="3307" spans="31:32">
      <c r="AE3307" s="417" t="s">
        <v>12494</v>
      </c>
      <c r="AF3307" s="416" t="s">
        <v>12495</v>
      </c>
    </row>
    <row r="3308" spans="31:32">
      <c r="AE3308" s="417" t="s">
        <v>12496</v>
      </c>
      <c r="AF3308" s="416" t="s">
        <v>12497</v>
      </c>
    </row>
    <row r="3309" spans="31:32">
      <c r="AE3309" s="417" t="s">
        <v>12498</v>
      </c>
      <c r="AF3309" s="416" t="s">
        <v>12499</v>
      </c>
    </row>
    <row r="3310" spans="31:32">
      <c r="AE3310" s="417" t="s">
        <v>12500</v>
      </c>
      <c r="AF3310" s="416" t="s">
        <v>12501</v>
      </c>
    </row>
    <row r="3311" spans="31:32">
      <c r="AE3311" s="417" t="s">
        <v>12502</v>
      </c>
      <c r="AF3311" s="416" t="s">
        <v>12503</v>
      </c>
    </row>
    <row r="3312" spans="31:32">
      <c r="AE3312" s="417" t="s">
        <v>12504</v>
      </c>
      <c r="AF3312" s="416" t="s">
        <v>12505</v>
      </c>
    </row>
    <row r="3313" spans="31:32">
      <c r="AE3313" s="417" t="s">
        <v>12506</v>
      </c>
      <c r="AF3313" s="416" t="s">
        <v>12507</v>
      </c>
    </row>
    <row r="3314" spans="31:32">
      <c r="AE3314" s="417" t="s">
        <v>12508</v>
      </c>
      <c r="AF3314" s="416" t="s">
        <v>12509</v>
      </c>
    </row>
    <row r="3315" spans="31:32">
      <c r="AE3315" s="417" t="s">
        <v>12510</v>
      </c>
      <c r="AF3315" s="416" t="s">
        <v>12511</v>
      </c>
    </row>
    <row r="3316" spans="31:32">
      <c r="AE3316" s="417" t="s">
        <v>12512</v>
      </c>
      <c r="AF3316" s="416" t="s">
        <v>12513</v>
      </c>
    </row>
    <row r="3317" spans="31:32">
      <c r="AE3317" s="417" t="s">
        <v>12514</v>
      </c>
      <c r="AF3317" s="416" t="s">
        <v>12515</v>
      </c>
    </row>
    <row r="3318" spans="31:32">
      <c r="AE3318" s="417" t="s">
        <v>12516</v>
      </c>
      <c r="AF3318" s="416" t="s">
        <v>12517</v>
      </c>
    </row>
    <row r="3319" spans="31:32">
      <c r="AE3319" s="417" t="s">
        <v>12518</v>
      </c>
      <c r="AF3319" s="416" t="s">
        <v>12519</v>
      </c>
    </row>
    <row r="3320" spans="31:32">
      <c r="AE3320" s="417" t="s">
        <v>12520</v>
      </c>
      <c r="AF3320" s="416" t="s">
        <v>12521</v>
      </c>
    </row>
    <row r="3321" spans="31:32">
      <c r="AE3321" s="417" t="s">
        <v>12522</v>
      </c>
      <c r="AF3321" s="416" t="s">
        <v>12523</v>
      </c>
    </row>
    <row r="3322" spans="31:32">
      <c r="AE3322" s="417" t="s">
        <v>12524</v>
      </c>
      <c r="AF3322" s="416" t="s">
        <v>12525</v>
      </c>
    </row>
    <row r="3323" spans="31:32">
      <c r="AE3323" s="417" t="s">
        <v>12526</v>
      </c>
      <c r="AF3323" s="416" t="s">
        <v>12527</v>
      </c>
    </row>
    <row r="3324" spans="31:32">
      <c r="AE3324" s="417" t="s">
        <v>12528</v>
      </c>
      <c r="AF3324" s="416" t="s">
        <v>12529</v>
      </c>
    </row>
    <row r="3325" spans="31:32">
      <c r="AE3325" s="417" t="s">
        <v>12530</v>
      </c>
      <c r="AF3325" s="416" t="s">
        <v>12531</v>
      </c>
    </row>
    <row r="3326" spans="31:32">
      <c r="AE3326" s="417" t="s">
        <v>12532</v>
      </c>
      <c r="AF3326" s="416" t="s">
        <v>12533</v>
      </c>
    </row>
    <row r="3327" spans="31:32">
      <c r="AE3327" s="417" t="s">
        <v>12534</v>
      </c>
      <c r="AF3327" s="416" t="s">
        <v>12535</v>
      </c>
    </row>
    <row r="3328" spans="31:32">
      <c r="AE3328" s="417" t="s">
        <v>12536</v>
      </c>
      <c r="AF3328" s="416" t="s">
        <v>12537</v>
      </c>
    </row>
    <row r="3329" spans="31:32">
      <c r="AE3329" s="417" t="s">
        <v>12538</v>
      </c>
      <c r="AF3329" s="416" t="s">
        <v>12539</v>
      </c>
    </row>
    <row r="3330" spans="31:32">
      <c r="AE3330" s="417" t="s">
        <v>12540</v>
      </c>
      <c r="AF3330" s="416" t="s">
        <v>12541</v>
      </c>
    </row>
    <row r="3331" spans="31:32">
      <c r="AE3331" s="417" t="s">
        <v>12542</v>
      </c>
      <c r="AF3331" s="416" t="s">
        <v>12543</v>
      </c>
    </row>
    <row r="3332" spans="31:32">
      <c r="AE3332" s="417" t="s">
        <v>12544</v>
      </c>
      <c r="AF3332" s="416" t="s">
        <v>12545</v>
      </c>
    </row>
    <row r="3333" spans="31:32">
      <c r="AE3333" s="417" t="s">
        <v>12546</v>
      </c>
      <c r="AF3333" s="416" t="s">
        <v>12547</v>
      </c>
    </row>
    <row r="3334" spans="31:32">
      <c r="AE3334" s="417" t="s">
        <v>12548</v>
      </c>
      <c r="AF3334" s="416" t="s">
        <v>12549</v>
      </c>
    </row>
    <row r="3335" spans="31:32">
      <c r="AE3335" s="417" t="s">
        <v>12550</v>
      </c>
      <c r="AF3335" s="416" t="s">
        <v>12551</v>
      </c>
    </row>
    <row r="3336" spans="31:32">
      <c r="AE3336" s="417" t="s">
        <v>12552</v>
      </c>
      <c r="AF3336" s="416" t="s">
        <v>12553</v>
      </c>
    </row>
    <row r="3337" spans="31:32">
      <c r="AE3337" s="417" t="s">
        <v>12554</v>
      </c>
      <c r="AF3337" s="416" t="s">
        <v>12555</v>
      </c>
    </row>
    <row r="3338" spans="31:32">
      <c r="AE3338" s="417" t="s">
        <v>12556</v>
      </c>
      <c r="AF3338" s="416" t="s">
        <v>12557</v>
      </c>
    </row>
    <row r="3339" spans="31:32">
      <c r="AE3339" s="417" t="s">
        <v>12558</v>
      </c>
      <c r="AF3339" s="416" t="s">
        <v>11173</v>
      </c>
    </row>
    <row r="3340" spans="31:32">
      <c r="AE3340" s="417" t="s">
        <v>12559</v>
      </c>
      <c r="AF3340" s="416" t="s">
        <v>11173</v>
      </c>
    </row>
    <row r="3341" spans="31:32">
      <c r="AE3341" s="417" t="s">
        <v>12560</v>
      </c>
      <c r="AF3341" s="416" t="s">
        <v>11173</v>
      </c>
    </row>
    <row r="3342" spans="31:32">
      <c r="AE3342" s="417" t="s">
        <v>12561</v>
      </c>
      <c r="AF3342" s="416" t="s">
        <v>11173</v>
      </c>
    </row>
    <row r="3343" spans="31:32">
      <c r="AE3343" s="417" t="s">
        <v>12562</v>
      </c>
      <c r="AF3343" s="416" t="s">
        <v>11173</v>
      </c>
    </row>
    <row r="3344" spans="31:32">
      <c r="AE3344" s="417" t="s">
        <v>12563</v>
      </c>
      <c r="AF3344" s="416" t="s">
        <v>11173</v>
      </c>
    </row>
    <row r="3345" spans="31:32">
      <c r="AE3345" s="417" t="s">
        <v>12564</v>
      </c>
      <c r="AF3345" s="416" t="s">
        <v>11173</v>
      </c>
    </row>
    <row r="3346" spans="31:32">
      <c r="AE3346" s="417" t="s">
        <v>12565</v>
      </c>
      <c r="AF3346" s="416" t="s">
        <v>11173</v>
      </c>
    </row>
    <row r="3347" spans="31:32">
      <c r="AE3347" s="417" t="s">
        <v>12566</v>
      </c>
      <c r="AF3347" s="416" t="s">
        <v>11173</v>
      </c>
    </row>
    <row r="3348" spans="31:32">
      <c r="AE3348" s="417" t="s">
        <v>12567</v>
      </c>
      <c r="AF3348" s="416" t="s">
        <v>11173</v>
      </c>
    </row>
    <row r="3349" spans="31:32">
      <c r="AE3349" s="417" t="s">
        <v>12568</v>
      </c>
      <c r="AF3349" s="416" t="s">
        <v>12569</v>
      </c>
    </row>
    <row r="3350" spans="31:32">
      <c r="AE3350" s="417" t="s">
        <v>12570</v>
      </c>
      <c r="AF3350" s="416" t="s">
        <v>12571</v>
      </c>
    </row>
    <row r="3351" spans="31:32">
      <c r="AE3351" s="417" t="s">
        <v>12572</v>
      </c>
      <c r="AF3351" s="416" t="s">
        <v>12573</v>
      </c>
    </row>
    <row r="3352" spans="31:32">
      <c r="AE3352" s="417" t="s">
        <v>12574</v>
      </c>
      <c r="AF3352" s="416" t="s">
        <v>12575</v>
      </c>
    </row>
    <row r="3353" spans="31:32">
      <c r="AE3353" s="417" t="s">
        <v>12576</v>
      </c>
      <c r="AF3353" s="416" t="s">
        <v>12577</v>
      </c>
    </row>
    <row r="3354" spans="31:32">
      <c r="AE3354" s="417" t="s">
        <v>12578</v>
      </c>
      <c r="AF3354" s="416" t="s">
        <v>12579</v>
      </c>
    </row>
    <row r="3355" spans="31:32">
      <c r="AE3355" s="417" t="s">
        <v>12580</v>
      </c>
      <c r="AF3355" s="416" t="s">
        <v>12581</v>
      </c>
    </row>
    <row r="3356" spans="31:32">
      <c r="AE3356" s="417" t="s">
        <v>12582</v>
      </c>
      <c r="AF3356" s="416" t="s">
        <v>12583</v>
      </c>
    </row>
    <row r="3357" spans="31:32">
      <c r="AE3357" s="417" t="s">
        <v>12584</v>
      </c>
      <c r="AF3357" s="416" t="s">
        <v>12585</v>
      </c>
    </row>
    <row r="3358" spans="31:32">
      <c r="AE3358" s="417" t="s">
        <v>12586</v>
      </c>
      <c r="AF3358" s="416" t="s">
        <v>12587</v>
      </c>
    </row>
    <row r="3359" spans="31:32">
      <c r="AE3359" s="417" t="s">
        <v>12588</v>
      </c>
      <c r="AF3359" s="416" t="s">
        <v>12589</v>
      </c>
    </row>
    <row r="3360" spans="31:32">
      <c r="AE3360" s="417" t="s">
        <v>12590</v>
      </c>
      <c r="AF3360" s="416" t="s">
        <v>12591</v>
      </c>
    </row>
    <row r="3361" spans="31:32">
      <c r="AE3361" s="417" t="s">
        <v>12592</v>
      </c>
      <c r="AF3361" s="416" t="s">
        <v>12593</v>
      </c>
    </row>
    <row r="3362" spans="31:32">
      <c r="AE3362" s="417" t="s">
        <v>12594</v>
      </c>
      <c r="AF3362" s="416" t="s">
        <v>12595</v>
      </c>
    </row>
    <row r="3363" spans="31:32">
      <c r="AE3363" s="417" t="s">
        <v>12596</v>
      </c>
      <c r="AF3363" s="416" t="s">
        <v>12597</v>
      </c>
    </row>
    <row r="3364" spans="31:32">
      <c r="AE3364" s="417" t="s">
        <v>12598</v>
      </c>
      <c r="AF3364" s="416" t="s">
        <v>12599</v>
      </c>
    </row>
    <row r="3365" spans="31:32">
      <c r="AE3365" s="417" t="s">
        <v>12600</v>
      </c>
      <c r="AF3365" s="416" t="s">
        <v>12601</v>
      </c>
    </row>
    <row r="3366" spans="31:32">
      <c r="AE3366" s="417" t="s">
        <v>12602</v>
      </c>
      <c r="AF3366" s="416" t="s">
        <v>12603</v>
      </c>
    </row>
    <row r="3367" spans="31:32">
      <c r="AE3367" s="417" t="s">
        <v>12604</v>
      </c>
      <c r="AF3367" s="416" t="s">
        <v>12605</v>
      </c>
    </row>
    <row r="3368" spans="31:32">
      <c r="AE3368" s="417" t="s">
        <v>12606</v>
      </c>
      <c r="AF3368" s="416" t="s">
        <v>12607</v>
      </c>
    </row>
    <row r="3369" spans="31:32">
      <c r="AE3369" s="417" t="s">
        <v>12608</v>
      </c>
      <c r="AF3369" s="416" t="s">
        <v>12609</v>
      </c>
    </row>
    <row r="3370" spans="31:32">
      <c r="AE3370" s="417" t="s">
        <v>12610</v>
      </c>
      <c r="AF3370" s="416" t="s">
        <v>12611</v>
      </c>
    </row>
    <row r="3371" spans="31:32">
      <c r="AE3371" s="417" t="s">
        <v>12612</v>
      </c>
      <c r="AF3371" s="416" t="s">
        <v>12613</v>
      </c>
    </row>
    <row r="3372" spans="31:32">
      <c r="AE3372" s="417" t="s">
        <v>12614</v>
      </c>
      <c r="AF3372" s="416" t="s">
        <v>12615</v>
      </c>
    </row>
    <row r="3373" spans="31:32">
      <c r="AE3373" s="417" t="s">
        <v>12616</v>
      </c>
      <c r="AF3373" s="416" t="s">
        <v>12617</v>
      </c>
    </row>
    <row r="3374" spans="31:32">
      <c r="AE3374" s="417" t="s">
        <v>12618</v>
      </c>
      <c r="AF3374" s="416" t="s">
        <v>12619</v>
      </c>
    </row>
    <row r="3375" spans="31:32">
      <c r="AE3375" s="417" t="s">
        <v>12620</v>
      </c>
      <c r="AF3375" s="416" t="s">
        <v>12621</v>
      </c>
    </row>
    <row r="3376" spans="31:32">
      <c r="AE3376" s="417" t="s">
        <v>12622</v>
      </c>
      <c r="AF3376" s="416" t="s">
        <v>12623</v>
      </c>
    </row>
    <row r="3377" spans="31:32">
      <c r="AE3377" s="417" t="s">
        <v>12624</v>
      </c>
      <c r="AF3377" s="416" t="s">
        <v>12625</v>
      </c>
    </row>
    <row r="3378" spans="31:32">
      <c r="AE3378" s="417" t="s">
        <v>12626</v>
      </c>
      <c r="AF3378" s="416" t="s">
        <v>12627</v>
      </c>
    </row>
    <row r="3379" spans="31:32">
      <c r="AE3379" s="417" t="s">
        <v>12628</v>
      </c>
      <c r="AF3379" s="416" t="s">
        <v>12629</v>
      </c>
    </row>
    <row r="3380" spans="31:32">
      <c r="AE3380" s="417" t="s">
        <v>12630</v>
      </c>
      <c r="AF3380" s="416" t="s">
        <v>12631</v>
      </c>
    </row>
    <row r="3381" spans="31:32">
      <c r="AE3381" s="417" t="s">
        <v>12632</v>
      </c>
      <c r="AF3381" s="416" t="s">
        <v>12633</v>
      </c>
    </row>
    <row r="3382" spans="31:32">
      <c r="AE3382" s="417" t="s">
        <v>12634</v>
      </c>
      <c r="AF3382" s="416" t="s">
        <v>12635</v>
      </c>
    </row>
    <row r="3383" spans="31:32">
      <c r="AE3383" s="417" t="s">
        <v>12636</v>
      </c>
      <c r="AF3383" s="416" t="s">
        <v>12637</v>
      </c>
    </row>
    <row r="3384" spans="31:32">
      <c r="AE3384" s="417" t="s">
        <v>12638</v>
      </c>
      <c r="AF3384" s="416" t="s">
        <v>12639</v>
      </c>
    </row>
    <row r="3385" spans="31:32">
      <c r="AE3385" s="417" t="s">
        <v>12640</v>
      </c>
      <c r="AF3385" s="416" t="s">
        <v>12641</v>
      </c>
    </row>
    <row r="3386" spans="31:32">
      <c r="AE3386" s="417" t="s">
        <v>12642</v>
      </c>
      <c r="AF3386" s="416" t="s">
        <v>12643</v>
      </c>
    </row>
    <row r="3387" spans="31:32">
      <c r="AE3387" s="417" t="s">
        <v>12644</v>
      </c>
      <c r="AF3387" s="416" t="s">
        <v>12645</v>
      </c>
    </row>
    <row r="3388" spans="31:32">
      <c r="AE3388" s="417" t="s">
        <v>12646</v>
      </c>
      <c r="AF3388" s="416" t="s">
        <v>12647</v>
      </c>
    </row>
    <row r="3389" spans="31:32">
      <c r="AE3389" s="417" t="s">
        <v>12648</v>
      </c>
      <c r="AF3389" s="416" t="s">
        <v>12649</v>
      </c>
    </row>
    <row r="3390" spans="31:32">
      <c r="AE3390" s="417" t="s">
        <v>12650</v>
      </c>
      <c r="AF3390" s="416" t="s">
        <v>12651</v>
      </c>
    </row>
    <row r="3391" spans="31:32">
      <c r="AE3391" s="417" t="s">
        <v>12652</v>
      </c>
      <c r="AF3391" s="416" t="s">
        <v>12653</v>
      </c>
    </row>
    <row r="3392" spans="31:32">
      <c r="AE3392" s="417" t="s">
        <v>12654</v>
      </c>
      <c r="AF3392" s="416" t="s">
        <v>12655</v>
      </c>
    </row>
    <row r="3393" spans="31:32">
      <c r="AE3393" s="417" t="s">
        <v>12656</v>
      </c>
      <c r="AF3393" s="416" t="s">
        <v>12657</v>
      </c>
    </row>
    <row r="3394" spans="31:32">
      <c r="AE3394" s="417" t="s">
        <v>12658</v>
      </c>
      <c r="AF3394" s="416" t="s">
        <v>12659</v>
      </c>
    </row>
    <row r="3395" spans="31:32">
      <c r="AE3395" s="417" t="s">
        <v>12660</v>
      </c>
      <c r="AF3395" s="416" t="s">
        <v>12661</v>
      </c>
    </row>
    <row r="3396" spans="31:32">
      <c r="AE3396" s="417" t="s">
        <v>12662</v>
      </c>
      <c r="AF3396" s="416" t="s">
        <v>12663</v>
      </c>
    </row>
    <row r="3397" spans="31:32">
      <c r="AE3397" s="417" t="s">
        <v>12664</v>
      </c>
      <c r="AF3397" s="416" t="s">
        <v>12665</v>
      </c>
    </row>
    <row r="3398" spans="31:32">
      <c r="AE3398" s="417" t="s">
        <v>12666</v>
      </c>
      <c r="AF3398" s="416" t="s">
        <v>12667</v>
      </c>
    </row>
    <row r="3399" spans="31:32">
      <c r="AE3399" s="417" t="s">
        <v>12668</v>
      </c>
      <c r="AF3399" s="416" t="s">
        <v>12669</v>
      </c>
    </row>
    <row r="3400" spans="31:32">
      <c r="AE3400" s="417" t="s">
        <v>12670</v>
      </c>
      <c r="AF3400" s="416" t="s">
        <v>12671</v>
      </c>
    </row>
    <row r="3401" spans="31:32">
      <c r="AE3401" s="417" t="s">
        <v>12672</v>
      </c>
      <c r="AF3401" s="416" t="s">
        <v>12673</v>
      </c>
    </row>
    <row r="3402" spans="31:32">
      <c r="AE3402" s="417" t="s">
        <v>12674</v>
      </c>
      <c r="AF3402" s="416" t="s">
        <v>12675</v>
      </c>
    </row>
    <row r="3403" spans="31:32">
      <c r="AE3403" s="417" t="s">
        <v>12676</v>
      </c>
      <c r="AF3403" s="416" t="s">
        <v>12677</v>
      </c>
    </row>
    <row r="3404" spans="31:32">
      <c r="AE3404" s="417" t="s">
        <v>12678</v>
      </c>
      <c r="AF3404" s="416" t="s">
        <v>12679</v>
      </c>
    </row>
    <row r="3405" spans="31:32">
      <c r="AE3405" s="417" t="s">
        <v>12680</v>
      </c>
      <c r="AF3405" s="416" t="s">
        <v>12681</v>
      </c>
    </row>
    <row r="3406" spans="31:32">
      <c r="AE3406" s="417" t="s">
        <v>12682</v>
      </c>
      <c r="AF3406" s="416" t="s">
        <v>12683</v>
      </c>
    </row>
    <row r="3407" spans="31:32">
      <c r="AE3407" s="417" t="s">
        <v>12684</v>
      </c>
      <c r="AF3407" s="416" t="s">
        <v>12685</v>
      </c>
    </row>
    <row r="3408" spans="31:32">
      <c r="AE3408" s="417" t="s">
        <v>12686</v>
      </c>
      <c r="AF3408" s="416" t="s">
        <v>12687</v>
      </c>
    </row>
    <row r="3409" spans="31:32">
      <c r="AE3409" s="417" t="s">
        <v>12688</v>
      </c>
      <c r="AF3409" s="416" t="s">
        <v>12689</v>
      </c>
    </row>
    <row r="3410" spans="31:32">
      <c r="AE3410" s="417" t="s">
        <v>12690</v>
      </c>
      <c r="AF3410" s="416" t="s">
        <v>12691</v>
      </c>
    </row>
    <row r="3411" spans="31:32">
      <c r="AE3411" s="417" t="s">
        <v>12692</v>
      </c>
      <c r="AF3411" s="416" t="s">
        <v>12693</v>
      </c>
    </row>
    <row r="3412" spans="31:32">
      <c r="AE3412" s="417" t="s">
        <v>12694</v>
      </c>
      <c r="AF3412" s="416" t="s">
        <v>12695</v>
      </c>
    </row>
    <row r="3413" spans="31:32">
      <c r="AE3413" s="417" t="s">
        <v>12696</v>
      </c>
      <c r="AF3413" s="416" t="s">
        <v>12697</v>
      </c>
    </row>
    <row r="3414" spans="31:32">
      <c r="AE3414" s="417" t="s">
        <v>12698</v>
      </c>
      <c r="AF3414" s="416" t="s">
        <v>12699</v>
      </c>
    </row>
    <row r="3415" spans="31:32">
      <c r="AE3415" s="417" t="s">
        <v>12700</v>
      </c>
      <c r="AF3415" s="416" t="s">
        <v>12701</v>
      </c>
    </row>
    <row r="3416" spans="31:32">
      <c r="AE3416" s="417" t="s">
        <v>12702</v>
      </c>
      <c r="AF3416" s="416" t="s">
        <v>12703</v>
      </c>
    </row>
    <row r="3417" spans="31:32">
      <c r="AE3417" s="417" t="s">
        <v>12704</v>
      </c>
      <c r="AF3417" s="416" t="s">
        <v>12705</v>
      </c>
    </row>
    <row r="3418" spans="31:32">
      <c r="AE3418" s="417" t="s">
        <v>12706</v>
      </c>
      <c r="AF3418" s="416" t="s">
        <v>12707</v>
      </c>
    </row>
    <row r="3419" spans="31:32">
      <c r="AE3419" s="417" t="s">
        <v>12708</v>
      </c>
      <c r="AF3419" s="416" t="s">
        <v>12709</v>
      </c>
    </row>
    <row r="3420" spans="31:32">
      <c r="AE3420" s="417" t="s">
        <v>12710</v>
      </c>
      <c r="AF3420" s="416" t="s">
        <v>12711</v>
      </c>
    </row>
    <row r="3421" spans="31:32">
      <c r="AE3421" s="417" t="s">
        <v>12712</v>
      </c>
      <c r="AF3421" s="416" t="s">
        <v>12713</v>
      </c>
    </row>
    <row r="3422" spans="31:32">
      <c r="AE3422" s="417" t="s">
        <v>12714</v>
      </c>
      <c r="AF3422" s="416" t="s">
        <v>12715</v>
      </c>
    </row>
    <row r="3423" spans="31:32">
      <c r="AE3423" s="417" t="s">
        <v>12716</v>
      </c>
      <c r="AF3423" s="416" t="s">
        <v>12717</v>
      </c>
    </row>
    <row r="3424" spans="31:32">
      <c r="AE3424" s="417" t="s">
        <v>12718</v>
      </c>
      <c r="AF3424" s="416" t="s">
        <v>12719</v>
      </c>
    </row>
    <row r="3425" spans="31:32">
      <c r="AE3425" s="417" t="s">
        <v>12720</v>
      </c>
      <c r="AF3425" s="416" t="s">
        <v>12721</v>
      </c>
    </row>
    <row r="3426" spans="31:32">
      <c r="AE3426" s="417" t="s">
        <v>12722</v>
      </c>
      <c r="AF3426" s="416" t="s">
        <v>12723</v>
      </c>
    </row>
    <row r="3427" spans="31:32">
      <c r="AE3427" s="417" t="s">
        <v>12724</v>
      </c>
      <c r="AF3427" s="416" t="s">
        <v>12725</v>
      </c>
    </row>
    <row r="3428" spans="31:32">
      <c r="AE3428" s="417" t="s">
        <v>12726</v>
      </c>
      <c r="AF3428" s="416" t="s">
        <v>12727</v>
      </c>
    </row>
    <row r="3429" spans="31:32">
      <c r="AE3429" s="417" t="s">
        <v>12728</v>
      </c>
      <c r="AF3429" s="416" t="s">
        <v>12729</v>
      </c>
    </row>
    <row r="3430" spans="31:32">
      <c r="AE3430" s="417" t="s">
        <v>12730</v>
      </c>
      <c r="AF3430" s="416" t="s">
        <v>12731</v>
      </c>
    </row>
    <row r="3431" spans="31:32">
      <c r="AE3431" s="417" t="s">
        <v>12732</v>
      </c>
      <c r="AF3431" s="416" t="s">
        <v>12733</v>
      </c>
    </row>
    <row r="3432" spans="31:32">
      <c r="AE3432" s="417" t="s">
        <v>12734</v>
      </c>
      <c r="AF3432" s="416" t="s">
        <v>12735</v>
      </c>
    </row>
    <row r="3433" spans="31:32">
      <c r="AE3433" s="417" t="s">
        <v>12736</v>
      </c>
      <c r="AF3433" s="416" t="s">
        <v>12737</v>
      </c>
    </row>
    <row r="3434" spans="31:32">
      <c r="AE3434" s="417" t="s">
        <v>12738</v>
      </c>
      <c r="AF3434" s="416" t="s">
        <v>12739</v>
      </c>
    </row>
    <row r="3435" spans="31:32">
      <c r="AE3435" s="417" t="s">
        <v>12740</v>
      </c>
      <c r="AF3435" s="416" t="s">
        <v>12741</v>
      </c>
    </row>
    <row r="3436" spans="31:32">
      <c r="AE3436" s="417" t="s">
        <v>12742</v>
      </c>
      <c r="AF3436" s="416" t="s">
        <v>12743</v>
      </c>
    </row>
    <row r="3437" spans="31:32">
      <c r="AE3437" s="417" t="s">
        <v>12744</v>
      </c>
      <c r="AF3437" s="416" t="s">
        <v>12745</v>
      </c>
    </row>
    <row r="3438" spans="31:32">
      <c r="AE3438" s="417" t="s">
        <v>12746</v>
      </c>
      <c r="AF3438" s="416" t="s">
        <v>12747</v>
      </c>
    </row>
    <row r="3439" spans="31:32">
      <c r="AE3439" s="417" t="s">
        <v>12748</v>
      </c>
      <c r="AF3439" s="416" t="s">
        <v>12749</v>
      </c>
    </row>
    <row r="3440" spans="31:32">
      <c r="AE3440" s="417" t="s">
        <v>12750</v>
      </c>
      <c r="AF3440" s="416" t="s">
        <v>12751</v>
      </c>
    </row>
    <row r="3441" spans="31:32">
      <c r="AE3441" s="417" t="s">
        <v>12752</v>
      </c>
      <c r="AF3441" s="416" t="s">
        <v>12753</v>
      </c>
    </row>
    <row r="3442" spans="31:32">
      <c r="AE3442" s="417" t="s">
        <v>12754</v>
      </c>
      <c r="AF3442" s="416" t="s">
        <v>12755</v>
      </c>
    </row>
    <row r="3443" spans="31:32">
      <c r="AE3443" s="417" t="s">
        <v>12756</v>
      </c>
      <c r="AF3443" s="416" t="s">
        <v>12757</v>
      </c>
    </row>
    <row r="3444" spans="31:32">
      <c r="AE3444" s="417" t="s">
        <v>12758</v>
      </c>
      <c r="AF3444" s="416" t="s">
        <v>12759</v>
      </c>
    </row>
    <row r="3445" spans="31:32">
      <c r="AE3445" s="417" t="s">
        <v>12760</v>
      </c>
      <c r="AF3445" s="416" t="s">
        <v>12761</v>
      </c>
    </row>
    <row r="3446" spans="31:32">
      <c r="AE3446" s="417" t="s">
        <v>12762</v>
      </c>
      <c r="AF3446" s="416" t="s">
        <v>12763</v>
      </c>
    </row>
    <row r="3447" spans="31:32">
      <c r="AE3447" s="417" t="s">
        <v>12764</v>
      </c>
      <c r="AF3447" s="416" t="s">
        <v>12765</v>
      </c>
    </row>
    <row r="3448" spans="31:32">
      <c r="AE3448" s="417" t="s">
        <v>12766</v>
      </c>
      <c r="AF3448" s="416" t="s">
        <v>12767</v>
      </c>
    </row>
    <row r="3449" spans="31:32">
      <c r="AE3449" s="417" t="s">
        <v>12768</v>
      </c>
      <c r="AF3449" s="416" t="s">
        <v>12769</v>
      </c>
    </row>
    <row r="3450" spans="31:32">
      <c r="AE3450" s="417" t="s">
        <v>12770</v>
      </c>
      <c r="AF3450" s="416" t="s">
        <v>12771</v>
      </c>
    </row>
    <row r="3451" spans="31:32">
      <c r="AE3451" s="417" t="s">
        <v>12772</v>
      </c>
      <c r="AF3451" s="416" t="s">
        <v>12773</v>
      </c>
    </row>
    <row r="3452" spans="31:32">
      <c r="AE3452" s="417" t="s">
        <v>12774</v>
      </c>
      <c r="AF3452" s="416" t="s">
        <v>12775</v>
      </c>
    </row>
    <row r="3453" spans="31:32">
      <c r="AE3453" s="417" t="s">
        <v>12776</v>
      </c>
      <c r="AF3453" s="416" t="s">
        <v>12777</v>
      </c>
    </row>
    <row r="3454" spans="31:32">
      <c r="AE3454" s="417" t="s">
        <v>12778</v>
      </c>
      <c r="AF3454" s="416" t="s">
        <v>12779</v>
      </c>
    </row>
    <row r="3455" spans="31:32">
      <c r="AE3455" s="417" t="s">
        <v>12780</v>
      </c>
      <c r="AF3455" s="416" t="s">
        <v>12781</v>
      </c>
    </row>
    <row r="3456" spans="31:32">
      <c r="AE3456" s="417" t="s">
        <v>12782</v>
      </c>
      <c r="AF3456" s="416" t="s">
        <v>12783</v>
      </c>
    </row>
    <row r="3457" spans="31:32">
      <c r="AE3457" s="417" t="s">
        <v>12784</v>
      </c>
      <c r="AF3457" s="416" t="s">
        <v>12785</v>
      </c>
    </row>
    <row r="3458" spans="31:32">
      <c r="AE3458" s="417" t="s">
        <v>12786</v>
      </c>
      <c r="AF3458" s="416" t="s">
        <v>12787</v>
      </c>
    </row>
    <row r="3459" spans="31:32">
      <c r="AE3459" s="417" t="s">
        <v>12788</v>
      </c>
      <c r="AF3459" s="416" t="s">
        <v>12789</v>
      </c>
    </row>
    <row r="3460" spans="31:32">
      <c r="AE3460" s="417" t="s">
        <v>12790</v>
      </c>
      <c r="AF3460" s="416" t="s">
        <v>12791</v>
      </c>
    </row>
    <row r="3461" spans="31:32">
      <c r="AE3461" s="417" t="s">
        <v>12792</v>
      </c>
      <c r="AF3461" s="416" t="s">
        <v>12793</v>
      </c>
    </row>
    <row r="3462" spans="31:32">
      <c r="AE3462" s="417" t="s">
        <v>12794</v>
      </c>
      <c r="AF3462" s="416" t="s">
        <v>12795</v>
      </c>
    </row>
    <row r="3463" spans="31:32">
      <c r="AE3463" s="417" t="s">
        <v>12796</v>
      </c>
      <c r="AF3463" s="416" t="s">
        <v>12797</v>
      </c>
    </row>
    <row r="3464" spans="31:32">
      <c r="AE3464" s="417" t="s">
        <v>12798</v>
      </c>
      <c r="AF3464" s="416" t="s">
        <v>12799</v>
      </c>
    </row>
    <row r="3465" spans="31:32">
      <c r="AE3465" s="417" t="s">
        <v>12800</v>
      </c>
      <c r="AF3465" s="416" t="s">
        <v>12801</v>
      </c>
    </row>
    <row r="3466" spans="31:32">
      <c r="AE3466" s="417" t="s">
        <v>12802</v>
      </c>
      <c r="AF3466" s="416" t="s">
        <v>12803</v>
      </c>
    </row>
    <row r="3467" spans="31:32">
      <c r="AE3467" s="417" t="s">
        <v>12804</v>
      </c>
      <c r="AF3467" s="416" t="s">
        <v>12805</v>
      </c>
    </row>
    <row r="3468" spans="31:32">
      <c r="AE3468" s="417" t="s">
        <v>12806</v>
      </c>
      <c r="AF3468" s="416" t="s">
        <v>12807</v>
      </c>
    </row>
    <row r="3469" spans="31:32">
      <c r="AE3469" s="417" t="s">
        <v>12808</v>
      </c>
      <c r="AF3469" s="416" t="s">
        <v>12809</v>
      </c>
    </row>
    <row r="3470" spans="31:32">
      <c r="AE3470" s="417" t="s">
        <v>12810</v>
      </c>
      <c r="AF3470" s="416" t="s">
        <v>12811</v>
      </c>
    </row>
    <row r="3471" spans="31:32">
      <c r="AE3471" s="417" t="s">
        <v>12812</v>
      </c>
      <c r="AF3471" s="416" t="s">
        <v>12813</v>
      </c>
    </row>
    <row r="3472" spans="31:32">
      <c r="AE3472" s="417" t="s">
        <v>12814</v>
      </c>
      <c r="AF3472" s="416" t="s">
        <v>12815</v>
      </c>
    </row>
    <row r="3473" spans="31:32">
      <c r="AE3473" s="417" t="s">
        <v>12816</v>
      </c>
      <c r="AF3473" s="416" t="s">
        <v>12817</v>
      </c>
    </row>
    <row r="3474" spans="31:32">
      <c r="AE3474" s="417" t="s">
        <v>12818</v>
      </c>
      <c r="AF3474" s="416" t="s">
        <v>12819</v>
      </c>
    </row>
    <row r="3475" spans="31:32">
      <c r="AE3475" s="417" t="s">
        <v>12820</v>
      </c>
      <c r="AF3475" s="416" t="s">
        <v>12821</v>
      </c>
    </row>
    <row r="3476" spans="31:32">
      <c r="AE3476" s="417" t="s">
        <v>12822</v>
      </c>
      <c r="AF3476" s="416" t="s">
        <v>12823</v>
      </c>
    </row>
    <row r="3477" spans="31:32">
      <c r="AE3477" s="417" t="s">
        <v>12824</v>
      </c>
      <c r="AF3477" s="416" t="s">
        <v>12825</v>
      </c>
    </row>
    <row r="3478" spans="31:32">
      <c r="AE3478" s="417" t="s">
        <v>12826</v>
      </c>
      <c r="AF3478" s="416" t="s">
        <v>12827</v>
      </c>
    </row>
    <row r="3479" spans="31:32">
      <c r="AE3479" s="417" t="s">
        <v>12828</v>
      </c>
      <c r="AF3479" s="416" t="s">
        <v>12829</v>
      </c>
    </row>
    <row r="3480" spans="31:32">
      <c r="AE3480" s="417" t="s">
        <v>12830</v>
      </c>
      <c r="AF3480" s="416" t="s">
        <v>12831</v>
      </c>
    </row>
    <row r="3481" spans="31:32">
      <c r="AE3481" s="417" t="s">
        <v>12832</v>
      </c>
      <c r="AF3481" s="416" t="s">
        <v>12833</v>
      </c>
    </row>
    <row r="3482" spans="31:32">
      <c r="AE3482" s="417" t="s">
        <v>12834</v>
      </c>
      <c r="AF3482" s="416" t="s">
        <v>12835</v>
      </c>
    </row>
    <row r="3483" spans="31:32">
      <c r="AE3483" s="417" t="s">
        <v>12836</v>
      </c>
      <c r="AF3483" s="416" t="s">
        <v>12837</v>
      </c>
    </row>
    <row r="3484" spans="31:32">
      <c r="AE3484" s="417" t="s">
        <v>12838</v>
      </c>
      <c r="AF3484" s="416" t="s">
        <v>12839</v>
      </c>
    </row>
    <row r="3485" spans="31:32">
      <c r="AE3485" s="417" t="s">
        <v>12840</v>
      </c>
      <c r="AF3485" s="416" t="s">
        <v>12841</v>
      </c>
    </row>
    <row r="3486" spans="31:32">
      <c r="AE3486" s="417" t="s">
        <v>12842</v>
      </c>
      <c r="AF3486" s="416" t="s">
        <v>12843</v>
      </c>
    </row>
    <row r="3487" spans="31:32">
      <c r="AE3487" s="417" t="s">
        <v>12844</v>
      </c>
      <c r="AF3487" s="416" t="s">
        <v>12845</v>
      </c>
    </row>
    <row r="3488" spans="31:32">
      <c r="AE3488" s="417" t="s">
        <v>12846</v>
      </c>
      <c r="AF3488" s="416" t="s">
        <v>12847</v>
      </c>
    </row>
    <row r="3489" spans="31:32">
      <c r="AE3489" s="417" t="s">
        <v>12848</v>
      </c>
      <c r="AF3489" s="416" t="s">
        <v>12849</v>
      </c>
    </row>
    <row r="3490" spans="31:32">
      <c r="AE3490" s="417" t="s">
        <v>12850</v>
      </c>
      <c r="AF3490" s="416" t="s">
        <v>12851</v>
      </c>
    </row>
    <row r="3491" spans="31:32">
      <c r="AE3491" s="417" t="s">
        <v>12852</v>
      </c>
      <c r="AF3491" s="416" t="s">
        <v>12853</v>
      </c>
    </row>
    <row r="3492" spans="31:32">
      <c r="AE3492" s="417" t="s">
        <v>12854</v>
      </c>
      <c r="AF3492" s="416" t="s">
        <v>12855</v>
      </c>
    </row>
    <row r="3493" spans="31:32">
      <c r="AE3493" s="417" t="s">
        <v>12856</v>
      </c>
      <c r="AF3493" s="416" t="s">
        <v>12857</v>
      </c>
    </row>
    <row r="3494" spans="31:32">
      <c r="AE3494" s="417" t="s">
        <v>12858</v>
      </c>
      <c r="AF3494" s="416" t="s">
        <v>12859</v>
      </c>
    </row>
    <row r="3495" spans="31:32">
      <c r="AE3495" s="417" t="s">
        <v>12860</v>
      </c>
      <c r="AF3495" s="416" t="s">
        <v>12861</v>
      </c>
    </row>
    <row r="3496" spans="31:32">
      <c r="AE3496" s="417" t="s">
        <v>12862</v>
      </c>
      <c r="AF3496" s="416" t="s">
        <v>12863</v>
      </c>
    </row>
    <row r="3497" spans="31:32">
      <c r="AE3497" s="417" t="s">
        <v>12864</v>
      </c>
      <c r="AF3497" s="416" t="s">
        <v>12865</v>
      </c>
    </row>
    <row r="3498" spans="31:32">
      <c r="AE3498" s="417" t="s">
        <v>12866</v>
      </c>
      <c r="AF3498" s="416" t="s">
        <v>12867</v>
      </c>
    </row>
    <row r="3499" spans="31:32">
      <c r="AE3499" s="417" t="s">
        <v>12868</v>
      </c>
      <c r="AF3499" s="416" t="s">
        <v>12869</v>
      </c>
    </row>
    <row r="3500" spans="31:32">
      <c r="AE3500" s="417" t="s">
        <v>12870</v>
      </c>
      <c r="AF3500" s="416" t="s">
        <v>12871</v>
      </c>
    </row>
    <row r="3501" spans="31:32">
      <c r="AE3501" s="417" t="s">
        <v>12872</v>
      </c>
      <c r="AF3501" s="416" t="s">
        <v>12873</v>
      </c>
    </row>
    <row r="3502" spans="31:32">
      <c r="AE3502" s="417" t="s">
        <v>12874</v>
      </c>
      <c r="AF3502" s="416" t="s">
        <v>12875</v>
      </c>
    </row>
    <row r="3503" spans="31:32">
      <c r="AE3503" s="417" t="s">
        <v>12876</v>
      </c>
      <c r="AF3503" s="416" t="s">
        <v>12877</v>
      </c>
    </row>
    <row r="3504" spans="31:32">
      <c r="AE3504" s="417" t="s">
        <v>12878</v>
      </c>
      <c r="AF3504" s="416" t="s">
        <v>12879</v>
      </c>
    </row>
    <row r="3505" spans="31:32">
      <c r="AE3505" s="417" t="s">
        <v>12880</v>
      </c>
      <c r="AF3505" s="416" t="s">
        <v>12881</v>
      </c>
    </row>
    <row r="3506" spans="31:32">
      <c r="AE3506" s="417" t="s">
        <v>12882</v>
      </c>
      <c r="AF3506" s="416" t="s">
        <v>12883</v>
      </c>
    </row>
    <row r="3507" spans="31:32">
      <c r="AE3507" s="417" t="s">
        <v>12884</v>
      </c>
      <c r="AF3507" s="416" t="s">
        <v>12885</v>
      </c>
    </row>
    <row r="3508" spans="31:32">
      <c r="AE3508" s="417" t="s">
        <v>12886</v>
      </c>
      <c r="AF3508" s="416" t="s">
        <v>12887</v>
      </c>
    </row>
    <row r="3509" spans="31:32">
      <c r="AE3509" s="417" t="s">
        <v>12888</v>
      </c>
      <c r="AF3509" s="416" t="s">
        <v>12889</v>
      </c>
    </row>
    <row r="3510" spans="31:32">
      <c r="AE3510" s="417" t="s">
        <v>12890</v>
      </c>
      <c r="AF3510" s="416" t="s">
        <v>12891</v>
      </c>
    </row>
    <row r="3511" spans="31:32">
      <c r="AE3511" s="417" t="s">
        <v>12892</v>
      </c>
      <c r="AF3511" s="416" t="s">
        <v>12893</v>
      </c>
    </row>
    <row r="3512" spans="31:32">
      <c r="AE3512" s="417" t="s">
        <v>12894</v>
      </c>
      <c r="AF3512" s="416" t="s">
        <v>12895</v>
      </c>
    </row>
    <row r="3513" spans="31:32">
      <c r="AE3513" s="417" t="s">
        <v>12896</v>
      </c>
      <c r="AF3513" s="416" t="s">
        <v>12897</v>
      </c>
    </row>
    <row r="3514" spans="31:32">
      <c r="AE3514" s="417" t="s">
        <v>12898</v>
      </c>
      <c r="AF3514" s="416" t="s">
        <v>12899</v>
      </c>
    </row>
    <row r="3515" spans="31:32">
      <c r="AE3515" s="417" t="s">
        <v>12900</v>
      </c>
      <c r="AF3515" s="416" t="s">
        <v>12901</v>
      </c>
    </row>
    <row r="3516" spans="31:32">
      <c r="AE3516" s="417" t="s">
        <v>12902</v>
      </c>
      <c r="AF3516" s="416" t="s">
        <v>12903</v>
      </c>
    </row>
    <row r="3517" spans="31:32">
      <c r="AE3517" s="417" t="s">
        <v>12904</v>
      </c>
      <c r="AF3517" s="416" t="s">
        <v>12905</v>
      </c>
    </row>
    <row r="3518" spans="31:32">
      <c r="AE3518" s="417" t="s">
        <v>12906</v>
      </c>
      <c r="AF3518" s="416" t="s">
        <v>12907</v>
      </c>
    </row>
    <row r="3519" spans="31:32">
      <c r="AE3519" s="417" t="s">
        <v>12908</v>
      </c>
      <c r="AF3519" s="416" t="s">
        <v>12909</v>
      </c>
    </row>
    <row r="3520" spans="31:32">
      <c r="AE3520" s="417" t="s">
        <v>12910</v>
      </c>
      <c r="AF3520" s="416" t="s">
        <v>12911</v>
      </c>
    </row>
    <row r="3521" spans="31:32">
      <c r="AE3521" s="417" t="s">
        <v>12912</v>
      </c>
      <c r="AF3521" s="416" t="s">
        <v>12913</v>
      </c>
    </row>
    <row r="3522" spans="31:32">
      <c r="AE3522" s="417" t="s">
        <v>12914</v>
      </c>
      <c r="AF3522" s="416" t="s">
        <v>12915</v>
      </c>
    </row>
    <row r="3523" spans="31:32">
      <c r="AE3523" s="417" t="s">
        <v>12916</v>
      </c>
      <c r="AF3523" s="416" t="s">
        <v>12917</v>
      </c>
    </row>
    <row r="3524" spans="31:32">
      <c r="AE3524" s="417" t="s">
        <v>12918</v>
      </c>
      <c r="AF3524" s="416" t="s">
        <v>12919</v>
      </c>
    </row>
    <row r="3525" spans="31:32">
      <c r="AE3525" s="417" t="s">
        <v>12920</v>
      </c>
      <c r="AF3525" s="416" t="s">
        <v>12921</v>
      </c>
    </row>
    <row r="3526" spans="31:32">
      <c r="AE3526" s="417" t="s">
        <v>12922</v>
      </c>
      <c r="AF3526" s="416" t="s">
        <v>12923</v>
      </c>
    </row>
    <row r="3527" spans="31:32">
      <c r="AE3527" s="417" t="s">
        <v>12924</v>
      </c>
      <c r="AF3527" s="416" t="s">
        <v>12925</v>
      </c>
    </row>
    <row r="3528" spans="31:32">
      <c r="AE3528" s="417" t="s">
        <v>12926</v>
      </c>
      <c r="AF3528" s="416" t="s">
        <v>12927</v>
      </c>
    </row>
    <row r="3529" spans="31:32">
      <c r="AE3529" s="417" t="s">
        <v>12928</v>
      </c>
      <c r="AF3529" s="416" t="s">
        <v>12929</v>
      </c>
    </row>
    <row r="3530" spans="31:32">
      <c r="AE3530" s="417" t="s">
        <v>12930</v>
      </c>
      <c r="AF3530" s="416" t="s">
        <v>12931</v>
      </c>
    </row>
    <row r="3531" spans="31:32">
      <c r="AE3531" s="417" t="s">
        <v>12932</v>
      </c>
      <c r="AF3531" s="416" t="s">
        <v>12933</v>
      </c>
    </row>
    <row r="3532" spans="31:32">
      <c r="AE3532" s="417" t="s">
        <v>12934</v>
      </c>
      <c r="AF3532" s="416" t="s">
        <v>12935</v>
      </c>
    </row>
    <row r="3533" spans="31:32">
      <c r="AE3533" s="417" t="s">
        <v>12936</v>
      </c>
      <c r="AF3533" s="416" t="s">
        <v>12937</v>
      </c>
    </row>
    <row r="3534" spans="31:32">
      <c r="AE3534" s="417" t="s">
        <v>12938</v>
      </c>
      <c r="AF3534" s="416" t="s">
        <v>12939</v>
      </c>
    </row>
    <row r="3535" spans="31:32">
      <c r="AE3535" s="417" t="s">
        <v>12940</v>
      </c>
      <c r="AF3535" s="416" t="s">
        <v>12941</v>
      </c>
    </row>
    <row r="3536" spans="31:32">
      <c r="AE3536" s="417" t="s">
        <v>12942</v>
      </c>
      <c r="AF3536" s="416" t="s">
        <v>12943</v>
      </c>
    </row>
    <row r="3537" spans="31:32">
      <c r="AE3537" s="417" t="s">
        <v>12944</v>
      </c>
      <c r="AF3537" s="416" t="s">
        <v>12945</v>
      </c>
    </row>
    <row r="3538" spans="31:32">
      <c r="AE3538" s="417" t="s">
        <v>12946</v>
      </c>
      <c r="AF3538" s="416" t="s">
        <v>12947</v>
      </c>
    </row>
    <row r="3539" spans="31:32">
      <c r="AE3539" s="417" t="s">
        <v>12948</v>
      </c>
      <c r="AF3539" s="416" t="s">
        <v>12949</v>
      </c>
    </row>
    <row r="3540" spans="31:32">
      <c r="AE3540" s="417" t="s">
        <v>12950</v>
      </c>
      <c r="AF3540" s="416" t="s">
        <v>12951</v>
      </c>
    </row>
    <row r="3541" spans="31:32">
      <c r="AE3541" s="417" t="s">
        <v>12952</v>
      </c>
      <c r="AF3541" s="416" t="s">
        <v>12953</v>
      </c>
    </row>
    <row r="3542" spans="31:32">
      <c r="AE3542" s="417" t="s">
        <v>12954</v>
      </c>
      <c r="AF3542" s="416" t="s">
        <v>12955</v>
      </c>
    </row>
    <row r="3543" spans="31:32">
      <c r="AE3543" s="417" t="s">
        <v>12956</v>
      </c>
      <c r="AF3543" s="416" t="s">
        <v>12957</v>
      </c>
    </row>
    <row r="3544" spans="31:32">
      <c r="AE3544" s="417" t="s">
        <v>12958</v>
      </c>
      <c r="AF3544" s="416" t="s">
        <v>12959</v>
      </c>
    </row>
    <row r="3545" spans="31:32">
      <c r="AE3545" s="417" t="s">
        <v>12960</v>
      </c>
      <c r="AF3545" s="416" t="s">
        <v>12961</v>
      </c>
    </row>
    <row r="3546" spans="31:32">
      <c r="AE3546" s="417" t="s">
        <v>12962</v>
      </c>
      <c r="AF3546" s="416" t="s">
        <v>12963</v>
      </c>
    </row>
    <row r="3547" spans="31:32">
      <c r="AE3547" s="417" t="s">
        <v>12964</v>
      </c>
      <c r="AF3547" s="416" t="s">
        <v>12965</v>
      </c>
    </row>
    <row r="3548" spans="31:32">
      <c r="AE3548" s="417" t="s">
        <v>12966</v>
      </c>
      <c r="AF3548" s="416" t="s">
        <v>12967</v>
      </c>
    </row>
    <row r="3549" spans="31:32">
      <c r="AE3549" s="417" t="s">
        <v>12968</v>
      </c>
      <c r="AF3549" s="416" t="s">
        <v>12969</v>
      </c>
    </row>
    <row r="3550" spans="31:32">
      <c r="AE3550" s="417" t="s">
        <v>12970</v>
      </c>
      <c r="AF3550" s="416" t="s">
        <v>12971</v>
      </c>
    </row>
    <row r="3551" spans="31:32">
      <c r="AE3551" s="417" t="s">
        <v>12972</v>
      </c>
      <c r="AF3551" s="416" t="s">
        <v>12973</v>
      </c>
    </row>
    <row r="3552" spans="31:32">
      <c r="AE3552" s="417" t="s">
        <v>12974</v>
      </c>
      <c r="AF3552" s="416" t="s">
        <v>12975</v>
      </c>
    </row>
    <row r="3553" spans="31:32">
      <c r="AE3553" s="417" t="s">
        <v>12976</v>
      </c>
      <c r="AF3553" s="416" t="s">
        <v>12977</v>
      </c>
    </row>
    <row r="3554" spans="31:32">
      <c r="AE3554" s="417" t="s">
        <v>12978</v>
      </c>
      <c r="AF3554" s="416" t="s">
        <v>12979</v>
      </c>
    </row>
    <row r="3555" spans="31:32">
      <c r="AE3555" s="417" t="s">
        <v>12980</v>
      </c>
      <c r="AF3555" s="416" t="s">
        <v>12981</v>
      </c>
    </row>
    <row r="3556" spans="31:32">
      <c r="AE3556" s="417" t="s">
        <v>12982</v>
      </c>
      <c r="AF3556" s="416" t="s">
        <v>12983</v>
      </c>
    </row>
    <row r="3557" spans="31:32">
      <c r="AE3557" s="417" t="s">
        <v>12984</v>
      </c>
      <c r="AF3557" s="416" t="s">
        <v>12985</v>
      </c>
    </row>
    <row r="3558" spans="31:32">
      <c r="AE3558" s="417" t="s">
        <v>12986</v>
      </c>
      <c r="AF3558" s="416" t="s">
        <v>12987</v>
      </c>
    </row>
    <row r="3559" spans="31:32">
      <c r="AE3559" s="417" t="s">
        <v>12988</v>
      </c>
      <c r="AF3559" s="416" t="s">
        <v>12989</v>
      </c>
    </row>
    <row r="3560" spans="31:32">
      <c r="AE3560" s="417" t="s">
        <v>12990</v>
      </c>
      <c r="AF3560" s="416" t="s">
        <v>12991</v>
      </c>
    </row>
    <row r="3561" spans="31:32">
      <c r="AE3561" s="417" t="s">
        <v>12992</v>
      </c>
      <c r="AF3561" s="416" t="s">
        <v>12993</v>
      </c>
    </row>
    <row r="3562" spans="31:32">
      <c r="AE3562" s="417" t="s">
        <v>12994</v>
      </c>
      <c r="AF3562" s="416" t="s">
        <v>12995</v>
      </c>
    </row>
    <row r="3563" spans="31:32">
      <c r="AE3563" s="417" t="s">
        <v>12996</v>
      </c>
      <c r="AF3563" s="416" t="s">
        <v>12997</v>
      </c>
    </row>
    <row r="3564" spans="31:32">
      <c r="AE3564" s="417" t="s">
        <v>12998</v>
      </c>
      <c r="AF3564" s="416" t="s">
        <v>12999</v>
      </c>
    </row>
    <row r="3565" spans="31:32">
      <c r="AE3565" s="417" t="s">
        <v>13000</v>
      </c>
      <c r="AF3565" s="416" t="s">
        <v>13001</v>
      </c>
    </row>
    <row r="3566" spans="31:32">
      <c r="AE3566" s="417" t="s">
        <v>13002</v>
      </c>
      <c r="AF3566" s="416" t="s">
        <v>13003</v>
      </c>
    </row>
    <row r="3567" spans="31:32">
      <c r="AE3567" s="417" t="s">
        <v>13004</v>
      </c>
      <c r="AF3567" s="416" t="s">
        <v>13005</v>
      </c>
    </row>
    <row r="3568" spans="31:32">
      <c r="AE3568" s="417" t="s">
        <v>13006</v>
      </c>
      <c r="AF3568" s="416" t="s">
        <v>13007</v>
      </c>
    </row>
    <row r="3569" spans="31:32">
      <c r="AE3569" s="417" t="s">
        <v>13008</v>
      </c>
      <c r="AF3569" s="416" t="s">
        <v>13009</v>
      </c>
    </row>
    <row r="3570" spans="31:32">
      <c r="AE3570" s="417" t="s">
        <v>13010</v>
      </c>
      <c r="AF3570" s="416" t="s">
        <v>13011</v>
      </c>
    </row>
    <row r="3571" spans="31:32">
      <c r="AE3571" s="417" t="s">
        <v>13012</v>
      </c>
      <c r="AF3571" s="416" t="s">
        <v>13013</v>
      </c>
    </row>
    <row r="3572" spans="31:32">
      <c r="AE3572" s="417" t="s">
        <v>13014</v>
      </c>
      <c r="AF3572" s="416" t="s">
        <v>13015</v>
      </c>
    </row>
    <row r="3573" spans="31:32">
      <c r="AE3573" s="417" t="s">
        <v>13016</v>
      </c>
      <c r="AF3573" s="416" t="s">
        <v>13017</v>
      </c>
    </row>
    <row r="3574" spans="31:32">
      <c r="AE3574" s="417" t="s">
        <v>13018</v>
      </c>
      <c r="AF3574" s="416" t="s">
        <v>13019</v>
      </c>
    </row>
    <row r="3575" spans="31:32">
      <c r="AE3575" s="417" t="s">
        <v>13020</v>
      </c>
      <c r="AF3575" s="416" t="s">
        <v>13021</v>
      </c>
    </row>
    <row r="3576" spans="31:32">
      <c r="AE3576" s="417" t="s">
        <v>13022</v>
      </c>
      <c r="AF3576" s="416" t="s">
        <v>13023</v>
      </c>
    </row>
    <row r="3577" spans="31:32">
      <c r="AE3577" s="417" t="s">
        <v>13024</v>
      </c>
      <c r="AF3577" s="416" t="s">
        <v>13025</v>
      </c>
    </row>
    <row r="3578" spans="31:32">
      <c r="AE3578" s="417" t="s">
        <v>13026</v>
      </c>
      <c r="AF3578" s="416" t="s">
        <v>13027</v>
      </c>
    </row>
    <row r="3579" spans="31:32">
      <c r="AE3579" s="417" t="s">
        <v>13028</v>
      </c>
      <c r="AF3579" s="416" t="s">
        <v>13029</v>
      </c>
    </row>
    <row r="3580" spans="31:32">
      <c r="AE3580" s="417" t="s">
        <v>13030</v>
      </c>
      <c r="AF3580" s="416" t="s">
        <v>13031</v>
      </c>
    </row>
    <row r="3581" spans="31:32">
      <c r="AE3581" s="417" t="s">
        <v>13032</v>
      </c>
      <c r="AF3581" s="416" t="s">
        <v>13033</v>
      </c>
    </row>
    <row r="3582" spans="31:32">
      <c r="AE3582" s="417" t="s">
        <v>13034</v>
      </c>
      <c r="AF3582" s="416" t="s">
        <v>13035</v>
      </c>
    </row>
    <row r="3583" spans="31:32">
      <c r="AE3583" s="417" t="s">
        <v>13036</v>
      </c>
      <c r="AF3583" s="416" t="s">
        <v>13037</v>
      </c>
    </row>
    <row r="3584" spans="31:32">
      <c r="AE3584" s="417" t="s">
        <v>13038</v>
      </c>
      <c r="AF3584" s="416" t="s">
        <v>13039</v>
      </c>
    </row>
    <row r="3585" spans="31:32">
      <c r="AE3585" s="417" t="s">
        <v>13040</v>
      </c>
      <c r="AF3585" s="416" t="s">
        <v>13041</v>
      </c>
    </row>
    <row r="3586" spans="31:32">
      <c r="AE3586" s="417" t="s">
        <v>13042</v>
      </c>
      <c r="AF3586" s="416" t="s">
        <v>13043</v>
      </c>
    </row>
    <row r="3587" spans="31:32">
      <c r="AE3587" s="417" t="s">
        <v>13044</v>
      </c>
      <c r="AF3587" s="416" t="s">
        <v>13045</v>
      </c>
    </row>
    <row r="3588" spans="31:32">
      <c r="AE3588" s="417" t="s">
        <v>13046</v>
      </c>
      <c r="AF3588" s="416" t="s">
        <v>13047</v>
      </c>
    </row>
    <row r="3589" spans="31:32">
      <c r="AE3589" s="417" t="s">
        <v>13048</v>
      </c>
      <c r="AF3589" s="416" t="s">
        <v>13049</v>
      </c>
    </row>
    <row r="3590" spans="31:32">
      <c r="AE3590" s="417" t="s">
        <v>13050</v>
      </c>
      <c r="AF3590" s="416" t="s">
        <v>13051</v>
      </c>
    </row>
    <row r="3591" spans="31:32">
      <c r="AE3591" s="417" t="s">
        <v>13052</v>
      </c>
      <c r="AF3591" s="416" t="s">
        <v>13053</v>
      </c>
    </row>
    <row r="3592" spans="31:32">
      <c r="AE3592" s="417" t="s">
        <v>13054</v>
      </c>
      <c r="AF3592" s="416" t="s">
        <v>13055</v>
      </c>
    </row>
    <row r="3593" spans="31:32">
      <c r="AE3593" s="417" t="s">
        <v>13056</v>
      </c>
      <c r="AF3593" s="416" t="s">
        <v>13057</v>
      </c>
    </row>
    <row r="3594" spans="31:32">
      <c r="AE3594" s="417" t="s">
        <v>13058</v>
      </c>
      <c r="AF3594" s="416" t="s">
        <v>13059</v>
      </c>
    </row>
    <row r="3595" spans="31:32">
      <c r="AE3595" s="417" t="s">
        <v>13060</v>
      </c>
      <c r="AF3595" s="416" t="s">
        <v>13061</v>
      </c>
    </row>
    <row r="3596" spans="31:32">
      <c r="AE3596" s="417" t="s">
        <v>13062</v>
      </c>
      <c r="AF3596" s="416" t="s">
        <v>13063</v>
      </c>
    </row>
    <row r="3597" spans="31:32">
      <c r="AE3597" s="417" t="s">
        <v>13064</v>
      </c>
      <c r="AF3597" s="416" t="s">
        <v>13065</v>
      </c>
    </row>
    <row r="3598" spans="31:32">
      <c r="AE3598" s="417" t="s">
        <v>13066</v>
      </c>
      <c r="AF3598" s="416" t="s">
        <v>13067</v>
      </c>
    </row>
    <row r="3599" spans="31:32">
      <c r="AE3599" s="417" t="s">
        <v>13068</v>
      </c>
      <c r="AF3599" s="416" t="s">
        <v>13069</v>
      </c>
    </row>
    <row r="3600" spans="31:32">
      <c r="AE3600" s="417" t="s">
        <v>13070</v>
      </c>
      <c r="AF3600" s="416" t="s">
        <v>13071</v>
      </c>
    </row>
    <row r="3601" spans="31:32">
      <c r="AE3601" s="417" t="s">
        <v>13072</v>
      </c>
      <c r="AF3601" s="416" t="s">
        <v>13073</v>
      </c>
    </row>
    <row r="3602" spans="31:32">
      <c r="AE3602" s="417" t="s">
        <v>13074</v>
      </c>
      <c r="AF3602" s="416" t="s">
        <v>13075</v>
      </c>
    </row>
    <row r="3603" spans="31:32">
      <c r="AE3603" s="417" t="s">
        <v>13076</v>
      </c>
      <c r="AF3603" s="416" t="s">
        <v>13077</v>
      </c>
    </row>
    <row r="3604" spans="31:32">
      <c r="AE3604" s="417" t="s">
        <v>13078</v>
      </c>
      <c r="AF3604" s="416" t="s">
        <v>13079</v>
      </c>
    </row>
    <row r="3605" spans="31:32">
      <c r="AE3605" s="417" t="s">
        <v>13080</v>
      </c>
      <c r="AF3605" s="416" t="s">
        <v>13081</v>
      </c>
    </row>
    <row r="3606" spans="31:32">
      <c r="AE3606" s="417" t="s">
        <v>13082</v>
      </c>
      <c r="AF3606" s="416" t="s">
        <v>13083</v>
      </c>
    </row>
    <row r="3607" spans="31:32">
      <c r="AE3607" s="417" t="s">
        <v>13084</v>
      </c>
      <c r="AF3607" s="416" t="s">
        <v>13085</v>
      </c>
    </row>
    <row r="3608" spans="31:32">
      <c r="AE3608" s="417" t="s">
        <v>13086</v>
      </c>
      <c r="AF3608" s="416" t="s">
        <v>13087</v>
      </c>
    </row>
    <row r="3609" spans="31:32">
      <c r="AE3609" s="417" t="s">
        <v>13088</v>
      </c>
      <c r="AF3609" s="416" t="s">
        <v>13089</v>
      </c>
    </row>
    <row r="3610" spans="31:32">
      <c r="AE3610" s="417" t="s">
        <v>13090</v>
      </c>
      <c r="AF3610" s="416" t="s">
        <v>13091</v>
      </c>
    </row>
    <row r="3611" spans="31:32">
      <c r="AE3611" s="417" t="s">
        <v>13092</v>
      </c>
      <c r="AF3611" s="416" t="s">
        <v>13093</v>
      </c>
    </row>
    <row r="3612" spans="31:32">
      <c r="AE3612" s="417" t="s">
        <v>13094</v>
      </c>
      <c r="AF3612" s="416" t="s">
        <v>13095</v>
      </c>
    </row>
    <row r="3613" spans="31:32">
      <c r="AE3613" s="417" t="s">
        <v>13096</v>
      </c>
      <c r="AF3613" s="416" t="s">
        <v>13097</v>
      </c>
    </row>
    <row r="3614" spans="31:32">
      <c r="AE3614" s="417" t="s">
        <v>13098</v>
      </c>
      <c r="AF3614" s="416" t="s">
        <v>13099</v>
      </c>
    </row>
    <row r="3615" spans="31:32">
      <c r="AE3615" s="417" t="s">
        <v>13100</v>
      </c>
      <c r="AF3615" s="416" t="s">
        <v>13101</v>
      </c>
    </row>
    <row r="3616" spans="31:32">
      <c r="AE3616" s="417" t="s">
        <v>13102</v>
      </c>
      <c r="AF3616" s="416" t="s">
        <v>13103</v>
      </c>
    </row>
    <row r="3617" spans="31:32">
      <c r="AE3617" s="417" t="s">
        <v>13104</v>
      </c>
      <c r="AF3617" s="416" t="s">
        <v>13105</v>
      </c>
    </row>
    <row r="3618" spans="31:32">
      <c r="AE3618" s="417" t="s">
        <v>13106</v>
      </c>
      <c r="AF3618" s="416" t="s">
        <v>13107</v>
      </c>
    </row>
    <row r="3619" spans="31:32">
      <c r="AE3619" s="417" t="s">
        <v>13108</v>
      </c>
      <c r="AF3619" s="416" t="s">
        <v>13109</v>
      </c>
    </row>
    <row r="3620" spans="31:32">
      <c r="AE3620" s="417" t="s">
        <v>13110</v>
      </c>
      <c r="AF3620" s="416" t="s">
        <v>13111</v>
      </c>
    </row>
    <row r="3621" spans="31:32">
      <c r="AE3621" s="417" t="s">
        <v>13112</v>
      </c>
      <c r="AF3621" s="416" t="s">
        <v>13113</v>
      </c>
    </row>
    <row r="3622" spans="31:32">
      <c r="AE3622" s="417" t="s">
        <v>13114</v>
      </c>
      <c r="AF3622" s="416" t="s">
        <v>13115</v>
      </c>
    </row>
    <row r="3623" spans="31:32">
      <c r="AE3623" s="417" t="s">
        <v>13116</v>
      </c>
      <c r="AF3623" s="416" t="s">
        <v>13117</v>
      </c>
    </row>
    <row r="3624" spans="31:32">
      <c r="AE3624" s="417" t="s">
        <v>13118</v>
      </c>
      <c r="AF3624" s="416" t="s">
        <v>13119</v>
      </c>
    </row>
    <row r="3625" spans="31:32">
      <c r="AE3625" s="417" t="s">
        <v>13120</v>
      </c>
      <c r="AF3625" s="416" t="s">
        <v>13121</v>
      </c>
    </row>
    <row r="3626" spans="31:32">
      <c r="AE3626" s="417" t="s">
        <v>13122</v>
      </c>
      <c r="AF3626" s="416" t="s">
        <v>13123</v>
      </c>
    </row>
    <row r="3627" spans="31:32">
      <c r="AE3627" s="417" t="s">
        <v>13124</v>
      </c>
      <c r="AF3627" s="416" t="s">
        <v>13125</v>
      </c>
    </row>
    <row r="3628" spans="31:32">
      <c r="AE3628" s="417" t="s">
        <v>13126</v>
      </c>
      <c r="AF3628" s="416" t="s">
        <v>13127</v>
      </c>
    </row>
    <row r="3629" spans="31:32">
      <c r="AE3629" s="417" t="s">
        <v>13128</v>
      </c>
      <c r="AF3629" s="416" t="s">
        <v>13129</v>
      </c>
    </row>
    <row r="3630" spans="31:32">
      <c r="AE3630" s="417" t="s">
        <v>13130</v>
      </c>
      <c r="AF3630" s="416" t="s">
        <v>13131</v>
      </c>
    </row>
    <row r="3631" spans="31:32">
      <c r="AE3631" s="417" t="s">
        <v>13132</v>
      </c>
      <c r="AF3631" s="416" t="s">
        <v>13133</v>
      </c>
    </row>
    <row r="3632" spans="31:32">
      <c r="AE3632" s="417" t="s">
        <v>13134</v>
      </c>
      <c r="AF3632" s="416" t="s">
        <v>13135</v>
      </c>
    </row>
    <row r="3633" spans="31:32">
      <c r="AE3633" s="417" t="s">
        <v>13136</v>
      </c>
      <c r="AF3633" s="416" t="s">
        <v>13137</v>
      </c>
    </row>
    <row r="3634" spans="31:32">
      <c r="AE3634" s="417" t="s">
        <v>13138</v>
      </c>
      <c r="AF3634" s="416" t="s">
        <v>13139</v>
      </c>
    </row>
    <row r="3635" spans="31:32">
      <c r="AE3635" s="417" t="s">
        <v>13140</v>
      </c>
      <c r="AF3635" s="416" t="s">
        <v>13141</v>
      </c>
    </row>
    <row r="3636" spans="31:32">
      <c r="AE3636" s="417" t="s">
        <v>13142</v>
      </c>
      <c r="AF3636" s="416" t="s">
        <v>13143</v>
      </c>
    </row>
    <row r="3637" spans="31:32">
      <c r="AE3637" s="417" t="s">
        <v>13144</v>
      </c>
      <c r="AF3637" s="416" t="s">
        <v>13145</v>
      </c>
    </row>
    <row r="3638" spans="31:32">
      <c r="AE3638" s="417" t="s">
        <v>13146</v>
      </c>
      <c r="AF3638" s="416" t="s">
        <v>13147</v>
      </c>
    </row>
    <row r="3639" spans="31:32">
      <c r="AE3639" s="417" t="s">
        <v>13148</v>
      </c>
      <c r="AF3639" s="416" t="s">
        <v>13149</v>
      </c>
    </row>
    <row r="3640" spans="31:32">
      <c r="AE3640" s="417" t="s">
        <v>13150</v>
      </c>
      <c r="AF3640" s="416" t="s">
        <v>13151</v>
      </c>
    </row>
    <row r="3641" spans="31:32">
      <c r="AE3641" s="417" t="s">
        <v>13152</v>
      </c>
      <c r="AF3641" s="416" t="s">
        <v>13153</v>
      </c>
    </row>
    <row r="3642" spans="31:32">
      <c r="AE3642" s="417" t="s">
        <v>13154</v>
      </c>
      <c r="AF3642" s="416" t="s">
        <v>13155</v>
      </c>
    </row>
    <row r="3643" spans="31:32">
      <c r="AE3643" s="417" t="s">
        <v>13156</v>
      </c>
      <c r="AF3643" s="416" t="s">
        <v>13157</v>
      </c>
    </row>
    <row r="3644" spans="31:32">
      <c r="AE3644" s="417" t="s">
        <v>13158</v>
      </c>
      <c r="AF3644" s="416" t="s">
        <v>13159</v>
      </c>
    </row>
    <row r="3645" spans="31:32">
      <c r="AE3645" s="417" t="s">
        <v>13160</v>
      </c>
      <c r="AF3645" s="416" t="s">
        <v>13161</v>
      </c>
    </row>
    <row r="3646" spans="31:32">
      <c r="AE3646" s="417" t="s">
        <v>13162</v>
      </c>
      <c r="AF3646" s="416" t="s">
        <v>13163</v>
      </c>
    </row>
    <row r="3647" spans="31:32">
      <c r="AE3647" s="417" t="s">
        <v>13164</v>
      </c>
      <c r="AF3647" s="416" t="s">
        <v>13165</v>
      </c>
    </row>
    <row r="3648" spans="31:32">
      <c r="AE3648" s="417" t="s">
        <v>13166</v>
      </c>
      <c r="AF3648" s="416" t="s">
        <v>13167</v>
      </c>
    </row>
    <row r="3649" spans="31:32">
      <c r="AE3649" s="417" t="s">
        <v>13168</v>
      </c>
      <c r="AF3649" s="416" t="s">
        <v>13169</v>
      </c>
    </row>
    <row r="3650" spans="31:32">
      <c r="AE3650" s="417" t="s">
        <v>13170</v>
      </c>
      <c r="AF3650" s="416" t="s">
        <v>13171</v>
      </c>
    </row>
    <row r="3651" spans="31:32">
      <c r="AE3651" s="417" t="s">
        <v>13172</v>
      </c>
      <c r="AF3651" s="416" t="s">
        <v>13173</v>
      </c>
    </row>
    <row r="3652" spans="31:32">
      <c r="AE3652" s="417" t="s">
        <v>13174</v>
      </c>
      <c r="AF3652" s="416" t="s">
        <v>13175</v>
      </c>
    </row>
    <row r="3653" spans="31:32">
      <c r="AE3653" s="417" t="s">
        <v>13176</v>
      </c>
      <c r="AF3653" s="416" t="s">
        <v>13177</v>
      </c>
    </row>
    <row r="3654" spans="31:32">
      <c r="AE3654" s="417" t="s">
        <v>13178</v>
      </c>
      <c r="AF3654" s="416" t="s">
        <v>13179</v>
      </c>
    </row>
    <row r="3655" spans="31:32">
      <c r="AE3655" s="417" t="s">
        <v>13180</v>
      </c>
      <c r="AF3655" s="416" t="s">
        <v>13181</v>
      </c>
    </row>
    <row r="3656" spans="31:32">
      <c r="AE3656" s="417" t="s">
        <v>13182</v>
      </c>
      <c r="AF3656" s="416" t="s">
        <v>13183</v>
      </c>
    </row>
    <row r="3657" spans="31:32">
      <c r="AE3657" s="417" t="s">
        <v>13184</v>
      </c>
      <c r="AF3657" s="416" t="s">
        <v>13185</v>
      </c>
    </row>
    <row r="3658" spans="31:32">
      <c r="AE3658" s="417" t="s">
        <v>13186</v>
      </c>
      <c r="AF3658" s="416" t="s">
        <v>13187</v>
      </c>
    </row>
    <row r="3659" spans="31:32">
      <c r="AE3659" s="417" t="s">
        <v>13188</v>
      </c>
      <c r="AF3659" s="416" t="s">
        <v>13189</v>
      </c>
    </row>
    <row r="3660" spans="31:32">
      <c r="AE3660" s="417" t="s">
        <v>13190</v>
      </c>
      <c r="AF3660" s="416" t="s">
        <v>13191</v>
      </c>
    </row>
    <row r="3661" spans="31:32">
      <c r="AE3661" s="417" t="s">
        <v>13192</v>
      </c>
      <c r="AF3661" s="416" t="s">
        <v>13193</v>
      </c>
    </row>
    <row r="3662" spans="31:32">
      <c r="AE3662" s="417" t="s">
        <v>13194</v>
      </c>
      <c r="AF3662" s="416" t="s">
        <v>13195</v>
      </c>
    </row>
    <row r="3663" spans="31:32">
      <c r="AE3663" s="417" t="s">
        <v>13196</v>
      </c>
      <c r="AF3663" s="416" t="s">
        <v>13197</v>
      </c>
    </row>
    <row r="3664" spans="31:32">
      <c r="AE3664" s="417" t="s">
        <v>13198</v>
      </c>
      <c r="AF3664" s="416" t="s">
        <v>13199</v>
      </c>
    </row>
    <row r="3665" spans="31:32">
      <c r="AE3665" s="417" t="s">
        <v>13200</v>
      </c>
      <c r="AF3665" s="416" t="s">
        <v>13201</v>
      </c>
    </row>
    <row r="3666" spans="31:32">
      <c r="AE3666" s="417" t="s">
        <v>13202</v>
      </c>
      <c r="AF3666" s="416" t="s">
        <v>13203</v>
      </c>
    </row>
    <row r="3667" spans="31:32">
      <c r="AE3667" s="417" t="s">
        <v>13204</v>
      </c>
      <c r="AF3667" s="416" t="s">
        <v>13205</v>
      </c>
    </row>
    <row r="3668" spans="31:32">
      <c r="AE3668" s="417" t="s">
        <v>13206</v>
      </c>
      <c r="AF3668" s="416" t="s">
        <v>13207</v>
      </c>
    </row>
    <row r="3669" spans="31:32">
      <c r="AE3669" s="417" t="s">
        <v>13208</v>
      </c>
      <c r="AF3669" s="416" t="s">
        <v>13209</v>
      </c>
    </row>
    <row r="3670" spans="31:32">
      <c r="AE3670" s="417" t="s">
        <v>13210</v>
      </c>
      <c r="AF3670" s="416" t="s">
        <v>13211</v>
      </c>
    </row>
    <row r="3671" spans="31:32">
      <c r="AE3671" s="417" t="s">
        <v>13212</v>
      </c>
      <c r="AF3671" s="416" t="s">
        <v>13213</v>
      </c>
    </row>
    <row r="3672" spans="31:32">
      <c r="AE3672" s="417" t="s">
        <v>13214</v>
      </c>
      <c r="AF3672" s="416" t="s">
        <v>13215</v>
      </c>
    </row>
    <row r="3673" spans="31:32">
      <c r="AE3673" s="417" t="s">
        <v>13216</v>
      </c>
      <c r="AF3673" s="416" t="s">
        <v>13217</v>
      </c>
    </row>
    <row r="3674" spans="31:32">
      <c r="AE3674" s="417" t="s">
        <v>13218</v>
      </c>
      <c r="AF3674" s="416" t="s">
        <v>13219</v>
      </c>
    </row>
    <row r="3675" spans="31:32">
      <c r="AE3675" s="417" t="s">
        <v>13220</v>
      </c>
      <c r="AF3675" s="416" t="s">
        <v>13221</v>
      </c>
    </row>
    <row r="3676" spans="31:32">
      <c r="AE3676" s="417" t="s">
        <v>13222</v>
      </c>
      <c r="AF3676" s="416" t="s">
        <v>13223</v>
      </c>
    </row>
    <row r="3677" spans="31:32">
      <c r="AE3677" s="417" t="s">
        <v>13224</v>
      </c>
      <c r="AF3677" s="416" t="s">
        <v>13225</v>
      </c>
    </row>
    <row r="3678" spans="31:32">
      <c r="AE3678" s="417" t="s">
        <v>13226</v>
      </c>
      <c r="AF3678" s="416" t="s">
        <v>13227</v>
      </c>
    </row>
    <row r="3679" spans="31:32">
      <c r="AE3679" s="417" t="s">
        <v>13228</v>
      </c>
      <c r="AF3679" s="416" t="s">
        <v>13229</v>
      </c>
    </row>
    <row r="3680" spans="31:32">
      <c r="AE3680" s="417" t="s">
        <v>13230</v>
      </c>
      <c r="AF3680" s="416" t="s">
        <v>13231</v>
      </c>
    </row>
    <row r="3681" spans="31:32">
      <c r="AE3681" s="417" t="s">
        <v>13232</v>
      </c>
      <c r="AF3681" s="416" t="s">
        <v>13233</v>
      </c>
    </row>
    <row r="3682" spans="31:32">
      <c r="AE3682" s="417" t="s">
        <v>13234</v>
      </c>
      <c r="AF3682" s="416" t="s">
        <v>13235</v>
      </c>
    </row>
    <row r="3683" spans="31:32">
      <c r="AE3683" s="417" t="s">
        <v>13236</v>
      </c>
      <c r="AF3683" s="416" t="s">
        <v>13237</v>
      </c>
    </row>
    <row r="3684" spans="31:32">
      <c r="AE3684" s="417" t="s">
        <v>13238</v>
      </c>
      <c r="AF3684" s="416" t="s">
        <v>13239</v>
      </c>
    </row>
    <row r="3685" spans="31:32">
      <c r="AE3685" s="417" t="s">
        <v>13240</v>
      </c>
      <c r="AF3685" s="416" t="s">
        <v>13241</v>
      </c>
    </row>
    <row r="3686" spans="31:32">
      <c r="AE3686" s="417" t="s">
        <v>13242</v>
      </c>
      <c r="AF3686" s="416" t="s">
        <v>13243</v>
      </c>
    </row>
    <row r="3687" spans="31:32">
      <c r="AE3687" s="417" t="s">
        <v>13244</v>
      </c>
      <c r="AF3687" s="416" t="s">
        <v>13245</v>
      </c>
    </row>
    <row r="3688" spans="31:32">
      <c r="AE3688" s="417" t="s">
        <v>13246</v>
      </c>
      <c r="AF3688" s="416" t="s">
        <v>13247</v>
      </c>
    </row>
    <row r="3689" spans="31:32">
      <c r="AE3689" s="417" t="s">
        <v>13248</v>
      </c>
      <c r="AF3689" s="416" t="s">
        <v>13249</v>
      </c>
    </row>
    <row r="3690" spans="31:32">
      <c r="AE3690" s="417" t="s">
        <v>13250</v>
      </c>
      <c r="AF3690" s="416" t="s">
        <v>13251</v>
      </c>
    </row>
    <row r="3691" spans="31:32">
      <c r="AE3691" s="417" t="s">
        <v>13252</v>
      </c>
      <c r="AF3691" s="416" t="s">
        <v>13253</v>
      </c>
    </row>
    <row r="3692" spans="31:32">
      <c r="AE3692" s="417" t="s">
        <v>13254</v>
      </c>
      <c r="AF3692" s="416" t="s">
        <v>13255</v>
      </c>
    </row>
    <row r="3693" spans="31:32">
      <c r="AE3693" s="417" t="s">
        <v>13256</v>
      </c>
      <c r="AF3693" s="416" t="s">
        <v>13257</v>
      </c>
    </row>
    <row r="3694" spans="31:32">
      <c r="AE3694" s="417" t="s">
        <v>13258</v>
      </c>
      <c r="AF3694" s="416" t="s">
        <v>13259</v>
      </c>
    </row>
    <row r="3695" spans="31:32">
      <c r="AE3695" s="417" t="s">
        <v>13260</v>
      </c>
      <c r="AF3695" s="416" t="s">
        <v>13261</v>
      </c>
    </row>
    <row r="3696" spans="31:32">
      <c r="AE3696" s="417" t="s">
        <v>13262</v>
      </c>
      <c r="AF3696" s="416" t="s">
        <v>13263</v>
      </c>
    </row>
    <row r="3697" spans="31:32">
      <c r="AE3697" s="417" t="s">
        <v>13264</v>
      </c>
      <c r="AF3697" s="416" t="s">
        <v>13265</v>
      </c>
    </row>
    <row r="3698" spans="31:32">
      <c r="AE3698" s="417" t="s">
        <v>13266</v>
      </c>
      <c r="AF3698" s="416" t="s">
        <v>13267</v>
      </c>
    </row>
    <row r="3699" spans="31:32">
      <c r="AE3699" s="417" t="s">
        <v>13268</v>
      </c>
      <c r="AF3699" s="416" t="s">
        <v>13269</v>
      </c>
    </row>
    <row r="3700" spans="31:32">
      <c r="AE3700" s="417" t="s">
        <v>13270</v>
      </c>
      <c r="AF3700" s="416" t="s">
        <v>13271</v>
      </c>
    </row>
    <row r="3701" spans="31:32">
      <c r="AE3701" s="417" t="s">
        <v>13272</v>
      </c>
      <c r="AF3701" s="416" t="s">
        <v>13273</v>
      </c>
    </row>
    <row r="3702" spans="31:32">
      <c r="AE3702" s="417" t="s">
        <v>13274</v>
      </c>
      <c r="AF3702" s="416" t="s">
        <v>13275</v>
      </c>
    </row>
    <row r="3703" spans="31:32">
      <c r="AE3703" s="417" t="s">
        <v>13276</v>
      </c>
      <c r="AF3703" s="416" t="s">
        <v>13277</v>
      </c>
    </row>
    <row r="3704" spans="31:32">
      <c r="AE3704" s="417" t="s">
        <v>13278</v>
      </c>
      <c r="AF3704" s="416" t="s">
        <v>13279</v>
      </c>
    </row>
    <row r="3705" spans="31:32">
      <c r="AE3705" s="417" t="s">
        <v>13280</v>
      </c>
      <c r="AF3705" s="416" t="s">
        <v>13281</v>
      </c>
    </row>
    <row r="3706" spans="31:32">
      <c r="AE3706" s="417" t="s">
        <v>13282</v>
      </c>
      <c r="AF3706" s="416" t="s">
        <v>13283</v>
      </c>
    </row>
    <row r="3707" spans="31:32">
      <c r="AE3707" s="417" t="s">
        <v>13284</v>
      </c>
      <c r="AF3707" s="416" t="s">
        <v>13285</v>
      </c>
    </row>
    <row r="3708" spans="31:32">
      <c r="AE3708" s="417" t="s">
        <v>13286</v>
      </c>
      <c r="AF3708" s="416" t="s">
        <v>13287</v>
      </c>
    </row>
    <row r="3709" spans="31:32">
      <c r="AE3709" s="417" t="s">
        <v>13288</v>
      </c>
      <c r="AF3709" s="416" t="s">
        <v>13289</v>
      </c>
    </row>
    <row r="3710" spans="31:32">
      <c r="AE3710" s="417" t="s">
        <v>13290</v>
      </c>
      <c r="AF3710" s="416" t="s">
        <v>13291</v>
      </c>
    </row>
    <row r="3711" spans="31:32">
      <c r="AE3711" s="417" t="s">
        <v>13292</v>
      </c>
      <c r="AF3711" s="416" t="s">
        <v>13293</v>
      </c>
    </row>
    <row r="3712" spans="31:32">
      <c r="AE3712" s="417" t="s">
        <v>13294</v>
      </c>
      <c r="AF3712" s="416" t="s">
        <v>13295</v>
      </c>
    </row>
    <row r="3713" spans="31:32">
      <c r="AE3713" s="417" t="s">
        <v>13296</v>
      </c>
      <c r="AF3713" s="416" t="s">
        <v>13297</v>
      </c>
    </row>
    <row r="3714" spans="31:32">
      <c r="AE3714" s="417" t="s">
        <v>13298</v>
      </c>
      <c r="AF3714" s="416" t="s">
        <v>13299</v>
      </c>
    </row>
    <row r="3715" spans="31:32">
      <c r="AE3715" s="417" t="s">
        <v>13300</v>
      </c>
      <c r="AF3715" s="416" t="s">
        <v>13301</v>
      </c>
    </row>
    <row r="3716" spans="31:32">
      <c r="AE3716" s="417" t="s">
        <v>13302</v>
      </c>
      <c r="AF3716" s="416" t="s">
        <v>13303</v>
      </c>
    </row>
    <row r="3717" spans="31:32">
      <c r="AE3717" s="417" t="s">
        <v>13304</v>
      </c>
      <c r="AF3717" s="416" t="s">
        <v>13305</v>
      </c>
    </row>
    <row r="3718" spans="31:32">
      <c r="AE3718" s="417" t="s">
        <v>13306</v>
      </c>
      <c r="AF3718" s="416" t="s">
        <v>13307</v>
      </c>
    </row>
    <row r="3719" spans="31:32">
      <c r="AE3719" s="417" t="s">
        <v>13308</v>
      </c>
      <c r="AF3719" s="416" t="s">
        <v>13309</v>
      </c>
    </row>
    <row r="3720" spans="31:32">
      <c r="AE3720" s="417" t="s">
        <v>13310</v>
      </c>
      <c r="AF3720" s="416" t="s">
        <v>13311</v>
      </c>
    </row>
    <row r="3721" spans="31:32">
      <c r="AE3721" s="417" t="s">
        <v>13312</v>
      </c>
      <c r="AF3721" s="416" t="s">
        <v>13313</v>
      </c>
    </row>
    <row r="3722" spans="31:32">
      <c r="AE3722" s="417" t="s">
        <v>13314</v>
      </c>
      <c r="AF3722" s="416" t="s">
        <v>13315</v>
      </c>
    </row>
    <row r="3723" spans="31:32">
      <c r="AE3723" s="417" t="s">
        <v>13316</v>
      </c>
      <c r="AF3723" s="416" t="s">
        <v>13317</v>
      </c>
    </row>
    <row r="3724" spans="31:32">
      <c r="AE3724" s="417" t="s">
        <v>13318</v>
      </c>
      <c r="AF3724" s="416" t="s">
        <v>13319</v>
      </c>
    </row>
    <row r="3725" spans="31:32">
      <c r="AE3725" s="417" t="s">
        <v>13320</v>
      </c>
      <c r="AF3725" s="416" t="s">
        <v>13321</v>
      </c>
    </row>
    <row r="3726" spans="31:32">
      <c r="AE3726" s="417" t="s">
        <v>13322</v>
      </c>
      <c r="AF3726" s="416" t="s">
        <v>13323</v>
      </c>
    </row>
    <row r="3727" spans="31:32">
      <c r="AE3727" s="417" t="s">
        <v>13324</v>
      </c>
      <c r="AF3727" s="416" t="s">
        <v>13325</v>
      </c>
    </row>
    <row r="3728" spans="31:32">
      <c r="AE3728" s="417" t="s">
        <v>13326</v>
      </c>
      <c r="AF3728" s="416" t="s">
        <v>13327</v>
      </c>
    </row>
    <row r="3729" spans="31:32">
      <c r="AE3729" s="417" t="s">
        <v>13328</v>
      </c>
      <c r="AF3729" s="416" t="s">
        <v>13329</v>
      </c>
    </row>
    <row r="3730" spans="31:32">
      <c r="AE3730" s="417" t="s">
        <v>13330</v>
      </c>
      <c r="AF3730" s="416" t="s">
        <v>13331</v>
      </c>
    </row>
    <row r="3731" spans="31:32">
      <c r="AE3731" s="417" t="s">
        <v>13332</v>
      </c>
      <c r="AF3731" s="416" t="s">
        <v>13333</v>
      </c>
    </row>
    <row r="3732" spans="31:32">
      <c r="AE3732" s="417" t="s">
        <v>13334</v>
      </c>
      <c r="AF3732" s="416" t="s">
        <v>13335</v>
      </c>
    </row>
    <row r="3733" spans="31:32">
      <c r="AE3733" s="417" t="s">
        <v>13336</v>
      </c>
      <c r="AF3733" s="416" t="s">
        <v>13337</v>
      </c>
    </row>
    <row r="3734" spans="31:32">
      <c r="AE3734" s="417" t="s">
        <v>13338</v>
      </c>
      <c r="AF3734" s="416" t="s">
        <v>13339</v>
      </c>
    </row>
    <row r="3735" spans="31:32">
      <c r="AE3735" s="417" t="s">
        <v>13340</v>
      </c>
      <c r="AF3735" s="416" t="s">
        <v>13341</v>
      </c>
    </row>
    <row r="3736" spans="31:32">
      <c r="AE3736" s="417" t="s">
        <v>13342</v>
      </c>
      <c r="AF3736" s="416" t="s">
        <v>13343</v>
      </c>
    </row>
    <row r="3737" spans="31:32">
      <c r="AE3737" s="417" t="s">
        <v>13344</v>
      </c>
      <c r="AF3737" s="416" t="s">
        <v>13345</v>
      </c>
    </row>
    <row r="3738" spans="31:32">
      <c r="AE3738" s="417" t="s">
        <v>13346</v>
      </c>
      <c r="AF3738" s="416" t="s">
        <v>13347</v>
      </c>
    </row>
    <row r="3739" spans="31:32">
      <c r="AE3739" s="417" t="s">
        <v>13348</v>
      </c>
      <c r="AF3739" s="416" t="s">
        <v>13349</v>
      </c>
    </row>
    <row r="3740" spans="31:32">
      <c r="AE3740" s="417" t="s">
        <v>13350</v>
      </c>
      <c r="AF3740" s="416" t="s">
        <v>13351</v>
      </c>
    </row>
    <row r="3741" spans="31:32">
      <c r="AE3741" s="417" t="s">
        <v>13352</v>
      </c>
      <c r="AF3741" s="416" t="s">
        <v>13353</v>
      </c>
    </row>
    <row r="3742" spans="31:32">
      <c r="AE3742" s="417" t="s">
        <v>13354</v>
      </c>
      <c r="AF3742" s="416" t="s">
        <v>13355</v>
      </c>
    </row>
    <row r="3743" spans="31:32">
      <c r="AE3743" s="417" t="s">
        <v>13356</v>
      </c>
      <c r="AF3743" s="416" t="s">
        <v>13357</v>
      </c>
    </row>
    <row r="3744" spans="31:32">
      <c r="AE3744" s="417" t="s">
        <v>13358</v>
      </c>
      <c r="AF3744" s="416" t="s">
        <v>13359</v>
      </c>
    </row>
    <row r="3745" spans="31:32">
      <c r="AE3745" s="417" t="s">
        <v>13360</v>
      </c>
      <c r="AF3745" s="416" t="s">
        <v>13361</v>
      </c>
    </row>
    <row r="3746" spans="31:32">
      <c r="AE3746" s="417" t="s">
        <v>13362</v>
      </c>
      <c r="AF3746" s="416" t="s">
        <v>13363</v>
      </c>
    </row>
    <row r="3747" spans="31:32">
      <c r="AE3747" s="417" t="s">
        <v>13364</v>
      </c>
      <c r="AF3747" s="416" t="s">
        <v>13365</v>
      </c>
    </row>
    <row r="3748" spans="31:32">
      <c r="AE3748" s="417" t="s">
        <v>13366</v>
      </c>
      <c r="AF3748" s="416" t="s">
        <v>13367</v>
      </c>
    </row>
    <row r="3749" spans="31:32">
      <c r="AE3749" s="417" t="s">
        <v>13368</v>
      </c>
      <c r="AF3749" s="416" t="s">
        <v>13369</v>
      </c>
    </row>
    <row r="3750" spans="31:32">
      <c r="AE3750" s="417" t="s">
        <v>13370</v>
      </c>
      <c r="AF3750" s="416" t="s">
        <v>13371</v>
      </c>
    </row>
    <row r="3751" spans="31:32">
      <c r="AE3751" s="417" t="s">
        <v>13372</v>
      </c>
      <c r="AF3751" s="416" t="s">
        <v>13373</v>
      </c>
    </row>
    <row r="3752" spans="31:32">
      <c r="AE3752" s="417" t="s">
        <v>13374</v>
      </c>
      <c r="AF3752" s="416" t="s">
        <v>13375</v>
      </c>
    </row>
    <row r="3753" spans="31:32">
      <c r="AE3753" s="417" t="s">
        <v>13376</v>
      </c>
      <c r="AF3753" s="416" t="s">
        <v>13377</v>
      </c>
    </row>
    <row r="3754" spans="31:32">
      <c r="AE3754" s="417" t="s">
        <v>13378</v>
      </c>
      <c r="AF3754" s="416" t="s">
        <v>13379</v>
      </c>
    </row>
    <row r="3755" spans="31:32">
      <c r="AE3755" s="417" t="s">
        <v>13380</v>
      </c>
      <c r="AF3755" s="416" t="s">
        <v>13381</v>
      </c>
    </row>
    <row r="3756" spans="31:32">
      <c r="AE3756" s="417" t="s">
        <v>13382</v>
      </c>
      <c r="AF3756" s="416" t="s">
        <v>13383</v>
      </c>
    </row>
    <row r="3757" spans="31:32">
      <c r="AE3757" s="417" t="s">
        <v>13384</v>
      </c>
      <c r="AF3757" s="416" t="s">
        <v>13385</v>
      </c>
    </row>
    <row r="3758" spans="31:32">
      <c r="AE3758" s="417" t="s">
        <v>13386</v>
      </c>
      <c r="AF3758" s="416" t="s">
        <v>13387</v>
      </c>
    </row>
    <row r="3759" spans="31:32">
      <c r="AE3759" s="417" t="s">
        <v>13388</v>
      </c>
      <c r="AF3759" s="416" t="s">
        <v>13389</v>
      </c>
    </row>
    <row r="3760" spans="31:32">
      <c r="AE3760" s="417" t="s">
        <v>13390</v>
      </c>
      <c r="AF3760" s="416" t="s">
        <v>13391</v>
      </c>
    </row>
    <row r="3761" spans="31:32">
      <c r="AE3761" s="417" t="s">
        <v>13392</v>
      </c>
      <c r="AF3761" s="416" t="s">
        <v>13393</v>
      </c>
    </row>
    <row r="3762" spans="31:32">
      <c r="AE3762" s="417" t="s">
        <v>13394</v>
      </c>
      <c r="AF3762" s="416" t="s">
        <v>13395</v>
      </c>
    </row>
    <row r="3763" spans="31:32">
      <c r="AE3763" s="417" t="s">
        <v>13396</v>
      </c>
      <c r="AF3763" s="416" t="s">
        <v>13397</v>
      </c>
    </row>
    <row r="3764" spans="31:32">
      <c r="AE3764" s="417" t="s">
        <v>13398</v>
      </c>
      <c r="AF3764" s="416" t="s">
        <v>13399</v>
      </c>
    </row>
    <row r="3765" spans="31:32">
      <c r="AE3765" s="417" t="s">
        <v>13400</v>
      </c>
      <c r="AF3765" s="416" t="s">
        <v>13401</v>
      </c>
    </row>
    <row r="3766" spans="31:32">
      <c r="AE3766" s="417" t="s">
        <v>13402</v>
      </c>
      <c r="AF3766" s="416" t="s">
        <v>13403</v>
      </c>
    </row>
    <row r="3767" spans="31:32">
      <c r="AE3767" s="417" t="s">
        <v>13404</v>
      </c>
      <c r="AF3767" s="416" t="s">
        <v>13405</v>
      </c>
    </row>
    <row r="3768" spans="31:32">
      <c r="AE3768" s="417" t="s">
        <v>13406</v>
      </c>
      <c r="AF3768" s="416" t="s">
        <v>13407</v>
      </c>
    </row>
    <row r="3769" spans="31:32">
      <c r="AE3769" s="417" t="s">
        <v>13408</v>
      </c>
      <c r="AF3769" s="416" t="s">
        <v>13409</v>
      </c>
    </row>
    <row r="3770" spans="31:32">
      <c r="AE3770" s="417" t="s">
        <v>13410</v>
      </c>
      <c r="AF3770" s="416" t="s">
        <v>13411</v>
      </c>
    </row>
    <row r="3771" spans="31:32">
      <c r="AE3771" s="417" t="s">
        <v>13412</v>
      </c>
      <c r="AF3771" s="416" t="s">
        <v>13413</v>
      </c>
    </row>
    <row r="3772" spans="31:32">
      <c r="AE3772" s="417" t="s">
        <v>13414</v>
      </c>
      <c r="AF3772" s="416" t="s">
        <v>13415</v>
      </c>
    </row>
    <row r="3773" spans="31:32">
      <c r="AE3773" s="417" t="s">
        <v>13416</v>
      </c>
      <c r="AF3773" s="416" t="s">
        <v>13417</v>
      </c>
    </row>
    <row r="3774" spans="31:32">
      <c r="AE3774" s="417" t="s">
        <v>13418</v>
      </c>
      <c r="AF3774" s="416" t="s">
        <v>13419</v>
      </c>
    </row>
    <row r="3775" spans="31:32">
      <c r="AE3775" s="417" t="s">
        <v>13420</v>
      </c>
      <c r="AF3775" s="416" t="s">
        <v>13421</v>
      </c>
    </row>
    <row r="3776" spans="31:32">
      <c r="AE3776" s="417" t="s">
        <v>13422</v>
      </c>
      <c r="AF3776" s="416" t="s">
        <v>13423</v>
      </c>
    </row>
    <row r="3777" spans="31:32">
      <c r="AE3777" s="417" t="s">
        <v>13424</v>
      </c>
      <c r="AF3777" s="416" t="s">
        <v>13425</v>
      </c>
    </row>
    <row r="3778" spans="31:32">
      <c r="AE3778" s="417" t="s">
        <v>13426</v>
      </c>
      <c r="AF3778" s="416" t="s">
        <v>13427</v>
      </c>
    </row>
    <row r="3779" spans="31:32">
      <c r="AE3779" s="417" t="s">
        <v>13428</v>
      </c>
      <c r="AF3779" s="416" t="s">
        <v>13429</v>
      </c>
    </row>
    <row r="3780" spans="31:32">
      <c r="AE3780" s="417" t="s">
        <v>13430</v>
      </c>
      <c r="AF3780" s="416" t="s">
        <v>13431</v>
      </c>
    </row>
    <row r="3781" spans="31:32">
      <c r="AE3781" s="417" t="s">
        <v>13432</v>
      </c>
      <c r="AF3781" s="416" t="s">
        <v>13433</v>
      </c>
    </row>
    <row r="3782" spans="31:32">
      <c r="AE3782" s="417" t="s">
        <v>13434</v>
      </c>
      <c r="AF3782" s="416" t="s">
        <v>13435</v>
      </c>
    </row>
    <row r="3783" spans="31:32">
      <c r="AE3783" s="417" t="s">
        <v>13436</v>
      </c>
      <c r="AF3783" s="416" t="s">
        <v>13437</v>
      </c>
    </row>
    <row r="3784" spans="31:32">
      <c r="AE3784" s="417" t="s">
        <v>13438</v>
      </c>
      <c r="AF3784" s="416" t="s">
        <v>13439</v>
      </c>
    </row>
    <row r="3785" spans="31:32">
      <c r="AE3785" s="417" t="s">
        <v>13440</v>
      </c>
      <c r="AF3785" s="416" t="s">
        <v>13441</v>
      </c>
    </row>
    <row r="3786" spans="31:32">
      <c r="AE3786" s="417" t="s">
        <v>13442</v>
      </c>
      <c r="AF3786" s="416" t="s">
        <v>13443</v>
      </c>
    </row>
    <row r="3787" spans="31:32">
      <c r="AE3787" s="417" t="s">
        <v>13444</v>
      </c>
      <c r="AF3787" s="416" t="s">
        <v>13445</v>
      </c>
    </row>
    <row r="3788" spans="31:32">
      <c r="AE3788" s="417" t="s">
        <v>13446</v>
      </c>
      <c r="AF3788" s="416" t="s">
        <v>13447</v>
      </c>
    </row>
    <row r="3789" spans="31:32">
      <c r="AE3789" s="417" t="s">
        <v>13448</v>
      </c>
      <c r="AF3789" s="416" t="s">
        <v>13449</v>
      </c>
    </row>
    <row r="3790" spans="31:32">
      <c r="AE3790" s="417" t="s">
        <v>13450</v>
      </c>
      <c r="AF3790" s="416" t="s">
        <v>13451</v>
      </c>
    </row>
    <row r="3791" spans="31:32">
      <c r="AE3791" s="417" t="s">
        <v>13452</v>
      </c>
      <c r="AF3791" s="416" t="s">
        <v>13453</v>
      </c>
    </row>
    <row r="3792" spans="31:32">
      <c r="AE3792" s="417" t="s">
        <v>13454</v>
      </c>
      <c r="AF3792" s="416" t="s">
        <v>13455</v>
      </c>
    </row>
    <row r="3793" spans="31:32">
      <c r="AE3793" s="417" t="s">
        <v>13456</v>
      </c>
      <c r="AF3793" s="416" t="s">
        <v>13457</v>
      </c>
    </row>
    <row r="3794" spans="31:32">
      <c r="AE3794" s="417" t="s">
        <v>13458</v>
      </c>
      <c r="AF3794" s="416" t="s">
        <v>13459</v>
      </c>
    </row>
    <row r="3795" spans="31:32">
      <c r="AE3795" s="417" t="s">
        <v>13460</v>
      </c>
      <c r="AF3795" s="416" t="s">
        <v>13461</v>
      </c>
    </row>
    <row r="3796" spans="31:32">
      <c r="AE3796" s="417" t="s">
        <v>13462</v>
      </c>
      <c r="AF3796" s="416" t="s">
        <v>13463</v>
      </c>
    </row>
    <row r="3797" spans="31:32">
      <c r="AE3797" s="417" t="s">
        <v>13464</v>
      </c>
      <c r="AF3797" s="416" t="s">
        <v>13465</v>
      </c>
    </row>
    <row r="3798" spans="31:32">
      <c r="AE3798" s="417" t="s">
        <v>13466</v>
      </c>
      <c r="AF3798" s="416" t="s">
        <v>13467</v>
      </c>
    </row>
    <row r="3799" spans="31:32">
      <c r="AE3799" s="417" t="s">
        <v>13468</v>
      </c>
      <c r="AF3799" s="416" t="s">
        <v>13469</v>
      </c>
    </row>
    <row r="3800" spans="31:32">
      <c r="AE3800" s="417" t="s">
        <v>13470</v>
      </c>
      <c r="AF3800" s="416" t="s">
        <v>13471</v>
      </c>
    </row>
    <row r="3801" spans="31:32">
      <c r="AE3801" s="417" t="s">
        <v>13472</v>
      </c>
      <c r="AF3801" s="416" t="s">
        <v>13473</v>
      </c>
    </row>
    <row r="3802" spans="31:32">
      <c r="AE3802" s="417" t="s">
        <v>13474</v>
      </c>
      <c r="AF3802" s="416" t="s">
        <v>13475</v>
      </c>
    </row>
    <row r="3803" spans="31:32">
      <c r="AE3803" s="417" t="s">
        <v>13476</v>
      </c>
      <c r="AF3803" s="416" t="s">
        <v>13477</v>
      </c>
    </row>
    <row r="3804" spans="31:32">
      <c r="AE3804" s="417" t="s">
        <v>13478</v>
      </c>
      <c r="AF3804" s="416" t="s">
        <v>13479</v>
      </c>
    </row>
    <row r="3805" spans="31:32">
      <c r="AE3805" s="417" t="s">
        <v>13480</v>
      </c>
      <c r="AF3805" s="416" t="s">
        <v>13481</v>
      </c>
    </row>
    <row r="3806" spans="31:32">
      <c r="AE3806" s="417" t="s">
        <v>13482</v>
      </c>
      <c r="AF3806" s="416" t="s">
        <v>13483</v>
      </c>
    </row>
    <row r="3807" spans="31:32">
      <c r="AE3807" s="417" t="s">
        <v>13484</v>
      </c>
      <c r="AF3807" s="416" t="s">
        <v>13485</v>
      </c>
    </row>
    <row r="3808" spans="31:32">
      <c r="AE3808" s="417" t="s">
        <v>13486</v>
      </c>
      <c r="AF3808" s="416" t="s">
        <v>13487</v>
      </c>
    </row>
    <row r="3809" spans="31:32">
      <c r="AE3809" s="417" t="s">
        <v>13488</v>
      </c>
      <c r="AF3809" s="416" t="s">
        <v>13489</v>
      </c>
    </row>
    <row r="3810" spans="31:32">
      <c r="AE3810" s="417" t="s">
        <v>13490</v>
      </c>
      <c r="AF3810" s="416" t="s">
        <v>13491</v>
      </c>
    </row>
    <row r="3811" spans="31:32">
      <c r="AE3811" s="417" t="s">
        <v>13492</v>
      </c>
      <c r="AF3811" s="416" t="s">
        <v>13493</v>
      </c>
    </row>
    <row r="3812" spans="31:32">
      <c r="AE3812" s="417" t="s">
        <v>13494</v>
      </c>
      <c r="AF3812" s="416" t="s">
        <v>13495</v>
      </c>
    </row>
    <row r="3813" spans="31:32">
      <c r="AE3813" s="417" t="s">
        <v>13496</v>
      </c>
      <c r="AF3813" s="416" t="s">
        <v>13497</v>
      </c>
    </row>
    <row r="3814" spans="31:32">
      <c r="AE3814" s="417" t="s">
        <v>13498</v>
      </c>
      <c r="AF3814" s="416" t="s">
        <v>13499</v>
      </c>
    </row>
    <row r="3815" spans="31:32">
      <c r="AE3815" s="417" t="s">
        <v>13500</v>
      </c>
      <c r="AF3815" s="416" t="s">
        <v>13501</v>
      </c>
    </row>
    <row r="3816" spans="31:32">
      <c r="AE3816" s="417" t="s">
        <v>13502</v>
      </c>
      <c r="AF3816" s="416" t="s">
        <v>13503</v>
      </c>
    </row>
    <row r="3817" spans="31:32">
      <c r="AE3817" s="417" t="s">
        <v>13504</v>
      </c>
      <c r="AF3817" s="416" t="s">
        <v>13505</v>
      </c>
    </row>
    <row r="3818" spans="31:32">
      <c r="AE3818" s="417" t="s">
        <v>13506</v>
      </c>
      <c r="AF3818" s="416" t="s">
        <v>13507</v>
      </c>
    </row>
    <row r="3819" spans="31:32">
      <c r="AE3819" s="417" t="s">
        <v>13508</v>
      </c>
      <c r="AF3819" s="416" t="s">
        <v>13509</v>
      </c>
    </row>
    <row r="3820" spans="31:32">
      <c r="AE3820" s="417" t="s">
        <v>13510</v>
      </c>
      <c r="AF3820" s="416" t="s">
        <v>13511</v>
      </c>
    </row>
    <row r="3821" spans="31:32">
      <c r="AE3821" s="417" t="s">
        <v>13512</v>
      </c>
      <c r="AF3821" s="416" t="s">
        <v>13513</v>
      </c>
    </row>
    <row r="3822" spans="31:32">
      <c r="AE3822" s="417" t="s">
        <v>13514</v>
      </c>
      <c r="AF3822" s="416" t="s">
        <v>13515</v>
      </c>
    </row>
    <row r="3823" spans="31:32">
      <c r="AE3823" s="417" t="s">
        <v>13516</v>
      </c>
      <c r="AF3823" s="416" t="s">
        <v>13517</v>
      </c>
    </row>
    <row r="3824" spans="31:32">
      <c r="AE3824" s="417" t="s">
        <v>13518</v>
      </c>
      <c r="AF3824" s="416" t="s">
        <v>13519</v>
      </c>
    </row>
    <row r="3825" spans="31:32">
      <c r="AE3825" s="417" t="s">
        <v>13520</v>
      </c>
      <c r="AF3825" s="416" t="s">
        <v>13521</v>
      </c>
    </row>
    <row r="3826" spans="31:32">
      <c r="AE3826" s="417" t="s">
        <v>13522</v>
      </c>
      <c r="AF3826" s="416" t="s">
        <v>13523</v>
      </c>
    </row>
    <row r="3827" spans="31:32">
      <c r="AE3827" s="417" t="s">
        <v>13524</v>
      </c>
      <c r="AF3827" s="416" t="s">
        <v>13525</v>
      </c>
    </row>
    <row r="3828" spans="31:32">
      <c r="AE3828" s="417" t="s">
        <v>13526</v>
      </c>
      <c r="AF3828" s="416" t="s">
        <v>13527</v>
      </c>
    </row>
    <row r="3829" spans="31:32">
      <c r="AE3829" s="417" t="s">
        <v>13528</v>
      </c>
      <c r="AF3829" s="416" t="s">
        <v>13529</v>
      </c>
    </row>
    <row r="3830" spans="31:32">
      <c r="AE3830" s="417" t="s">
        <v>13530</v>
      </c>
      <c r="AF3830" s="416" t="s">
        <v>13531</v>
      </c>
    </row>
    <row r="3831" spans="31:32">
      <c r="AE3831" s="417" t="s">
        <v>13532</v>
      </c>
      <c r="AF3831" s="416" t="s">
        <v>13533</v>
      </c>
    </row>
    <row r="3832" spans="31:32">
      <c r="AE3832" s="417" t="s">
        <v>13534</v>
      </c>
      <c r="AF3832" s="416" t="s">
        <v>13535</v>
      </c>
    </row>
    <row r="3833" spans="31:32">
      <c r="AE3833" s="417" t="s">
        <v>13536</v>
      </c>
      <c r="AF3833" s="416" t="s">
        <v>13537</v>
      </c>
    </row>
    <row r="3834" spans="31:32">
      <c r="AE3834" s="417" t="s">
        <v>13538</v>
      </c>
      <c r="AF3834" s="416" t="s">
        <v>13539</v>
      </c>
    </row>
    <row r="3835" spans="31:32">
      <c r="AE3835" s="417" t="s">
        <v>13540</v>
      </c>
      <c r="AF3835" s="416" t="s">
        <v>13541</v>
      </c>
    </row>
    <row r="3836" spans="31:32">
      <c r="AE3836" s="417" t="s">
        <v>13542</v>
      </c>
      <c r="AF3836" s="416" t="s">
        <v>13543</v>
      </c>
    </row>
    <row r="3837" spans="31:32">
      <c r="AE3837" s="417" t="s">
        <v>13544</v>
      </c>
      <c r="AF3837" s="416" t="s">
        <v>13545</v>
      </c>
    </row>
    <row r="3838" spans="31:32">
      <c r="AE3838" s="417" t="s">
        <v>13546</v>
      </c>
      <c r="AF3838" s="416" t="s">
        <v>13547</v>
      </c>
    </row>
    <row r="3839" spans="31:32">
      <c r="AE3839" s="417" t="s">
        <v>13548</v>
      </c>
      <c r="AF3839" s="416" t="s">
        <v>13549</v>
      </c>
    </row>
    <row r="3840" spans="31:32">
      <c r="AE3840" s="417" t="s">
        <v>13550</v>
      </c>
      <c r="AF3840" s="416" t="s">
        <v>13551</v>
      </c>
    </row>
    <row r="3841" spans="31:32">
      <c r="AE3841" s="417" t="s">
        <v>13552</v>
      </c>
      <c r="AF3841" s="416" t="s">
        <v>13553</v>
      </c>
    </row>
    <row r="3842" spans="31:32">
      <c r="AE3842" s="417" t="s">
        <v>13554</v>
      </c>
      <c r="AF3842" s="416" t="s">
        <v>13555</v>
      </c>
    </row>
    <row r="3843" spans="31:32">
      <c r="AE3843" s="417" t="s">
        <v>13556</v>
      </c>
      <c r="AF3843" s="416" t="s">
        <v>13557</v>
      </c>
    </row>
    <row r="3844" spans="31:32">
      <c r="AE3844" s="417" t="s">
        <v>13558</v>
      </c>
      <c r="AF3844" s="416" t="s">
        <v>13559</v>
      </c>
    </row>
    <row r="3845" spans="31:32">
      <c r="AE3845" s="417" t="s">
        <v>13560</v>
      </c>
      <c r="AF3845" s="416" t="s">
        <v>13561</v>
      </c>
    </row>
    <row r="3846" spans="31:32">
      <c r="AE3846" s="417" t="s">
        <v>13562</v>
      </c>
      <c r="AF3846" s="416" t="s">
        <v>13563</v>
      </c>
    </row>
    <row r="3847" spans="31:32">
      <c r="AE3847" s="417" t="s">
        <v>13564</v>
      </c>
      <c r="AF3847" s="416" t="s">
        <v>13565</v>
      </c>
    </row>
    <row r="3848" spans="31:32">
      <c r="AE3848" s="417" t="s">
        <v>13566</v>
      </c>
      <c r="AF3848" s="416" t="s">
        <v>13567</v>
      </c>
    </row>
    <row r="3849" spans="31:32">
      <c r="AE3849" s="417" t="s">
        <v>13568</v>
      </c>
      <c r="AF3849" s="416" t="s">
        <v>13569</v>
      </c>
    </row>
    <row r="3850" spans="31:32">
      <c r="AE3850" s="417" t="s">
        <v>13570</v>
      </c>
      <c r="AF3850" s="416" t="s">
        <v>13571</v>
      </c>
    </row>
    <row r="3851" spans="31:32">
      <c r="AE3851" s="417" t="s">
        <v>13572</v>
      </c>
      <c r="AF3851" s="416" t="s">
        <v>13573</v>
      </c>
    </row>
    <row r="3852" spans="31:32">
      <c r="AE3852" s="417" t="s">
        <v>13574</v>
      </c>
      <c r="AF3852" s="416" t="s">
        <v>13575</v>
      </c>
    </row>
    <row r="3853" spans="31:32">
      <c r="AE3853" s="417" t="s">
        <v>13576</v>
      </c>
      <c r="AF3853" s="416" t="s">
        <v>13577</v>
      </c>
    </row>
    <row r="3854" spans="31:32">
      <c r="AE3854" s="417" t="s">
        <v>13578</v>
      </c>
      <c r="AF3854" s="416" t="s">
        <v>13579</v>
      </c>
    </row>
    <row r="3855" spans="31:32">
      <c r="AE3855" s="417" t="s">
        <v>13580</v>
      </c>
      <c r="AF3855" s="416" t="s">
        <v>13581</v>
      </c>
    </row>
    <row r="3856" spans="31:32">
      <c r="AE3856" s="417" t="s">
        <v>13582</v>
      </c>
      <c r="AF3856" s="416" t="s">
        <v>13583</v>
      </c>
    </row>
    <row r="3857" spans="31:32">
      <c r="AE3857" s="417" t="s">
        <v>13584</v>
      </c>
      <c r="AF3857" s="416" t="s">
        <v>13585</v>
      </c>
    </row>
    <row r="3858" spans="31:32">
      <c r="AE3858" s="417" t="s">
        <v>13586</v>
      </c>
      <c r="AF3858" s="416" t="s">
        <v>13587</v>
      </c>
    </row>
    <row r="3859" spans="31:32">
      <c r="AE3859" s="417" t="s">
        <v>13588</v>
      </c>
      <c r="AF3859" s="416" t="s">
        <v>13589</v>
      </c>
    </row>
    <row r="3860" spans="31:32">
      <c r="AE3860" s="417" t="s">
        <v>13590</v>
      </c>
      <c r="AF3860" s="416" t="s">
        <v>13591</v>
      </c>
    </row>
    <row r="3861" spans="31:32">
      <c r="AE3861" s="417" t="s">
        <v>13592</v>
      </c>
      <c r="AF3861" s="416" t="s">
        <v>13593</v>
      </c>
    </row>
    <row r="3862" spans="31:32">
      <c r="AE3862" s="417" t="s">
        <v>13594</v>
      </c>
      <c r="AF3862" s="416" t="s">
        <v>13595</v>
      </c>
    </row>
    <row r="3863" spans="31:32">
      <c r="AE3863" s="417" t="s">
        <v>13596</v>
      </c>
      <c r="AF3863" s="416" t="s">
        <v>13597</v>
      </c>
    </row>
    <row r="3864" spans="31:32">
      <c r="AE3864" s="417" t="s">
        <v>13598</v>
      </c>
      <c r="AF3864" s="416" t="s">
        <v>13599</v>
      </c>
    </row>
    <row r="3865" spans="31:32">
      <c r="AE3865" s="417" t="s">
        <v>13600</v>
      </c>
      <c r="AF3865" s="416" t="s">
        <v>13601</v>
      </c>
    </row>
    <row r="3866" spans="31:32">
      <c r="AE3866" s="417" t="s">
        <v>13602</v>
      </c>
      <c r="AF3866" s="416" t="s">
        <v>13603</v>
      </c>
    </row>
    <row r="3867" spans="31:32">
      <c r="AE3867" s="417" t="s">
        <v>13604</v>
      </c>
      <c r="AF3867" s="416" t="s">
        <v>13605</v>
      </c>
    </row>
    <row r="3868" spans="31:32">
      <c r="AE3868" s="417" t="s">
        <v>13606</v>
      </c>
      <c r="AF3868" s="416" t="s">
        <v>13607</v>
      </c>
    </row>
    <row r="3869" spans="31:32">
      <c r="AE3869" s="417" t="s">
        <v>13608</v>
      </c>
      <c r="AF3869" s="416" t="s">
        <v>13609</v>
      </c>
    </row>
    <row r="3870" spans="31:32">
      <c r="AE3870" s="417" t="s">
        <v>13610</v>
      </c>
      <c r="AF3870" s="416" t="s">
        <v>13611</v>
      </c>
    </row>
    <row r="3871" spans="31:32">
      <c r="AE3871" s="417" t="s">
        <v>13612</v>
      </c>
      <c r="AF3871" s="416" t="s">
        <v>13613</v>
      </c>
    </row>
    <row r="3872" spans="31:32">
      <c r="AE3872" s="417" t="s">
        <v>13614</v>
      </c>
      <c r="AF3872" s="416" t="s">
        <v>13615</v>
      </c>
    </row>
    <row r="3873" spans="31:32">
      <c r="AE3873" s="417" t="s">
        <v>13616</v>
      </c>
      <c r="AF3873" s="416" t="s">
        <v>13617</v>
      </c>
    </row>
    <row r="3874" spans="31:32">
      <c r="AE3874" s="417" t="s">
        <v>13618</v>
      </c>
      <c r="AF3874" s="416" t="s">
        <v>13619</v>
      </c>
    </row>
    <row r="3875" spans="31:32">
      <c r="AE3875" s="417" t="s">
        <v>13620</v>
      </c>
      <c r="AF3875" s="416" t="s">
        <v>13621</v>
      </c>
    </row>
    <row r="3876" spans="31:32">
      <c r="AE3876" s="417" t="s">
        <v>13622</v>
      </c>
      <c r="AF3876" s="416" t="s">
        <v>13623</v>
      </c>
    </row>
    <row r="3877" spans="31:32">
      <c r="AE3877" s="417" t="s">
        <v>13624</v>
      </c>
      <c r="AF3877" s="416" t="s">
        <v>13625</v>
      </c>
    </row>
    <row r="3878" spans="31:32">
      <c r="AE3878" s="417" t="s">
        <v>13626</v>
      </c>
      <c r="AF3878" s="416" t="s">
        <v>13627</v>
      </c>
    </row>
    <row r="3879" spans="31:32">
      <c r="AE3879" s="417" t="s">
        <v>13628</v>
      </c>
      <c r="AF3879" s="416" t="s">
        <v>13629</v>
      </c>
    </row>
    <row r="3880" spans="31:32">
      <c r="AE3880" s="417" t="s">
        <v>13630</v>
      </c>
      <c r="AF3880" s="416" t="s">
        <v>13631</v>
      </c>
    </row>
    <row r="3881" spans="31:32">
      <c r="AE3881" s="417" t="s">
        <v>13632</v>
      </c>
      <c r="AF3881" s="416" t="s">
        <v>13633</v>
      </c>
    </row>
    <row r="3882" spans="31:32">
      <c r="AE3882" s="417" t="s">
        <v>13634</v>
      </c>
      <c r="AF3882" s="416" t="s">
        <v>13635</v>
      </c>
    </row>
    <row r="3883" spans="31:32">
      <c r="AE3883" s="417" t="s">
        <v>13636</v>
      </c>
      <c r="AF3883" s="416" t="s">
        <v>13637</v>
      </c>
    </row>
    <row r="3884" spans="31:32">
      <c r="AE3884" s="417" t="s">
        <v>13638</v>
      </c>
      <c r="AF3884" s="416" t="s">
        <v>13639</v>
      </c>
    </row>
    <row r="3885" spans="31:32">
      <c r="AE3885" s="417" t="s">
        <v>13640</v>
      </c>
      <c r="AF3885" s="416" t="s">
        <v>13641</v>
      </c>
    </row>
    <row r="3886" spans="31:32">
      <c r="AE3886" s="417" t="s">
        <v>13642</v>
      </c>
      <c r="AF3886" s="416" t="s">
        <v>13643</v>
      </c>
    </row>
    <row r="3887" spans="31:32">
      <c r="AE3887" s="417" t="s">
        <v>13644</v>
      </c>
      <c r="AF3887" s="416" t="s">
        <v>13645</v>
      </c>
    </row>
    <row r="3888" spans="31:32">
      <c r="AE3888" s="417" t="s">
        <v>13646</v>
      </c>
      <c r="AF3888" s="416" t="s">
        <v>13647</v>
      </c>
    </row>
    <row r="3889" spans="31:32">
      <c r="AE3889" s="417" t="s">
        <v>13648</v>
      </c>
      <c r="AF3889" s="416" t="s">
        <v>13649</v>
      </c>
    </row>
    <row r="3890" spans="31:32">
      <c r="AE3890" s="417" t="s">
        <v>13650</v>
      </c>
      <c r="AF3890" s="416" t="s">
        <v>13651</v>
      </c>
    </row>
    <row r="3891" spans="31:32">
      <c r="AE3891" s="417" t="s">
        <v>13652</v>
      </c>
      <c r="AF3891" s="416" t="s">
        <v>13653</v>
      </c>
    </row>
    <row r="3892" spans="31:32">
      <c r="AE3892" s="417" t="s">
        <v>13654</v>
      </c>
      <c r="AF3892" s="416" t="s">
        <v>13655</v>
      </c>
    </row>
    <row r="3893" spans="31:32">
      <c r="AE3893" s="417" t="s">
        <v>13656</v>
      </c>
      <c r="AF3893" s="416" t="s">
        <v>13657</v>
      </c>
    </row>
    <row r="3894" spans="31:32">
      <c r="AE3894" s="417" t="s">
        <v>13658</v>
      </c>
      <c r="AF3894" s="416" t="s">
        <v>13659</v>
      </c>
    </row>
    <row r="3895" spans="31:32">
      <c r="AE3895" s="417" t="s">
        <v>13660</v>
      </c>
      <c r="AF3895" s="416" t="s">
        <v>13661</v>
      </c>
    </row>
    <row r="3896" spans="31:32">
      <c r="AE3896" s="417" t="s">
        <v>13662</v>
      </c>
      <c r="AF3896" s="416" t="s">
        <v>13663</v>
      </c>
    </row>
    <row r="3897" spans="31:32">
      <c r="AE3897" s="417" t="s">
        <v>13664</v>
      </c>
      <c r="AF3897" s="416" t="s">
        <v>13665</v>
      </c>
    </row>
    <row r="3898" spans="31:32">
      <c r="AE3898" s="417" t="s">
        <v>13666</v>
      </c>
      <c r="AF3898" s="416" t="s">
        <v>13667</v>
      </c>
    </row>
    <row r="3899" spans="31:32">
      <c r="AE3899" s="417" t="s">
        <v>13668</v>
      </c>
      <c r="AF3899" s="416" t="s">
        <v>13669</v>
      </c>
    </row>
    <row r="3900" spans="31:32">
      <c r="AE3900" s="417" t="s">
        <v>13670</v>
      </c>
      <c r="AF3900" s="416" t="s">
        <v>13671</v>
      </c>
    </row>
    <row r="3901" spans="31:32">
      <c r="AE3901" s="417" t="s">
        <v>13672</v>
      </c>
      <c r="AF3901" s="416" t="s">
        <v>13673</v>
      </c>
    </row>
    <row r="3902" spans="31:32">
      <c r="AE3902" s="417" t="s">
        <v>13674</v>
      </c>
      <c r="AF3902" s="416" t="s">
        <v>13675</v>
      </c>
    </row>
    <row r="3903" spans="31:32">
      <c r="AE3903" s="417" t="s">
        <v>13676</v>
      </c>
      <c r="AF3903" s="416" t="s">
        <v>13677</v>
      </c>
    </row>
    <row r="3904" spans="31:32">
      <c r="AE3904" s="417" t="s">
        <v>13678</v>
      </c>
      <c r="AF3904" s="416" t="s">
        <v>13679</v>
      </c>
    </row>
    <row r="3905" spans="31:32">
      <c r="AE3905" s="417" t="s">
        <v>13680</v>
      </c>
      <c r="AF3905" s="416" t="s">
        <v>13681</v>
      </c>
    </row>
    <row r="3906" spans="31:32">
      <c r="AE3906" s="417" t="s">
        <v>13682</v>
      </c>
      <c r="AF3906" s="416" t="s">
        <v>13683</v>
      </c>
    </row>
    <row r="3907" spans="31:32">
      <c r="AE3907" s="417" t="s">
        <v>13684</v>
      </c>
      <c r="AF3907" s="416" t="s">
        <v>13685</v>
      </c>
    </row>
    <row r="3908" spans="31:32">
      <c r="AE3908" s="417" t="s">
        <v>13686</v>
      </c>
      <c r="AF3908" s="416" t="s">
        <v>13687</v>
      </c>
    </row>
    <row r="3909" spans="31:32">
      <c r="AE3909" s="417" t="s">
        <v>13688</v>
      </c>
      <c r="AF3909" s="416" t="s">
        <v>13689</v>
      </c>
    </row>
    <row r="3910" spans="31:32">
      <c r="AE3910" s="417" t="s">
        <v>13690</v>
      </c>
      <c r="AF3910" s="416" t="s">
        <v>13691</v>
      </c>
    </row>
    <row r="3911" spans="31:32">
      <c r="AE3911" s="417" t="s">
        <v>13692</v>
      </c>
      <c r="AF3911" s="416" t="s">
        <v>13693</v>
      </c>
    </row>
    <row r="3912" spans="31:32">
      <c r="AE3912" s="417" t="s">
        <v>13694</v>
      </c>
      <c r="AF3912" s="416" t="s">
        <v>13695</v>
      </c>
    </row>
    <row r="3913" spans="31:32">
      <c r="AE3913" s="417" t="s">
        <v>13696</v>
      </c>
      <c r="AF3913" s="416" t="s">
        <v>13697</v>
      </c>
    </row>
    <row r="3914" spans="31:32">
      <c r="AE3914" s="417" t="s">
        <v>13698</v>
      </c>
      <c r="AF3914" s="416" t="s">
        <v>13699</v>
      </c>
    </row>
    <row r="3915" spans="31:32">
      <c r="AE3915" s="417" t="s">
        <v>13700</v>
      </c>
      <c r="AF3915" s="416" t="s">
        <v>13701</v>
      </c>
    </row>
    <row r="3916" spans="31:32">
      <c r="AE3916" s="417" t="s">
        <v>13702</v>
      </c>
      <c r="AF3916" s="416" t="s">
        <v>13703</v>
      </c>
    </row>
    <row r="3917" spans="31:32">
      <c r="AE3917" s="417" t="s">
        <v>13704</v>
      </c>
      <c r="AF3917" s="416" t="s">
        <v>13705</v>
      </c>
    </row>
    <row r="3918" spans="31:32">
      <c r="AE3918" s="417" t="s">
        <v>13706</v>
      </c>
      <c r="AF3918" s="416" t="s">
        <v>13707</v>
      </c>
    </row>
    <row r="3919" spans="31:32">
      <c r="AE3919" s="417" t="s">
        <v>13708</v>
      </c>
      <c r="AF3919" s="416" t="s">
        <v>13709</v>
      </c>
    </row>
    <row r="3920" spans="31:32">
      <c r="AE3920" s="417" t="s">
        <v>13710</v>
      </c>
      <c r="AF3920" s="416" t="s">
        <v>13711</v>
      </c>
    </row>
    <row r="3921" spans="31:32">
      <c r="AE3921" s="417" t="s">
        <v>13712</v>
      </c>
      <c r="AF3921" s="416" t="s">
        <v>13713</v>
      </c>
    </row>
    <row r="3922" spans="31:32">
      <c r="AE3922" s="417" t="s">
        <v>13714</v>
      </c>
      <c r="AF3922" s="416" t="s">
        <v>13715</v>
      </c>
    </row>
    <row r="3923" spans="31:32">
      <c r="AE3923" s="417" t="s">
        <v>13716</v>
      </c>
      <c r="AF3923" s="416" t="s">
        <v>13717</v>
      </c>
    </row>
    <row r="3924" spans="31:32">
      <c r="AE3924" s="417" t="s">
        <v>13718</v>
      </c>
      <c r="AF3924" s="416" t="s">
        <v>13719</v>
      </c>
    </row>
    <row r="3925" spans="31:32">
      <c r="AE3925" s="417" t="s">
        <v>13720</v>
      </c>
      <c r="AF3925" s="416" t="s">
        <v>13721</v>
      </c>
    </row>
    <row r="3926" spans="31:32">
      <c r="AE3926" s="417" t="s">
        <v>13722</v>
      </c>
      <c r="AF3926" s="416" t="s">
        <v>13723</v>
      </c>
    </row>
    <row r="3927" spans="31:32">
      <c r="AE3927" s="417" t="s">
        <v>13724</v>
      </c>
      <c r="AF3927" s="416" t="s">
        <v>13725</v>
      </c>
    </row>
    <row r="3928" spans="31:32">
      <c r="AE3928" s="417" t="s">
        <v>13726</v>
      </c>
      <c r="AF3928" s="416" t="s">
        <v>13727</v>
      </c>
    </row>
    <row r="3929" spans="31:32">
      <c r="AE3929" s="417" t="s">
        <v>13728</v>
      </c>
      <c r="AF3929" s="416" t="s">
        <v>13729</v>
      </c>
    </row>
    <row r="3930" spans="31:32">
      <c r="AE3930" s="417" t="s">
        <v>13730</v>
      </c>
      <c r="AF3930" s="416" t="s">
        <v>13731</v>
      </c>
    </row>
    <row r="3931" spans="31:32">
      <c r="AE3931" s="417" t="s">
        <v>13732</v>
      </c>
      <c r="AF3931" s="416" t="s">
        <v>13733</v>
      </c>
    </row>
    <row r="3932" spans="31:32">
      <c r="AE3932" s="417" t="s">
        <v>13734</v>
      </c>
      <c r="AF3932" s="416" t="s">
        <v>13735</v>
      </c>
    </row>
    <row r="3933" spans="31:32">
      <c r="AE3933" s="417" t="s">
        <v>13736</v>
      </c>
      <c r="AF3933" s="416" t="s">
        <v>13737</v>
      </c>
    </row>
    <row r="3934" spans="31:32">
      <c r="AE3934" s="417" t="s">
        <v>13738</v>
      </c>
      <c r="AF3934" s="416" t="s">
        <v>13739</v>
      </c>
    </row>
    <row r="3935" spans="31:32">
      <c r="AE3935" s="417" t="s">
        <v>13740</v>
      </c>
      <c r="AF3935" s="416" t="s">
        <v>13741</v>
      </c>
    </row>
    <row r="3936" spans="31:32">
      <c r="AE3936" s="417" t="s">
        <v>13742</v>
      </c>
      <c r="AF3936" s="416" t="s">
        <v>13743</v>
      </c>
    </row>
    <row r="3937" spans="31:32">
      <c r="AE3937" s="417" t="s">
        <v>13744</v>
      </c>
      <c r="AF3937" s="416" t="s">
        <v>13745</v>
      </c>
    </row>
    <row r="3938" spans="31:32">
      <c r="AE3938" s="417" t="s">
        <v>13746</v>
      </c>
      <c r="AF3938" s="416" t="s">
        <v>13747</v>
      </c>
    </row>
    <row r="3939" spans="31:32">
      <c r="AE3939" s="417" t="s">
        <v>13748</v>
      </c>
      <c r="AF3939" s="416" t="s">
        <v>13749</v>
      </c>
    </row>
    <row r="3940" spans="31:32">
      <c r="AE3940" s="417" t="s">
        <v>13750</v>
      </c>
      <c r="AF3940" s="416" t="s">
        <v>13751</v>
      </c>
    </row>
    <row r="3941" spans="31:32">
      <c r="AE3941" s="417" t="s">
        <v>13752</v>
      </c>
      <c r="AF3941" s="416" t="s">
        <v>13753</v>
      </c>
    </row>
    <row r="3942" spans="31:32">
      <c r="AE3942" s="417" t="s">
        <v>13754</v>
      </c>
      <c r="AF3942" s="416" t="s">
        <v>13755</v>
      </c>
    </row>
    <row r="3943" spans="31:32">
      <c r="AE3943" s="417" t="s">
        <v>13756</v>
      </c>
      <c r="AF3943" s="416" t="s">
        <v>13757</v>
      </c>
    </row>
    <row r="3944" spans="31:32">
      <c r="AE3944" s="417" t="s">
        <v>13758</v>
      </c>
      <c r="AF3944" s="416" t="s">
        <v>13759</v>
      </c>
    </row>
    <row r="3945" spans="31:32">
      <c r="AE3945" s="417" t="s">
        <v>13760</v>
      </c>
      <c r="AF3945" s="416" t="s">
        <v>13761</v>
      </c>
    </row>
    <row r="3946" spans="31:32">
      <c r="AE3946" s="417" t="s">
        <v>13762</v>
      </c>
      <c r="AF3946" s="416" t="s">
        <v>13763</v>
      </c>
    </row>
    <row r="3947" spans="31:32">
      <c r="AE3947" s="417" t="s">
        <v>13764</v>
      </c>
      <c r="AF3947" s="416" t="s">
        <v>13765</v>
      </c>
    </row>
    <row r="3948" spans="31:32">
      <c r="AE3948" s="417" t="s">
        <v>13766</v>
      </c>
      <c r="AF3948" s="416" t="s">
        <v>13767</v>
      </c>
    </row>
    <row r="3949" spans="31:32">
      <c r="AE3949" s="417" t="s">
        <v>13768</v>
      </c>
      <c r="AF3949" s="416" t="s">
        <v>13769</v>
      </c>
    </row>
    <row r="3950" spans="31:32">
      <c r="AE3950" s="417" t="s">
        <v>13770</v>
      </c>
      <c r="AF3950" s="416" t="s">
        <v>13771</v>
      </c>
    </row>
    <row r="3951" spans="31:32">
      <c r="AE3951" s="417" t="s">
        <v>13772</v>
      </c>
      <c r="AF3951" s="416" t="s">
        <v>13773</v>
      </c>
    </row>
    <row r="3952" spans="31:32">
      <c r="AE3952" s="417" t="s">
        <v>13774</v>
      </c>
      <c r="AF3952" s="416" t="s">
        <v>13775</v>
      </c>
    </row>
    <row r="3953" spans="31:32">
      <c r="AE3953" s="417" t="s">
        <v>13776</v>
      </c>
      <c r="AF3953" s="416" t="s">
        <v>13777</v>
      </c>
    </row>
    <row r="3954" spans="31:32">
      <c r="AE3954" s="417" t="s">
        <v>13778</v>
      </c>
      <c r="AF3954" s="416" t="s">
        <v>13779</v>
      </c>
    </row>
    <row r="3955" spans="31:32">
      <c r="AE3955" s="417" t="s">
        <v>13780</v>
      </c>
      <c r="AF3955" s="416" t="s">
        <v>13781</v>
      </c>
    </row>
    <row r="3956" spans="31:32">
      <c r="AE3956" s="417" t="s">
        <v>13782</v>
      </c>
      <c r="AF3956" s="416" t="s">
        <v>13783</v>
      </c>
    </row>
    <row r="3957" spans="31:32">
      <c r="AE3957" s="417" t="s">
        <v>13784</v>
      </c>
      <c r="AF3957" s="416" t="s">
        <v>13785</v>
      </c>
    </row>
    <row r="3958" spans="31:32">
      <c r="AE3958" s="417" t="s">
        <v>13786</v>
      </c>
      <c r="AF3958" s="416" t="s">
        <v>13787</v>
      </c>
    </row>
    <row r="3959" spans="31:32">
      <c r="AE3959" s="417" t="s">
        <v>13788</v>
      </c>
      <c r="AF3959" s="416" t="s">
        <v>13789</v>
      </c>
    </row>
    <row r="3960" spans="31:32">
      <c r="AE3960" s="417" t="s">
        <v>13790</v>
      </c>
      <c r="AF3960" s="416" t="s">
        <v>13791</v>
      </c>
    </row>
    <row r="3961" spans="31:32">
      <c r="AE3961" s="417" t="s">
        <v>13792</v>
      </c>
      <c r="AF3961" s="416" t="s">
        <v>13793</v>
      </c>
    </row>
    <row r="3962" spans="31:32">
      <c r="AE3962" s="417" t="s">
        <v>13794</v>
      </c>
      <c r="AF3962" s="416" t="s">
        <v>13795</v>
      </c>
    </row>
    <row r="3963" spans="31:32">
      <c r="AE3963" s="417" t="s">
        <v>13796</v>
      </c>
      <c r="AF3963" s="416" t="s">
        <v>13797</v>
      </c>
    </row>
    <row r="3964" spans="31:32">
      <c r="AE3964" s="417" t="s">
        <v>13798</v>
      </c>
      <c r="AF3964" s="416" t="s">
        <v>13799</v>
      </c>
    </row>
    <row r="3965" spans="31:32">
      <c r="AE3965" s="417" t="s">
        <v>13800</v>
      </c>
      <c r="AF3965" s="416" t="s">
        <v>13801</v>
      </c>
    </row>
    <row r="3966" spans="31:32">
      <c r="AE3966" s="417" t="s">
        <v>13802</v>
      </c>
      <c r="AF3966" s="416" t="s">
        <v>13803</v>
      </c>
    </row>
    <row r="3967" spans="31:32">
      <c r="AE3967" s="417" t="s">
        <v>13804</v>
      </c>
      <c r="AF3967" s="416" t="s">
        <v>13805</v>
      </c>
    </row>
    <row r="3968" spans="31:32">
      <c r="AE3968" s="417" t="s">
        <v>13806</v>
      </c>
      <c r="AF3968" s="416" t="s">
        <v>13807</v>
      </c>
    </row>
    <row r="3969" spans="31:32">
      <c r="AE3969" s="417" t="s">
        <v>13808</v>
      </c>
      <c r="AF3969" s="416" t="s">
        <v>13809</v>
      </c>
    </row>
    <row r="3970" spans="31:32">
      <c r="AE3970" s="417" t="s">
        <v>13810</v>
      </c>
      <c r="AF3970" s="416" t="s">
        <v>13811</v>
      </c>
    </row>
    <row r="3971" spans="31:32">
      <c r="AE3971" s="417" t="s">
        <v>13812</v>
      </c>
      <c r="AF3971" s="416" t="s">
        <v>13813</v>
      </c>
    </row>
    <row r="3972" spans="31:32">
      <c r="AE3972" s="417" t="s">
        <v>13814</v>
      </c>
      <c r="AF3972" s="416" t="s">
        <v>13815</v>
      </c>
    </row>
    <row r="3973" spans="31:32">
      <c r="AE3973" s="417" t="s">
        <v>13816</v>
      </c>
      <c r="AF3973" s="416" t="s">
        <v>13817</v>
      </c>
    </row>
    <row r="3974" spans="31:32">
      <c r="AE3974" s="417" t="s">
        <v>13818</v>
      </c>
      <c r="AF3974" s="416" t="s">
        <v>13819</v>
      </c>
    </row>
    <row r="3975" spans="31:32">
      <c r="AE3975" s="417" t="s">
        <v>13820</v>
      </c>
      <c r="AF3975" s="416" t="s">
        <v>13821</v>
      </c>
    </row>
    <row r="3976" spans="31:32">
      <c r="AE3976" s="417" t="s">
        <v>13822</v>
      </c>
      <c r="AF3976" s="416" t="s">
        <v>13823</v>
      </c>
    </row>
    <row r="3977" spans="31:32">
      <c r="AE3977" s="417" t="s">
        <v>13824</v>
      </c>
      <c r="AF3977" s="416" t="s">
        <v>13825</v>
      </c>
    </row>
    <row r="3978" spans="31:32">
      <c r="AE3978" s="417" t="s">
        <v>13826</v>
      </c>
      <c r="AF3978" s="416" t="s">
        <v>13827</v>
      </c>
    </row>
    <row r="3979" spans="31:32">
      <c r="AE3979" s="417" t="s">
        <v>13828</v>
      </c>
      <c r="AF3979" s="416" t="s">
        <v>13829</v>
      </c>
    </row>
    <row r="3980" spans="31:32">
      <c r="AE3980" s="417" t="s">
        <v>13830</v>
      </c>
      <c r="AF3980" s="416" t="s">
        <v>13831</v>
      </c>
    </row>
    <row r="3981" spans="31:32">
      <c r="AE3981" s="417" t="s">
        <v>13832</v>
      </c>
      <c r="AF3981" s="416" t="s">
        <v>13833</v>
      </c>
    </row>
    <row r="3982" spans="31:32">
      <c r="AE3982" s="417" t="s">
        <v>13834</v>
      </c>
      <c r="AF3982" s="416" t="s">
        <v>13835</v>
      </c>
    </row>
    <row r="3983" spans="31:32">
      <c r="AE3983" s="417" t="s">
        <v>13836</v>
      </c>
      <c r="AF3983" s="416" t="s">
        <v>13837</v>
      </c>
    </row>
    <row r="3984" spans="31:32">
      <c r="AE3984" s="417" t="s">
        <v>13838</v>
      </c>
      <c r="AF3984" s="416" t="s">
        <v>13839</v>
      </c>
    </row>
    <row r="3985" spans="31:32">
      <c r="AE3985" s="417" t="s">
        <v>13840</v>
      </c>
      <c r="AF3985" s="416" t="s">
        <v>13841</v>
      </c>
    </row>
    <row r="3986" spans="31:32">
      <c r="AE3986" s="417" t="s">
        <v>13842</v>
      </c>
      <c r="AF3986" s="416" t="s">
        <v>13843</v>
      </c>
    </row>
    <row r="3987" spans="31:32">
      <c r="AE3987" s="417" t="s">
        <v>13844</v>
      </c>
      <c r="AF3987" s="416" t="s">
        <v>13845</v>
      </c>
    </row>
    <row r="3988" spans="31:32">
      <c r="AE3988" s="417" t="s">
        <v>13846</v>
      </c>
      <c r="AF3988" s="416" t="s">
        <v>13847</v>
      </c>
    </row>
    <row r="3989" spans="31:32">
      <c r="AE3989" s="417" t="s">
        <v>13848</v>
      </c>
      <c r="AF3989" s="416" t="s">
        <v>13849</v>
      </c>
    </row>
    <row r="3990" spans="31:32">
      <c r="AE3990" s="417" t="s">
        <v>13850</v>
      </c>
      <c r="AF3990" s="416" t="s">
        <v>13851</v>
      </c>
    </row>
    <row r="3991" spans="31:32">
      <c r="AE3991" s="417" t="s">
        <v>13852</v>
      </c>
      <c r="AF3991" s="416" t="s">
        <v>13853</v>
      </c>
    </row>
    <row r="3992" spans="31:32">
      <c r="AE3992" s="417" t="s">
        <v>13854</v>
      </c>
      <c r="AF3992" s="416" t="s">
        <v>13855</v>
      </c>
    </row>
    <row r="3993" spans="31:32">
      <c r="AE3993" s="417" t="s">
        <v>13856</v>
      </c>
      <c r="AF3993" s="416" t="s">
        <v>13857</v>
      </c>
    </row>
    <row r="3994" spans="31:32">
      <c r="AE3994" s="417" t="s">
        <v>13858</v>
      </c>
      <c r="AF3994" s="416" t="s">
        <v>13859</v>
      </c>
    </row>
    <row r="3995" spans="31:32">
      <c r="AE3995" s="417" t="s">
        <v>13860</v>
      </c>
      <c r="AF3995" s="416" t="s">
        <v>13861</v>
      </c>
    </row>
    <row r="3996" spans="31:32">
      <c r="AE3996" s="417" t="s">
        <v>13862</v>
      </c>
      <c r="AF3996" s="416" t="s">
        <v>13863</v>
      </c>
    </row>
    <row r="3997" spans="31:32">
      <c r="AE3997" s="417" t="s">
        <v>13864</v>
      </c>
      <c r="AF3997" s="416" t="s">
        <v>13865</v>
      </c>
    </row>
    <row r="3998" spans="31:32">
      <c r="AE3998" s="417" t="s">
        <v>13866</v>
      </c>
      <c r="AF3998" s="416" t="s">
        <v>13867</v>
      </c>
    </row>
    <row r="3999" spans="31:32">
      <c r="AE3999" s="417" t="s">
        <v>13868</v>
      </c>
      <c r="AF3999" s="416" t="s">
        <v>13869</v>
      </c>
    </row>
    <row r="4000" spans="31:32">
      <c r="AE4000" s="417" t="s">
        <v>13870</v>
      </c>
      <c r="AF4000" s="416" t="s">
        <v>13871</v>
      </c>
    </row>
    <row r="4001" spans="31:32">
      <c r="AE4001" s="417" t="s">
        <v>13872</v>
      </c>
      <c r="AF4001" s="416" t="s">
        <v>13873</v>
      </c>
    </row>
    <row r="4002" spans="31:32">
      <c r="AE4002" s="417" t="s">
        <v>13874</v>
      </c>
      <c r="AF4002" s="416" t="s">
        <v>13875</v>
      </c>
    </row>
    <row r="4003" spans="31:32">
      <c r="AE4003" s="417" t="s">
        <v>13876</v>
      </c>
      <c r="AF4003" s="416" t="s">
        <v>13877</v>
      </c>
    </row>
    <row r="4004" spans="31:32">
      <c r="AE4004" s="417" t="s">
        <v>13878</v>
      </c>
      <c r="AF4004" s="416" t="s">
        <v>13879</v>
      </c>
    </row>
    <row r="4005" spans="31:32">
      <c r="AE4005" s="417" t="s">
        <v>13880</v>
      </c>
      <c r="AF4005" s="416" t="s">
        <v>13881</v>
      </c>
    </row>
    <row r="4006" spans="31:32">
      <c r="AE4006" s="417" t="s">
        <v>13882</v>
      </c>
      <c r="AF4006" s="416" t="s">
        <v>13883</v>
      </c>
    </row>
    <row r="4007" spans="31:32">
      <c r="AE4007" s="417" t="s">
        <v>13884</v>
      </c>
      <c r="AF4007" s="416" t="s">
        <v>13885</v>
      </c>
    </row>
    <row r="4008" spans="31:32">
      <c r="AE4008" s="417" t="s">
        <v>13886</v>
      </c>
      <c r="AF4008" s="416" t="s">
        <v>13887</v>
      </c>
    </row>
    <row r="4009" spans="31:32">
      <c r="AE4009" s="417" t="s">
        <v>13888</v>
      </c>
      <c r="AF4009" s="416" t="s">
        <v>13889</v>
      </c>
    </row>
    <row r="4010" spans="31:32">
      <c r="AE4010" s="417" t="s">
        <v>13890</v>
      </c>
      <c r="AF4010" s="416" t="s">
        <v>13891</v>
      </c>
    </row>
    <row r="4011" spans="31:32">
      <c r="AE4011" s="417" t="s">
        <v>13892</v>
      </c>
      <c r="AF4011" s="416" t="s">
        <v>13893</v>
      </c>
    </row>
    <row r="4012" spans="31:32">
      <c r="AE4012" s="417" t="s">
        <v>13894</v>
      </c>
      <c r="AF4012" s="416" t="s">
        <v>13895</v>
      </c>
    </row>
    <row r="4013" spans="31:32">
      <c r="AE4013" s="417" t="s">
        <v>13896</v>
      </c>
      <c r="AF4013" s="416" t="s">
        <v>13897</v>
      </c>
    </row>
    <row r="4014" spans="31:32">
      <c r="AE4014" s="417" t="s">
        <v>13898</v>
      </c>
      <c r="AF4014" s="416" t="s">
        <v>13899</v>
      </c>
    </row>
    <row r="4015" spans="31:32">
      <c r="AE4015" s="417" t="s">
        <v>13900</v>
      </c>
      <c r="AF4015" s="416" t="s">
        <v>13901</v>
      </c>
    </row>
    <row r="4016" spans="31:32">
      <c r="AE4016" s="417" t="s">
        <v>13902</v>
      </c>
      <c r="AF4016" s="416" t="s">
        <v>13903</v>
      </c>
    </row>
    <row r="4017" spans="31:32">
      <c r="AE4017" s="417" t="s">
        <v>13904</v>
      </c>
      <c r="AF4017" s="416" t="s">
        <v>13905</v>
      </c>
    </row>
    <row r="4018" spans="31:32">
      <c r="AE4018" s="417" t="s">
        <v>13906</v>
      </c>
      <c r="AF4018" s="416" t="s">
        <v>13907</v>
      </c>
    </row>
    <row r="4019" spans="31:32">
      <c r="AE4019" s="417" t="s">
        <v>13908</v>
      </c>
      <c r="AF4019" s="416" t="s">
        <v>13909</v>
      </c>
    </row>
    <row r="4020" spans="31:32">
      <c r="AE4020" s="417" t="s">
        <v>13910</v>
      </c>
      <c r="AF4020" s="416" t="s">
        <v>13911</v>
      </c>
    </row>
    <row r="4021" spans="31:32">
      <c r="AE4021" s="417" t="s">
        <v>13912</v>
      </c>
      <c r="AF4021" s="416" t="s">
        <v>13913</v>
      </c>
    </row>
    <row r="4022" spans="31:32">
      <c r="AE4022" s="417" t="s">
        <v>13914</v>
      </c>
      <c r="AF4022" s="416" t="s">
        <v>13915</v>
      </c>
    </row>
    <row r="4023" spans="31:32">
      <c r="AE4023" s="417" t="s">
        <v>13916</v>
      </c>
      <c r="AF4023" s="416" t="s">
        <v>13917</v>
      </c>
    </row>
    <row r="4024" spans="31:32">
      <c r="AE4024" s="417" t="s">
        <v>13918</v>
      </c>
      <c r="AF4024" s="416" t="s">
        <v>13919</v>
      </c>
    </row>
    <row r="4025" spans="31:32">
      <c r="AE4025" s="417" t="s">
        <v>13920</v>
      </c>
      <c r="AF4025" s="416" t="s">
        <v>13921</v>
      </c>
    </row>
    <row r="4026" spans="31:32">
      <c r="AE4026" s="417" t="s">
        <v>13922</v>
      </c>
      <c r="AF4026" s="416" t="s">
        <v>13923</v>
      </c>
    </row>
    <row r="4027" spans="31:32">
      <c r="AE4027" s="417" t="s">
        <v>13924</v>
      </c>
      <c r="AF4027" s="416" t="s">
        <v>13925</v>
      </c>
    </row>
    <row r="4028" spans="31:32">
      <c r="AE4028" s="417" t="s">
        <v>13926</v>
      </c>
      <c r="AF4028" s="416" t="s">
        <v>13927</v>
      </c>
    </row>
    <row r="4029" spans="31:32">
      <c r="AE4029" s="417" t="s">
        <v>13928</v>
      </c>
      <c r="AF4029" s="416" t="s">
        <v>13929</v>
      </c>
    </row>
    <row r="4030" spans="31:32">
      <c r="AE4030" s="417" t="s">
        <v>13930</v>
      </c>
      <c r="AF4030" s="416" t="s">
        <v>13931</v>
      </c>
    </row>
    <row r="4031" spans="31:32">
      <c r="AE4031" s="417" t="s">
        <v>13932</v>
      </c>
      <c r="AF4031" s="416" t="s">
        <v>13933</v>
      </c>
    </row>
    <row r="4032" spans="31:32">
      <c r="AE4032" s="417" t="s">
        <v>13934</v>
      </c>
      <c r="AF4032" s="416" t="s">
        <v>13935</v>
      </c>
    </row>
    <row r="4033" spans="31:32">
      <c r="AE4033" s="417" t="s">
        <v>13936</v>
      </c>
      <c r="AF4033" s="416" t="s">
        <v>13937</v>
      </c>
    </row>
    <row r="4034" spans="31:32">
      <c r="AE4034" s="417" t="s">
        <v>13938</v>
      </c>
      <c r="AF4034" s="416" t="s">
        <v>13939</v>
      </c>
    </row>
    <row r="4035" spans="31:32">
      <c r="AE4035" s="417" t="s">
        <v>13940</v>
      </c>
      <c r="AF4035" s="416" t="s">
        <v>13941</v>
      </c>
    </row>
    <row r="4036" spans="31:32">
      <c r="AE4036" s="417" t="s">
        <v>13942</v>
      </c>
      <c r="AF4036" s="416" t="s">
        <v>13943</v>
      </c>
    </row>
    <row r="4037" spans="31:32">
      <c r="AE4037" s="417" t="s">
        <v>13944</v>
      </c>
      <c r="AF4037" s="416" t="s">
        <v>13945</v>
      </c>
    </row>
    <row r="4038" spans="31:32">
      <c r="AE4038" s="417" t="s">
        <v>13946</v>
      </c>
      <c r="AF4038" s="416" t="s">
        <v>13947</v>
      </c>
    </row>
    <row r="4039" spans="31:32">
      <c r="AE4039" s="417" t="s">
        <v>13948</v>
      </c>
      <c r="AF4039" s="416" t="s">
        <v>13949</v>
      </c>
    </row>
    <row r="4040" spans="31:32">
      <c r="AE4040" s="417" t="s">
        <v>13950</v>
      </c>
      <c r="AF4040" s="416" t="s">
        <v>13951</v>
      </c>
    </row>
    <row r="4041" spans="31:32">
      <c r="AE4041" s="417" t="s">
        <v>13952</v>
      </c>
      <c r="AF4041" s="416" t="s">
        <v>13953</v>
      </c>
    </row>
    <row r="4042" spans="31:32">
      <c r="AE4042" s="417" t="s">
        <v>13954</v>
      </c>
      <c r="AF4042" s="416" t="s">
        <v>13955</v>
      </c>
    </row>
    <row r="4043" spans="31:32">
      <c r="AE4043" s="417" t="s">
        <v>13956</v>
      </c>
      <c r="AF4043" s="416" t="s">
        <v>13957</v>
      </c>
    </row>
    <row r="4044" spans="31:32">
      <c r="AE4044" s="417" t="s">
        <v>13958</v>
      </c>
      <c r="AF4044" s="416" t="s">
        <v>13959</v>
      </c>
    </row>
    <row r="4045" spans="31:32">
      <c r="AE4045" s="417" t="s">
        <v>13960</v>
      </c>
      <c r="AF4045" s="416" t="s">
        <v>13961</v>
      </c>
    </row>
    <row r="4046" spans="31:32">
      <c r="AE4046" s="417" t="s">
        <v>13962</v>
      </c>
      <c r="AF4046" s="416" t="s">
        <v>13963</v>
      </c>
    </row>
    <row r="4047" spans="31:32">
      <c r="AE4047" s="417" t="s">
        <v>13964</v>
      </c>
      <c r="AF4047" s="416" t="s">
        <v>13965</v>
      </c>
    </row>
    <row r="4048" spans="31:32">
      <c r="AE4048" s="417" t="s">
        <v>13966</v>
      </c>
      <c r="AF4048" s="416" t="s">
        <v>13967</v>
      </c>
    </row>
    <row r="4049" spans="31:32">
      <c r="AE4049" s="417" t="s">
        <v>13968</v>
      </c>
      <c r="AF4049" s="416" t="s">
        <v>13969</v>
      </c>
    </row>
    <row r="4050" spans="31:32">
      <c r="AE4050" s="417" t="s">
        <v>13970</v>
      </c>
      <c r="AF4050" s="416" t="s">
        <v>13971</v>
      </c>
    </row>
    <row r="4051" spans="31:32">
      <c r="AE4051" s="417" t="s">
        <v>13972</v>
      </c>
      <c r="AF4051" s="416" t="s">
        <v>13973</v>
      </c>
    </row>
    <row r="4052" spans="31:32">
      <c r="AE4052" s="417" t="s">
        <v>13974</v>
      </c>
      <c r="AF4052" s="416" t="s">
        <v>13975</v>
      </c>
    </row>
    <row r="4053" spans="31:32">
      <c r="AE4053" s="417" t="s">
        <v>13976</v>
      </c>
      <c r="AF4053" s="416" t="s">
        <v>13977</v>
      </c>
    </row>
    <row r="4054" spans="31:32">
      <c r="AE4054" s="417" t="s">
        <v>13978</v>
      </c>
      <c r="AF4054" s="416" t="s">
        <v>13979</v>
      </c>
    </row>
    <row r="4055" spans="31:32">
      <c r="AE4055" s="417" t="s">
        <v>13980</v>
      </c>
      <c r="AF4055" s="416" t="s">
        <v>13981</v>
      </c>
    </row>
    <row r="4056" spans="31:32">
      <c r="AE4056" s="417" t="s">
        <v>13982</v>
      </c>
      <c r="AF4056" s="416" t="s">
        <v>13983</v>
      </c>
    </row>
    <row r="4057" spans="31:32">
      <c r="AE4057" s="417" t="s">
        <v>13984</v>
      </c>
      <c r="AF4057" s="416" t="s">
        <v>13985</v>
      </c>
    </row>
    <row r="4058" spans="31:32">
      <c r="AE4058" s="417" t="s">
        <v>13986</v>
      </c>
      <c r="AF4058" s="416" t="s">
        <v>13987</v>
      </c>
    </row>
    <row r="4059" spans="31:32">
      <c r="AE4059" s="417" t="s">
        <v>13988</v>
      </c>
      <c r="AF4059" s="416" t="s">
        <v>13989</v>
      </c>
    </row>
    <row r="4060" spans="31:32">
      <c r="AE4060" s="417" t="s">
        <v>13990</v>
      </c>
      <c r="AF4060" s="416" t="s">
        <v>13991</v>
      </c>
    </row>
    <row r="4061" spans="31:32">
      <c r="AE4061" s="417" t="s">
        <v>13992</v>
      </c>
      <c r="AF4061" s="416" t="s">
        <v>13993</v>
      </c>
    </row>
    <row r="4062" spans="31:32">
      <c r="AE4062" s="417" t="s">
        <v>13994</v>
      </c>
      <c r="AF4062" s="416" t="s">
        <v>13691</v>
      </c>
    </row>
    <row r="4063" spans="31:32">
      <c r="AE4063" s="417" t="s">
        <v>13995</v>
      </c>
      <c r="AF4063" s="416" t="s">
        <v>13996</v>
      </c>
    </row>
    <row r="4064" spans="31:32">
      <c r="AE4064" s="417" t="s">
        <v>13997</v>
      </c>
      <c r="AF4064" s="416" t="s">
        <v>13998</v>
      </c>
    </row>
    <row r="4065" spans="31:32">
      <c r="AE4065" s="417" t="s">
        <v>13999</v>
      </c>
      <c r="AF4065" s="416" t="s">
        <v>14000</v>
      </c>
    </row>
    <row r="4066" spans="31:32">
      <c r="AE4066" s="417" t="s">
        <v>14001</v>
      </c>
      <c r="AF4066" s="416" t="s">
        <v>14002</v>
      </c>
    </row>
    <row r="4067" spans="31:32">
      <c r="AE4067" s="417" t="s">
        <v>14003</v>
      </c>
      <c r="AF4067" s="416" t="s">
        <v>14004</v>
      </c>
    </row>
    <row r="4068" spans="31:32">
      <c r="AE4068" s="417" t="s">
        <v>14005</v>
      </c>
      <c r="AF4068" s="416" t="s">
        <v>14006</v>
      </c>
    </row>
    <row r="4069" spans="31:32">
      <c r="AE4069" s="417" t="s">
        <v>14007</v>
      </c>
      <c r="AF4069" s="416" t="s">
        <v>14008</v>
      </c>
    </row>
    <row r="4070" spans="31:32">
      <c r="AE4070" s="417" t="s">
        <v>14009</v>
      </c>
      <c r="AF4070" s="416" t="s">
        <v>14010</v>
      </c>
    </row>
    <row r="4071" spans="31:32">
      <c r="AE4071" s="417" t="s">
        <v>14011</v>
      </c>
      <c r="AF4071" s="416" t="s">
        <v>14012</v>
      </c>
    </row>
    <row r="4072" spans="31:32">
      <c r="AE4072" s="417" t="s">
        <v>14013</v>
      </c>
      <c r="AF4072" s="416" t="s">
        <v>14014</v>
      </c>
    </row>
    <row r="4073" spans="31:32">
      <c r="AE4073" s="417" t="s">
        <v>14015</v>
      </c>
      <c r="AF4073" s="416" t="s">
        <v>14016</v>
      </c>
    </row>
    <row r="4074" spans="31:32">
      <c r="AE4074" s="417" t="s">
        <v>14017</v>
      </c>
      <c r="AF4074" s="416" t="s">
        <v>14018</v>
      </c>
    </row>
    <row r="4075" spans="31:32">
      <c r="AE4075" s="417" t="s">
        <v>14019</v>
      </c>
      <c r="AF4075" s="416" t="s">
        <v>14020</v>
      </c>
    </row>
    <row r="4076" spans="31:32">
      <c r="AE4076" s="417" t="s">
        <v>14021</v>
      </c>
      <c r="AF4076" s="416" t="s">
        <v>14022</v>
      </c>
    </row>
    <row r="4077" spans="31:32">
      <c r="AE4077" s="417" t="s">
        <v>14023</v>
      </c>
      <c r="AF4077" s="416" t="s">
        <v>14024</v>
      </c>
    </row>
    <row r="4078" spans="31:32">
      <c r="AE4078" s="417" t="s">
        <v>14025</v>
      </c>
      <c r="AF4078" s="416" t="s">
        <v>14026</v>
      </c>
    </row>
    <row r="4079" spans="31:32">
      <c r="AE4079" s="417" t="s">
        <v>14027</v>
      </c>
      <c r="AF4079" s="416" t="s">
        <v>14028</v>
      </c>
    </row>
    <row r="4080" spans="31:32">
      <c r="AE4080" s="417" t="s">
        <v>14029</v>
      </c>
      <c r="AF4080" s="416" t="s">
        <v>14030</v>
      </c>
    </row>
    <row r="4081" spans="31:32">
      <c r="AE4081" s="417" t="s">
        <v>14031</v>
      </c>
      <c r="AF4081" s="416" t="s">
        <v>14032</v>
      </c>
    </row>
    <row r="4082" spans="31:32">
      <c r="AE4082" s="417" t="s">
        <v>14033</v>
      </c>
      <c r="AF4082" s="416" t="s">
        <v>14034</v>
      </c>
    </row>
    <row r="4083" spans="31:32">
      <c r="AE4083" s="417" t="s">
        <v>14035</v>
      </c>
      <c r="AF4083" s="416" t="s">
        <v>14036</v>
      </c>
    </row>
    <row r="4084" spans="31:32">
      <c r="AE4084" s="417" t="s">
        <v>14037</v>
      </c>
      <c r="AF4084" s="416" t="s">
        <v>14038</v>
      </c>
    </row>
    <row r="4085" spans="31:32">
      <c r="AE4085" s="417" t="s">
        <v>14039</v>
      </c>
      <c r="AF4085" s="416" t="s">
        <v>14040</v>
      </c>
    </row>
    <row r="4086" spans="31:32">
      <c r="AE4086" s="417" t="s">
        <v>14041</v>
      </c>
      <c r="AF4086" s="416" t="s">
        <v>14042</v>
      </c>
    </row>
    <row r="4087" spans="31:32">
      <c r="AE4087" s="417" t="s">
        <v>14043</v>
      </c>
      <c r="AF4087" s="416" t="s">
        <v>14044</v>
      </c>
    </row>
    <row r="4088" spans="31:32">
      <c r="AE4088" s="417" t="s">
        <v>14045</v>
      </c>
      <c r="AF4088" s="416" t="s">
        <v>14046</v>
      </c>
    </row>
    <row r="4089" spans="31:32">
      <c r="AE4089" s="417" t="s">
        <v>14047</v>
      </c>
      <c r="AF4089" s="416" t="s">
        <v>14048</v>
      </c>
    </row>
    <row r="4090" spans="31:32">
      <c r="AE4090" s="417" t="s">
        <v>14049</v>
      </c>
      <c r="AF4090" s="416" t="s">
        <v>14050</v>
      </c>
    </row>
    <row r="4091" spans="31:32">
      <c r="AE4091" s="417" t="s">
        <v>14051</v>
      </c>
      <c r="AF4091" s="416" t="s">
        <v>14052</v>
      </c>
    </row>
    <row r="4092" spans="31:32">
      <c r="AE4092" s="417" t="s">
        <v>14053</v>
      </c>
      <c r="AF4092" s="416" t="s">
        <v>14054</v>
      </c>
    </row>
    <row r="4093" spans="31:32">
      <c r="AE4093" s="417" t="s">
        <v>14055</v>
      </c>
      <c r="AF4093" s="416" t="s">
        <v>14056</v>
      </c>
    </row>
    <row r="4094" spans="31:32">
      <c r="AE4094" s="417" t="s">
        <v>14057</v>
      </c>
      <c r="AF4094" s="416" t="s">
        <v>14058</v>
      </c>
    </row>
    <row r="4095" spans="31:32">
      <c r="AE4095" s="417" t="s">
        <v>14059</v>
      </c>
      <c r="AF4095" s="416" t="s">
        <v>14060</v>
      </c>
    </row>
    <row r="4096" spans="31:32">
      <c r="AE4096" s="417" t="s">
        <v>14061</v>
      </c>
      <c r="AF4096" s="416" t="s">
        <v>14062</v>
      </c>
    </row>
    <row r="4097" spans="31:32">
      <c r="AE4097" s="417" t="s">
        <v>14063</v>
      </c>
      <c r="AF4097" s="416" t="s">
        <v>14064</v>
      </c>
    </row>
    <row r="4098" spans="31:32">
      <c r="AE4098" s="417" t="s">
        <v>14065</v>
      </c>
      <c r="AF4098" s="416" t="s">
        <v>14066</v>
      </c>
    </row>
    <row r="4099" spans="31:32">
      <c r="AE4099" s="417" t="s">
        <v>14067</v>
      </c>
      <c r="AF4099" s="416" t="s">
        <v>14068</v>
      </c>
    </row>
    <row r="4100" spans="31:32">
      <c r="AE4100" s="417" t="s">
        <v>14069</v>
      </c>
      <c r="AF4100" s="416" t="s">
        <v>14070</v>
      </c>
    </row>
    <row r="4101" spans="31:32">
      <c r="AE4101" s="417" t="s">
        <v>14071</v>
      </c>
      <c r="AF4101" s="416" t="s">
        <v>14072</v>
      </c>
    </row>
    <row r="4102" spans="31:32">
      <c r="AE4102" s="417" t="s">
        <v>14073</v>
      </c>
      <c r="AF4102" s="416" t="s">
        <v>14074</v>
      </c>
    </row>
    <row r="4103" spans="31:32">
      <c r="AE4103" s="417" t="s">
        <v>14075</v>
      </c>
      <c r="AF4103" s="416" t="s">
        <v>14076</v>
      </c>
    </row>
    <row r="4104" spans="31:32">
      <c r="AE4104" s="417" t="s">
        <v>14077</v>
      </c>
      <c r="AF4104" s="416" t="s">
        <v>14078</v>
      </c>
    </row>
    <row r="4105" spans="31:32">
      <c r="AE4105" s="417" t="s">
        <v>14079</v>
      </c>
      <c r="AF4105" s="416" t="s">
        <v>14080</v>
      </c>
    </row>
    <row r="4106" spans="31:32">
      <c r="AE4106" s="417" t="s">
        <v>14081</v>
      </c>
      <c r="AF4106" s="416" t="s">
        <v>14082</v>
      </c>
    </row>
    <row r="4107" spans="31:32">
      <c r="AE4107" s="417" t="s">
        <v>14083</v>
      </c>
      <c r="AF4107" s="416" t="s">
        <v>14084</v>
      </c>
    </row>
    <row r="4108" spans="31:32">
      <c r="AE4108" s="417" t="s">
        <v>14085</v>
      </c>
      <c r="AF4108" s="416" t="s">
        <v>14086</v>
      </c>
    </row>
    <row r="4109" spans="31:32">
      <c r="AE4109" s="417" t="s">
        <v>14087</v>
      </c>
      <c r="AF4109" s="416" t="s">
        <v>14088</v>
      </c>
    </row>
    <row r="4110" spans="31:32">
      <c r="AE4110" s="417" t="s">
        <v>14089</v>
      </c>
      <c r="AF4110" s="416" t="s">
        <v>14090</v>
      </c>
    </row>
    <row r="4111" spans="31:32">
      <c r="AE4111" s="417" t="s">
        <v>14091</v>
      </c>
      <c r="AF4111" s="416" t="s">
        <v>14092</v>
      </c>
    </row>
    <row r="4112" spans="31:32">
      <c r="AE4112" s="417" t="s">
        <v>14093</v>
      </c>
      <c r="AF4112" s="416" t="s">
        <v>14094</v>
      </c>
    </row>
    <row r="4113" spans="31:32">
      <c r="AE4113" s="417" t="s">
        <v>14095</v>
      </c>
      <c r="AF4113" s="416" t="s">
        <v>14096</v>
      </c>
    </row>
    <row r="4114" spans="31:32">
      <c r="AE4114" s="417" t="s">
        <v>14097</v>
      </c>
      <c r="AF4114" s="416" t="s">
        <v>14098</v>
      </c>
    </row>
    <row r="4115" spans="31:32">
      <c r="AE4115" s="417" t="s">
        <v>14099</v>
      </c>
      <c r="AF4115" s="416" t="s">
        <v>14100</v>
      </c>
    </row>
    <row r="4116" spans="31:32">
      <c r="AE4116" s="417" t="s">
        <v>14101</v>
      </c>
      <c r="AF4116" s="416" t="s">
        <v>14102</v>
      </c>
    </row>
    <row r="4117" spans="31:32">
      <c r="AE4117" s="417" t="s">
        <v>14103</v>
      </c>
      <c r="AF4117" s="416" t="s">
        <v>14104</v>
      </c>
    </row>
    <row r="4118" spans="31:32">
      <c r="AE4118" s="417" t="s">
        <v>14105</v>
      </c>
      <c r="AF4118" s="416" t="s">
        <v>14106</v>
      </c>
    </row>
    <row r="4119" spans="31:32">
      <c r="AE4119" s="417" t="s">
        <v>14107</v>
      </c>
      <c r="AF4119" s="416" t="s">
        <v>14108</v>
      </c>
    </row>
    <row r="4120" spans="31:32">
      <c r="AE4120" s="417" t="s">
        <v>14109</v>
      </c>
      <c r="AF4120" s="416" t="s">
        <v>14110</v>
      </c>
    </row>
    <row r="4121" spans="31:32">
      <c r="AE4121" s="417" t="s">
        <v>14111</v>
      </c>
      <c r="AF4121" s="416" t="s">
        <v>14112</v>
      </c>
    </row>
    <row r="4122" spans="31:32">
      <c r="AE4122" s="417" t="s">
        <v>14113</v>
      </c>
      <c r="AF4122" s="416" t="s">
        <v>14114</v>
      </c>
    </row>
    <row r="4123" spans="31:32">
      <c r="AE4123" s="417" t="s">
        <v>14115</v>
      </c>
      <c r="AF4123" s="416" t="s">
        <v>14116</v>
      </c>
    </row>
    <row r="4124" spans="31:32">
      <c r="AE4124" s="417" t="s">
        <v>14117</v>
      </c>
      <c r="AF4124" s="416" t="s">
        <v>14118</v>
      </c>
    </row>
    <row r="4125" spans="31:32">
      <c r="AE4125" s="417" t="s">
        <v>14119</v>
      </c>
      <c r="AF4125" s="416" t="s">
        <v>14120</v>
      </c>
    </row>
    <row r="4126" spans="31:32">
      <c r="AE4126" s="417" t="s">
        <v>14121</v>
      </c>
      <c r="AF4126" s="416" t="s">
        <v>14122</v>
      </c>
    </row>
    <row r="4127" spans="31:32">
      <c r="AE4127" s="417" t="s">
        <v>14123</v>
      </c>
      <c r="AF4127" s="416" t="s">
        <v>14124</v>
      </c>
    </row>
    <row r="4128" spans="31:32">
      <c r="AE4128" s="417" t="s">
        <v>14125</v>
      </c>
      <c r="AF4128" s="416" t="s">
        <v>14126</v>
      </c>
    </row>
    <row r="4129" spans="31:32">
      <c r="AE4129" s="417" t="s">
        <v>14127</v>
      </c>
      <c r="AF4129" s="416" t="s">
        <v>14128</v>
      </c>
    </row>
    <row r="4130" spans="31:32">
      <c r="AE4130" s="417" t="s">
        <v>14129</v>
      </c>
      <c r="AF4130" s="416" t="s">
        <v>14130</v>
      </c>
    </row>
    <row r="4131" spans="31:32">
      <c r="AE4131" s="417" t="s">
        <v>14131</v>
      </c>
      <c r="AF4131" s="416" t="s">
        <v>14132</v>
      </c>
    </row>
    <row r="4132" spans="31:32">
      <c r="AE4132" s="417" t="s">
        <v>14133</v>
      </c>
      <c r="AF4132" s="416" t="s">
        <v>14134</v>
      </c>
    </row>
    <row r="4133" spans="31:32">
      <c r="AE4133" s="417" t="s">
        <v>14135</v>
      </c>
      <c r="AF4133" s="416" t="s">
        <v>14136</v>
      </c>
    </row>
    <row r="4134" spans="31:32">
      <c r="AE4134" s="417" t="s">
        <v>14137</v>
      </c>
      <c r="AF4134" s="416" t="s">
        <v>14138</v>
      </c>
    </row>
    <row r="4135" spans="31:32">
      <c r="AE4135" s="417" t="s">
        <v>14139</v>
      </c>
      <c r="AF4135" s="416" t="s">
        <v>14140</v>
      </c>
    </row>
    <row r="4136" spans="31:32">
      <c r="AE4136" s="417" t="s">
        <v>14141</v>
      </c>
      <c r="AF4136" s="416" t="s">
        <v>14142</v>
      </c>
    </row>
    <row r="4137" spans="31:32">
      <c r="AE4137" s="417" t="s">
        <v>14143</v>
      </c>
      <c r="AF4137" s="416" t="s">
        <v>14144</v>
      </c>
    </row>
    <row r="4138" spans="31:32">
      <c r="AE4138" s="417" t="s">
        <v>14145</v>
      </c>
      <c r="AF4138" s="416" t="s">
        <v>14146</v>
      </c>
    </row>
    <row r="4139" spans="31:32">
      <c r="AE4139" s="417" t="s">
        <v>14147</v>
      </c>
      <c r="AF4139" s="416" t="s">
        <v>14148</v>
      </c>
    </row>
    <row r="4140" spans="31:32">
      <c r="AE4140" s="417" t="s">
        <v>14149</v>
      </c>
      <c r="AF4140" s="416" t="s">
        <v>14150</v>
      </c>
    </row>
    <row r="4141" spans="31:32">
      <c r="AE4141" s="417" t="s">
        <v>14151</v>
      </c>
      <c r="AF4141" s="416" t="s">
        <v>14152</v>
      </c>
    </row>
    <row r="4142" spans="31:32">
      <c r="AE4142" s="417" t="s">
        <v>14153</v>
      </c>
      <c r="AF4142" s="416" t="s">
        <v>14154</v>
      </c>
    </row>
    <row r="4143" spans="31:32">
      <c r="AE4143" s="417" t="s">
        <v>14155</v>
      </c>
      <c r="AF4143" s="416" t="s">
        <v>14156</v>
      </c>
    </row>
    <row r="4144" spans="31:32">
      <c r="AE4144" s="417" t="s">
        <v>14157</v>
      </c>
      <c r="AF4144" s="416" t="s">
        <v>14158</v>
      </c>
    </row>
    <row r="4145" spans="31:32">
      <c r="AE4145" s="417" t="s">
        <v>14159</v>
      </c>
      <c r="AF4145" s="416" t="s">
        <v>14160</v>
      </c>
    </row>
    <row r="4146" spans="31:32">
      <c r="AE4146" s="417" t="s">
        <v>14161</v>
      </c>
      <c r="AF4146" s="416" t="s">
        <v>14162</v>
      </c>
    </row>
    <row r="4147" spans="31:32">
      <c r="AE4147" s="417" t="s">
        <v>14163</v>
      </c>
      <c r="AF4147" s="416" t="s">
        <v>14164</v>
      </c>
    </row>
    <row r="4148" spans="31:32">
      <c r="AE4148" s="417" t="s">
        <v>14165</v>
      </c>
      <c r="AF4148" s="416" t="s">
        <v>14166</v>
      </c>
    </row>
    <row r="4149" spans="31:32">
      <c r="AE4149" s="417" t="s">
        <v>14167</v>
      </c>
      <c r="AF4149" s="416" t="s">
        <v>14168</v>
      </c>
    </row>
    <row r="4150" spans="31:32">
      <c r="AE4150" s="417" t="s">
        <v>14169</v>
      </c>
      <c r="AF4150" s="416" t="s">
        <v>14170</v>
      </c>
    </row>
    <row r="4151" spans="31:32">
      <c r="AE4151" s="417" t="s">
        <v>14171</v>
      </c>
      <c r="AF4151" s="416" t="s">
        <v>14172</v>
      </c>
    </row>
    <row r="4152" spans="31:32">
      <c r="AE4152" s="417" t="s">
        <v>14173</v>
      </c>
      <c r="AF4152" s="416" t="s">
        <v>14174</v>
      </c>
    </row>
    <row r="4153" spans="31:32">
      <c r="AE4153" s="417" t="s">
        <v>14175</v>
      </c>
      <c r="AF4153" s="416" t="s">
        <v>14176</v>
      </c>
    </row>
    <row r="4154" spans="31:32">
      <c r="AE4154" s="417" t="s">
        <v>14177</v>
      </c>
      <c r="AF4154" s="416" t="s">
        <v>14178</v>
      </c>
    </row>
    <row r="4155" spans="31:32">
      <c r="AE4155" s="417" t="s">
        <v>14179</v>
      </c>
      <c r="AF4155" s="416" t="s">
        <v>14180</v>
      </c>
    </row>
    <row r="4156" spans="31:32">
      <c r="AE4156" s="417" t="s">
        <v>14181</v>
      </c>
      <c r="AF4156" s="416" t="s">
        <v>14182</v>
      </c>
    </row>
    <row r="4157" spans="31:32">
      <c r="AE4157" s="417" t="s">
        <v>14183</v>
      </c>
      <c r="AF4157" s="416" t="s">
        <v>14184</v>
      </c>
    </row>
    <row r="4158" spans="31:32">
      <c r="AE4158" s="417" t="s">
        <v>14185</v>
      </c>
      <c r="AF4158" s="416" t="s">
        <v>14186</v>
      </c>
    </row>
    <row r="4159" spans="31:32">
      <c r="AE4159" s="417" t="s">
        <v>14187</v>
      </c>
      <c r="AF4159" s="416" t="s">
        <v>14188</v>
      </c>
    </row>
    <row r="4160" spans="31:32">
      <c r="AE4160" s="417" t="s">
        <v>14189</v>
      </c>
      <c r="AF4160" s="416" t="s">
        <v>14190</v>
      </c>
    </row>
    <row r="4161" spans="31:32">
      <c r="AE4161" s="417" t="s">
        <v>14191</v>
      </c>
      <c r="AF4161" s="416" t="s">
        <v>14192</v>
      </c>
    </row>
    <row r="4162" spans="31:32">
      <c r="AE4162" s="417" t="s">
        <v>14193</v>
      </c>
      <c r="AF4162" s="416" t="s">
        <v>14194</v>
      </c>
    </row>
    <row r="4163" spans="31:32">
      <c r="AE4163" s="417" t="s">
        <v>14195</v>
      </c>
      <c r="AF4163" s="416" t="s">
        <v>14196</v>
      </c>
    </row>
    <row r="4164" spans="31:32">
      <c r="AE4164" s="417" t="s">
        <v>14197</v>
      </c>
      <c r="AF4164" s="416" t="s">
        <v>14198</v>
      </c>
    </row>
    <row r="4165" spans="31:32">
      <c r="AE4165" s="417" t="s">
        <v>14199</v>
      </c>
      <c r="AF4165" s="416" t="s">
        <v>14200</v>
      </c>
    </row>
    <row r="4166" spans="31:32">
      <c r="AE4166" s="417" t="s">
        <v>14201</v>
      </c>
      <c r="AF4166" s="416" t="s">
        <v>14202</v>
      </c>
    </row>
    <row r="4167" spans="31:32">
      <c r="AE4167" s="417" t="s">
        <v>14203</v>
      </c>
      <c r="AF4167" s="416" t="s">
        <v>14204</v>
      </c>
    </row>
    <row r="4168" spans="31:32">
      <c r="AE4168" s="417" t="s">
        <v>14205</v>
      </c>
      <c r="AF4168" s="416" t="s">
        <v>14206</v>
      </c>
    </row>
    <row r="4169" spans="31:32">
      <c r="AE4169" s="417" t="s">
        <v>14207</v>
      </c>
      <c r="AF4169" s="416" t="s">
        <v>14208</v>
      </c>
    </row>
    <row r="4170" spans="31:32">
      <c r="AE4170" s="417" t="s">
        <v>14209</v>
      </c>
      <c r="AF4170" s="416" t="s">
        <v>14210</v>
      </c>
    </row>
    <row r="4171" spans="31:32">
      <c r="AE4171" s="417" t="s">
        <v>14211</v>
      </c>
      <c r="AF4171" s="416" t="s">
        <v>14212</v>
      </c>
    </row>
    <row r="4172" spans="31:32">
      <c r="AE4172" s="417" t="s">
        <v>14213</v>
      </c>
      <c r="AF4172" s="416" t="s">
        <v>14214</v>
      </c>
    </row>
    <row r="4173" spans="31:32">
      <c r="AE4173" s="417" t="s">
        <v>14215</v>
      </c>
      <c r="AF4173" s="416" t="s">
        <v>14216</v>
      </c>
    </row>
    <row r="4174" spans="31:32">
      <c r="AE4174" s="417" t="s">
        <v>14217</v>
      </c>
      <c r="AF4174" s="416" t="s">
        <v>14218</v>
      </c>
    </row>
    <row r="4175" spans="31:32">
      <c r="AE4175" s="417" t="s">
        <v>14219</v>
      </c>
      <c r="AF4175" s="416" t="s">
        <v>14220</v>
      </c>
    </row>
    <row r="4176" spans="31:32">
      <c r="AE4176" s="417" t="s">
        <v>14221</v>
      </c>
      <c r="AF4176" s="416" t="s">
        <v>14222</v>
      </c>
    </row>
    <row r="4177" spans="31:32">
      <c r="AE4177" s="417" t="s">
        <v>14223</v>
      </c>
      <c r="AF4177" s="416" t="s">
        <v>14224</v>
      </c>
    </row>
    <row r="4178" spans="31:32">
      <c r="AE4178" s="417" t="s">
        <v>14225</v>
      </c>
      <c r="AF4178" s="416" t="s">
        <v>14226</v>
      </c>
    </row>
    <row r="4179" spans="31:32">
      <c r="AE4179" s="417" t="s">
        <v>14227</v>
      </c>
      <c r="AF4179" s="416" t="s">
        <v>14228</v>
      </c>
    </row>
    <row r="4180" spans="31:32">
      <c r="AE4180" s="417" t="s">
        <v>14229</v>
      </c>
      <c r="AF4180" s="416" t="s">
        <v>14230</v>
      </c>
    </row>
    <row r="4181" spans="31:32">
      <c r="AE4181" s="417" t="s">
        <v>14231</v>
      </c>
      <c r="AF4181" s="416" t="s">
        <v>14232</v>
      </c>
    </row>
    <row r="4182" spans="31:32">
      <c r="AE4182" s="417" t="s">
        <v>14233</v>
      </c>
      <c r="AF4182" s="416" t="s">
        <v>14234</v>
      </c>
    </row>
    <row r="4183" spans="31:32">
      <c r="AE4183" s="417" t="s">
        <v>14235</v>
      </c>
      <c r="AF4183" s="416" t="s">
        <v>14236</v>
      </c>
    </row>
    <row r="4184" spans="31:32">
      <c r="AE4184" s="417" t="s">
        <v>14237</v>
      </c>
      <c r="AF4184" s="416" t="s">
        <v>14238</v>
      </c>
    </row>
    <row r="4185" spans="31:32">
      <c r="AE4185" s="417" t="s">
        <v>14239</v>
      </c>
      <c r="AF4185" s="416" t="s">
        <v>14240</v>
      </c>
    </row>
    <row r="4186" spans="31:32">
      <c r="AE4186" s="417" t="s">
        <v>14241</v>
      </c>
      <c r="AF4186" s="416" t="s">
        <v>14242</v>
      </c>
    </row>
    <row r="4187" spans="31:32">
      <c r="AE4187" s="417" t="s">
        <v>14243</v>
      </c>
      <c r="AF4187" s="416" t="s">
        <v>14244</v>
      </c>
    </row>
    <row r="4188" spans="31:32">
      <c r="AE4188" s="417" t="s">
        <v>14245</v>
      </c>
      <c r="AF4188" s="416" t="s">
        <v>14246</v>
      </c>
    </row>
    <row r="4189" spans="31:32">
      <c r="AE4189" s="417" t="s">
        <v>14247</v>
      </c>
      <c r="AF4189" s="416" t="s">
        <v>14248</v>
      </c>
    </row>
    <row r="4190" spans="31:32">
      <c r="AE4190" s="417" t="s">
        <v>14249</v>
      </c>
      <c r="AF4190" s="416" t="s">
        <v>14250</v>
      </c>
    </row>
    <row r="4191" spans="31:32">
      <c r="AE4191" s="417" t="s">
        <v>14251</v>
      </c>
      <c r="AF4191" s="416" t="s">
        <v>14252</v>
      </c>
    </row>
    <row r="4192" spans="31:32">
      <c r="AE4192" s="417" t="s">
        <v>14253</v>
      </c>
      <c r="AF4192" s="416" t="s">
        <v>14254</v>
      </c>
    </row>
    <row r="4193" spans="31:32">
      <c r="AE4193" s="417" t="s">
        <v>14255</v>
      </c>
      <c r="AF4193" s="416" t="s">
        <v>14256</v>
      </c>
    </row>
    <row r="4194" spans="31:32">
      <c r="AE4194" s="417" t="s">
        <v>14257</v>
      </c>
      <c r="AF4194" s="416" t="s">
        <v>14258</v>
      </c>
    </row>
    <row r="4195" spans="31:32">
      <c r="AE4195" s="417" t="s">
        <v>14259</v>
      </c>
      <c r="AF4195" s="416" t="s">
        <v>14260</v>
      </c>
    </row>
    <row r="4196" spans="31:32">
      <c r="AE4196" s="417" t="s">
        <v>14261</v>
      </c>
      <c r="AF4196" s="416" t="s">
        <v>14262</v>
      </c>
    </row>
    <row r="4197" spans="31:32">
      <c r="AE4197" s="417" t="s">
        <v>14263</v>
      </c>
      <c r="AF4197" s="416" t="s">
        <v>14264</v>
      </c>
    </row>
    <row r="4198" spans="31:32">
      <c r="AE4198" s="417" t="s">
        <v>14265</v>
      </c>
      <c r="AF4198" s="416" t="s">
        <v>14266</v>
      </c>
    </row>
    <row r="4199" spans="31:32">
      <c r="AE4199" s="417" t="s">
        <v>14267</v>
      </c>
      <c r="AF4199" s="416" t="s">
        <v>14268</v>
      </c>
    </row>
    <row r="4200" spans="31:32">
      <c r="AE4200" s="417" t="s">
        <v>14269</v>
      </c>
      <c r="AF4200" s="416" t="s">
        <v>14270</v>
      </c>
    </row>
    <row r="4201" spans="31:32">
      <c r="AE4201" s="417" t="s">
        <v>14271</v>
      </c>
      <c r="AF4201" s="416" t="s">
        <v>14272</v>
      </c>
    </row>
    <row r="4202" spans="31:32">
      <c r="AE4202" s="417" t="s">
        <v>14273</v>
      </c>
      <c r="AF4202" s="416" t="s">
        <v>14274</v>
      </c>
    </row>
    <row r="4203" spans="31:32">
      <c r="AE4203" s="417" t="s">
        <v>14275</v>
      </c>
      <c r="AF4203" s="416" t="s">
        <v>14276</v>
      </c>
    </row>
    <row r="4204" spans="31:32">
      <c r="AE4204" s="417" t="s">
        <v>14277</v>
      </c>
      <c r="AF4204" s="416" t="s">
        <v>14278</v>
      </c>
    </row>
    <row r="4205" spans="31:32">
      <c r="AE4205" s="417" t="s">
        <v>14279</v>
      </c>
      <c r="AF4205" s="416" t="s">
        <v>14280</v>
      </c>
    </row>
    <row r="4206" spans="31:32">
      <c r="AE4206" s="417" t="s">
        <v>14281</v>
      </c>
      <c r="AF4206" s="416" t="s">
        <v>14282</v>
      </c>
    </row>
    <row r="4207" spans="31:32">
      <c r="AE4207" s="417" t="s">
        <v>14283</v>
      </c>
      <c r="AF4207" s="416" t="s">
        <v>14284</v>
      </c>
    </row>
    <row r="4208" spans="31:32">
      <c r="AE4208" s="417" t="s">
        <v>14285</v>
      </c>
      <c r="AF4208" s="416" t="s">
        <v>14286</v>
      </c>
    </row>
    <row r="4209" spans="31:32">
      <c r="AE4209" s="417" t="s">
        <v>14287</v>
      </c>
      <c r="AF4209" s="416" t="s">
        <v>14288</v>
      </c>
    </row>
    <row r="4210" spans="31:32">
      <c r="AE4210" s="417" t="s">
        <v>14289</v>
      </c>
      <c r="AF4210" s="416" t="s">
        <v>14290</v>
      </c>
    </row>
    <row r="4211" spans="31:32">
      <c r="AE4211" s="417" t="s">
        <v>14291</v>
      </c>
      <c r="AF4211" s="416" t="s">
        <v>14292</v>
      </c>
    </row>
    <row r="4212" spans="31:32">
      <c r="AE4212" s="417" t="s">
        <v>14293</v>
      </c>
      <c r="AF4212" s="416" t="s">
        <v>14294</v>
      </c>
    </row>
    <row r="4213" spans="31:32">
      <c r="AE4213" s="417" t="s">
        <v>14295</v>
      </c>
      <c r="AF4213" s="416" t="s">
        <v>14296</v>
      </c>
    </row>
    <row r="4214" spans="31:32">
      <c r="AE4214" s="417" t="s">
        <v>14297</v>
      </c>
      <c r="AF4214" s="416" t="s">
        <v>14298</v>
      </c>
    </row>
    <row r="4215" spans="31:32">
      <c r="AE4215" s="417" t="s">
        <v>14299</v>
      </c>
      <c r="AF4215" s="416" t="s">
        <v>14300</v>
      </c>
    </row>
    <row r="4216" spans="31:32">
      <c r="AE4216" s="417" t="s">
        <v>14301</v>
      </c>
      <c r="AF4216" s="416" t="s">
        <v>14302</v>
      </c>
    </row>
    <row r="4217" spans="31:32">
      <c r="AE4217" s="417" t="s">
        <v>14303</v>
      </c>
      <c r="AF4217" s="416" t="s">
        <v>14304</v>
      </c>
    </row>
    <row r="4218" spans="31:32">
      <c r="AE4218" s="417" t="s">
        <v>14305</v>
      </c>
      <c r="AF4218" s="416" t="s">
        <v>14306</v>
      </c>
    </row>
    <row r="4219" spans="31:32">
      <c r="AE4219" s="417" t="s">
        <v>14307</v>
      </c>
      <c r="AF4219" s="416" t="s">
        <v>14308</v>
      </c>
    </row>
    <row r="4220" spans="31:32">
      <c r="AE4220" s="417" t="s">
        <v>14309</v>
      </c>
      <c r="AF4220" s="416" t="s">
        <v>14310</v>
      </c>
    </row>
    <row r="4221" spans="31:32">
      <c r="AE4221" s="417" t="s">
        <v>14311</v>
      </c>
      <c r="AF4221" s="416" t="s">
        <v>14312</v>
      </c>
    </row>
    <row r="4222" spans="31:32">
      <c r="AE4222" s="417" t="s">
        <v>14313</v>
      </c>
      <c r="AF4222" s="416" t="s">
        <v>14314</v>
      </c>
    </row>
    <row r="4223" spans="31:32">
      <c r="AE4223" s="417" t="s">
        <v>14315</v>
      </c>
      <c r="AF4223" s="416" t="s">
        <v>14316</v>
      </c>
    </row>
    <row r="4224" spans="31:32">
      <c r="AE4224" s="417" t="s">
        <v>14317</v>
      </c>
      <c r="AF4224" s="416" t="s">
        <v>14318</v>
      </c>
    </row>
    <row r="4225" spans="31:32">
      <c r="AE4225" s="417" t="s">
        <v>14319</v>
      </c>
      <c r="AF4225" s="416" t="s">
        <v>14320</v>
      </c>
    </row>
    <row r="4226" spans="31:32">
      <c r="AE4226" s="417" t="s">
        <v>14321</v>
      </c>
      <c r="AF4226" s="416" t="s">
        <v>14322</v>
      </c>
    </row>
    <row r="4227" spans="31:32">
      <c r="AE4227" s="417" t="s">
        <v>14323</v>
      </c>
      <c r="AF4227" s="416" t="s">
        <v>14324</v>
      </c>
    </row>
    <row r="4228" spans="31:32">
      <c r="AE4228" s="417" t="s">
        <v>14325</v>
      </c>
      <c r="AF4228" s="416" t="s">
        <v>14326</v>
      </c>
    </row>
    <row r="4229" spans="31:32">
      <c r="AE4229" s="417" t="s">
        <v>14327</v>
      </c>
      <c r="AF4229" s="416" t="s">
        <v>14328</v>
      </c>
    </row>
    <row r="4230" spans="31:32">
      <c r="AE4230" s="417" t="s">
        <v>14329</v>
      </c>
      <c r="AF4230" s="416" t="s">
        <v>14330</v>
      </c>
    </row>
    <row r="4231" spans="31:32">
      <c r="AE4231" s="417" t="s">
        <v>14331</v>
      </c>
      <c r="AF4231" s="416" t="s">
        <v>14332</v>
      </c>
    </row>
    <row r="4232" spans="31:32">
      <c r="AE4232" s="417" t="s">
        <v>14333</v>
      </c>
      <c r="AF4232" s="416" t="s">
        <v>14334</v>
      </c>
    </row>
    <row r="4233" spans="31:32">
      <c r="AE4233" s="417" t="s">
        <v>14335</v>
      </c>
      <c r="AF4233" s="416" t="s">
        <v>14336</v>
      </c>
    </row>
    <row r="4234" spans="31:32">
      <c r="AE4234" s="417" t="s">
        <v>14337</v>
      </c>
      <c r="AF4234" s="416" t="s">
        <v>14338</v>
      </c>
    </row>
    <row r="4235" spans="31:32">
      <c r="AE4235" s="417" t="s">
        <v>14339</v>
      </c>
      <c r="AF4235" s="416" t="s">
        <v>14340</v>
      </c>
    </row>
    <row r="4236" spans="31:32">
      <c r="AE4236" s="417" t="s">
        <v>14341</v>
      </c>
      <c r="AF4236" s="416" t="s">
        <v>14342</v>
      </c>
    </row>
    <row r="4237" spans="31:32">
      <c r="AE4237" s="417" t="s">
        <v>14343</v>
      </c>
      <c r="AF4237" s="416" t="s">
        <v>14344</v>
      </c>
    </row>
    <row r="4238" spans="31:32">
      <c r="AE4238" s="417" t="s">
        <v>14345</v>
      </c>
      <c r="AF4238" s="416" t="s">
        <v>14346</v>
      </c>
    </row>
    <row r="4239" spans="31:32">
      <c r="AE4239" s="417" t="s">
        <v>14347</v>
      </c>
      <c r="AF4239" s="416" t="s">
        <v>14348</v>
      </c>
    </row>
    <row r="4240" spans="31:32">
      <c r="AE4240" s="417" t="s">
        <v>14349</v>
      </c>
      <c r="AF4240" s="416" t="s">
        <v>14350</v>
      </c>
    </row>
    <row r="4241" spans="31:32">
      <c r="AE4241" s="417" t="s">
        <v>14351</v>
      </c>
      <c r="AF4241" s="416" t="s">
        <v>14352</v>
      </c>
    </row>
    <row r="4242" spans="31:32">
      <c r="AE4242" s="417" t="s">
        <v>14353</v>
      </c>
      <c r="AF4242" s="416" t="s">
        <v>14354</v>
      </c>
    </row>
    <row r="4243" spans="31:32">
      <c r="AE4243" s="417" t="s">
        <v>14355</v>
      </c>
      <c r="AF4243" s="416" t="s">
        <v>14356</v>
      </c>
    </row>
    <row r="4244" spans="31:32">
      <c r="AE4244" s="417" t="s">
        <v>14357</v>
      </c>
      <c r="AF4244" s="416" t="s">
        <v>14358</v>
      </c>
    </row>
    <row r="4245" spans="31:32">
      <c r="AE4245" s="417" t="s">
        <v>14359</v>
      </c>
      <c r="AF4245" s="416" t="s">
        <v>14360</v>
      </c>
    </row>
    <row r="4246" spans="31:32">
      <c r="AE4246" s="417" t="s">
        <v>14361</v>
      </c>
      <c r="AF4246" s="416" t="s">
        <v>14362</v>
      </c>
    </row>
    <row r="4247" spans="31:32">
      <c r="AE4247" s="417" t="s">
        <v>14363</v>
      </c>
      <c r="AF4247" s="416" t="s">
        <v>14364</v>
      </c>
    </row>
    <row r="4248" spans="31:32">
      <c r="AE4248" s="417" t="s">
        <v>14365</v>
      </c>
      <c r="AF4248" s="416" t="s">
        <v>14366</v>
      </c>
    </row>
    <row r="4249" spans="31:32">
      <c r="AE4249" s="417" t="s">
        <v>14367</v>
      </c>
      <c r="AF4249" s="416" t="s">
        <v>14368</v>
      </c>
    </row>
    <row r="4250" spans="31:32">
      <c r="AE4250" s="417" t="s">
        <v>14369</v>
      </c>
      <c r="AF4250" s="416" t="s">
        <v>14370</v>
      </c>
    </row>
    <row r="4251" spans="31:32">
      <c r="AE4251" s="417" t="s">
        <v>14371</v>
      </c>
      <c r="AF4251" s="416" t="s">
        <v>14372</v>
      </c>
    </row>
    <row r="4252" spans="31:32">
      <c r="AE4252" s="417" t="s">
        <v>14373</v>
      </c>
      <c r="AF4252" s="416" t="s">
        <v>14374</v>
      </c>
    </row>
    <row r="4253" spans="31:32">
      <c r="AE4253" s="417" t="s">
        <v>14375</v>
      </c>
      <c r="AF4253" s="416" t="s">
        <v>14376</v>
      </c>
    </row>
    <row r="4254" spans="31:32">
      <c r="AE4254" s="417" t="s">
        <v>14377</v>
      </c>
      <c r="AF4254" s="416" t="s">
        <v>14378</v>
      </c>
    </row>
    <row r="4255" spans="31:32">
      <c r="AE4255" s="417" t="s">
        <v>14379</v>
      </c>
      <c r="AF4255" s="416" t="s">
        <v>14380</v>
      </c>
    </row>
    <row r="4256" spans="31:32">
      <c r="AE4256" s="417" t="s">
        <v>14381</v>
      </c>
      <c r="AF4256" s="416" t="s">
        <v>14382</v>
      </c>
    </row>
    <row r="4257" spans="31:32">
      <c r="AE4257" s="417" t="s">
        <v>14383</v>
      </c>
      <c r="AF4257" s="416" t="s">
        <v>14384</v>
      </c>
    </row>
    <row r="4258" spans="31:32">
      <c r="AE4258" s="417" t="s">
        <v>14385</v>
      </c>
      <c r="AF4258" s="416" t="s">
        <v>14386</v>
      </c>
    </row>
    <row r="4259" spans="31:32">
      <c r="AE4259" s="417" t="s">
        <v>14387</v>
      </c>
      <c r="AF4259" s="416" t="s">
        <v>14388</v>
      </c>
    </row>
    <row r="4260" spans="31:32">
      <c r="AE4260" s="417" t="s">
        <v>14389</v>
      </c>
      <c r="AF4260" s="416" t="s">
        <v>14390</v>
      </c>
    </row>
    <row r="4261" spans="31:32">
      <c r="AE4261" s="417" t="s">
        <v>14391</v>
      </c>
      <c r="AF4261" s="416" t="s">
        <v>14392</v>
      </c>
    </row>
    <row r="4262" spans="31:32">
      <c r="AE4262" s="417" t="s">
        <v>14393</v>
      </c>
      <c r="AF4262" s="416" t="s">
        <v>14394</v>
      </c>
    </row>
    <row r="4263" spans="31:32">
      <c r="AE4263" s="417" t="s">
        <v>14395</v>
      </c>
      <c r="AF4263" s="416" t="s">
        <v>14396</v>
      </c>
    </row>
    <row r="4264" spans="31:32">
      <c r="AE4264" s="417" t="s">
        <v>14397</v>
      </c>
      <c r="AF4264" s="416" t="s">
        <v>14398</v>
      </c>
    </row>
    <row r="4265" spans="31:32">
      <c r="AE4265" s="417" t="s">
        <v>14399</v>
      </c>
      <c r="AF4265" s="416" t="s">
        <v>14400</v>
      </c>
    </row>
    <row r="4266" spans="31:32">
      <c r="AE4266" s="417" t="s">
        <v>14401</v>
      </c>
      <c r="AF4266" s="416" t="s">
        <v>14402</v>
      </c>
    </row>
    <row r="4267" spans="31:32">
      <c r="AE4267" s="417" t="s">
        <v>14403</v>
      </c>
      <c r="AF4267" s="416" t="s">
        <v>14404</v>
      </c>
    </row>
    <row r="4268" spans="31:32">
      <c r="AE4268" s="417" t="s">
        <v>14405</v>
      </c>
      <c r="AF4268" s="416" t="s">
        <v>14406</v>
      </c>
    </row>
    <row r="4269" spans="31:32">
      <c r="AE4269" s="417" t="s">
        <v>14407</v>
      </c>
      <c r="AF4269" s="416" t="s">
        <v>14408</v>
      </c>
    </row>
    <row r="4270" spans="31:32">
      <c r="AE4270" s="417" t="s">
        <v>14409</v>
      </c>
      <c r="AF4270" s="416" t="s">
        <v>14410</v>
      </c>
    </row>
    <row r="4271" spans="31:32">
      <c r="AE4271" s="417" t="s">
        <v>14411</v>
      </c>
      <c r="AF4271" s="416" t="s">
        <v>14412</v>
      </c>
    </row>
    <row r="4272" spans="31:32">
      <c r="AE4272" s="417" t="s">
        <v>14413</v>
      </c>
      <c r="AF4272" s="416" t="s">
        <v>14414</v>
      </c>
    </row>
    <row r="4273" spans="31:32">
      <c r="AE4273" s="417" t="s">
        <v>14415</v>
      </c>
      <c r="AF4273" s="416" t="s">
        <v>14416</v>
      </c>
    </row>
    <row r="4274" spans="31:32">
      <c r="AE4274" s="417" t="s">
        <v>14417</v>
      </c>
      <c r="AF4274" s="416" t="s">
        <v>14418</v>
      </c>
    </row>
    <row r="4275" spans="31:32">
      <c r="AE4275" s="417" t="s">
        <v>14419</v>
      </c>
      <c r="AF4275" s="416" t="s">
        <v>14420</v>
      </c>
    </row>
    <row r="4276" spans="31:32">
      <c r="AE4276" s="417" t="s">
        <v>14421</v>
      </c>
      <c r="AF4276" s="416" t="s">
        <v>14422</v>
      </c>
    </row>
    <row r="4277" spans="31:32">
      <c r="AE4277" s="417" t="s">
        <v>14423</v>
      </c>
      <c r="AF4277" s="416" t="s">
        <v>14424</v>
      </c>
    </row>
    <row r="4278" spans="31:32">
      <c r="AE4278" s="417" t="s">
        <v>14425</v>
      </c>
      <c r="AF4278" s="416" t="s">
        <v>14426</v>
      </c>
    </row>
    <row r="4279" spans="31:32">
      <c r="AE4279" s="417" t="s">
        <v>14427</v>
      </c>
      <c r="AF4279" s="416" t="s">
        <v>14428</v>
      </c>
    </row>
    <row r="4280" spans="31:32">
      <c r="AE4280" s="417" t="s">
        <v>14429</v>
      </c>
      <c r="AF4280" s="416" t="s">
        <v>14430</v>
      </c>
    </row>
    <row r="4281" spans="31:32">
      <c r="AE4281" s="417" t="s">
        <v>14431</v>
      </c>
      <c r="AF4281" s="416" t="s">
        <v>14432</v>
      </c>
    </row>
    <row r="4282" spans="31:32">
      <c r="AE4282" s="417" t="s">
        <v>14433</v>
      </c>
      <c r="AF4282" s="416" t="s">
        <v>14434</v>
      </c>
    </row>
    <row r="4283" spans="31:32">
      <c r="AE4283" s="417" t="s">
        <v>14435</v>
      </c>
      <c r="AF4283" s="416" t="s">
        <v>14436</v>
      </c>
    </row>
    <row r="4284" spans="31:32">
      <c r="AE4284" s="417" t="s">
        <v>14437</v>
      </c>
      <c r="AF4284" s="416" t="s">
        <v>14438</v>
      </c>
    </row>
    <row r="4285" spans="31:32">
      <c r="AE4285" s="417" t="s">
        <v>14439</v>
      </c>
      <c r="AF4285" s="416" t="s">
        <v>14440</v>
      </c>
    </row>
    <row r="4286" spans="31:32">
      <c r="AE4286" s="417" t="s">
        <v>14441</v>
      </c>
      <c r="AF4286" s="416" t="s">
        <v>14442</v>
      </c>
    </row>
    <row r="4287" spans="31:32">
      <c r="AE4287" s="417" t="s">
        <v>14443</v>
      </c>
      <c r="AF4287" s="416" t="s">
        <v>14444</v>
      </c>
    </row>
    <row r="4288" spans="31:32">
      <c r="AE4288" s="417" t="s">
        <v>14445</v>
      </c>
      <c r="AF4288" s="416" t="s">
        <v>14446</v>
      </c>
    </row>
    <row r="4289" spans="31:32">
      <c r="AE4289" s="417" t="s">
        <v>14447</v>
      </c>
      <c r="AF4289" s="416" t="s">
        <v>14448</v>
      </c>
    </row>
    <row r="4290" spans="31:32">
      <c r="AE4290" s="417" t="s">
        <v>14449</v>
      </c>
      <c r="AF4290" s="416" t="s">
        <v>14450</v>
      </c>
    </row>
    <row r="4291" spans="31:32">
      <c r="AE4291" s="417" t="s">
        <v>14451</v>
      </c>
      <c r="AF4291" s="416" t="s">
        <v>14452</v>
      </c>
    </row>
    <row r="4292" spans="31:32">
      <c r="AE4292" s="417" t="s">
        <v>14453</v>
      </c>
      <c r="AF4292" s="416" t="s">
        <v>14454</v>
      </c>
    </row>
    <row r="4293" spans="31:32">
      <c r="AE4293" s="417" t="s">
        <v>14455</v>
      </c>
      <c r="AF4293" s="416" t="s">
        <v>14456</v>
      </c>
    </row>
    <row r="4294" spans="31:32">
      <c r="AE4294" s="417" t="s">
        <v>14457</v>
      </c>
      <c r="AF4294" s="416" t="s">
        <v>14458</v>
      </c>
    </row>
    <row r="4295" spans="31:32">
      <c r="AE4295" s="417" t="s">
        <v>14459</v>
      </c>
      <c r="AF4295" s="416" t="s">
        <v>14460</v>
      </c>
    </row>
    <row r="4296" spans="31:32">
      <c r="AE4296" s="417" t="s">
        <v>14461</v>
      </c>
      <c r="AF4296" s="416" t="s">
        <v>14462</v>
      </c>
    </row>
    <row r="4297" spans="31:32">
      <c r="AE4297" s="417" t="s">
        <v>14463</v>
      </c>
      <c r="AF4297" s="416" t="s">
        <v>14464</v>
      </c>
    </row>
    <row r="4298" spans="31:32">
      <c r="AE4298" s="417" t="s">
        <v>14465</v>
      </c>
      <c r="AF4298" s="416" t="s">
        <v>14466</v>
      </c>
    </row>
    <row r="4299" spans="31:32">
      <c r="AE4299" s="417" t="s">
        <v>14467</v>
      </c>
      <c r="AF4299" s="416" t="s">
        <v>14468</v>
      </c>
    </row>
    <row r="4300" spans="31:32">
      <c r="AE4300" s="417" t="s">
        <v>14469</v>
      </c>
      <c r="AF4300" s="416" t="s">
        <v>14470</v>
      </c>
    </row>
    <row r="4301" spans="31:32">
      <c r="AE4301" s="417" t="s">
        <v>14471</v>
      </c>
      <c r="AF4301" s="416" t="s">
        <v>14472</v>
      </c>
    </row>
    <row r="4302" spans="31:32">
      <c r="AE4302" s="417" t="s">
        <v>14473</v>
      </c>
      <c r="AF4302" s="416" t="s">
        <v>14474</v>
      </c>
    </row>
    <row r="4303" spans="31:32">
      <c r="AE4303" s="417" t="s">
        <v>14475</v>
      </c>
      <c r="AF4303" s="416" t="s">
        <v>14476</v>
      </c>
    </row>
    <row r="4304" spans="31:32">
      <c r="AE4304" s="417" t="s">
        <v>14477</v>
      </c>
      <c r="AF4304" s="416" t="s">
        <v>14478</v>
      </c>
    </row>
    <row r="4305" spans="31:32">
      <c r="AE4305" s="417" t="s">
        <v>14479</v>
      </c>
      <c r="AF4305" s="416" t="s">
        <v>14480</v>
      </c>
    </row>
    <row r="4306" spans="31:32">
      <c r="AE4306" s="417" t="s">
        <v>14481</v>
      </c>
      <c r="AF4306" s="416" t="s">
        <v>14482</v>
      </c>
    </row>
    <row r="4307" spans="31:32">
      <c r="AE4307" s="417" t="s">
        <v>14483</v>
      </c>
      <c r="AF4307" s="416" t="s">
        <v>14484</v>
      </c>
    </row>
    <row r="4308" spans="31:32">
      <c r="AE4308" s="417" t="s">
        <v>14485</v>
      </c>
      <c r="AF4308" s="416" t="s">
        <v>14486</v>
      </c>
    </row>
    <row r="4309" spans="31:32">
      <c r="AE4309" s="417" t="s">
        <v>14487</v>
      </c>
      <c r="AF4309" s="416" t="s">
        <v>14488</v>
      </c>
    </row>
    <row r="4310" spans="31:32">
      <c r="AE4310" s="417" t="s">
        <v>14489</v>
      </c>
      <c r="AF4310" s="416" t="s">
        <v>14490</v>
      </c>
    </row>
    <row r="4311" spans="31:32">
      <c r="AE4311" s="417" t="s">
        <v>14491</v>
      </c>
      <c r="AF4311" s="416" t="s">
        <v>14492</v>
      </c>
    </row>
    <row r="4312" spans="31:32">
      <c r="AE4312" s="417" t="s">
        <v>14493</v>
      </c>
      <c r="AF4312" s="416" t="s">
        <v>14494</v>
      </c>
    </row>
    <row r="4313" spans="31:32">
      <c r="AE4313" s="417" t="s">
        <v>14495</v>
      </c>
      <c r="AF4313" s="416" t="s">
        <v>14496</v>
      </c>
    </row>
    <row r="4314" spans="31:32">
      <c r="AE4314" s="417" t="s">
        <v>14497</v>
      </c>
      <c r="AF4314" s="416" t="s">
        <v>14498</v>
      </c>
    </row>
    <row r="4315" spans="31:32">
      <c r="AE4315" s="417" t="s">
        <v>14499</v>
      </c>
      <c r="AF4315" s="416" t="s">
        <v>14500</v>
      </c>
    </row>
    <row r="4316" spans="31:32">
      <c r="AE4316" s="417" t="s">
        <v>14501</v>
      </c>
      <c r="AF4316" s="416" t="s">
        <v>14502</v>
      </c>
    </row>
    <row r="4317" spans="31:32">
      <c r="AE4317" s="417" t="s">
        <v>14503</v>
      </c>
      <c r="AF4317" s="416" t="s">
        <v>14504</v>
      </c>
    </row>
    <row r="4318" spans="31:32">
      <c r="AE4318" s="417" t="s">
        <v>14505</v>
      </c>
      <c r="AF4318" s="416" t="s">
        <v>14506</v>
      </c>
    </row>
    <row r="4319" spans="31:32">
      <c r="AE4319" s="417" t="s">
        <v>14507</v>
      </c>
      <c r="AF4319" s="416" t="s">
        <v>14508</v>
      </c>
    </row>
    <row r="4320" spans="31:32">
      <c r="AE4320" s="417" t="s">
        <v>14509</v>
      </c>
      <c r="AF4320" s="416" t="s">
        <v>14510</v>
      </c>
    </row>
    <row r="4321" spans="31:32">
      <c r="AE4321" s="417" t="s">
        <v>14511</v>
      </c>
      <c r="AF4321" s="416" t="s">
        <v>14512</v>
      </c>
    </row>
    <row r="4322" spans="31:32">
      <c r="AE4322" s="417" t="s">
        <v>14513</v>
      </c>
      <c r="AF4322" s="416" t="s">
        <v>14514</v>
      </c>
    </row>
    <row r="4323" spans="31:32">
      <c r="AE4323" s="417" t="s">
        <v>14515</v>
      </c>
      <c r="AF4323" s="416" t="s">
        <v>14516</v>
      </c>
    </row>
    <row r="4324" spans="31:32">
      <c r="AE4324" s="417" t="s">
        <v>14517</v>
      </c>
      <c r="AF4324" s="416" t="s">
        <v>14518</v>
      </c>
    </row>
    <row r="4325" spans="31:32">
      <c r="AE4325" s="417" t="s">
        <v>14519</v>
      </c>
      <c r="AF4325" s="416" t="s">
        <v>14520</v>
      </c>
    </row>
    <row r="4326" spans="31:32">
      <c r="AE4326" s="417" t="s">
        <v>14521</v>
      </c>
      <c r="AF4326" s="416" t="s">
        <v>14522</v>
      </c>
    </row>
    <row r="4327" spans="31:32">
      <c r="AE4327" s="417" t="s">
        <v>14523</v>
      </c>
      <c r="AF4327" s="416" t="s">
        <v>14524</v>
      </c>
    </row>
    <row r="4328" spans="31:32">
      <c r="AE4328" s="417" t="s">
        <v>14525</v>
      </c>
      <c r="AF4328" s="416" t="s">
        <v>14526</v>
      </c>
    </row>
    <row r="4329" spans="31:32">
      <c r="AE4329" s="417" t="s">
        <v>14527</v>
      </c>
      <c r="AF4329" s="416" t="s">
        <v>14528</v>
      </c>
    </row>
    <row r="4330" spans="31:32">
      <c r="AE4330" s="417" t="s">
        <v>14529</v>
      </c>
      <c r="AF4330" s="416" t="s">
        <v>14530</v>
      </c>
    </row>
    <row r="4331" spans="31:32">
      <c r="AE4331" s="417" t="s">
        <v>14531</v>
      </c>
      <c r="AF4331" s="416" t="s">
        <v>14532</v>
      </c>
    </row>
    <row r="4332" spans="31:32">
      <c r="AE4332" s="417" t="s">
        <v>14533</v>
      </c>
      <c r="AF4332" s="416" t="s">
        <v>14534</v>
      </c>
    </row>
    <row r="4333" spans="31:32">
      <c r="AE4333" s="417" t="s">
        <v>14535</v>
      </c>
      <c r="AF4333" s="416" t="s">
        <v>14536</v>
      </c>
    </row>
    <row r="4334" spans="31:32">
      <c r="AE4334" s="417" t="s">
        <v>14537</v>
      </c>
      <c r="AF4334" s="416" t="s">
        <v>14538</v>
      </c>
    </row>
    <row r="4335" spans="31:32">
      <c r="AE4335" s="417" t="s">
        <v>14539</v>
      </c>
      <c r="AF4335" s="416" t="s">
        <v>14540</v>
      </c>
    </row>
    <row r="4336" spans="31:32">
      <c r="AE4336" s="417" t="s">
        <v>14541</v>
      </c>
      <c r="AF4336" s="416" t="s">
        <v>14542</v>
      </c>
    </row>
    <row r="4337" spans="31:32">
      <c r="AE4337" s="417" t="s">
        <v>14543</v>
      </c>
      <c r="AF4337" s="416" t="s">
        <v>14544</v>
      </c>
    </row>
    <row r="4338" spans="31:32">
      <c r="AE4338" s="417" t="s">
        <v>14545</v>
      </c>
      <c r="AF4338" s="416" t="s">
        <v>14546</v>
      </c>
    </row>
    <row r="4339" spans="31:32">
      <c r="AE4339" s="417" t="s">
        <v>14547</v>
      </c>
      <c r="AF4339" s="416" t="s">
        <v>14548</v>
      </c>
    </row>
    <row r="4340" spans="31:32">
      <c r="AE4340" s="417" t="s">
        <v>14549</v>
      </c>
      <c r="AF4340" s="416" t="s">
        <v>14550</v>
      </c>
    </row>
    <row r="4341" spans="31:32">
      <c r="AE4341" s="417" t="s">
        <v>14551</v>
      </c>
      <c r="AF4341" s="416" t="s">
        <v>14552</v>
      </c>
    </row>
    <row r="4342" spans="31:32">
      <c r="AE4342" s="417" t="s">
        <v>14553</v>
      </c>
      <c r="AF4342" s="416" t="s">
        <v>14554</v>
      </c>
    </row>
    <row r="4343" spans="31:32">
      <c r="AE4343" s="417" t="s">
        <v>14555</v>
      </c>
      <c r="AF4343" s="416" t="s">
        <v>14556</v>
      </c>
    </row>
    <row r="4344" spans="31:32">
      <c r="AE4344" s="417" t="s">
        <v>14557</v>
      </c>
      <c r="AF4344" s="416" t="s">
        <v>14558</v>
      </c>
    </row>
    <row r="4345" spans="31:32">
      <c r="AE4345" s="417" t="s">
        <v>14559</v>
      </c>
      <c r="AF4345" s="416" t="s">
        <v>14560</v>
      </c>
    </row>
    <row r="4346" spans="31:32">
      <c r="AE4346" s="417" t="s">
        <v>14561</v>
      </c>
      <c r="AF4346" s="416" t="s">
        <v>14562</v>
      </c>
    </row>
    <row r="4347" spans="31:32">
      <c r="AE4347" s="417" t="s">
        <v>14563</v>
      </c>
      <c r="AF4347" s="416" t="s">
        <v>14564</v>
      </c>
    </row>
    <row r="4348" spans="31:32">
      <c r="AE4348" s="417" t="s">
        <v>14565</v>
      </c>
      <c r="AF4348" s="416" t="s">
        <v>14566</v>
      </c>
    </row>
    <row r="4349" spans="31:32">
      <c r="AE4349" s="417" t="s">
        <v>14567</v>
      </c>
      <c r="AF4349" s="416" t="s">
        <v>14568</v>
      </c>
    </row>
    <row r="4350" spans="31:32">
      <c r="AE4350" s="417" t="s">
        <v>14569</v>
      </c>
      <c r="AF4350" s="416" t="s">
        <v>14570</v>
      </c>
    </row>
    <row r="4351" spans="31:32">
      <c r="AE4351" s="417" t="s">
        <v>14571</v>
      </c>
      <c r="AF4351" s="416" t="s">
        <v>14572</v>
      </c>
    </row>
    <row r="4352" spans="31:32">
      <c r="AE4352" s="417" t="s">
        <v>14573</v>
      </c>
      <c r="AF4352" s="416" t="s">
        <v>14574</v>
      </c>
    </row>
    <row r="4353" spans="31:32">
      <c r="AE4353" s="417" t="s">
        <v>14575</v>
      </c>
      <c r="AF4353" s="416" t="s">
        <v>14576</v>
      </c>
    </row>
    <row r="4354" spans="31:32">
      <c r="AE4354" s="417" t="s">
        <v>14577</v>
      </c>
      <c r="AF4354" s="416" t="s">
        <v>14578</v>
      </c>
    </row>
    <row r="4355" spans="31:32">
      <c r="AE4355" s="417" t="s">
        <v>14579</v>
      </c>
      <c r="AF4355" s="416" t="s">
        <v>14580</v>
      </c>
    </row>
    <row r="4356" spans="31:32">
      <c r="AE4356" s="417" t="s">
        <v>14581</v>
      </c>
      <c r="AF4356" s="416" t="s">
        <v>14582</v>
      </c>
    </row>
    <row r="4357" spans="31:32">
      <c r="AE4357" s="417" t="s">
        <v>14583</v>
      </c>
      <c r="AF4357" s="416" t="s">
        <v>14584</v>
      </c>
    </row>
    <row r="4358" spans="31:32">
      <c r="AE4358" s="417" t="s">
        <v>14585</v>
      </c>
      <c r="AF4358" s="416" t="s">
        <v>14586</v>
      </c>
    </row>
    <row r="4359" spans="31:32">
      <c r="AE4359" s="417" t="s">
        <v>14587</v>
      </c>
      <c r="AF4359" s="416" t="s">
        <v>14588</v>
      </c>
    </row>
    <row r="4360" spans="31:32">
      <c r="AE4360" s="417" t="s">
        <v>14589</v>
      </c>
      <c r="AF4360" s="416" t="s">
        <v>14590</v>
      </c>
    </row>
    <row r="4361" spans="31:32">
      <c r="AE4361" s="417" t="s">
        <v>14591</v>
      </c>
      <c r="AF4361" s="416" t="s">
        <v>14592</v>
      </c>
    </row>
    <row r="4362" spans="31:32">
      <c r="AE4362" s="417" t="s">
        <v>14593</v>
      </c>
      <c r="AF4362" s="416" t="s">
        <v>14594</v>
      </c>
    </row>
    <row r="4363" spans="31:32">
      <c r="AE4363" s="417" t="s">
        <v>14595</v>
      </c>
      <c r="AF4363" s="416" t="s">
        <v>14596</v>
      </c>
    </row>
    <row r="4364" spans="31:32">
      <c r="AE4364" s="417" t="s">
        <v>14597</v>
      </c>
      <c r="AF4364" s="416" t="s">
        <v>14598</v>
      </c>
    </row>
    <row r="4365" spans="31:32">
      <c r="AE4365" s="417" t="s">
        <v>14599</v>
      </c>
      <c r="AF4365" s="416" t="s">
        <v>14600</v>
      </c>
    </row>
    <row r="4366" spans="31:32">
      <c r="AE4366" s="417" t="s">
        <v>14601</v>
      </c>
      <c r="AF4366" s="416" t="s">
        <v>14602</v>
      </c>
    </row>
    <row r="4367" spans="31:32">
      <c r="AE4367" s="417" t="s">
        <v>14603</v>
      </c>
      <c r="AF4367" s="416" t="s">
        <v>14604</v>
      </c>
    </row>
    <row r="4368" spans="31:32">
      <c r="AE4368" s="417" t="s">
        <v>14605</v>
      </c>
      <c r="AF4368" s="416" t="s">
        <v>14606</v>
      </c>
    </row>
    <row r="4369" spans="31:32">
      <c r="AE4369" s="417" t="s">
        <v>14607</v>
      </c>
      <c r="AF4369" s="416" t="s">
        <v>14608</v>
      </c>
    </row>
    <row r="4370" spans="31:32">
      <c r="AE4370" s="417" t="s">
        <v>14609</v>
      </c>
      <c r="AF4370" s="416" t="s">
        <v>14610</v>
      </c>
    </row>
    <row r="4371" spans="31:32">
      <c r="AE4371" s="417" t="s">
        <v>14611</v>
      </c>
      <c r="AF4371" s="416" t="s">
        <v>14612</v>
      </c>
    </row>
    <row r="4372" spans="31:32">
      <c r="AE4372" s="417" t="s">
        <v>14613</v>
      </c>
      <c r="AF4372" s="416" t="s">
        <v>14614</v>
      </c>
    </row>
    <row r="4373" spans="31:32">
      <c r="AE4373" s="417" t="s">
        <v>14615</v>
      </c>
      <c r="AF4373" s="416" t="s">
        <v>14616</v>
      </c>
    </row>
    <row r="4374" spans="31:32">
      <c r="AE4374" s="417" t="s">
        <v>14617</v>
      </c>
      <c r="AF4374" s="416" t="s">
        <v>14618</v>
      </c>
    </row>
    <row r="4375" spans="31:32">
      <c r="AE4375" s="417" t="s">
        <v>14619</v>
      </c>
      <c r="AF4375" s="416" t="s">
        <v>14620</v>
      </c>
    </row>
    <row r="4376" spans="31:32">
      <c r="AE4376" s="417" t="s">
        <v>14621</v>
      </c>
      <c r="AF4376" s="416" t="s">
        <v>14622</v>
      </c>
    </row>
    <row r="4377" spans="31:32">
      <c r="AE4377" s="417" t="s">
        <v>14623</v>
      </c>
      <c r="AF4377" s="416" t="s">
        <v>14624</v>
      </c>
    </row>
    <row r="4378" spans="31:32">
      <c r="AE4378" s="417" t="s">
        <v>14625</v>
      </c>
      <c r="AF4378" s="416" t="s">
        <v>14626</v>
      </c>
    </row>
    <row r="4379" spans="31:32">
      <c r="AE4379" s="417" t="s">
        <v>14627</v>
      </c>
      <c r="AF4379" s="416" t="s">
        <v>14628</v>
      </c>
    </row>
    <row r="4380" spans="31:32">
      <c r="AE4380" s="417" t="s">
        <v>14629</v>
      </c>
      <c r="AF4380" s="416" t="s">
        <v>14630</v>
      </c>
    </row>
    <row r="4381" spans="31:32">
      <c r="AE4381" s="417" t="s">
        <v>14631</v>
      </c>
      <c r="AF4381" s="416" t="s">
        <v>14632</v>
      </c>
    </row>
    <row r="4382" spans="31:32">
      <c r="AE4382" s="417" t="s">
        <v>14633</v>
      </c>
      <c r="AF4382" s="416" t="s">
        <v>14634</v>
      </c>
    </row>
    <row r="4383" spans="31:32">
      <c r="AE4383" s="417" t="s">
        <v>14635</v>
      </c>
      <c r="AF4383" s="416" t="s">
        <v>14636</v>
      </c>
    </row>
    <row r="4384" spans="31:32">
      <c r="AE4384" s="417" t="s">
        <v>14637</v>
      </c>
      <c r="AF4384" s="416" t="s">
        <v>14638</v>
      </c>
    </row>
    <row r="4385" spans="31:32">
      <c r="AE4385" s="417" t="s">
        <v>14639</v>
      </c>
      <c r="AF4385" s="416" t="s">
        <v>14640</v>
      </c>
    </row>
    <row r="4386" spans="31:32">
      <c r="AE4386" s="417" t="s">
        <v>14641</v>
      </c>
      <c r="AF4386" s="416" t="s">
        <v>14642</v>
      </c>
    </row>
    <row r="4387" spans="31:32">
      <c r="AE4387" s="417" t="s">
        <v>14643</v>
      </c>
      <c r="AF4387" s="416" t="s">
        <v>14644</v>
      </c>
    </row>
    <row r="4388" spans="31:32">
      <c r="AE4388" s="417" t="s">
        <v>14645</v>
      </c>
      <c r="AF4388" s="416" t="s">
        <v>14646</v>
      </c>
    </row>
    <row r="4389" spans="31:32">
      <c r="AE4389" s="417" t="s">
        <v>14647</v>
      </c>
      <c r="AF4389" s="416" t="s">
        <v>14648</v>
      </c>
    </row>
    <row r="4390" spans="31:32">
      <c r="AE4390" s="417" t="s">
        <v>14649</v>
      </c>
      <c r="AF4390" s="416" t="s">
        <v>14650</v>
      </c>
    </row>
    <row r="4391" spans="31:32">
      <c r="AE4391" s="417" t="s">
        <v>14651</v>
      </c>
      <c r="AF4391" s="416" t="s">
        <v>14652</v>
      </c>
    </row>
    <row r="4392" spans="31:32">
      <c r="AE4392" s="417" t="s">
        <v>14653</v>
      </c>
      <c r="AF4392" s="416" t="s">
        <v>14654</v>
      </c>
    </row>
    <row r="4393" spans="31:32">
      <c r="AE4393" s="417" t="s">
        <v>14655</v>
      </c>
      <c r="AF4393" s="416" t="s">
        <v>14656</v>
      </c>
    </row>
    <row r="4394" spans="31:32">
      <c r="AE4394" s="417" t="s">
        <v>14657</v>
      </c>
      <c r="AF4394" s="416" t="s">
        <v>14658</v>
      </c>
    </row>
    <row r="4395" spans="31:32">
      <c r="AE4395" s="417" t="s">
        <v>14659</v>
      </c>
      <c r="AF4395" s="416" t="s">
        <v>14660</v>
      </c>
    </row>
    <row r="4396" spans="31:32">
      <c r="AE4396" s="417" t="s">
        <v>14661</v>
      </c>
      <c r="AF4396" s="416" t="s">
        <v>14662</v>
      </c>
    </row>
    <row r="4397" spans="31:32">
      <c r="AE4397" s="417" t="s">
        <v>14663</v>
      </c>
      <c r="AF4397" s="416" t="s">
        <v>14664</v>
      </c>
    </row>
    <row r="4398" spans="31:32">
      <c r="AE4398" s="417" t="s">
        <v>14665</v>
      </c>
      <c r="AF4398" s="416" t="s">
        <v>14666</v>
      </c>
    </row>
    <row r="4399" spans="31:32">
      <c r="AE4399" s="417" t="s">
        <v>14667</v>
      </c>
      <c r="AF4399" s="416" t="s">
        <v>14668</v>
      </c>
    </row>
    <row r="4400" spans="31:32">
      <c r="AE4400" s="417" t="s">
        <v>14669</v>
      </c>
      <c r="AF4400" s="416" t="s">
        <v>14670</v>
      </c>
    </row>
    <row r="4401" spans="31:32">
      <c r="AE4401" s="417" t="s">
        <v>14671</v>
      </c>
      <c r="AF4401" s="416" t="s">
        <v>14672</v>
      </c>
    </row>
    <row r="4402" spans="31:32">
      <c r="AE4402" s="417" t="s">
        <v>14673</v>
      </c>
      <c r="AF4402" s="416" t="s">
        <v>14674</v>
      </c>
    </row>
    <row r="4403" spans="31:32">
      <c r="AE4403" s="417" t="s">
        <v>14675</v>
      </c>
      <c r="AF4403" s="416" t="s">
        <v>14676</v>
      </c>
    </row>
    <row r="4404" spans="31:32">
      <c r="AE4404" s="417" t="s">
        <v>14677</v>
      </c>
      <c r="AF4404" s="416" t="s">
        <v>14678</v>
      </c>
    </row>
    <row r="4405" spans="31:32">
      <c r="AE4405" s="417" t="s">
        <v>14679</v>
      </c>
      <c r="AF4405" s="416" t="s">
        <v>14680</v>
      </c>
    </row>
    <row r="4406" spans="31:32">
      <c r="AE4406" s="417" t="s">
        <v>14681</v>
      </c>
      <c r="AF4406" s="416" t="s">
        <v>14682</v>
      </c>
    </row>
    <row r="4407" spans="31:32">
      <c r="AE4407" s="417" t="s">
        <v>14683</v>
      </c>
      <c r="AF4407" s="416" t="s">
        <v>14684</v>
      </c>
    </row>
    <row r="4408" spans="31:32">
      <c r="AE4408" s="417" t="s">
        <v>14685</v>
      </c>
      <c r="AF4408" s="416" t="s">
        <v>14686</v>
      </c>
    </row>
    <row r="4409" spans="31:32">
      <c r="AE4409" s="417" t="s">
        <v>14687</v>
      </c>
      <c r="AF4409" s="416" t="s">
        <v>14688</v>
      </c>
    </row>
    <row r="4410" spans="31:32">
      <c r="AE4410" s="417" t="s">
        <v>14689</v>
      </c>
      <c r="AF4410" s="416" t="s">
        <v>14690</v>
      </c>
    </row>
    <row r="4411" spans="31:32">
      <c r="AE4411" s="417" t="s">
        <v>14691</v>
      </c>
      <c r="AF4411" s="416" t="s">
        <v>14692</v>
      </c>
    </row>
    <row r="4412" spans="31:32">
      <c r="AE4412" s="417" t="s">
        <v>14693</v>
      </c>
      <c r="AF4412" s="416" t="s">
        <v>14694</v>
      </c>
    </row>
    <row r="4413" spans="31:32">
      <c r="AE4413" s="417" t="s">
        <v>14695</v>
      </c>
      <c r="AF4413" s="416" t="s">
        <v>14696</v>
      </c>
    </row>
    <row r="4414" spans="31:32">
      <c r="AE4414" s="417" t="s">
        <v>14697</v>
      </c>
      <c r="AF4414" s="416" t="s">
        <v>14698</v>
      </c>
    </row>
    <row r="4415" spans="31:32">
      <c r="AE4415" s="417" t="s">
        <v>14699</v>
      </c>
      <c r="AF4415" s="416" t="s">
        <v>14700</v>
      </c>
    </row>
    <row r="4416" spans="31:32">
      <c r="AE4416" s="417" t="s">
        <v>14701</v>
      </c>
      <c r="AF4416" s="416" t="s">
        <v>14702</v>
      </c>
    </row>
    <row r="4417" spans="31:32">
      <c r="AE4417" s="417" t="s">
        <v>14703</v>
      </c>
      <c r="AF4417" s="416" t="s">
        <v>14704</v>
      </c>
    </row>
    <row r="4418" spans="31:32">
      <c r="AE4418" s="417" t="s">
        <v>14705</v>
      </c>
      <c r="AF4418" s="416" t="s">
        <v>14706</v>
      </c>
    </row>
    <row r="4419" spans="31:32">
      <c r="AE4419" s="417" t="s">
        <v>14707</v>
      </c>
      <c r="AF4419" s="416" t="s">
        <v>14708</v>
      </c>
    </row>
    <row r="4420" spans="31:32">
      <c r="AE4420" s="417" t="s">
        <v>14709</v>
      </c>
      <c r="AF4420" s="416" t="s">
        <v>14710</v>
      </c>
    </row>
    <row r="4421" spans="31:32">
      <c r="AE4421" s="417" t="s">
        <v>14711</v>
      </c>
      <c r="AF4421" s="416" t="s">
        <v>14712</v>
      </c>
    </row>
    <row r="4422" spans="31:32">
      <c r="AE4422" s="417" t="s">
        <v>14713</v>
      </c>
      <c r="AF4422" s="416" t="s">
        <v>14714</v>
      </c>
    </row>
    <row r="4423" spans="31:32">
      <c r="AE4423" s="417" t="s">
        <v>14715</v>
      </c>
      <c r="AF4423" s="416" t="s">
        <v>14716</v>
      </c>
    </row>
    <row r="4424" spans="31:32">
      <c r="AE4424" s="417" t="s">
        <v>14717</v>
      </c>
      <c r="AF4424" s="416" t="s">
        <v>13853</v>
      </c>
    </row>
    <row r="4425" spans="31:32">
      <c r="AE4425" s="417" t="s">
        <v>14718</v>
      </c>
      <c r="AF4425" s="416" t="s">
        <v>14719</v>
      </c>
    </row>
    <row r="4426" spans="31:32">
      <c r="AE4426" s="417" t="s">
        <v>14720</v>
      </c>
      <c r="AF4426" s="416" t="s">
        <v>14721</v>
      </c>
    </row>
    <row r="4427" spans="31:32">
      <c r="AE4427" s="417" t="s">
        <v>14722</v>
      </c>
      <c r="AF4427" s="416" t="s">
        <v>14723</v>
      </c>
    </row>
    <row r="4428" spans="31:32">
      <c r="AE4428" s="417" t="s">
        <v>14724</v>
      </c>
      <c r="AF4428" s="416" t="s">
        <v>14725</v>
      </c>
    </row>
    <row r="4429" spans="31:32">
      <c r="AE4429" s="417" t="s">
        <v>14726</v>
      </c>
      <c r="AF4429" s="416" t="s">
        <v>14727</v>
      </c>
    </row>
    <row r="4430" spans="31:32">
      <c r="AE4430" s="417" t="s">
        <v>14728</v>
      </c>
      <c r="AF4430" s="416" t="s">
        <v>14729</v>
      </c>
    </row>
    <row r="4431" spans="31:32">
      <c r="AE4431" s="417" t="s">
        <v>14730</v>
      </c>
      <c r="AF4431" s="416" t="s">
        <v>14731</v>
      </c>
    </row>
    <row r="4432" spans="31:32">
      <c r="AE4432" s="417" t="s">
        <v>14732</v>
      </c>
      <c r="AF4432" s="416" t="s">
        <v>14733</v>
      </c>
    </row>
    <row r="4433" spans="31:32">
      <c r="AE4433" s="417" t="s">
        <v>14734</v>
      </c>
      <c r="AF4433" s="416" t="s">
        <v>14735</v>
      </c>
    </row>
    <row r="4434" spans="31:32">
      <c r="AE4434" s="417" t="s">
        <v>14736</v>
      </c>
      <c r="AF4434" s="416" t="s">
        <v>14737</v>
      </c>
    </row>
    <row r="4435" spans="31:32">
      <c r="AE4435" s="417" t="s">
        <v>14738</v>
      </c>
      <c r="AF4435" s="416" t="s">
        <v>14739</v>
      </c>
    </row>
    <row r="4436" spans="31:32">
      <c r="AE4436" s="417" t="s">
        <v>14740</v>
      </c>
      <c r="AF4436" s="416" t="s">
        <v>14741</v>
      </c>
    </row>
    <row r="4437" spans="31:32">
      <c r="AE4437" s="417" t="s">
        <v>14742</v>
      </c>
      <c r="AF4437" s="416" t="s">
        <v>14743</v>
      </c>
    </row>
    <row r="4438" spans="31:32">
      <c r="AE4438" s="417" t="s">
        <v>14744</v>
      </c>
      <c r="AF4438" s="416" t="s">
        <v>14745</v>
      </c>
    </row>
    <row r="4439" spans="31:32">
      <c r="AE4439" s="417" t="s">
        <v>14746</v>
      </c>
      <c r="AF4439" s="416" t="s">
        <v>14747</v>
      </c>
    </row>
    <row r="4440" spans="31:32">
      <c r="AE4440" s="417" t="s">
        <v>14748</v>
      </c>
      <c r="AF4440" s="416" t="s">
        <v>14749</v>
      </c>
    </row>
    <row r="4441" spans="31:32">
      <c r="AE4441" s="417" t="s">
        <v>14750</v>
      </c>
      <c r="AF4441" s="416" t="s">
        <v>14751</v>
      </c>
    </row>
    <row r="4442" spans="31:32">
      <c r="AE4442" s="417" t="s">
        <v>14752</v>
      </c>
      <c r="AF4442" s="416" t="s">
        <v>14753</v>
      </c>
    </row>
    <row r="4443" spans="31:32">
      <c r="AE4443" s="417" t="s">
        <v>14754</v>
      </c>
      <c r="AF4443" s="416" t="s">
        <v>14755</v>
      </c>
    </row>
    <row r="4444" spans="31:32">
      <c r="AE4444" s="417" t="s">
        <v>14756</v>
      </c>
      <c r="AF4444" s="416" t="s">
        <v>14757</v>
      </c>
    </row>
    <row r="4445" spans="31:32">
      <c r="AE4445" s="417" t="s">
        <v>14758</v>
      </c>
      <c r="AF4445" s="416" t="s">
        <v>14759</v>
      </c>
    </row>
    <row r="4446" spans="31:32">
      <c r="AE4446" s="417" t="s">
        <v>14760</v>
      </c>
      <c r="AF4446" s="416" t="s">
        <v>14761</v>
      </c>
    </row>
    <row r="4447" spans="31:32">
      <c r="AE4447" s="417" t="s">
        <v>14762</v>
      </c>
      <c r="AF4447" s="416" t="s">
        <v>14763</v>
      </c>
    </row>
    <row r="4448" spans="31:32">
      <c r="AE4448" s="417" t="s">
        <v>14764</v>
      </c>
      <c r="AF4448" s="416" t="s">
        <v>14765</v>
      </c>
    </row>
    <row r="4449" spans="31:32">
      <c r="AE4449" s="417" t="s">
        <v>14766</v>
      </c>
      <c r="AF4449" s="416" t="s">
        <v>14767</v>
      </c>
    </row>
    <row r="4450" spans="31:32">
      <c r="AE4450" s="417" t="s">
        <v>14768</v>
      </c>
      <c r="AF4450" s="416" t="s">
        <v>14769</v>
      </c>
    </row>
    <row r="4451" spans="31:32">
      <c r="AE4451" s="417" t="s">
        <v>14770</v>
      </c>
      <c r="AF4451" s="416" t="s">
        <v>14771</v>
      </c>
    </row>
    <row r="4452" spans="31:32">
      <c r="AE4452" s="417" t="s">
        <v>14772</v>
      </c>
      <c r="AF4452" s="416" t="s">
        <v>14773</v>
      </c>
    </row>
    <row r="4453" spans="31:32">
      <c r="AE4453" s="417" t="s">
        <v>14774</v>
      </c>
      <c r="AF4453" s="416" t="s">
        <v>14775</v>
      </c>
    </row>
    <row r="4454" spans="31:32">
      <c r="AE4454" s="417" t="s">
        <v>14776</v>
      </c>
      <c r="AF4454" s="416" t="s">
        <v>14777</v>
      </c>
    </row>
    <row r="4455" spans="31:32">
      <c r="AE4455" s="417" t="s">
        <v>14778</v>
      </c>
      <c r="AF4455" s="416" t="s">
        <v>14779</v>
      </c>
    </row>
    <row r="4456" spans="31:32">
      <c r="AE4456" s="417" t="s">
        <v>14780</v>
      </c>
      <c r="AF4456" s="416" t="s">
        <v>14781</v>
      </c>
    </row>
    <row r="4457" spans="31:32">
      <c r="AE4457" s="417" t="s">
        <v>14782</v>
      </c>
      <c r="AF4457" s="416" t="s">
        <v>14783</v>
      </c>
    </row>
    <row r="4458" spans="31:32">
      <c r="AE4458" s="417" t="s">
        <v>14784</v>
      </c>
      <c r="AF4458" s="416" t="s">
        <v>360</v>
      </c>
    </row>
    <row r="4459" spans="31:32">
      <c r="AE4459" s="417" t="s">
        <v>14785</v>
      </c>
      <c r="AF4459" s="416" t="s">
        <v>14786</v>
      </c>
    </row>
    <row r="4460" spans="31:32">
      <c r="AE4460" s="417" t="s">
        <v>14787</v>
      </c>
      <c r="AF4460" s="416" t="s">
        <v>14788</v>
      </c>
    </row>
    <row r="4461" spans="31:32">
      <c r="AE4461" s="417" t="s">
        <v>14789</v>
      </c>
      <c r="AF4461" s="416" t="s">
        <v>14790</v>
      </c>
    </row>
    <row r="4462" spans="31:32">
      <c r="AE4462" s="417" t="s">
        <v>14791</v>
      </c>
      <c r="AF4462" s="416" t="s">
        <v>14792</v>
      </c>
    </row>
    <row r="4463" spans="31:32">
      <c r="AE4463" s="417" t="s">
        <v>14793</v>
      </c>
      <c r="AF4463" s="416" t="s">
        <v>14794</v>
      </c>
    </row>
    <row r="4464" spans="31:32">
      <c r="AE4464" s="417" t="s">
        <v>14795</v>
      </c>
      <c r="AF4464" s="416" t="s">
        <v>14796</v>
      </c>
    </row>
    <row r="4465" spans="31:32">
      <c r="AE4465" s="417" t="s">
        <v>14797</v>
      </c>
      <c r="AF4465" s="416" t="s">
        <v>14798</v>
      </c>
    </row>
    <row r="4466" spans="31:32">
      <c r="AE4466" s="417" t="s">
        <v>14799</v>
      </c>
      <c r="AF4466" s="416" t="s">
        <v>14800</v>
      </c>
    </row>
    <row r="4467" spans="31:32">
      <c r="AE4467" s="417" t="s">
        <v>14801</v>
      </c>
      <c r="AF4467" s="416" t="s">
        <v>14802</v>
      </c>
    </row>
    <row r="4468" spans="31:32">
      <c r="AE4468" s="417" t="s">
        <v>14803</v>
      </c>
      <c r="AF4468" s="416" t="s">
        <v>14804</v>
      </c>
    </row>
    <row r="4469" spans="31:32">
      <c r="AE4469" s="417" t="s">
        <v>14805</v>
      </c>
      <c r="AF4469" s="416" t="s">
        <v>14806</v>
      </c>
    </row>
    <row r="4470" spans="31:32">
      <c r="AE4470" s="417" t="s">
        <v>14807</v>
      </c>
      <c r="AF4470" s="416" t="s">
        <v>14808</v>
      </c>
    </row>
    <row r="4471" spans="31:32">
      <c r="AE4471" s="417" t="s">
        <v>14809</v>
      </c>
      <c r="AF4471" s="416" t="s">
        <v>14810</v>
      </c>
    </row>
    <row r="4472" spans="31:32">
      <c r="AE4472" s="417" t="s">
        <v>14811</v>
      </c>
      <c r="AF4472" s="416" t="s">
        <v>14812</v>
      </c>
    </row>
    <row r="4473" spans="31:32">
      <c r="AE4473" s="417" t="s">
        <v>14813</v>
      </c>
      <c r="AF4473" s="416" t="s">
        <v>14814</v>
      </c>
    </row>
    <row r="4474" spans="31:32">
      <c r="AE4474" s="417" t="s">
        <v>14815</v>
      </c>
      <c r="AF4474" s="416" t="s">
        <v>14816</v>
      </c>
    </row>
    <row r="4475" spans="31:32">
      <c r="AE4475" s="417" t="s">
        <v>14817</v>
      </c>
      <c r="AF4475" s="416" t="s">
        <v>14818</v>
      </c>
    </row>
    <row r="4476" spans="31:32">
      <c r="AE4476" s="417" t="s">
        <v>14819</v>
      </c>
      <c r="AF4476" s="416" t="s">
        <v>14820</v>
      </c>
    </row>
    <row r="4477" spans="31:32">
      <c r="AE4477" s="417" t="s">
        <v>14821</v>
      </c>
      <c r="AF4477" s="416" t="s">
        <v>14822</v>
      </c>
    </row>
    <row r="4478" spans="31:32">
      <c r="AE4478" s="417" t="s">
        <v>14823</v>
      </c>
      <c r="AF4478" s="416" t="s">
        <v>14824</v>
      </c>
    </row>
    <row r="4479" spans="31:32">
      <c r="AE4479" s="417" t="s">
        <v>14825</v>
      </c>
      <c r="AF4479" s="416" t="s">
        <v>14826</v>
      </c>
    </row>
    <row r="4480" spans="31:32">
      <c r="AE4480" s="417" t="s">
        <v>14827</v>
      </c>
      <c r="AF4480" s="416" t="s">
        <v>14828</v>
      </c>
    </row>
    <row r="4481" spans="31:32">
      <c r="AE4481" s="417" t="s">
        <v>14829</v>
      </c>
      <c r="AF4481" s="416" t="s">
        <v>14830</v>
      </c>
    </row>
    <row r="4482" spans="31:32">
      <c r="AE4482" s="417" t="s">
        <v>14831</v>
      </c>
      <c r="AF4482" s="416" t="s">
        <v>14832</v>
      </c>
    </row>
    <row r="4483" spans="31:32">
      <c r="AE4483" s="417" t="s">
        <v>14833</v>
      </c>
      <c r="AF4483" s="416" t="s">
        <v>14834</v>
      </c>
    </row>
    <row r="4484" spans="31:32">
      <c r="AE4484" s="417" t="s">
        <v>14835</v>
      </c>
      <c r="AF4484" s="416" t="s">
        <v>14836</v>
      </c>
    </row>
    <row r="4485" spans="31:32">
      <c r="AE4485" s="417" t="s">
        <v>14837</v>
      </c>
      <c r="AF4485" s="416" t="s">
        <v>14838</v>
      </c>
    </row>
    <row r="4486" spans="31:32">
      <c r="AE4486" s="417" t="s">
        <v>14839</v>
      </c>
      <c r="AF4486" s="416" t="s">
        <v>14840</v>
      </c>
    </row>
    <row r="4487" spans="31:32">
      <c r="AE4487" s="417" t="s">
        <v>14841</v>
      </c>
      <c r="AF4487" s="416" t="s">
        <v>14842</v>
      </c>
    </row>
    <row r="4488" spans="31:32">
      <c r="AE4488" s="417" t="s">
        <v>14843</v>
      </c>
      <c r="AF4488" s="416" t="s">
        <v>14844</v>
      </c>
    </row>
    <row r="4489" spans="31:32">
      <c r="AE4489" s="417" t="s">
        <v>14845</v>
      </c>
      <c r="AF4489" s="416" t="s">
        <v>14846</v>
      </c>
    </row>
    <row r="4490" spans="31:32">
      <c r="AE4490" s="417" t="s">
        <v>14847</v>
      </c>
      <c r="AF4490" s="416" t="s">
        <v>14848</v>
      </c>
    </row>
    <row r="4491" spans="31:32">
      <c r="AE4491" s="417" t="s">
        <v>14849</v>
      </c>
      <c r="AF4491" s="416" t="s">
        <v>14850</v>
      </c>
    </row>
    <row r="4492" spans="31:32">
      <c r="AE4492" s="417" t="s">
        <v>14851</v>
      </c>
      <c r="AF4492" s="416" t="s">
        <v>14852</v>
      </c>
    </row>
    <row r="4493" spans="31:32">
      <c r="AE4493" s="417" t="s">
        <v>14853</v>
      </c>
      <c r="AF4493" s="416" t="s">
        <v>14854</v>
      </c>
    </row>
    <row r="4494" spans="31:32">
      <c r="AE4494" s="417" t="s">
        <v>14855</v>
      </c>
      <c r="AF4494" s="416" t="s">
        <v>14856</v>
      </c>
    </row>
    <row r="4495" spans="31:32">
      <c r="AE4495" s="417" t="s">
        <v>14857</v>
      </c>
      <c r="AF4495" s="416" t="s">
        <v>14858</v>
      </c>
    </row>
    <row r="4496" spans="31:32">
      <c r="AE4496" s="417" t="s">
        <v>14859</v>
      </c>
      <c r="AF4496" s="416" t="s">
        <v>14860</v>
      </c>
    </row>
    <row r="4497" spans="31:32">
      <c r="AE4497" s="417" t="s">
        <v>14861</v>
      </c>
      <c r="AF4497" s="416" t="s">
        <v>14862</v>
      </c>
    </row>
    <row r="4498" spans="31:32">
      <c r="AE4498" s="417" t="s">
        <v>14863</v>
      </c>
      <c r="AF4498" s="416" t="s">
        <v>14864</v>
      </c>
    </row>
    <row r="4499" spans="31:32">
      <c r="AE4499" s="417" t="s">
        <v>14865</v>
      </c>
      <c r="AF4499" s="416" t="s">
        <v>14866</v>
      </c>
    </row>
    <row r="4500" spans="31:32">
      <c r="AE4500" s="417" t="s">
        <v>14867</v>
      </c>
      <c r="AF4500" s="416" t="s">
        <v>14868</v>
      </c>
    </row>
    <row r="4501" spans="31:32">
      <c r="AE4501" s="417" t="s">
        <v>14869</v>
      </c>
      <c r="AF4501" s="416" t="s">
        <v>14870</v>
      </c>
    </row>
    <row r="4502" spans="31:32">
      <c r="AE4502" s="417" t="s">
        <v>14871</v>
      </c>
      <c r="AF4502" s="416" t="s">
        <v>14872</v>
      </c>
    </row>
    <row r="4503" spans="31:32">
      <c r="AE4503" s="417" t="s">
        <v>14873</v>
      </c>
      <c r="AF4503" s="416" t="s">
        <v>14874</v>
      </c>
    </row>
    <row r="4504" spans="31:32">
      <c r="AE4504" s="417" t="s">
        <v>14875</v>
      </c>
      <c r="AF4504" s="416" t="s">
        <v>14876</v>
      </c>
    </row>
    <row r="4505" spans="31:32">
      <c r="AE4505" s="417" t="s">
        <v>14877</v>
      </c>
      <c r="AF4505" s="416" t="s">
        <v>14878</v>
      </c>
    </row>
    <row r="4506" spans="31:32">
      <c r="AE4506" s="417" t="s">
        <v>14879</v>
      </c>
      <c r="AF4506" s="416" t="s">
        <v>14880</v>
      </c>
    </row>
    <row r="4507" spans="31:32">
      <c r="AE4507" s="417" t="s">
        <v>14881</v>
      </c>
      <c r="AF4507" s="416" t="s">
        <v>13599</v>
      </c>
    </row>
    <row r="4508" spans="31:32">
      <c r="AE4508" s="417" t="s">
        <v>14882</v>
      </c>
      <c r="AF4508" s="416" t="s">
        <v>14883</v>
      </c>
    </row>
    <row r="4509" spans="31:32">
      <c r="AE4509" s="417" t="s">
        <v>14884</v>
      </c>
      <c r="AF4509" s="416" t="s">
        <v>14566</v>
      </c>
    </row>
    <row r="4510" spans="31:32">
      <c r="AE4510" s="417" t="s">
        <v>14885</v>
      </c>
      <c r="AF4510" s="416" t="s">
        <v>14886</v>
      </c>
    </row>
    <row r="4511" spans="31:32">
      <c r="AE4511" s="417" t="s">
        <v>14887</v>
      </c>
      <c r="AF4511" s="416" t="s">
        <v>14888</v>
      </c>
    </row>
    <row r="4512" spans="31:32">
      <c r="AE4512" s="417" t="s">
        <v>14889</v>
      </c>
      <c r="AF4512" s="416" t="s">
        <v>14890</v>
      </c>
    </row>
    <row r="4513" spans="31:32">
      <c r="AE4513" s="417" t="s">
        <v>14891</v>
      </c>
      <c r="AF4513" s="416" t="s">
        <v>14892</v>
      </c>
    </row>
    <row r="4514" spans="31:32">
      <c r="AE4514" s="417" t="s">
        <v>14893</v>
      </c>
      <c r="AF4514" s="416" t="s">
        <v>14894</v>
      </c>
    </row>
    <row r="4515" spans="31:32">
      <c r="AE4515" s="417" t="s">
        <v>14895</v>
      </c>
      <c r="AF4515" s="416" t="s">
        <v>14896</v>
      </c>
    </row>
    <row r="4516" spans="31:32">
      <c r="AE4516" s="417" t="s">
        <v>14897</v>
      </c>
      <c r="AF4516" s="416" t="s">
        <v>14898</v>
      </c>
    </row>
    <row r="4517" spans="31:32">
      <c r="AE4517" s="417" t="s">
        <v>14899</v>
      </c>
      <c r="AF4517" s="416" t="s">
        <v>14900</v>
      </c>
    </row>
    <row r="4518" spans="31:32">
      <c r="AE4518" s="417" t="s">
        <v>14901</v>
      </c>
      <c r="AF4518" s="416" t="s">
        <v>14902</v>
      </c>
    </row>
    <row r="4519" spans="31:32">
      <c r="AE4519" s="417" t="s">
        <v>14903</v>
      </c>
      <c r="AF4519" s="416" t="s">
        <v>14904</v>
      </c>
    </row>
    <row r="4520" spans="31:32">
      <c r="AE4520" s="417" t="s">
        <v>14905</v>
      </c>
      <c r="AF4520" s="416" t="s">
        <v>14906</v>
      </c>
    </row>
    <row r="4521" spans="31:32">
      <c r="AE4521" s="417" t="s">
        <v>14907</v>
      </c>
      <c r="AF4521" s="416" t="s">
        <v>14908</v>
      </c>
    </row>
    <row r="4522" spans="31:32">
      <c r="AE4522" s="417" t="s">
        <v>14909</v>
      </c>
      <c r="AF4522" s="416" t="s">
        <v>14910</v>
      </c>
    </row>
    <row r="4523" spans="31:32">
      <c r="AE4523" s="417" t="s">
        <v>14911</v>
      </c>
      <c r="AF4523" s="416" t="s">
        <v>14912</v>
      </c>
    </row>
    <row r="4524" spans="31:32">
      <c r="AE4524" s="417" t="s">
        <v>14913</v>
      </c>
      <c r="AF4524" s="416" t="s">
        <v>14914</v>
      </c>
    </row>
    <row r="4525" spans="31:32">
      <c r="AE4525" s="417" t="s">
        <v>14915</v>
      </c>
      <c r="AF4525" s="416" t="s">
        <v>14916</v>
      </c>
    </row>
    <row r="4526" spans="31:32">
      <c r="AE4526" s="417" t="s">
        <v>14917</v>
      </c>
      <c r="AF4526" s="416" t="s">
        <v>14918</v>
      </c>
    </row>
    <row r="4527" spans="31:32">
      <c r="AE4527" s="417" t="s">
        <v>14919</v>
      </c>
      <c r="AF4527" s="416" t="s">
        <v>14920</v>
      </c>
    </row>
    <row r="4528" spans="31:32">
      <c r="AE4528" s="417" t="s">
        <v>14921</v>
      </c>
      <c r="AF4528" s="416" t="s">
        <v>14922</v>
      </c>
    </row>
    <row r="4529" spans="31:32">
      <c r="AE4529" s="417" t="s">
        <v>14923</v>
      </c>
      <c r="AF4529" s="416" t="s">
        <v>14924</v>
      </c>
    </row>
    <row r="4530" spans="31:32">
      <c r="AE4530" s="417" t="s">
        <v>14925</v>
      </c>
      <c r="AF4530" s="416" t="s">
        <v>14926</v>
      </c>
    </row>
    <row r="4531" spans="31:32">
      <c r="AE4531" s="417" t="s">
        <v>14927</v>
      </c>
      <c r="AF4531" s="416" t="s">
        <v>14928</v>
      </c>
    </row>
    <row r="4532" spans="31:32">
      <c r="AE4532" s="417" t="s">
        <v>14929</v>
      </c>
      <c r="AF4532" s="416" t="s">
        <v>14930</v>
      </c>
    </row>
    <row r="4533" spans="31:32">
      <c r="AE4533" s="417" t="s">
        <v>14931</v>
      </c>
      <c r="AF4533" s="416" t="s">
        <v>14932</v>
      </c>
    </row>
    <row r="4534" spans="31:32">
      <c r="AE4534" s="417" t="s">
        <v>14933</v>
      </c>
      <c r="AF4534" s="416" t="s">
        <v>14934</v>
      </c>
    </row>
    <row r="4535" spans="31:32">
      <c r="AE4535" s="417" t="s">
        <v>14935</v>
      </c>
      <c r="AF4535" s="416" t="s">
        <v>14936</v>
      </c>
    </row>
    <row r="4536" spans="31:32">
      <c r="AE4536" s="417" t="s">
        <v>14937</v>
      </c>
      <c r="AF4536" s="416" t="s">
        <v>14938</v>
      </c>
    </row>
    <row r="4537" spans="31:32">
      <c r="AE4537" s="417" t="s">
        <v>14939</v>
      </c>
      <c r="AF4537" s="416" t="s">
        <v>14940</v>
      </c>
    </row>
    <row r="4538" spans="31:32">
      <c r="AE4538" s="417" t="s">
        <v>14941</v>
      </c>
      <c r="AF4538" s="416" t="s">
        <v>14942</v>
      </c>
    </row>
    <row r="4539" spans="31:32">
      <c r="AE4539" s="417" t="s">
        <v>14943</v>
      </c>
      <c r="AF4539" s="416" t="s">
        <v>14944</v>
      </c>
    </row>
    <row r="4540" spans="31:32">
      <c r="AE4540" s="417" t="s">
        <v>14945</v>
      </c>
      <c r="AF4540" s="416" t="s">
        <v>14946</v>
      </c>
    </row>
    <row r="4541" spans="31:32">
      <c r="AE4541" s="417" t="s">
        <v>14947</v>
      </c>
      <c r="AF4541" s="416" t="s">
        <v>13853</v>
      </c>
    </row>
    <row r="4542" spans="31:32">
      <c r="AE4542" s="417" t="s">
        <v>14948</v>
      </c>
      <c r="AF4542" s="416" t="s">
        <v>14949</v>
      </c>
    </row>
    <row r="4543" spans="31:32">
      <c r="AE4543" s="417" t="s">
        <v>14950</v>
      </c>
      <c r="AF4543" s="416" t="s">
        <v>14951</v>
      </c>
    </row>
    <row r="4544" spans="31:32">
      <c r="AE4544" s="417" t="s">
        <v>14952</v>
      </c>
      <c r="AF4544" s="416" t="s">
        <v>14953</v>
      </c>
    </row>
    <row r="4545" spans="31:32">
      <c r="AE4545" s="417" t="s">
        <v>14954</v>
      </c>
      <c r="AF4545" s="416" t="s">
        <v>14955</v>
      </c>
    </row>
    <row r="4546" spans="31:32">
      <c r="AE4546" s="417" t="s">
        <v>14956</v>
      </c>
      <c r="AF4546" s="416" t="s">
        <v>14957</v>
      </c>
    </row>
    <row r="4547" spans="31:32">
      <c r="AE4547" s="417" t="s">
        <v>14958</v>
      </c>
      <c r="AF4547" s="416" t="s">
        <v>14959</v>
      </c>
    </row>
    <row r="4548" spans="31:32">
      <c r="AE4548" s="417" t="s">
        <v>14960</v>
      </c>
      <c r="AF4548" s="416" t="s">
        <v>14961</v>
      </c>
    </row>
    <row r="4549" spans="31:32">
      <c r="AE4549" s="417" t="s">
        <v>14962</v>
      </c>
      <c r="AF4549" s="416" t="s">
        <v>14963</v>
      </c>
    </row>
    <row r="4550" spans="31:32">
      <c r="AE4550" s="417" t="s">
        <v>14964</v>
      </c>
      <c r="AF4550" s="416" t="s">
        <v>14965</v>
      </c>
    </row>
    <row r="4551" spans="31:32">
      <c r="AE4551" s="417" t="s">
        <v>14966</v>
      </c>
      <c r="AF4551" s="416" t="s">
        <v>14967</v>
      </c>
    </row>
    <row r="4552" spans="31:32">
      <c r="AE4552" s="417" t="s">
        <v>14968</v>
      </c>
      <c r="AF4552" s="416" t="s">
        <v>14969</v>
      </c>
    </row>
    <row r="4553" spans="31:32">
      <c r="AE4553" s="417" t="s">
        <v>14970</v>
      </c>
      <c r="AF4553" s="416" t="s">
        <v>14971</v>
      </c>
    </row>
    <row r="4554" spans="31:32">
      <c r="AE4554" s="417" t="s">
        <v>14972</v>
      </c>
      <c r="AF4554" s="416" t="s">
        <v>14973</v>
      </c>
    </row>
    <row r="4555" spans="31:32">
      <c r="AE4555" s="417" t="s">
        <v>14974</v>
      </c>
      <c r="AF4555" s="416" t="s">
        <v>13923</v>
      </c>
    </row>
    <row r="4556" spans="31:32">
      <c r="AE4556" s="417" t="s">
        <v>14975</v>
      </c>
      <c r="AF4556" s="416" t="s">
        <v>14976</v>
      </c>
    </row>
    <row r="4557" spans="31:32">
      <c r="AE4557" s="417" t="s">
        <v>14977</v>
      </c>
      <c r="AF4557" s="416" t="s">
        <v>14978</v>
      </c>
    </row>
    <row r="4558" spans="31:32">
      <c r="AE4558" s="417" t="s">
        <v>14979</v>
      </c>
      <c r="AF4558" s="416" t="s">
        <v>14980</v>
      </c>
    </row>
    <row r="4559" spans="31:32">
      <c r="AE4559" s="417" t="s">
        <v>14981</v>
      </c>
      <c r="AF4559" s="416" t="s">
        <v>14982</v>
      </c>
    </row>
    <row r="4560" spans="31:32">
      <c r="AE4560" s="417" t="s">
        <v>14983</v>
      </c>
      <c r="AF4560" s="416" t="s">
        <v>14984</v>
      </c>
    </row>
    <row r="4561" spans="31:32">
      <c r="AE4561" s="417" t="s">
        <v>14985</v>
      </c>
      <c r="AF4561" s="416" t="s">
        <v>14986</v>
      </c>
    </row>
    <row r="4562" spans="31:32">
      <c r="AE4562" s="417" t="s">
        <v>14987</v>
      </c>
      <c r="AF4562" s="416" t="s">
        <v>14988</v>
      </c>
    </row>
    <row r="4563" spans="31:32">
      <c r="AE4563" s="417" t="s">
        <v>14989</v>
      </c>
      <c r="AF4563" s="416" t="s">
        <v>14990</v>
      </c>
    </row>
    <row r="4564" spans="31:32">
      <c r="AE4564" s="417" t="s">
        <v>14991</v>
      </c>
      <c r="AF4564" s="416" t="s">
        <v>14992</v>
      </c>
    </row>
    <row r="4565" spans="31:32">
      <c r="AE4565" s="417" t="s">
        <v>14993</v>
      </c>
      <c r="AF4565" s="416" t="s">
        <v>14994</v>
      </c>
    </row>
    <row r="4566" spans="31:32">
      <c r="AE4566" s="417" t="s">
        <v>14995</v>
      </c>
      <c r="AF4566" s="416" t="s">
        <v>14996</v>
      </c>
    </row>
    <row r="4567" spans="31:32">
      <c r="AE4567" s="417" t="s">
        <v>14997</v>
      </c>
      <c r="AF4567" s="416" t="s">
        <v>14998</v>
      </c>
    </row>
    <row r="4568" spans="31:32">
      <c r="AE4568" s="417" t="s">
        <v>14999</v>
      </c>
      <c r="AF4568" s="416" t="s">
        <v>15000</v>
      </c>
    </row>
    <row r="4569" spans="31:32">
      <c r="AE4569" s="417" t="s">
        <v>15001</v>
      </c>
      <c r="AF4569" s="416" t="s">
        <v>15002</v>
      </c>
    </row>
    <row r="4570" spans="31:32">
      <c r="AE4570" s="417" t="s">
        <v>15003</v>
      </c>
      <c r="AF4570" s="416" t="s">
        <v>15004</v>
      </c>
    </row>
    <row r="4571" spans="31:32">
      <c r="AE4571" s="417" t="s">
        <v>15005</v>
      </c>
      <c r="AF4571" s="416" t="s">
        <v>15006</v>
      </c>
    </row>
    <row r="4572" spans="31:32">
      <c r="AE4572" s="417" t="s">
        <v>15007</v>
      </c>
      <c r="AF4572" s="416" t="s">
        <v>15008</v>
      </c>
    </row>
    <row r="4573" spans="31:32">
      <c r="AE4573" s="417" t="s">
        <v>15009</v>
      </c>
      <c r="AF4573" s="416" t="s">
        <v>15010</v>
      </c>
    </row>
    <row r="4574" spans="31:32">
      <c r="AE4574" s="417" t="s">
        <v>15011</v>
      </c>
      <c r="AF4574" s="416" t="s">
        <v>15012</v>
      </c>
    </row>
    <row r="4575" spans="31:32">
      <c r="AE4575" s="417" t="s">
        <v>15013</v>
      </c>
      <c r="AF4575" s="416" t="s">
        <v>15014</v>
      </c>
    </row>
    <row r="4576" spans="31:32">
      <c r="AE4576" s="417" t="s">
        <v>15015</v>
      </c>
      <c r="AF4576" s="416" t="s">
        <v>15016</v>
      </c>
    </row>
    <row r="4577" spans="31:32">
      <c r="AE4577" s="417" t="s">
        <v>15017</v>
      </c>
      <c r="AF4577" s="416" t="s">
        <v>15018</v>
      </c>
    </row>
    <row r="4578" spans="31:32">
      <c r="AE4578" s="417" t="s">
        <v>15019</v>
      </c>
      <c r="AF4578" s="416" t="s">
        <v>15020</v>
      </c>
    </row>
    <row r="4579" spans="31:32">
      <c r="AE4579" s="417" t="s">
        <v>15021</v>
      </c>
      <c r="AF4579" s="416" t="s">
        <v>15022</v>
      </c>
    </row>
    <row r="4580" spans="31:32">
      <c r="AE4580" s="417" t="s">
        <v>15023</v>
      </c>
      <c r="AF4580" s="416" t="s">
        <v>15024</v>
      </c>
    </row>
    <row r="4581" spans="31:32">
      <c r="AE4581" s="417" t="s">
        <v>15025</v>
      </c>
      <c r="AF4581" s="416" t="s">
        <v>14328</v>
      </c>
    </row>
    <row r="4582" spans="31:32">
      <c r="AE4582" s="417" t="s">
        <v>15026</v>
      </c>
      <c r="AF4582" s="416" t="s">
        <v>15027</v>
      </c>
    </row>
    <row r="4583" spans="31:32">
      <c r="AE4583" s="417" t="s">
        <v>15028</v>
      </c>
      <c r="AF4583" s="416" t="s">
        <v>15029</v>
      </c>
    </row>
    <row r="4584" spans="31:32">
      <c r="AE4584" s="417" t="s">
        <v>15030</v>
      </c>
      <c r="AF4584" s="416" t="s">
        <v>15031</v>
      </c>
    </row>
    <row r="4585" spans="31:32">
      <c r="AE4585" s="417" t="s">
        <v>15032</v>
      </c>
      <c r="AF4585" s="416" t="s">
        <v>15033</v>
      </c>
    </row>
    <row r="4586" spans="31:32">
      <c r="AE4586" s="417" t="s">
        <v>15034</v>
      </c>
      <c r="AF4586" s="416" t="s">
        <v>15035</v>
      </c>
    </row>
    <row r="4587" spans="31:32">
      <c r="AE4587" s="417" t="s">
        <v>15036</v>
      </c>
      <c r="AF4587" s="416" t="s">
        <v>15037</v>
      </c>
    </row>
    <row r="4588" spans="31:32">
      <c r="AE4588" s="417" t="s">
        <v>15038</v>
      </c>
      <c r="AF4588" s="416" t="s">
        <v>15039</v>
      </c>
    </row>
    <row r="4589" spans="31:32">
      <c r="AE4589" s="417" t="s">
        <v>15040</v>
      </c>
      <c r="AF4589" s="416" t="s">
        <v>15041</v>
      </c>
    </row>
    <row r="4590" spans="31:32">
      <c r="AE4590" s="417" t="s">
        <v>15042</v>
      </c>
      <c r="AF4590" s="416" t="s">
        <v>15043</v>
      </c>
    </row>
    <row r="4591" spans="31:32">
      <c r="AE4591" s="417" t="s">
        <v>15044</v>
      </c>
      <c r="AF4591" s="416" t="s">
        <v>15045</v>
      </c>
    </row>
    <row r="4592" spans="31:32">
      <c r="AE4592" s="417" t="s">
        <v>15046</v>
      </c>
      <c r="AF4592" s="416" t="s">
        <v>15047</v>
      </c>
    </row>
    <row r="4593" spans="31:32">
      <c r="AE4593" s="417" t="s">
        <v>15048</v>
      </c>
      <c r="AF4593" s="416" t="s">
        <v>15049</v>
      </c>
    </row>
    <row r="4594" spans="31:32">
      <c r="AE4594" s="417" t="s">
        <v>15050</v>
      </c>
      <c r="AF4594" s="416" t="s">
        <v>15051</v>
      </c>
    </row>
    <row r="4595" spans="31:32">
      <c r="AE4595" s="417" t="s">
        <v>15052</v>
      </c>
      <c r="AF4595" s="416" t="s">
        <v>15053</v>
      </c>
    </row>
    <row r="4596" spans="31:32">
      <c r="AE4596" s="417" t="s">
        <v>15054</v>
      </c>
      <c r="AF4596" s="416" t="s">
        <v>15055</v>
      </c>
    </row>
    <row r="4597" spans="31:32">
      <c r="AE4597" s="417" t="s">
        <v>15056</v>
      </c>
      <c r="AF4597" s="416" t="s">
        <v>15057</v>
      </c>
    </row>
    <row r="4598" spans="31:32">
      <c r="AE4598" s="417" t="s">
        <v>15058</v>
      </c>
      <c r="AF4598" s="416" t="s">
        <v>15059</v>
      </c>
    </row>
    <row r="4599" spans="31:32">
      <c r="AE4599" s="417" t="s">
        <v>15060</v>
      </c>
      <c r="AF4599" s="416" t="s">
        <v>15061</v>
      </c>
    </row>
    <row r="4600" spans="31:32">
      <c r="AE4600" s="417" t="s">
        <v>15062</v>
      </c>
      <c r="AF4600" s="416" t="s">
        <v>15063</v>
      </c>
    </row>
    <row r="4601" spans="31:32">
      <c r="AE4601" s="417" t="s">
        <v>15064</v>
      </c>
      <c r="AF4601" s="416" t="s">
        <v>15065</v>
      </c>
    </row>
    <row r="4602" spans="31:32">
      <c r="AE4602" s="417" t="s">
        <v>15066</v>
      </c>
      <c r="AF4602" s="416" t="s">
        <v>15067</v>
      </c>
    </row>
    <row r="4603" spans="31:32">
      <c r="AE4603" s="417" t="s">
        <v>15068</v>
      </c>
      <c r="AF4603" s="416" t="s">
        <v>15069</v>
      </c>
    </row>
    <row r="4604" spans="31:32">
      <c r="AE4604" s="417" t="s">
        <v>15070</v>
      </c>
      <c r="AF4604" s="416" t="s">
        <v>15071</v>
      </c>
    </row>
    <row r="4605" spans="31:32">
      <c r="AE4605" s="417" t="s">
        <v>15072</v>
      </c>
      <c r="AF4605" s="416" t="s">
        <v>15073</v>
      </c>
    </row>
    <row r="4606" spans="31:32">
      <c r="AE4606" s="417" t="s">
        <v>15074</v>
      </c>
      <c r="AF4606" s="416" t="s">
        <v>15075</v>
      </c>
    </row>
    <row r="4607" spans="31:32">
      <c r="AE4607" s="417" t="s">
        <v>15076</v>
      </c>
      <c r="AF4607" s="416" t="s">
        <v>15077</v>
      </c>
    </row>
    <row r="4608" spans="31:32">
      <c r="AE4608" s="417" t="s">
        <v>15078</v>
      </c>
      <c r="AF4608" s="416" t="s">
        <v>15079</v>
      </c>
    </row>
    <row r="4609" spans="31:32">
      <c r="AE4609" s="417" t="s">
        <v>15080</v>
      </c>
      <c r="AF4609" s="416" t="s">
        <v>15081</v>
      </c>
    </row>
    <row r="4610" spans="31:32">
      <c r="AE4610" s="417" t="s">
        <v>15082</v>
      </c>
      <c r="AF4610" s="416" t="s">
        <v>15083</v>
      </c>
    </row>
    <row r="4611" spans="31:32">
      <c r="AE4611" s="417" t="s">
        <v>15084</v>
      </c>
      <c r="AF4611" s="416" t="s">
        <v>15085</v>
      </c>
    </row>
    <row r="4612" spans="31:32">
      <c r="AE4612" s="417" t="s">
        <v>15086</v>
      </c>
      <c r="AF4612" s="416" t="s">
        <v>15087</v>
      </c>
    </row>
    <row r="4613" spans="31:32">
      <c r="AE4613" s="417" t="s">
        <v>15088</v>
      </c>
      <c r="AF4613" s="416" t="s">
        <v>15089</v>
      </c>
    </row>
    <row r="4614" spans="31:32">
      <c r="AE4614" s="417" t="s">
        <v>15090</v>
      </c>
      <c r="AF4614" s="416" t="s">
        <v>15091</v>
      </c>
    </row>
    <row r="4615" spans="31:32">
      <c r="AE4615" s="417" t="s">
        <v>15092</v>
      </c>
      <c r="AF4615" s="416" t="s">
        <v>15093</v>
      </c>
    </row>
    <row r="4616" spans="31:32">
      <c r="AE4616" s="417" t="s">
        <v>15094</v>
      </c>
      <c r="AF4616" s="416" t="s">
        <v>15095</v>
      </c>
    </row>
    <row r="4617" spans="31:32">
      <c r="AE4617" s="417" t="s">
        <v>15096</v>
      </c>
      <c r="AF4617" s="416" t="s">
        <v>15097</v>
      </c>
    </row>
    <row r="4618" spans="31:32">
      <c r="AE4618" s="417" t="s">
        <v>15098</v>
      </c>
      <c r="AF4618" s="416" t="s">
        <v>14500</v>
      </c>
    </row>
    <row r="4619" spans="31:32">
      <c r="AE4619" s="417" t="s">
        <v>15099</v>
      </c>
      <c r="AF4619" s="416" t="s">
        <v>15100</v>
      </c>
    </row>
    <row r="4620" spans="31:32">
      <c r="AE4620" s="417" t="s">
        <v>15101</v>
      </c>
      <c r="AF4620" s="416" t="s">
        <v>15102</v>
      </c>
    </row>
    <row r="4621" spans="31:32">
      <c r="AE4621" s="417" t="s">
        <v>15103</v>
      </c>
      <c r="AF4621" s="416" t="s">
        <v>15104</v>
      </c>
    </row>
    <row r="4622" spans="31:32">
      <c r="AE4622" s="417" t="s">
        <v>15105</v>
      </c>
      <c r="AF4622" s="416" t="s">
        <v>15106</v>
      </c>
    </row>
    <row r="4623" spans="31:32">
      <c r="AE4623" s="417" t="s">
        <v>15107</v>
      </c>
      <c r="AF4623" s="416" t="s">
        <v>15108</v>
      </c>
    </row>
    <row r="4624" spans="31:32">
      <c r="AE4624" s="417" t="s">
        <v>15109</v>
      </c>
      <c r="AF4624" s="416" t="s">
        <v>15110</v>
      </c>
    </row>
    <row r="4625" spans="31:32">
      <c r="AE4625" s="417" t="s">
        <v>15111</v>
      </c>
      <c r="AF4625" s="416" t="s">
        <v>15112</v>
      </c>
    </row>
    <row r="4626" spans="31:32">
      <c r="AE4626" s="417" t="s">
        <v>15113</v>
      </c>
      <c r="AF4626" s="416" t="s">
        <v>14737</v>
      </c>
    </row>
    <row r="4627" spans="31:32">
      <c r="AE4627" s="417" t="s">
        <v>15114</v>
      </c>
      <c r="AF4627" s="416" t="s">
        <v>15115</v>
      </c>
    </row>
    <row r="4628" spans="31:32">
      <c r="AE4628" s="417" t="s">
        <v>15116</v>
      </c>
      <c r="AF4628" s="416" t="s">
        <v>15117</v>
      </c>
    </row>
    <row r="4629" spans="31:32">
      <c r="AE4629" s="417" t="s">
        <v>15118</v>
      </c>
      <c r="AF4629" s="416" t="s">
        <v>15119</v>
      </c>
    </row>
    <row r="4630" spans="31:32">
      <c r="AE4630" s="417" t="s">
        <v>15120</v>
      </c>
      <c r="AF4630" s="416" t="s">
        <v>15121</v>
      </c>
    </row>
    <row r="4631" spans="31:32">
      <c r="AE4631" s="417" t="s">
        <v>15122</v>
      </c>
      <c r="AF4631" s="416" t="s">
        <v>15123</v>
      </c>
    </row>
    <row r="4632" spans="31:32">
      <c r="AE4632" s="417" t="s">
        <v>15124</v>
      </c>
      <c r="AF4632" s="416" t="s">
        <v>14222</v>
      </c>
    </row>
    <row r="4633" spans="31:32">
      <c r="AE4633" s="417" t="s">
        <v>15125</v>
      </c>
      <c r="AF4633" s="416" t="s">
        <v>15126</v>
      </c>
    </row>
    <row r="4634" spans="31:32">
      <c r="AE4634" s="417" t="s">
        <v>15127</v>
      </c>
      <c r="AF4634" s="416" t="s">
        <v>15128</v>
      </c>
    </row>
    <row r="4635" spans="31:32">
      <c r="AE4635" s="417" t="s">
        <v>15129</v>
      </c>
      <c r="AF4635" s="416" t="s">
        <v>15130</v>
      </c>
    </row>
    <row r="4636" spans="31:32">
      <c r="AE4636" s="417" t="s">
        <v>15131</v>
      </c>
      <c r="AF4636" s="416" t="s">
        <v>15132</v>
      </c>
    </row>
    <row r="4637" spans="31:32">
      <c r="AE4637" s="417" t="s">
        <v>15133</v>
      </c>
      <c r="AF4637" s="416" t="s">
        <v>15134</v>
      </c>
    </row>
    <row r="4638" spans="31:32">
      <c r="AE4638" s="417" t="s">
        <v>15135</v>
      </c>
      <c r="AF4638" s="416" t="s">
        <v>15136</v>
      </c>
    </row>
    <row r="4639" spans="31:32">
      <c r="AE4639" s="417" t="s">
        <v>15137</v>
      </c>
      <c r="AF4639" s="416" t="s">
        <v>15138</v>
      </c>
    </row>
    <row r="4640" spans="31:32">
      <c r="AE4640" s="417" t="s">
        <v>15139</v>
      </c>
      <c r="AF4640" s="416" t="s">
        <v>15140</v>
      </c>
    </row>
    <row r="4641" spans="31:32">
      <c r="AE4641" s="417" t="s">
        <v>15141</v>
      </c>
      <c r="AF4641" s="416" t="s">
        <v>15142</v>
      </c>
    </row>
    <row r="4642" spans="31:32">
      <c r="AE4642" s="417" t="s">
        <v>15143</v>
      </c>
      <c r="AF4642" s="416" t="s">
        <v>15144</v>
      </c>
    </row>
    <row r="4643" spans="31:32">
      <c r="AE4643" s="417" t="s">
        <v>15145</v>
      </c>
      <c r="AF4643" s="416" t="s">
        <v>15146</v>
      </c>
    </row>
    <row r="4644" spans="31:32">
      <c r="AE4644" s="417" t="s">
        <v>15147</v>
      </c>
      <c r="AF4644" s="416" t="s">
        <v>15148</v>
      </c>
    </row>
    <row r="4645" spans="31:32">
      <c r="AE4645" s="417" t="s">
        <v>15149</v>
      </c>
      <c r="AF4645" s="416" t="s">
        <v>15150</v>
      </c>
    </row>
    <row r="4646" spans="31:32">
      <c r="AE4646" s="417" t="s">
        <v>15151</v>
      </c>
      <c r="AF4646" s="416" t="s">
        <v>15152</v>
      </c>
    </row>
    <row r="4647" spans="31:32">
      <c r="AE4647" s="417" t="s">
        <v>15153</v>
      </c>
      <c r="AF4647" s="416" t="s">
        <v>15154</v>
      </c>
    </row>
    <row r="4648" spans="31:32">
      <c r="AE4648" s="417" t="s">
        <v>15155</v>
      </c>
      <c r="AF4648" s="416" t="s">
        <v>15156</v>
      </c>
    </row>
    <row r="4649" spans="31:32">
      <c r="AE4649" s="417" t="s">
        <v>15157</v>
      </c>
      <c r="AF4649" s="416" t="s">
        <v>15158</v>
      </c>
    </row>
    <row r="4650" spans="31:32">
      <c r="AE4650" s="417" t="s">
        <v>15159</v>
      </c>
      <c r="AF4650" s="416" t="s">
        <v>15160</v>
      </c>
    </row>
    <row r="4651" spans="31:32">
      <c r="AE4651" s="417" t="s">
        <v>15161</v>
      </c>
      <c r="AF4651" s="416" t="s">
        <v>15162</v>
      </c>
    </row>
    <row r="4652" spans="31:32">
      <c r="AE4652" s="417" t="s">
        <v>15163</v>
      </c>
      <c r="AF4652" s="416" t="s">
        <v>15164</v>
      </c>
    </row>
    <row r="4653" spans="31:32">
      <c r="AE4653" s="417" t="s">
        <v>15165</v>
      </c>
      <c r="AF4653" s="416" t="s">
        <v>15166</v>
      </c>
    </row>
    <row r="4654" spans="31:32">
      <c r="AE4654" s="417" t="s">
        <v>15167</v>
      </c>
      <c r="AF4654" s="416" t="s">
        <v>15168</v>
      </c>
    </row>
    <row r="4655" spans="31:32">
      <c r="AE4655" s="417" t="s">
        <v>15169</v>
      </c>
      <c r="AF4655" s="416" t="s">
        <v>15170</v>
      </c>
    </row>
    <row r="4656" spans="31:32">
      <c r="AE4656" s="417" t="s">
        <v>15171</v>
      </c>
      <c r="AF4656" s="416" t="s">
        <v>15172</v>
      </c>
    </row>
    <row r="4657" spans="31:32">
      <c r="AE4657" s="417" t="s">
        <v>15173</v>
      </c>
      <c r="AF4657" s="416" t="s">
        <v>15174</v>
      </c>
    </row>
    <row r="4658" spans="31:32">
      <c r="AE4658" s="417" t="s">
        <v>15175</v>
      </c>
      <c r="AF4658" s="416" t="s">
        <v>15176</v>
      </c>
    </row>
    <row r="4659" spans="31:32">
      <c r="AE4659" s="417" t="s">
        <v>15177</v>
      </c>
      <c r="AF4659" s="416" t="s">
        <v>15178</v>
      </c>
    </row>
    <row r="4660" spans="31:32">
      <c r="AE4660" s="417" t="s">
        <v>15179</v>
      </c>
      <c r="AF4660" s="416" t="s">
        <v>15180</v>
      </c>
    </row>
    <row r="4661" spans="31:32">
      <c r="AE4661" s="417" t="s">
        <v>15181</v>
      </c>
      <c r="AF4661" s="416" t="s">
        <v>15182</v>
      </c>
    </row>
    <row r="4662" spans="31:32">
      <c r="AE4662" s="417" t="s">
        <v>15183</v>
      </c>
      <c r="AF4662" s="416" t="s">
        <v>15184</v>
      </c>
    </row>
    <row r="4663" spans="31:32">
      <c r="AE4663" s="417" t="s">
        <v>15185</v>
      </c>
      <c r="AF4663" s="416" t="s">
        <v>15186</v>
      </c>
    </row>
    <row r="4664" spans="31:32">
      <c r="AE4664" s="417" t="s">
        <v>15187</v>
      </c>
      <c r="AF4664" s="416" t="s">
        <v>15188</v>
      </c>
    </row>
    <row r="4665" spans="31:32">
      <c r="AE4665" s="417" t="s">
        <v>15189</v>
      </c>
      <c r="AF4665" s="416" t="s">
        <v>15190</v>
      </c>
    </row>
    <row r="4666" spans="31:32">
      <c r="AE4666" s="417" t="s">
        <v>15191</v>
      </c>
      <c r="AF4666" s="416" t="s">
        <v>15192</v>
      </c>
    </row>
    <row r="4667" spans="31:32">
      <c r="AE4667" s="417" t="s">
        <v>15193</v>
      </c>
      <c r="AF4667" s="416" t="s">
        <v>15194</v>
      </c>
    </row>
    <row r="4668" spans="31:32">
      <c r="AE4668" s="417" t="s">
        <v>15195</v>
      </c>
      <c r="AF4668" s="416" t="s">
        <v>15196</v>
      </c>
    </row>
    <row r="4669" spans="31:32">
      <c r="AE4669" s="417" t="s">
        <v>15197</v>
      </c>
      <c r="AF4669" s="416" t="s">
        <v>15198</v>
      </c>
    </row>
    <row r="4670" spans="31:32">
      <c r="AE4670" s="417" t="s">
        <v>15199</v>
      </c>
      <c r="AF4670" s="416" t="s">
        <v>15200</v>
      </c>
    </row>
    <row r="4671" spans="31:32">
      <c r="AE4671" s="417" t="s">
        <v>15201</v>
      </c>
      <c r="AF4671" s="416" t="s">
        <v>15202</v>
      </c>
    </row>
    <row r="4672" spans="31:32">
      <c r="AE4672" s="417" t="s">
        <v>15203</v>
      </c>
      <c r="AF4672" s="416" t="s">
        <v>15204</v>
      </c>
    </row>
    <row r="4673" spans="31:32">
      <c r="AE4673" s="417" t="s">
        <v>15205</v>
      </c>
      <c r="AF4673" s="416" t="s">
        <v>15206</v>
      </c>
    </row>
    <row r="4674" spans="31:32">
      <c r="AE4674" s="417" t="s">
        <v>15207</v>
      </c>
      <c r="AF4674" s="416" t="s">
        <v>15208</v>
      </c>
    </row>
    <row r="4675" spans="31:32">
      <c r="AE4675" s="417" t="s">
        <v>15209</v>
      </c>
      <c r="AF4675" s="416" t="s">
        <v>15210</v>
      </c>
    </row>
    <row r="4676" spans="31:32">
      <c r="AE4676" s="417" t="s">
        <v>15211</v>
      </c>
      <c r="AF4676" s="416" t="s">
        <v>15212</v>
      </c>
    </row>
    <row r="4677" spans="31:32">
      <c r="AE4677" s="417" t="s">
        <v>15213</v>
      </c>
      <c r="AF4677" s="416" t="s">
        <v>15214</v>
      </c>
    </row>
    <row r="4678" spans="31:32">
      <c r="AE4678" s="417" t="s">
        <v>15215</v>
      </c>
      <c r="AF4678" s="416" t="s">
        <v>14384</v>
      </c>
    </row>
    <row r="4679" spans="31:32">
      <c r="AE4679" s="417" t="s">
        <v>15216</v>
      </c>
      <c r="AF4679" s="416" t="s">
        <v>15217</v>
      </c>
    </row>
    <row r="4680" spans="31:32">
      <c r="AE4680" s="417" t="s">
        <v>15218</v>
      </c>
      <c r="AF4680" s="416" t="s">
        <v>15219</v>
      </c>
    </row>
    <row r="4681" spans="31:32">
      <c r="AE4681" s="417" t="s">
        <v>15220</v>
      </c>
      <c r="AF4681" s="416" t="s">
        <v>15221</v>
      </c>
    </row>
    <row r="4682" spans="31:32">
      <c r="AE4682" s="417" t="s">
        <v>15222</v>
      </c>
      <c r="AF4682" s="416" t="s">
        <v>15223</v>
      </c>
    </row>
    <row r="4683" spans="31:32">
      <c r="AE4683" s="417" t="s">
        <v>15224</v>
      </c>
      <c r="AF4683" s="416" t="s">
        <v>15225</v>
      </c>
    </row>
    <row r="4684" spans="31:32">
      <c r="AE4684" s="417" t="s">
        <v>15226</v>
      </c>
      <c r="AF4684" s="416" t="s">
        <v>15227</v>
      </c>
    </row>
    <row r="4685" spans="31:32">
      <c r="AE4685" s="417" t="s">
        <v>15228</v>
      </c>
      <c r="AF4685" s="416" t="s">
        <v>15229</v>
      </c>
    </row>
    <row r="4686" spans="31:32">
      <c r="AE4686" s="417" t="s">
        <v>15230</v>
      </c>
      <c r="AF4686" s="416" t="s">
        <v>15231</v>
      </c>
    </row>
    <row r="4687" spans="31:32">
      <c r="AE4687" s="417" t="s">
        <v>15232</v>
      </c>
      <c r="AF4687" s="416" t="s">
        <v>15233</v>
      </c>
    </row>
    <row r="4688" spans="31:32">
      <c r="AE4688" s="417" t="s">
        <v>15234</v>
      </c>
      <c r="AF4688" s="416" t="s">
        <v>15235</v>
      </c>
    </row>
    <row r="4689" spans="31:32">
      <c r="AE4689" s="417" t="s">
        <v>15236</v>
      </c>
      <c r="AF4689" s="416" t="s">
        <v>15237</v>
      </c>
    </row>
    <row r="4690" spans="31:32">
      <c r="AE4690" s="417" t="s">
        <v>15238</v>
      </c>
      <c r="AF4690" s="416" t="s">
        <v>15239</v>
      </c>
    </row>
    <row r="4691" spans="31:32">
      <c r="AE4691" s="417" t="s">
        <v>15240</v>
      </c>
      <c r="AF4691" s="416" t="s">
        <v>15241</v>
      </c>
    </row>
    <row r="4692" spans="31:32">
      <c r="AE4692" s="417" t="s">
        <v>15242</v>
      </c>
      <c r="AF4692" s="416" t="s">
        <v>15243</v>
      </c>
    </row>
    <row r="4693" spans="31:32">
      <c r="AE4693" s="417" t="s">
        <v>15244</v>
      </c>
      <c r="AF4693" s="416" t="s">
        <v>15245</v>
      </c>
    </row>
    <row r="4694" spans="31:32">
      <c r="AE4694" s="417" t="s">
        <v>15246</v>
      </c>
      <c r="AF4694" s="416" t="s">
        <v>15247</v>
      </c>
    </row>
    <row r="4695" spans="31:32">
      <c r="AE4695" s="417" t="s">
        <v>15248</v>
      </c>
      <c r="AF4695" s="416" t="s">
        <v>15249</v>
      </c>
    </row>
    <row r="4696" spans="31:32">
      <c r="AE4696" s="417" t="s">
        <v>15250</v>
      </c>
      <c r="AF4696" s="416" t="s">
        <v>15251</v>
      </c>
    </row>
    <row r="4697" spans="31:32">
      <c r="AE4697" s="417" t="s">
        <v>15252</v>
      </c>
      <c r="AF4697" s="416" t="s">
        <v>15253</v>
      </c>
    </row>
    <row r="4698" spans="31:32">
      <c r="AE4698" s="417" t="s">
        <v>15254</v>
      </c>
      <c r="AF4698" s="416" t="s">
        <v>15255</v>
      </c>
    </row>
    <row r="4699" spans="31:32">
      <c r="AE4699" s="417" t="s">
        <v>15256</v>
      </c>
      <c r="AF4699" s="416" t="s">
        <v>15257</v>
      </c>
    </row>
    <row r="4700" spans="31:32">
      <c r="AE4700" s="417" t="s">
        <v>15258</v>
      </c>
      <c r="AF4700" s="416" t="s">
        <v>15259</v>
      </c>
    </row>
    <row r="4701" spans="31:32">
      <c r="AE4701" s="417" t="s">
        <v>15260</v>
      </c>
      <c r="AF4701" s="416" t="s">
        <v>15261</v>
      </c>
    </row>
    <row r="4702" spans="31:32">
      <c r="AE4702" s="417" t="s">
        <v>15262</v>
      </c>
      <c r="AF4702" s="416" t="s">
        <v>15263</v>
      </c>
    </row>
    <row r="4703" spans="31:32">
      <c r="AE4703" s="417" t="s">
        <v>15264</v>
      </c>
      <c r="AF4703" s="416" t="s">
        <v>15265</v>
      </c>
    </row>
    <row r="4704" spans="31:32">
      <c r="AE4704" s="417" t="s">
        <v>15266</v>
      </c>
      <c r="AF4704" s="416" t="s">
        <v>15267</v>
      </c>
    </row>
    <row r="4705" spans="31:32">
      <c r="AE4705" s="417" t="s">
        <v>15268</v>
      </c>
      <c r="AF4705" s="416" t="s">
        <v>15269</v>
      </c>
    </row>
    <row r="4706" spans="31:32">
      <c r="AE4706" s="417" t="s">
        <v>15270</v>
      </c>
      <c r="AF4706" s="416" t="s">
        <v>15271</v>
      </c>
    </row>
    <row r="4707" spans="31:32">
      <c r="AE4707" s="417" t="s">
        <v>15272</v>
      </c>
      <c r="AF4707" s="416" t="s">
        <v>15273</v>
      </c>
    </row>
    <row r="4708" spans="31:32">
      <c r="AE4708" s="417" t="s">
        <v>15274</v>
      </c>
      <c r="AF4708" s="416" t="s">
        <v>15275</v>
      </c>
    </row>
    <row r="4709" spans="31:32">
      <c r="AE4709" s="417" t="s">
        <v>15276</v>
      </c>
      <c r="AF4709" s="416" t="s">
        <v>15277</v>
      </c>
    </row>
    <row r="4710" spans="31:32">
      <c r="AE4710" s="417" t="s">
        <v>15278</v>
      </c>
      <c r="AF4710" s="416" t="s">
        <v>15279</v>
      </c>
    </row>
    <row r="4711" spans="31:32">
      <c r="AE4711" s="417" t="s">
        <v>15280</v>
      </c>
      <c r="AF4711" s="416" t="s">
        <v>15281</v>
      </c>
    </row>
    <row r="4712" spans="31:32">
      <c r="AE4712" s="417" t="s">
        <v>15282</v>
      </c>
      <c r="AF4712" s="416" t="s">
        <v>15283</v>
      </c>
    </row>
    <row r="4713" spans="31:32">
      <c r="AE4713" s="417" t="s">
        <v>15284</v>
      </c>
      <c r="AF4713" s="416" t="s">
        <v>15285</v>
      </c>
    </row>
    <row r="4714" spans="31:32">
      <c r="AE4714" s="417" t="s">
        <v>15286</v>
      </c>
      <c r="AF4714" s="416" t="s">
        <v>15287</v>
      </c>
    </row>
    <row r="4715" spans="31:32">
      <c r="AE4715" s="417" t="s">
        <v>15288</v>
      </c>
      <c r="AF4715" s="416" t="s">
        <v>15289</v>
      </c>
    </row>
    <row r="4716" spans="31:32">
      <c r="AE4716" s="417" t="s">
        <v>15290</v>
      </c>
      <c r="AF4716" s="416" t="s">
        <v>15291</v>
      </c>
    </row>
    <row r="4717" spans="31:32">
      <c r="AE4717" s="417" t="s">
        <v>15292</v>
      </c>
      <c r="AF4717" s="416" t="s">
        <v>15293</v>
      </c>
    </row>
    <row r="4718" spans="31:32">
      <c r="AE4718" s="417" t="s">
        <v>15294</v>
      </c>
      <c r="AF4718" s="416" t="s">
        <v>15295</v>
      </c>
    </row>
    <row r="4719" spans="31:32">
      <c r="AE4719" s="417" t="s">
        <v>15296</v>
      </c>
      <c r="AF4719" s="416" t="s">
        <v>15297</v>
      </c>
    </row>
    <row r="4720" spans="31:32">
      <c r="AE4720" s="417" t="s">
        <v>15298</v>
      </c>
      <c r="AF4720" s="416" t="s">
        <v>15299</v>
      </c>
    </row>
    <row r="4721" spans="31:32">
      <c r="AE4721" s="417" t="s">
        <v>15300</v>
      </c>
      <c r="AF4721" s="416" t="s">
        <v>15301</v>
      </c>
    </row>
    <row r="4722" spans="31:32">
      <c r="AE4722" s="417" t="s">
        <v>15302</v>
      </c>
      <c r="AF4722" s="416" t="s">
        <v>15303</v>
      </c>
    </row>
    <row r="4723" spans="31:32">
      <c r="AE4723" s="417" t="s">
        <v>15304</v>
      </c>
      <c r="AF4723" s="416" t="s">
        <v>15305</v>
      </c>
    </row>
    <row r="4724" spans="31:32">
      <c r="AE4724" s="417" t="s">
        <v>15306</v>
      </c>
      <c r="AF4724" s="416" t="s">
        <v>15307</v>
      </c>
    </row>
    <row r="4725" spans="31:32">
      <c r="AE4725" s="417" t="s">
        <v>15308</v>
      </c>
      <c r="AF4725" s="416" t="s">
        <v>15309</v>
      </c>
    </row>
    <row r="4726" spans="31:32">
      <c r="AE4726" s="417" t="s">
        <v>15310</v>
      </c>
      <c r="AF4726" s="416" t="s">
        <v>15311</v>
      </c>
    </row>
    <row r="4727" spans="31:32">
      <c r="AE4727" s="417" t="s">
        <v>15312</v>
      </c>
      <c r="AF4727" s="416" t="s">
        <v>15313</v>
      </c>
    </row>
    <row r="4728" spans="31:32">
      <c r="AE4728" s="417" t="s">
        <v>15314</v>
      </c>
      <c r="AF4728" s="416" t="s">
        <v>15315</v>
      </c>
    </row>
    <row r="4729" spans="31:32">
      <c r="AE4729" s="417" t="s">
        <v>15316</v>
      </c>
      <c r="AF4729" s="416" t="s">
        <v>15317</v>
      </c>
    </row>
    <row r="4730" spans="31:32">
      <c r="AE4730" s="417" t="s">
        <v>15318</v>
      </c>
      <c r="AF4730" s="416" t="s">
        <v>15319</v>
      </c>
    </row>
    <row r="4731" spans="31:32">
      <c r="AE4731" s="417" t="s">
        <v>15320</v>
      </c>
      <c r="AF4731" s="416" t="s">
        <v>15321</v>
      </c>
    </row>
    <row r="4732" spans="31:32">
      <c r="AE4732" s="417" t="s">
        <v>15322</v>
      </c>
      <c r="AF4732" s="416" t="s">
        <v>15323</v>
      </c>
    </row>
    <row r="4733" spans="31:32">
      <c r="AE4733" s="417" t="s">
        <v>15324</v>
      </c>
      <c r="AF4733" s="416" t="s">
        <v>15325</v>
      </c>
    </row>
    <row r="4734" spans="31:32">
      <c r="AE4734" s="417" t="s">
        <v>15326</v>
      </c>
      <c r="AF4734" s="416" t="s">
        <v>15327</v>
      </c>
    </row>
    <row r="4735" spans="31:32">
      <c r="AE4735" s="417" t="s">
        <v>15328</v>
      </c>
      <c r="AF4735" s="416" t="s">
        <v>15329</v>
      </c>
    </row>
    <row r="4736" spans="31:32">
      <c r="AE4736" s="417" t="s">
        <v>15330</v>
      </c>
      <c r="AF4736" s="416" t="s">
        <v>15331</v>
      </c>
    </row>
    <row r="4737" spans="31:32">
      <c r="AE4737" s="417" t="s">
        <v>15332</v>
      </c>
      <c r="AF4737" s="416" t="s">
        <v>15333</v>
      </c>
    </row>
    <row r="4738" spans="31:32">
      <c r="AE4738" s="417" t="s">
        <v>15334</v>
      </c>
      <c r="AF4738" s="416" t="s">
        <v>15335</v>
      </c>
    </row>
    <row r="4739" spans="31:32">
      <c r="AE4739" s="417" t="s">
        <v>15336</v>
      </c>
      <c r="AF4739" s="416" t="s">
        <v>15337</v>
      </c>
    </row>
    <row r="4740" spans="31:32">
      <c r="AE4740" s="417" t="s">
        <v>15338</v>
      </c>
      <c r="AF4740" s="416" t="s">
        <v>15339</v>
      </c>
    </row>
    <row r="4741" spans="31:32">
      <c r="AE4741" s="417" t="s">
        <v>15340</v>
      </c>
      <c r="AF4741" s="416" t="s">
        <v>15341</v>
      </c>
    </row>
    <row r="4742" spans="31:32">
      <c r="AE4742" s="417" t="s">
        <v>15342</v>
      </c>
      <c r="AF4742" s="416" t="s">
        <v>15343</v>
      </c>
    </row>
    <row r="4743" spans="31:32">
      <c r="AE4743" s="417" t="s">
        <v>15344</v>
      </c>
      <c r="AF4743" s="416" t="s">
        <v>15345</v>
      </c>
    </row>
    <row r="4744" spans="31:32">
      <c r="AE4744" s="417" t="s">
        <v>15346</v>
      </c>
      <c r="AF4744" s="416" t="s">
        <v>15347</v>
      </c>
    </row>
    <row r="4745" spans="31:32">
      <c r="AE4745" s="417" t="s">
        <v>15348</v>
      </c>
      <c r="AF4745" s="416" t="s">
        <v>15349</v>
      </c>
    </row>
    <row r="4746" spans="31:32">
      <c r="AE4746" s="417" t="s">
        <v>15350</v>
      </c>
      <c r="AF4746" s="416" t="s">
        <v>15351</v>
      </c>
    </row>
    <row r="4747" spans="31:32">
      <c r="AE4747" s="417" t="s">
        <v>15352</v>
      </c>
      <c r="AF4747" s="416" t="s">
        <v>15353</v>
      </c>
    </row>
    <row r="4748" spans="31:32">
      <c r="AE4748" s="417" t="s">
        <v>15354</v>
      </c>
      <c r="AF4748" s="416" t="s">
        <v>15355</v>
      </c>
    </row>
    <row r="4749" spans="31:32">
      <c r="AE4749" s="417" t="s">
        <v>15356</v>
      </c>
      <c r="AF4749" s="416" t="s">
        <v>15357</v>
      </c>
    </row>
    <row r="4750" spans="31:32">
      <c r="AE4750" s="417" t="s">
        <v>15358</v>
      </c>
      <c r="AF4750" s="416" t="s">
        <v>15359</v>
      </c>
    </row>
    <row r="4751" spans="31:32">
      <c r="AE4751" s="417" t="s">
        <v>15360</v>
      </c>
      <c r="AF4751" s="416" t="s">
        <v>15361</v>
      </c>
    </row>
    <row r="4752" spans="31:32">
      <c r="AE4752" s="417" t="s">
        <v>15362</v>
      </c>
      <c r="AF4752" s="416" t="s">
        <v>15363</v>
      </c>
    </row>
    <row r="4753" spans="31:32">
      <c r="AE4753" s="417" t="s">
        <v>15364</v>
      </c>
      <c r="AF4753" s="416" t="s">
        <v>15365</v>
      </c>
    </row>
    <row r="4754" spans="31:32">
      <c r="AE4754" s="417" t="s">
        <v>15366</v>
      </c>
      <c r="AF4754" s="416" t="s">
        <v>15367</v>
      </c>
    </row>
    <row r="4755" spans="31:32">
      <c r="AE4755" s="417" t="s">
        <v>15368</v>
      </c>
      <c r="AF4755" s="416" t="s">
        <v>15369</v>
      </c>
    </row>
    <row r="4756" spans="31:32">
      <c r="AE4756" s="417" t="s">
        <v>15370</v>
      </c>
      <c r="AF4756" s="416" t="s">
        <v>15371</v>
      </c>
    </row>
    <row r="4757" spans="31:32">
      <c r="AE4757" s="417" t="s">
        <v>15372</v>
      </c>
      <c r="AF4757" s="416" t="s">
        <v>15373</v>
      </c>
    </row>
    <row r="4758" spans="31:32">
      <c r="AE4758" s="417" t="s">
        <v>15374</v>
      </c>
      <c r="AF4758" s="416" t="s">
        <v>15375</v>
      </c>
    </row>
    <row r="4759" spans="31:32">
      <c r="AE4759" s="417" t="s">
        <v>15376</v>
      </c>
      <c r="AF4759" s="416" t="s">
        <v>15377</v>
      </c>
    </row>
    <row r="4760" spans="31:32">
      <c r="AE4760" s="417" t="s">
        <v>15378</v>
      </c>
      <c r="AF4760" s="416" t="s">
        <v>15379</v>
      </c>
    </row>
    <row r="4761" spans="31:32">
      <c r="AE4761" s="417" t="s">
        <v>15380</v>
      </c>
      <c r="AF4761" s="416" t="s">
        <v>15381</v>
      </c>
    </row>
    <row r="4762" spans="31:32">
      <c r="AE4762" s="417" t="s">
        <v>15382</v>
      </c>
      <c r="AF4762" s="416" t="s">
        <v>15383</v>
      </c>
    </row>
    <row r="4763" spans="31:32">
      <c r="AE4763" s="417" t="s">
        <v>15384</v>
      </c>
      <c r="AF4763" s="416" t="s">
        <v>15385</v>
      </c>
    </row>
    <row r="4764" spans="31:32">
      <c r="AE4764" s="417" t="s">
        <v>15386</v>
      </c>
      <c r="AF4764" s="416" t="s">
        <v>15387</v>
      </c>
    </row>
    <row r="4765" spans="31:32">
      <c r="AE4765" s="417" t="s">
        <v>15388</v>
      </c>
      <c r="AF4765" s="416" t="s">
        <v>15389</v>
      </c>
    </row>
    <row r="4766" spans="31:32">
      <c r="AE4766" s="417" t="s">
        <v>15390</v>
      </c>
      <c r="AF4766" s="416" t="s">
        <v>15391</v>
      </c>
    </row>
    <row r="4767" spans="31:32">
      <c r="AE4767" s="417" t="s">
        <v>15392</v>
      </c>
      <c r="AF4767" s="416" t="s">
        <v>15393</v>
      </c>
    </row>
    <row r="4768" spans="31:32">
      <c r="AE4768" s="417" t="s">
        <v>15394</v>
      </c>
      <c r="AF4768" s="416" t="s">
        <v>15395</v>
      </c>
    </row>
    <row r="4769" spans="31:32">
      <c r="AE4769" s="417" t="s">
        <v>15396</v>
      </c>
      <c r="AF4769" s="416" t="s">
        <v>15397</v>
      </c>
    </row>
    <row r="4770" spans="31:32">
      <c r="AE4770" s="417" t="s">
        <v>15398</v>
      </c>
      <c r="AF4770" s="416" t="s">
        <v>15399</v>
      </c>
    </row>
    <row r="4771" spans="31:32">
      <c r="AE4771" s="417" t="s">
        <v>15400</v>
      </c>
      <c r="AF4771" s="416" t="s">
        <v>15401</v>
      </c>
    </row>
    <row r="4772" spans="31:32">
      <c r="AE4772" s="417" t="s">
        <v>15402</v>
      </c>
      <c r="AF4772" s="416" t="s">
        <v>15403</v>
      </c>
    </row>
    <row r="4773" spans="31:32">
      <c r="AE4773" s="417" t="s">
        <v>15404</v>
      </c>
      <c r="AF4773" s="416" t="s">
        <v>15405</v>
      </c>
    </row>
    <row r="4774" spans="31:32">
      <c r="AE4774" s="417" t="s">
        <v>15406</v>
      </c>
      <c r="AF4774" s="416" t="s">
        <v>15407</v>
      </c>
    </row>
    <row r="4775" spans="31:32">
      <c r="AE4775" s="417" t="s">
        <v>15408</v>
      </c>
      <c r="AF4775" s="416" t="s">
        <v>15409</v>
      </c>
    </row>
    <row r="4776" spans="31:32">
      <c r="AE4776" s="417" t="s">
        <v>15410</v>
      </c>
      <c r="AF4776" s="416" t="s">
        <v>15411</v>
      </c>
    </row>
    <row r="4777" spans="31:32">
      <c r="AE4777" s="417" t="s">
        <v>15412</v>
      </c>
      <c r="AF4777" s="416" t="s">
        <v>15413</v>
      </c>
    </row>
    <row r="4778" spans="31:32">
      <c r="AE4778" s="417" t="s">
        <v>15414</v>
      </c>
      <c r="AF4778" s="416" t="s">
        <v>15415</v>
      </c>
    </row>
    <row r="4779" spans="31:32">
      <c r="AE4779" s="417" t="s">
        <v>15416</v>
      </c>
      <c r="AF4779" s="416" t="s">
        <v>15417</v>
      </c>
    </row>
    <row r="4780" spans="31:32">
      <c r="AE4780" s="417" t="s">
        <v>15418</v>
      </c>
      <c r="AF4780" s="416" t="s">
        <v>15419</v>
      </c>
    </row>
    <row r="4781" spans="31:32">
      <c r="AE4781" s="417" t="s">
        <v>15420</v>
      </c>
      <c r="AF4781" s="416" t="s">
        <v>15421</v>
      </c>
    </row>
    <row r="4782" spans="31:32">
      <c r="AE4782" s="417" t="s">
        <v>15422</v>
      </c>
      <c r="AF4782" s="416" t="s">
        <v>15423</v>
      </c>
    </row>
    <row r="4783" spans="31:32">
      <c r="AE4783" s="417" t="s">
        <v>15424</v>
      </c>
      <c r="AF4783" s="416" t="s">
        <v>15425</v>
      </c>
    </row>
    <row r="4784" spans="31:32">
      <c r="AE4784" s="417" t="s">
        <v>15426</v>
      </c>
      <c r="AF4784" s="416" t="s">
        <v>15427</v>
      </c>
    </row>
    <row r="4785" spans="31:32">
      <c r="AE4785" s="417" t="s">
        <v>15428</v>
      </c>
      <c r="AF4785" s="416" t="s">
        <v>15429</v>
      </c>
    </row>
    <row r="4786" spans="31:32">
      <c r="AE4786" s="417" t="s">
        <v>15430</v>
      </c>
      <c r="AF4786" s="416" t="s">
        <v>15431</v>
      </c>
    </row>
    <row r="4787" spans="31:32">
      <c r="AE4787" s="417" t="s">
        <v>15432</v>
      </c>
      <c r="AF4787" s="416" t="s">
        <v>15433</v>
      </c>
    </row>
    <row r="4788" spans="31:32">
      <c r="AE4788" s="417" t="s">
        <v>15434</v>
      </c>
      <c r="AF4788" s="416" t="s">
        <v>15435</v>
      </c>
    </row>
    <row r="4789" spans="31:32">
      <c r="AE4789" s="417" t="s">
        <v>15436</v>
      </c>
      <c r="AF4789" s="416" t="s">
        <v>15437</v>
      </c>
    </row>
    <row r="4790" spans="31:32">
      <c r="AE4790" s="417" t="s">
        <v>15438</v>
      </c>
      <c r="AF4790" s="416" t="s">
        <v>15439</v>
      </c>
    </row>
    <row r="4791" spans="31:32">
      <c r="AE4791" s="417" t="s">
        <v>15440</v>
      </c>
      <c r="AF4791" s="416" t="s">
        <v>15441</v>
      </c>
    </row>
    <row r="4792" spans="31:32">
      <c r="AE4792" s="417" t="s">
        <v>15442</v>
      </c>
      <c r="AF4792" s="416" t="s">
        <v>15443</v>
      </c>
    </row>
    <row r="4793" spans="31:32">
      <c r="AE4793" s="417" t="s">
        <v>15444</v>
      </c>
      <c r="AF4793" s="416" t="s">
        <v>15445</v>
      </c>
    </row>
    <row r="4794" spans="31:32">
      <c r="AE4794" s="417" t="s">
        <v>15446</v>
      </c>
      <c r="AF4794" s="416" t="s">
        <v>15447</v>
      </c>
    </row>
    <row r="4795" spans="31:32">
      <c r="AE4795" s="417" t="s">
        <v>15448</v>
      </c>
      <c r="AF4795" s="416" t="s">
        <v>15449</v>
      </c>
    </row>
    <row r="4796" spans="31:32">
      <c r="AE4796" s="417" t="s">
        <v>15450</v>
      </c>
      <c r="AF4796" s="416" t="s">
        <v>15451</v>
      </c>
    </row>
    <row r="4797" spans="31:32">
      <c r="AE4797" s="417" t="s">
        <v>15452</v>
      </c>
      <c r="AF4797" s="416" t="s">
        <v>15453</v>
      </c>
    </row>
    <row r="4798" spans="31:32">
      <c r="AE4798" s="417" t="s">
        <v>15454</v>
      </c>
      <c r="AF4798" s="416" t="s">
        <v>15455</v>
      </c>
    </row>
    <row r="4799" spans="31:32">
      <c r="AE4799" s="417" t="s">
        <v>15456</v>
      </c>
      <c r="AF4799" s="416" t="s">
        <v>15457</v>
      </c>
    </row>
    <row r="4800" spans="31:32">
      <c r="AE4800" s="417" t="s">
        <v>15458</v>
      </c>
      <c r="AF4800" s="416" t="s">
        <v>15459</v>
      </c>
    </row>
    <row r="4801" spans="31:32">
      <c r="AE4801" s="417" t="s">
        <v>15460</v>
      </c>
      <c r="AF4801" s="416" t="s">
        <v>15461</v>
      </c>
    </row>
    <row r="4802" spans="31:32">
      <c r="AE4802" s="417" t="s">
        <v>15462</v>
      </c>
      <c r="AF4802" s="416" t="s">
        <v>15463</v>
      </c>
    </row>
    <row r="4803" spans="31:32">
      <c r="AE4803" s="417" t="s">
        <v>15464</v>
      </c>
      <c r="AF4803" s="416" t="s">
        <v>15465</v>
      </c>
    </row>
    <row r="4804" spans="31:32">
      <c r="AE4804" s="417" t="s">
        <v>15466</v>
      </c>
      <c r="AF4804" s="416" t="s">
        <v>15467</v>
      </c>
    </row>
    <row r="4805" spans="31:32">
      <c r="AE4805" s="417" t="s">
        <v>15468</v>
      </c>
      <c r="AF4805" s="416" t="s">
        <v>15469</v>
      </c>
    </row>
    <row r="4806" spans="31:32">
      <c r="AE4806" s="417" t="s">
        <v>15470</v>
      </c>
      <c r="AF4806" s="416" t="s">
        <v>15471</v>
      </c>
    </row>
    <row r="4807" spans="31:32">
      <c r="AE4807" s="417" t="s">
        <v>15472</v>
      </c>
      <c r="AF4807" s="416" t="s">
        <v>15473</v>
      </c>
    </row>
    <row r="4808" spans="31:32">
      <c r="AE4808" s="417" t="s">
        <v>15474</v>
      </c>
      <c r="AF4808" s="416" t="s">
        <v>15475</v>
      </c>
    </row>
    <row r="4809" spans="31:32">
      <c r="AE4809" s="417" t="s">
        <v>15476</v>
      </c>
      <c r="AF4809" s="416" t="s">
        <v>15477</v>
      </c>
    </row>
    <row r="4810" spans="31:32">
      <c r="AE4810" s="417" t="s">
        <v>15478</v>
      </c>
      <c r="AF4810" s="416" t="s">
        <v>15479</v>
      </c>
    </row>
    <row r="4811" spans="31:32">
      <c r="AE4811" s="417" t="s">
        <v>15480</v>
      </c>
      <c r="AF4811" s="416" t="s">
        <v>15481</v>
      </c>
    </row>
    <row r="4812" spans="31:32">
      <c r="AE4812" s="417" t="s">
        <v>15482</v>
      </c>
      <c r="AF4812" s="416" t="s">
        <v>15483</v>
      </c>
    </row>
    <row r="4813" spans="31:32">
      <c r="AE4813" s="417" t="s">
        <v>15484</v>
      </c>
      <c r="AF4813" s="416" t="s">
        <v>15485</v>
      </c>
    </row>
    <row r="4814" spans="31:32">
      <c r="AE4814" s="417" t="s">
        <v>15486</v>
      </c>
      <c r="AF4814" s="416" t="s">
        <v>15487</v>
      </c>
    </row>
    <row r="4815" spans="31:32">
      <c r="AE4815" s="417" t="s">
        <v>15488</v>
      </c>
      <c r="AF4815" s="416" t="s">
        <v>15489</v>
      </c>
    </row>
    <row r="4816" spans="31:32">
      <c r="AE4816" s="417" t="s">
        <v>15490</v>
      </c>
      <c r="AF4816" s="416" t="s">
        <v>15491</v>
      </c>
    </row>
    <row r="4817" spans="31:32">
      <c r="AE4817" s="417" t="s">
        <v>15492</v>
      </c>
      <c r="AF4817" s="416" t="s">
        <v>15493</v>
      </c>
    </row>
    <row r="4818" spans="31:32">
      <c r="AE4818" s="417" t="s">
        <v>15494</v>
      </c>
      <c r="AF4818" s="416" t="s">
        <v>15495</v>
      </c>
    </row>
    <row r="4819" spans="31:32">
      <c r="AE4819" s="417" t="s">
        <v>15496</v>
      </c>
      <c r="AF4819" s="416" t="s">
        <v>15497</v>
      </c>
    </row>
    <row r="4820" spans="31:32">
      <c r="AE4820" s="417" t="s">
        <v>15498</v>
      </c>
      <c r="AF4820" s="416" t="s">
        <v>15499</v>
      </c>
    </row>
    <row r="4821" spans="31:32">
      <c r="AE4821" s="417" t="s">
        <v>15500</v>
      </c>
      <c r="AF4821" s="416" t="s">
        <v>15501</v>
      </c>
    </row>
    <row r="4822" spans="31:32">
      <c r="AE4822" s="417" t="s">
        <v>15502</v>
      </c>
      <c r="AF4822" s="416" t="s">
        <v>15503</v>
      </c>
    </row>
    <row r="4823" spans="31:32">
      <c r="AE4823" s="417" t="s">
        <v>15504</v>
      </c>
      <c r="AF4823" s="416" t="s">
        <v>15505</v>
      </c>
    </row>
    <row r="4824" spans="31:32">
      <c r="AE4824" s="417" t="s">
        <v>15506</v>
      </c>
      <c r="AF4824" s="416" t="s">
        <v>15507</v>
      </c>
    </row>
    <row r="4825" spans="31:32">
      <c r="AE4825" s="417" t="s">
        <v>15508</v>
      </c>
      <c r="AF4825" s="416" t="s">
        <v>15509</v>
      </c>
    </row>
    <row r="4826" spans="31:32">
      <c r="AE4826" s="417" t="s">
        <v>15510</v>
      </c>
      <c r="AF4826" s="416" t="s">
        <v>15511</v>
      </c>
    </row>
    <row r="4827" spans="31:32">
      <c r="AE4827" s="417" t="s">
        <v>15512</v>
      </c>
      <c r="AF4827" s="416" t="s">
        <v>15513</v>
      </c>
    </row>
    <row r="4828" spans="31:32">
      <c r="AE4828" s="417" t="s">
        <v>15514</v>
      </c>
      <c r="AF4828" s="416" t="s">
        <v>15515</v>
      </c>
    </row>
    <row r="4829" spans="31:32">
      <c r="AE4829" s="417" t="s">
        <v>15516</v>
      </c>
      <c r="AF4829" s="416" t="s">
        <v>15517</v>
      </c>
    </row>
    <row r="4830" spans="31:32">
      <c r="AE4830" s="417" t="s">
        <v>15518</v>
      </c>
      <c r="AF4830" s="416" t="s">
        <v>15519</v>
      </c>
    </row>
    <row r="4831" spans="31:32">
      <c r="AE4831" s="417" t="s">
        <v>15520</v>
      </c>
      <c r="AF4831" s="416" t="s">
        <v>15521</v>
      </c>
    </row>
    <row r="4832" spans="31:32">
      <c r="AE4832" s="417" t="s">
        <v>15522</v>
      </c>
      <c r="AF4832" s="416" t="s">
        <v>15523</v>
      </c>
    </row>
    <row r="4833" spans="31:32">
      <c r="AE4833" s="417" t="s">
        <v>15524</v>
      </c>
      <c r="AF4833" s="416" t="s">
        <v>15525</v>
      </c>
    </row>
    <row r="4834" spans="31:32">
      <c r="AE4834" s="417" t="s">
        <v>15526</v>
      </c>
      <c r="AF4834" s="416" t="s">
        <v>15527</v>
      </c>
    </row>
    <row r="4835" spans="31:32">
      <c r="AE4835" s="417" t="s">
        <v>15528</v>
      </c>
      <c r="AF4835" s="416" t="s">
        <v>15529</v>
      </c>
    </row>
    <row r="4836" spans="31:32">
      <c r="AE4836" s="417" t="s">
        <v>15530</v>
      </c>
      <c r="AF4836" s="416" t="s">
        <v>15531</v>
      </c>
    </row>
    <row r="4837" spans="31:32">
      <c r="AE4837" s="417" t="s">
        <v>15532</v>
      </c>
      <c r="AF4837" s="416" t="s">
        <v>15533</v>
      </c>
    </row>
    <row r="4838" spans="31:32">
      <c r="AE4838" s="417" t="s">
        <v>15534</v>
      </c>
      <c r="AF4838" s="416" t="s">
        <v>15535</v>
      </c>
    </row>
    <row r="4839" spans="31:32">
      <c r="AE4839" s="417" t="s">
        <v>15536</v>
      </c>
      <c r="AF4839" s="416" t="s">
        <v>15537</v>
      </c>
    </row>
    <row r="4840" spans="31:32">
      <c r="AE4840" s="417" t="s">
        <v>15538</v>
      </c>
      <c r="AF4840" s="416" t="s">
        <v>15539</v>
      </c>
    </row>
    <row r="4841" spans="31:32">
      <c r="AE4841" s="417" t="s">
        <v>15540</v>
      </c>
      <c r="AF4841" s="416" t="s">
        <v>15541</v>
      </c>
    </row>
    <row r="4842" spans="31:32">
      <c r="AE4842" s="417" t="s">
        <v>15542</v>
      </c>
      <c r="AF4842" s="416" t="s">
        <v>15543</v>
      </c>
    </row>
    <row r="4843" spans="31:32">
      <c r="AE4843" s="417" t="s">
        <v>15544</v>
      </c>
      <c r="AF4843" s="416" t="s">
        <v>15545</v>
      </c>
    </row>
    <row r="4844" spans="31:32">
      <c r="AE4844" s="417" t="s">
        <v>15546</v>
      </c>
      <c r="AF4844" s="416" t="s">
        <v>15547</v>
      </c>
    </row>
    <row r="4845" spans="31:32">
      <c r="AE4845" s="417" t="s">
        <v>15548</v>
      </c>
      <c r="AF4845" s="416" t="s">
        <v>15549</v>
      </c>
    </row>
    <row r="4846" spans="31:32">
      <c r="AE4846" s="417" t="s">
        <v>15550</v>
      </c>
      <c r="AF4846" s="416" t="s">
        <v>15551</v>
      </c>
    </row>
    <row r="4847" spans="31:32">
      <c r="AE4847" s="417" t="s">
        <v>15552</v>
      </c>
      <c r="AF4847" s="416" t="s">
        <v>15553</v>
      </c>
    </row>
    <row r="4848" spans="31:32">
      <c r="AE4848" s="417" t="s">
        <v>15554</v>
      </c>
      <c r="AF4848" s="416" t="s">
        <v>15555</v>
      </c>
    </row>
    <row r="4849" spans="31:32">
      <c r="AE4849" s="417" t="s">
        <v>15556</v>
      </c>
      <c r="AF4849" s="416" t="s">
        <v>15557</v>
      </c>
    </row>
    <row r="4850" spans="31:32">
      <c r="AE4850" s="417" t="s">
        <v>15558</v>
      </c>
      <c r="AF4850" s="416" t="s">
        <v>15559</v>
      </c>
    </row>
    <row r="4851" spans="31:32">
      <c r="AE4851" s="417" t="s">
        <v>15560</v>
      </c>
      <c r="AF4851" s="416" t="s">
        <v>15561</v>
      </c>
    </row>
    <row r="4852" spans="31:32">
      <c r="AE4852" s="417" t="s">
        <v>15562</v>
      </c>
      <c r="AF4852" s="416" t="s">
        <v>15563</v>
      </c>
    </row>
    <row r="4853" spans="31:32">
      <c r="AE4853" s="417" t="s">
        <v>15564</v>
      </c>
      <c r="AF4853" s="416" t="s">
        <v>15565</v>
      </c>
    </row>
    <row r="4854" spans="31:32">
      <c r="AE4854" s="417" t="s">
        <v>15566</v>
      </c>
      <c r="AF4854" s="416" t="s">
        <v>15567</v>
      </c>
    </row>
    <row r="4855" spans="31:32">
      <c r="AE4855" s="417" t="s">
        <v>15568</v>
      </c>
      <c r="AF4855" s="416" t="s">
        <v>15569</v>
      </c>
    </row>
    <row r="4856" spans="31:32">
      <c r="AE4856" s="417" t="s">
        <v>15570</v>
      </c>
      <c r="AF4856" s="416" t="s">
        <v>15571</v>
      </c>
    </row>
    <row r="4857" spans="31:32">
      <c r="AE4857" s="417" t="s">
        <v>15572</v>
      </c>
      <c r="AF4857" s="416" t="s">
        <v>15573</v>
      </c>
    </row>
    <row r="4858" spans="31:32">
      <c r="AE4858" s="417" t="s">
        <v>15574</v>
      </c>
      <c r="AF4858" s="416" t="s">
        <v>15575</v>
      </c>
    </row>
    <row r="4859" spans="31:32">
      <c r="AE4859" s="417" t="s">
        <v>15576</v>
      </c>
      <c r="AF4859" s="416" t="s">
        <v>15577</v>
      </c>
    </row>
    <row r="4860" spans="31:32">
      <c r="AE4860" s="417" t="s">
        <v>15578</v>
      </c>
      <c r="AF4860" s="416" t="s">
        <v>15579</v>
      </c>
    </row>
    <row r="4861" spans="31:32">
      <c r="AE4861" s="417" t="s">
        <v>15580</v>
      </c>
      <c r="AF4861" s="416" t="s">
        <v>15581</v>
      </c>
    </row>
    <row r="4862" spans="31:32">
      <c r="AE4862" s="417" t="s">
        <v>15582</v>
      </c>
      <c r="AF4862" s="416" t="s">
        <v>15583</v>
      </c>
    </row>
    <row r="4863" spans="31:32">
      <c r="AE4863" s="417" t="s">
        <v>15584</v>
      </c>
      <c r="AF4863" s="416" t="s">
        <v>15585</v>
      </c>
    </row>
    <row r="4864" spans="31:32">
      <c r="AE4864" s="417" t="s">
        <v>15586</v>
      </c>
      <c r="AF4864" s="416" t="s">
        <v>15587</v>
      </c>
    </row>
    <row r="4865" spans="31:32">
      <c r="AE4865" s="417" t="s">
        <v>15588</v>
      </c>
      <c r="AF4865" s="416" t="s">
        <v>15589</v>
      </c>
    </row>
    <row r="4866" spans="31:32">
      <c r="AE4866" s="417" t="s">
        <v>15590</v>
      </c>
      <c r="AF4866" s="416" t="s">
        <v>15591</v>
      </c>
    </row>
    <row r="4867" spans="31:32">
      <c r="AE4867" s="417" t="s">
        <v>15592</v>
      </c>
      <c r="AF4867" s="416" t="s">
        <v>15593</v>
      </c>
    </row>
    <row r="4868" spans="31:32">
      <c r="AE4868" s="417" t="s">
        <v>15594</v>
      </c>
      <c r="AF4868" s="416" t="s">
        <v>15595</v>
      </c>
    </row>
    <row r="4869" spans="31:32">
      <c r="AE4869" s="417" t="s">
        <v>15596</v>
      </c>
      <c r="AF4869" s="416" t="s">
        <v>15597</v>
      </c>
    </row>
    <row r="4870" spans="31:32">
      <c r="AE4870" s="417" t="s">
        <v>15598</v>
      </c>
      <c r="AF4870" s="416" t="s">
        <v>15599</v>
      </c>
    </row>
    <row r="4871" spans="31:32">
      <c r="AE4871" s="417" t="s">
        <v>15600</v>
      </c>
      <c r="AF4871" s="416" t="s">
        <v>15601</v>
      </c>
    </row>
    <row r="4872" spans="31:32">
      <c r="AE4872" s="417" t="s">
        <v>15602</v>
      </c>
      <c r="AF4872" s="416" t="s">
        <v>15603</v>
      </c>
    </row>
    <row r="4873" spans="31:32">
      <c r="AE4873" s="417" t="s">
        <v>15604</v>
      </c>
      <c r="AF4873" s="416" t="s">
        <v>15605</v>
      </c>
    </row>
    <row r="4874" spans="31:32">
      <c r="AE4874" s="417" t="s">
        <v>15606</v>
      </c>
      <c r="AF4874" s="416" t="s">
        <v>15607</v>
      </c>
    </row>
    <row r="4875" spans="31:32">
      <c r="AE4875" s="417" t="s">
        <v>15608</v>
      </c>
      <c r="AF4875" s="416" t="s">
        <v>15609</v>
      </c>
    </row>
    <row r="4876" spans="31:32">
      <c r="AE4876" s="417" t="s">
        <v>15610</v>
      </c>
      <c r="AF4876" s="416" t="s">
        <v>15611</v>
      </c>
    </row>
    <row r="4877" spans="31:32">
      <c r="AE4877" s="417" t="s">
        <v>15612</v>
      </c>
      <c r="AF4877" s="416" t="s">
        <v>15613</v>
      </c>
    </row>
    <row r="4878" spans="31:32">
      <c r="AE4878" s="417" t="s">
        <v>15614</v>
      </c>
      <c r="AF4878" s="416" t="s">
        <v>15615</v>
      </c>
    </row>
    <row r="4879" spans="31:32">
      <c r="AE4879" s="417" t="s">
        <v>15616</v>
      </c>
      <c r="AF4879" s="416" t="s">
        <v>15617</v>
      </c>
    </row>
    <row r="4880" spans="31:32">
      <c r="AE4880" s="417" t="s">
        <v>15618</v>
      </c>
      <c r="AF4880" s="416" t="s">
        <v>15619</v>
      </c>
    </row>
    <row r="4881" spans="31:32">
      <c r="AE4881" s="417" t="s">
        <v>15620</v>
      </c>
      <c r="AF4881" s="416" t="s">
        <v>15621</v>
      </c>
    </row>
    <row r="4882" spans="31:32">
      <c r="AE4882" s="417" t="s">
        <v>15622</v>
      </c>
      <c r="AF4882" s="416" t="s">
        <v>15623</v>
      </c>
    </row>
    <row r="4883" spans="31:32">
      <c r="AE4883" s="417" t="s">
        <v>15624</v>
      </c>
      <c r="AF4883" s="416" t="s">
        <v>15625</v>
      </c>
    </row>
    <row r="4884" spans="31:32">
      <c r="AE4884" s="417" t="s">
        <v>15626</v>
      </c>
      <c r="AF4884" s="416" t="s">
        <v>15627</v>
      </c>
    </row>
    <row r="4885" spans="31:32">
      <c r="AE4885" s="417" t="s">
        <v>15628</v>
      </c>
      <c r="AF4885" s="416" t="s">
        <v>15629</v>
      </c>
    </row>
    <row r="4886" spans="31:32">
      <c r="AE4886" s="417" t="s">
        <v>15630</v>
      </c>
      <c r="AF4886" s="416" t="s">
        <v>15631</v>
      </c>
    </row>
    <row r="4887" spans="31:32">
      <c r="AE4887" s="417" t="s">
        <v>15632</v>
      </c>
      <c r="AF4887" s="416" t="s">
        <v>15633</v>
      </c>
    </row>
    <row r="4888" spans="31:32">
      <c r="AE4888" s="417" t="s">
        <v>15634</v>
      </c>
      <c r="AF4888" s="416" t="s">
        <v>15635</v>
      </c>
    </row>
    <row r="4889" spans="31:32">
      <c r="AE4889" s="417" t="s">
        <v>15636</v>
      </c>
      <c r="AF4889" s="416" t="s">
        <v>15637</v>
      </c>
    </row>
    <row r="4890" spans="31:32">
      <c r="AE4890" s="417" t="s">
        <v>15638</v>
      </c>
      <c r="AF4890" s="416" t="s">
        <v>15639</v>
      </c>
    </row>
    <row r="4891" spans="31:32">
      <c r="AE4891" s="417" t="s">
        <v>15640</v>
      </c>
      <c r="AF4891" s="416" t="s">
        <v>15641</v>
      </c>
    </row>
    <row r="4892" spans="31:32">
      <c r="AE4892" s="417" t="s">
        <v>15642</v>
      </c>
      <c r="AF4892" s="416" t="s">
        <v>15643</v>
      </c>
    </row>
    <row r="4893" spans="31:32">
      <c r="AE4893" s="417" t="s">
        <v>15644</v>
      </c>
      <c r="AF4893" s="416" t="s">
        <v>15645</v>
      </c>
    </row>
    <row r="4894" spans="31:32">
      <c r="AE4894" s="417" t="s">
        <v>15646</v>
      </c>
      <c r="AF4894" s="416" t="s">
        <v>15647</v>
      </c>
    </row>
    <row r="4895" spans="31:32">
      <c r="AE4895" s="417" t="s">
        <v>15648</v>
      </c>
      <c r="AF4895" s="416" t="s">
        <v>15649</v>
      </c>
    </row>
    <row r="4896" spans="31:32">
      <c r="AE4896" s="417" t="s">
        <v>15650</v>
      </c>
      <c r="AF4896" s="416" t="s">
        <v>15651</v>
      </c>
    </row>
    <row r="4897" spans="31:32">
      <c r="AE4897" s="417" t="s">
        <v>15652</v>
      </c>
      <c r="AF4897" s="416" t="s">
        <v>15653</v>
      </c>
    </row>
    <row r="4898" spans="31:32">
      <c r="AE4898" s="417" t="s">
        <v>15654</v>
      </c>
      <c r="AF4898" s="416" t="s">
        <v>15655</v>
      </c>
    </row>
    <row r="4899" spans="31:32">
      <c r="AE4899" s="417" t="s">
        <v>15656</v>
      </c>
      <c r="AF4899" s="416" t="s">
        <v>15657</v>
      </c>
    </row>
    <row r="4900" spans="31:32">
      <c r="AE4900" s="417" t="s">
        <v>15658</v>
      </c>
      <c r="AF4900" s="416" t="s">
        <v>15659</v>
      </c>
    </row>
    <row r="4901" spans="31:32">
      <c r="AE4901" s="417" t="s">
        <v>15660</v>
      </c>
      <c r="AF4901" s="416" t="s">
        <v>15661</v>
      </c>
    </row>
    <row r="4902" spans="31:32">
      <c r="AE4902" s="417" t="s">
        <v>15662</v>
      </c>
      <c r="AF4902" s="416" t="s">
        <v>15663</v>
      </c>
    </row>
    <row r="4903" spans="31:32">
      <c r="AE4903" s="417" t="s">
        <v>15664</v>
      </c>
      <c r="AF4903" s="416" t="s">
        <v>15665</v>
      </c>
    </row>
    <row r="4904" spans="31:32">
      <c r="AE4904" s="417" t="s">
        <v>15666</v>
      </c>
      <c r="AF4904" s="416" t="s">
        <v>15667</v>
      </c>
    </row>
    <row r="4905" spans="31:32">
      <c r="AE4905" s="417" t="s">
        <v>15668</v>
      </c>
      <c r="AF4905" s="416" t="s">
        <v>15669</v>
      </c>
    </row>
    <row r="4906" spans="31:32">
      <c r="AE4906" s="417" t="s">
        <v>15670</v>
      </c>
      <c r="AF4906" s="416" t="s">
        <v>15671</v>
      </c>
    </row>
    <row r="4907" spans="31:32">
      <c r="AE4907" s="417" t="s">
        <v>15672</v>
      </c>
      <c r="AF4907" s="416" t="s">
        <v>15673</v>
      </c>
    </row>
    <row r="4908" spans="31:32">
      <c r="AE4908" s="417" t="s">
        <v>15674</v>
      </c>
      <c r="AF4908" s="416" t="s">
        <v>15675</v>
      </c>
    </row>
    <row r="4909" spans="31:32">
      <c r="AE4909" s="417" t="s">
        <v>15676</v>
      </c>
      <c r="AF4909" s="416" t="s">
        <v>15677</v>
      </c>
    </row>
    <row r="4910" spans="31:32">
      <c r="AE4910" s="417" t="s">
        <v>15678</v>
      </c>
      <c r="AF4910" s="416" t="s">
        <v>15679</v>
      </c>
    </row>
    <row r="4911" spans="31:32">
      <c r="AE4911" s="417" t="s">
        <v>15680</v>
      </c>
      <c r="AF4911" s="416" t="s">
        <v>15681</v>
      </c>
    </row>
    <row r="4912" spans="31:32">
      <c r="AE4912" s="417" t="s">
        <v>15682</v>
      </c>
      <c r="AF4912" s="416" t="s">
        <v>15683</v>
      </c>
    </row>
    <row r="4913" spans="31:32">
      <c r="AE4913" s="417" t="s">
        <v>15684</v>
      </c>
      <c r="AF4913" s="416" t="s">
        <v>15685</v>
      </c>
    </row>
    <row r="4914" spans="31:32">
      <c r="AE4914" s="417" t="s">
        <v>15686</v>
      </c>
      <c r="AF4914" s="416" t="s">
        <v>15687</v>
      </c>
    </row>
    <row r="4915" spans="31:32">
      <c r="AE4915" s="417" t="s">
        <v>15688</v>
      </c>
      <c r="AF4915" s="416" t="s">
        <v>15689</v>
      </c>
    </row>
    <row r="4916" spans="31:32">
      <c r="AE4916" s="417" t="s">
        <v>15690</v>
      </c>
      <c r="AF4916" s="416" t="s">
        <v>15691</v>
      </c>
    </row>
    <row r="4917" spans="31:32">
      <c r="AE4917" s="417" t="s">
        <v>15692</v>
      </c>
      <c r="AF4917" s="416" t="s">
        <v>15693</v>
      </c>
    </row>
    <row r="4918" spans="31:32">
      <c r="AE4918" s="417" t="s">
        <v>15694</v>
      </c>
      <c r="AF4918" s="416" t="s">
        <v>15695</v>
      </c>
    </row>
    <row r="4919" spans="31:32">
      <c r="AE4919" s="417" t="s">
        <v>15696</v>
      </c>
      <c r="AF4919" s="416" t="s">
        <v>15697</v>
      </c>
    </row>
    <row r="4920" spans="31:32">
      <c r="AE4920" s="417" t="s">
        <v>15698</v>
      </c>
      <c r="AF4920" s="416" t="s">
        <v>15699</v>
      </c>
    </row>
    <row r="4921" spans="31:32">
      <c r="AE4921" s="417" t="s">
        <v>15700</v>
      </c>
      <c r="AF4921" s="416" t="s">
        <v>15701</v>
      </c>
    </row>
    <row r="4922" spans="31:32">
      <c r="AE4922" s="417" t="s">
        <v>15702</v>
      </c>
      <c r="AF4922" s="416" t="s">
        <v>15703</v>
      </c>
    </row>
    <row r="4923" spans="31:32">
      <c r="AE4923" s="417" t="s">
        <v>15704</v>
      </c>
      <c r="AF4923" s="416" t="s">
        <v>15705</v>
      </c>
    </row>
    <row r="4924" spans="31:32">
      <c r="AE4924" s="417" t="s">
        <v>15706</v>
      </c>
      <c r="AF4924" s="416" t="s">
        <v>15707</v>
      </c>
    </row>
    <row r="4925" spans="31:32">
      <c r="AE4925" s="417" t="s">
        <v>15708</v>
      </c>
      <c r="AF4925" s="416" t="s">
        <v>15709</v>
      </c>
    </row>
    <row r="4926" spans="31:32">
      <c r="AE4926" s="417" t="s">
        <v>15710</v>
      </c>
      <c r="AF4926" s="416" t="s">
        <v>15711</v>
      </c>
    </row>
    <row r="4927" spans="31:32">
      <c r="AE4927" s="417" t="s">
        <v>15712</v>
      </c>
      <c r="AF4927" s="416" t="s">
        <v>15713</v>
      </c>
    </row>
    <row r="4928" spans="31:32">
      <c r="AE4928" s="417" t="s">
        <v>15714</v>
      </c>
      <c r="AF4928" s="416" t="s">
        <v>15715</v>
      </c>
    </row>
    <row r="4929" spans="31:32">
      <c r="AE4929" s="417" t="s">
        <v>15716</v>
      </c>
      <c r="AF4929" s="416" t="s">
        <v>15717</v>
      </c>
    </row>
    <row r="4930" spans="31:32">
      <c r="AE4930" s="417" t="s">
        <v>15718</v>
      </c>
      <c r="AF4930" s="416" t="s">
        <v>15719</v>
      </c>
    </row>
    <row r="4931" spans="31:32">
      <c r="AE4931" s="417" t="s">
        <v>15720</v>
      </c>
      <c r="AF4931" s="416" t="s">
        <v>15721</v>
      </c>
    </row>
    <row r="4932" spans="31:32">
      <c r="AE4932" s="417" t="s">
        <v>15722</v>
      </c>
      <c r="AF4932" s="416" t="s">
        <v>15723</v>
      </c>
    </row>
    <row r="4933" spans="31:32">
      <c r="AE4933" s="417" t="s">
        <v>15724</v>
      </c>
      <c r="AF4933" s="416" t="s">
        <v>15725</v>
      </c>
    </row>
    <row r="4934" spans="31:32">
      <c r="AE4934" s="417" t="s">
        <v>15726</v>
      </c>
      <c r="AF4934" s="416" t="s">
        <v>15727</v>
      </c>
    </row>
    <row r="4935" spans="31:32">
      <c r="AE4935" s="417" t="s">
        <v>15728</v>
      </c>
      <c r="AF4935" s="416" t="s">
        <v>15729</v>
      </c>
    </row>
    <row r="4936" spans="31:32">
      <c r="AE4936" s="417" t="s">
        <v>15730</v>
      </c>
      <c r="AF4936" s="416" t="s">
        <v>15731</v>
      </c>
    </row>
    <row r="4937" spans="31:32">
      <c r="AE4937" s="417" t="s">
        <v>15732</v>
      </c>
      <c r="AF4937" s="416" t="s">
        <v>15733</v>
      </c>
    </row>
    <row r="4938" spans="31:32">
      <c r="AE4938" s="417" t="s">
        <v>15734</v>
      </c>
      <c r="AF4938" s="416" t="s">
        <v>15735</v>
      </c>
    </row>
    <row r="4939" spans="31:32">
      <c r="AE4939" s="417" t="s">
        <v>15736</v>
      </c>
      <c r="AF4939" s="416" t="s">
        <v>15737</v>
      </c>
    </row>
    <row r="4940" spans="31:32">
      <c r="AE4940" s="417" t="s">
        <v>15738</v>
      </c>
      <c r="AF4940" s="416" t="s">
        <v>15739</v>
      </c>
    </row>
    <row r="4941" spans="31:32">
      <c r="AE4941" s="417" t="s">
        <v>15740</v>
      </c>
      <c r="AF4941" s="416" t="s">
        <v>15741</v>
      </c>
    </row>
    <row r="4942" spans="31:32">
      <c r="AE4942" s="417" t="s">
        <v>15742</v>
      </c>
      <c r="AF4942" s="416" t="s">
        <v>15743</v>
      </c>
    </row>
    <row r="4943" spans="31:32">
      <c r="AE4943" s="417" t="s">
        <v>15744</v>
      </c>
      <c r="AF4943" s="416" t="s">
        <v>15745</v>
      </c>
    </row>
    <row r="4944" spans="31:32">
      <c r="AE4944" s="417" t="s">
        <v>15746</v>
      </c>
      <c r="AF4944" s="416" t="s">
        <v>15747</v>
      </c>
    </row>
    <row r="4945" spans="31:32">
      <c r="AE4945" s="417" t="s">
        <v>15748</v>
      </c>
      <c r="AF4945" s="416" t="s">
        <v>15749</v>
      </c>
    </row>
    <row r="4946" spans="31:32">
      <c r="AE4946" s="417" t="s">
        <v>15750</v>
      </c>
      <c r="AF4946" s="416" t="s">
        <v>15751</v>
      </c>
    </row>
    <row r="4947" spans="31:32">
      <c r="AE4947" s="417" t="s">
        <v>15752</v>
      </c>
      <c r="AF4947" s="416" t="s">
        <v>15753</v>
      </c>
    </row>
    <row r="4948" spans="31:32">
      <c r="AE4948" s="417" t="s">
        <v>15754</v>
      </c>
      <c r="AF4948" s="416" t="s">
        <v>15755</v>
      </c>
    </row>
    <row r="4949" spans="31:32">
      <c r="AE4949" s="417" t="s">
        <v>15756</v>
      </c>
      <c r="AF4949" s="416" t="s">
        <v>15757</v>
      </c>
    </row>
    <row r="4950" spans="31:32">
      <c r="AE4950" s="417" t="s">
        <v>15758</v>
      </c>
      <c r="AF4950" s="416" t="s">
        <v>15759</v>
      </c>
    </row>
    <row r="4951" spans="31:32">
      <c r="AE4951" s="417" t="s">
        <v>15760</v>
      </c>
      <c r="AF4951" s="416" t="s">
        <v>15761</v>
      </c>
    </row>
    <row r="4952" spans="31:32">
      <c r="AE4952" s="417" t="s">
        <v>15762</v>
      </c>
      <c r="AF4952" s="416" t="s">
        <v>15763</v>
      </c>
    </row>
    <row r="4953" spans="31:32">
      <c r="AE4953" s="417" t="s">
        <v>15764</v>
      </c>
      <c r="AF4953" s="416" t="s">
        <v>15765</v>
      </c>
    </row>
    <row r="4954" spans="31:32">
      <c r="AE4954" s="417" t="s">
        <v>15766</v>
      </c>
      <c r="AF4954" s="416" t="s">
        <v>15767</v>
      </c>
    </row>
    <row r="4955" spans="31:32">
      <c r="AE4955" s="417" t="s">
        <v>15768</v>
      </c>
      <c r="AF4955" s="416" t="s">
        <v>15769</v>
      </c>
    </row>
    <row r="4956" spans="31:32">
      <c r="AE4956" s="417" t="s">
        <v>15770</v>
      </c>
      <c r="AF4956" s="416" t="s">
        <v>15771</v>
      </c>
    </row>
    <row r="4957" spans="31:32">
      <c r="AE4957" s="417" t="s">
        <v>15772</v>
      </c>
      <c r="AF4957" s="416" t="s">
        <v>15773</v>
      </c>
    </row>
    <row r="4958" spans="31:32">
      <c r="AE4958" s="417" t="s">
        <v>15774</v>
      </c>
      <c r="AF4958" s="416" t="s">
        <v>15775</v>
      </c>
    </row>
    <row r="4959" spans="31:32">
      <c r="AE4959" s="417" t="s">
        <v>15776</v>
      </c>
      <c r="AF4959" s="416" t="s">
        <v>15777</v>
      </c>
    </row>
    <row r="4960" spans="31:32">
      <c r="AE4960" s="417" t="s">
        <v>15778</v>
      </c>
      <c r="AF4960" s="416" t="s">
        <v>15779</v>
      </c>
    </row>
    <row r="4961" spans="31:32">
      <c r="AE4961" s="417" t="s">
        <v>15780</v>
      </c>
      <c r="AF4961" s="416" t="s">
        <v>15781</v>
      </c>
    </row>
    <row r="4962" spans="31:32">
      <c r="AE4962" s="417" t="s">
        <v>15782</v>
      </c>
      <c r="AF4962" s="416" t="s">
        <v>15783</v>
      </c>
    </row>
    <row r="4963" spans="31:32">
      <c r="AE4963" s="417" t="s">
        <v>15784</v>
      </c>
      <c r="AF4963" s="416" t="s">
        <v>15785</v>
      </c>
    </row>
    <row r="4964" spans="31:32">
      <c r="AE4964" s="417" t="s">
        <v>15786</v>
      </c>
      <c r="AF4964" s="416" t="s">
        <v>15787</v>
      </c>
    </row>
    <row r="4965" spans="31:32">
      <c r="AE4965" s="417" t="s">
        <v>15788</v>
      </c>
      <c r="AF4965" s="416" t="s">
        <v>15789</v>
      </c>
    </row>
    <row r="4966" spans="31:32">
      <c r="AE4966" s="417" t="s">
        <v>15790</v>
      </c>
      <c r="AF4966" s="416" t="s">
        <v>15791</v>
      </c>
    </row>
    <row r="4967" spans="31:32">
      <c r="AE4967" s="417" t="s">
        <v>15792</v>
      </c>
      <c r="AF4967" s="416" t="s">
        <v>15793</v>
      </c>
    </row>
    <row r="4968" spans="31:32">
      <c r="AE4968" s="417" t="s">
        <v>15794</v>
      </c>
      <c r="AF4968" s="416" t="s">
        <v>15795</v>
      </c>
    </row>
    <row r="4969" spans="31:32">
      <c r="AE4969" s="417" t="s">
        <v>15796</v>
      </c>
      <c r="AF4969" s="416" t="s">
        <v>15797</v>
      </c>
    </row>
    <row r="4970" spans="31:32">
      <c r="AE4970" s="417" t="s">
        <v>15798</v>
      </c>
      <c r="AF4970" s="416" t="s">
        <v>15799</v>
      </c>
    </row>
    <row r="4971" spans="31:32">
      <c r="AE4971" s="417" t="s">
        <v>15800</v>
      </c>
      <c r="AF4971" s="416" t="s">
        <v>15801</v>
      </c>
    </row>
    <row r="4972" spans="31:32">
      <c r="AE4972" s="417" t="s">
        <v>15802</v>
      </c>
      <c r="AF4972" s="416" t="s">
        <v>15803</v>
      </c>
    </row>
    <row r="4973" spans="31:32">
      <c r="AE4973" s="417" t="s">
        <v>15804</v>
      </c>
      <c r="AF4973" s="416" t="s">
        <v>15805</v>
      </c>
    </row>
    <row r="4974" spans="31:32">
      <c r="AE4974" s="417" t="s">
        <v>15806</v>
      </c>
      <c r="AF4974" s="416" t="s">
        <v>15807</v>
      </c>
    </row>
    <row r="4975" spans="31:32">
      <c r="AE4975" s="417" t="s">
        <v>15808</v>
      </c>
      <c r="AF4975" s="416" t="s">
        <v>15809</v>
      </c>
    </row>
    <row r="4976" spans="31:32">
      <c r="AE4976" s="417" t="s">
        <v>15810</v>
      </c>
      <c r="AF4976" s="416" t="s">
        <v>15811</v>
      </c>
    </row>
    <row r="4977" spans="31:32">
      <c r="AE4977" s="417" t="s">
        <v>15812</v>
      </c>
      <c r="AF4977" s="416" t="s">
        <v>15813</v>
      </c>
    </row>
    <row r="4978" spans="31:32">
      <c r="AE4978" s="417" t="s">
        <v>15814</v>
      </c>
      <c r="AF4978" s="416" t="s">
        <v>15815</v>
      </c>
    </row>
    <row r="4979" spans="31:32">
      <c r="AE4979" s="417" t="s">
        <v>15816</v>
      </c>
      <c r="AF4979" s="416" t="s">
        <v>15817</v>
      </c>
    </row>
    <row r="4980" spans="31:32">
      <c r="AE4980" s="417" t="s">
        <v>15818</v>
      </c>
      <c r="AF4980" s="416" t="s">
        <v>15819</v>
      </c>
    </row>
    <row r="4981" spans="31:32">
      <c r="AE4981" s="417" t="s">
        <v>15820</v>
      </c>
      <c r="AF4981" s="416" t="s">
        <v>15821</v>
      </c>
    </row>
    <row r="4982" spans="31:32">
      <c r="AE4982" s="417" t="s">
        <v>15822</v>
      </c>
      <c r="AF4982" s="416" t="s">
        <v>15823</v>
      </c>
    </row>
    <row r="4983" spans="31:32">
      <c r="AE4983" s="417" t="s">
        <v>15824</v>
      </c>
      <c r="AF4983" s="416" t="s">
        <v>15825</v>
      </c>
    </row>
    <row r="4984" spans="31:32">
      <c r="AE4984" s="417" t="s">
        <v>15826</v>
      </c>
      <c r="AF4984" s="416" t="s">
        <v>15827</v>
      </c>
    </row>
    <row r="4985" spans="31:32">
      <c r="AE4985" s="417" t="s">
        <v>15828</v>
      </c>
      <c r="AF4985" s="416" t="s">
        <v>15829</v>
      </c>
    </row>
    <row r="4986" spans="31:32">
      <c r="AE4986" s="417" t="s">
        <v>15830</v>
      </c>
      <c r="AF4986" s="416" t="s">
        <v>15831</v>
      </c>
    </row>
    <row r="4987" spans="31:32">
      <c r="AE4987" s="417" t="s">
        <v>15832</v>
      </c>
      <c r="AF4987" s="416" t="s">
        <v>15833</v>
      </c>
    </row>
    <row r="4988" spans="31:32">
      <c r="AE4988" s="417" t="s">
        <v>15834</v>
      </c>
      <c r="AF4988" s="416" t="s">
        <v>15835</v>
      </c>
    </row>
    <row r="4989" spans="31:32">
      <c r="AE4989" s="417" t="s">
        <v>15836</v>
      </c>
      <c r="AF4989" s="416" t="s">
        <v>15837</v>
      </c>
    </row>
    <row r="4990" spans="31:32">
      <c r="AE4990" s="417" t="s">
        <v>15838</v>
      </c>
      <c r="AF4990" s="416" t="s">
        <v>15839</v>
      </c>
    </row>
    <row r="4991" spans="31:32">
      <c r="AE4991" s="417" t="s">
        <v>15840</v>
      </c>
      <c r="AF4991" s="416" t="s">
        <v>15841</v>
      </c>
    </row>
    <row r="4992" spans="31:32">
      <c r="AE4992" s="417" t="s">
        <v>15842</v>
      </c>
      <c r="AF4992" s="416" t="s">
        <v>15843</v>
      </c>
    </row>
    <row r="4993" spans="31:32">
      <c r="AE4993" s="417" t="s">
        <v>15844</v>
      </c>
      <c r="AF4993" s="416" t="s">
        <v>15845</v>
      </c>
    </row>
    <row r="4994" spans="31:32">
      <c r="AE4994" s="417" t="s">
        <v>15846</v>
      </c>
      <c r="AF4994" s="416" t="s">
        <v>15847</v>
      </c>
    </row>
    <row r="4995" spans="31:32">
      <c r="AE4995" s="417" t="s">
        <v>15848</v>
      </c>
      <c r="AF4995" s="416" t="s">
        <v>15849</v>
      </c>
    </row>
    <row r="4996" spans="31:32">
      <c r="AE4996" s="417" t="s">
        <v>15850</v>
      </c>
      <c r="AF4996" s="416" t="s">
        <v>15851</v>
      </c>
    </row>
    <row r="4997" spans="31:32">
      <c r="AE4997" s="417" t="s">
        <v>15852</v>
      </c>
      <c r="AF4997" s="416" t="s">
        <v>15853</v>
      </c>
    </row>
    <row r="4998" spans="31:32">
      <c r="AE4998" s="417" t="s">
        <v>15854</v>
      </c>
      <c r="AF4998" s="416" t="s">
        <v>15855</v>
      </c>
    </row>
    <row r="4999" spans="31:32">
      <c r="AE4999" s="417" t="s">
        <v>15856</v>
      </c>
      <c r="AF4999" s="416" t="s">
        <v>15857</v>
      </c>
    </row>
    <row r="5000" spans="31:32">
      <c r="AE5000" s="417" t="s">
        <v>15858</v>
      </c>
      <c r="AF5000" s="416" t="s">
        <v>15859</v>
      </c>
    </row>
    <row r="5001" spans="31:32">
      <c r="AE5001" s="417" t="s">
        <v>15860</v>
      </c>
      <c r="AF5001" s="416" t="s">
        <v>15861</v>
      </c>
    </row>
    <row r="5002" spans="31:32">
      <c r="AE5002" s="417" t="s">
        <v>15862</v>
      </c>
      <c r="AF5002" s="416" t="s">
        <v>15863</v>
      </c>
    </row>
    <row r="5003" spans="31:32">
      <c r="AE5003" s="417" t="s">
        <v>15864</v>
      </c>
      <c r="AF5003" s="416" t="s">
        <v>15865</v>
      </c>
    </row>
    <row r="5004" spans="31:32">
      <c r="AE5004" s="417" t="s">
        <v>15866</v>
      </c>
      <c r="AF5004" s="416" t="s">
        <v>15867</v>
      </c>
    </row>
    <row r="5005" spans="31:32">
      <c r="AE5005" s="417" t="s">
        <v>15868</v>
      </c>
      <c r="AF5005" s="416" t="s">
        <v>15869</v>
      </c>
    </row>
    <row r="5006" spans="31:32">
      <c r="AE5006" s="417" t="s">
        <v>15870</v>
      </c>
      <c r="AF5006" s="416" t="s">
        <v>15871</v>
      </c>
    </row>
    <row r="5007" spans="31:32">
      <c r="AE5007" s="417" t="s">
        <v>15872</v>
      </c>
      <c r="AF5007" s="416" t="s">
        <v>15873</v>
      </c>
    </row>
    <row r="5008" spans="31:32">
      <c r="AE5008" s="417" t="s">
        <v>15874</v>
      </c>
      <c r="AF5008" s="416" t="s">
        <v>15875</v>
      </c>
    </row>
    <row r="5009" spans="31:32">
      <c r="AE5009" s="417" t="s">
        <v>15876</v>
      </c>
      <c r="AF5009" s="416" t="s">
        <v>15877</v>
      </c>
    </row>
    <row r="5010" spans="31:32">
      <c r="AE5010" s="417" t="s">
        <v>15878</v>
      </c>
      <c r="AF5010" s="416" t="s">
        <v>15879</v>
      </c>
    </row>
    <row r="5011" spans="31:32">
      <c r="AE5011" s="417" t="s">
        <v>15880</v>
      </c>
      <c r="AF5011" s="416" t="s">
        <v>15881</v>
      </c>
    </row>
    <row r="5012" spans="31:32">
      <c r="AE5012" s="417" t="s">
        <v>15882</v>
      </c>
      <c r="AF5012" s="416" t="s">
        <v>15883</v>
      </c>
    </row>
    <row r="5013" spans="31:32">
      <c r="AE5013" s="417" t="s">
        <v>15884</v>
      </c>
      <c r="AF5013" s="416" t="s">
        <v>15885</v>
      </c>
    </row>
    <row r="5014" spans="31:32">
      <c r="AE5014" s="417" t="s">
        <v>15886</v>
      </c>
      <c r="AF5014" s="416" t="s">
        <v>15887</v>
      </c>
    </row>
    <row r="5015" spans="31:32">
      <c r="AE5015" s="417" t="s">
        <v>15888</v>
      </c>
      <c r="AF5015" s="416" t="s">
        <v>15889</v>
      </c>
    </row>
    <row r="5016" spans="31:32">
      <c r="AE5016" s="417" t="s">
        <v>15890</v>
      </c>
      <c r="AF5016" s="416" t="s">
        <v>15891</v>
      </c>
    </row>
    <row r="5017" spans="31:32">
      <c r="AE5017" s="417" t="s">
        <v>15892</v>
      </c>
      <c r="AF5017" s="416" t="s">
        <v>15893</v>
      </c>
    </row>
    <row r="5018" spans="31:32">
      <c r="AE5018" s="417" t="s">
        <v>15894</v>
      </c>
      <c r="AF5018" s="416" t="s">
        <v>15895</v>
      </c>
    </row>
    <row r="5019" spans="31:32">
      <c r="AE5019" s="417" t="s">
        <v>15896</v>
      </c>
      <c r="AF5019" s="416" t="s">
        <v>15897</v>
      </c>
    </row>
    <row r="5020" spans="31:32">
      <c r="AE5020" s="417" t="s">
        <v>15898</v>
      </c>
      <c r="AF5020" s="416" t="s">
        <v>15899</v>
      </c>
    </row>
    <row r="5021" spans="31:32">
      <c r="AE5021" s="417" t="s">
        <v>15900</v>
      </c>
      <c r="AF5021" s="416" t="s">
        <v>15901</v>
      </c>
    </row>
    <row r="5022" spans="31:32">
      <c r="AE5022" s="417" t="s">
        <v>15902</v>
      </c>
      <c r="AF5022" s="416" t="s">
        <v>15903</v>
      </c>
    </row>
    <row r="5023" spans="31:32">
      <c r="AE5023" s="417" t="s">
        <v>15904</v>
      </c>
      <c r="AF5023" s="416" t="s">
        <v>15905</v>
      </c>
    </row>
    <row r="5024" spans="31:32">
      <c r="AE5024" s="417" t="s">
        <v>15906</v>
      </c>
      <c r="AF5024" s="416" t="s">
        <v>15907</v>
      </c>
    </row>
    <row r="5025" spans="31:32">
      <c r="AE5025" s="417" t="s">
        <v>15908</v>
      </c>
      <c r="AF5025" s="416" t="s">
        <v>15909</v>
      </c>
    </row>
    <row r="5026" spans="31:32">
      <c r="AE5026" s="417" t="s">
        <v>15910</v>
      </c>
      <c r="AF5026" s="416" t="s">
        <v>15911</v>
      </c>
    </row>
    <row r="5027" spans="31:32">
      <c r="AE5027" s="417" t="s">
        <v>15912</v>
      </c>
      <c r="AF5027" s="416" t="s">
        <v>15913</v>
      </c>
    </row>
    <row r="5028" spans="31:32">
      <c r="AE5028" s="417" t="s">
        <v>15914</v>
      </c>
      <c r="AF5028" s="416" t="s">
        <v>15915</v>
      </c>
    </row>
    <row r="5029" spans="31:32">
      <c r="AE5029" s="417" t="s">
        <v>15916</v>
      </c>
      <c r="AF5029" s="416" t="s">
        <v>15917</v>
      </c>
    </row>
    <row r="5030" spans="31:32">
      <c r="AE5030" s="417" t="s">
        <v>15918</v>
      </c>
      <c r="AF5030" s="416" t="s">
        <v>15919</v>
      </c>
    </row>
    <row r="5031" spans="31:32">
      <c r="AE5031" s="417" t="s">
        <v>15920</v>
      </c>
      <c r="AF5031" s="416" t="s">
        <v>15921</v>
      </c>
    </row>
    <row r="5032" spans="31:32">
      <c r="AE5032" s="417" t="s">
        <v>15922</v>
      </c>
      <c r="AF5032" s="416" t="s">
        <v>15923</v>
      </c>
    </row>
    <row r="5033" spans="31:32">
      <c r="AE5033" s="417" t="s">
        <v>15924</v>
      </c>
      <c r="AF5033" s="416" t="s">
        <v>15925</v>
      </c>
    </row>
    <row r="5034" spans="31:32">
      <c r="AE5034" s="417" t="s">
        <v>15926</v>
      </c>
      <c r="AF5034" s="416" t="s">
        <v>15927</v>
      </c>
    </row>
    <row r="5035" spans="31:32">
      <c r="AE5035" s="417" t="s">
        <v>15928</v>
      </c>
      <c r="AF5035" s="416" t="s">
        <v>15929</v>
      </c>
    </row>
    <row r="5036" spans="31:32">
      <c r="AE5036" s="417" t="s">
        <v>15930</v>
      </c>
      <c r="AF5036" s="416" t="s">
        <v>15931</v>
      </c>
    </row>
    <row r="5037" spans="31:32">
      <c r="AE5037" s="417" t="s">
        <v>15932</v>
      </c>
      <c r="AF5037" s="416" t="s">
        <v>15933</v>
      </c>
    </row>
    <row r="5038" spans="31:32">
      <c r="AE5038" s="417" t="s">
        <v>15934</v>
      </c>
      <c r="AF5038" s="416" t="s">
        <v>15935</v>
      </c>
    </row>
    <row r="5039" spans="31:32">
      <c r="AE5039" s="417" t="s">
        <v>15936</v>
      </c>
      <c r="AF5039" s="416" t="s">
        <v>15937</v>
      </c>
    </row>
    <row r="5040" spans="31:32">
      <c r="AE5040" s="417" t="s">
        <v>15938</v>
      </c>
      <c r="AF5040" s="416" t="s">
        <v>15939</v>
      </c>
    </row>
    <row r="5041" spans="31:32">
      <c r="AE5041" s="417" t="s">
        <v>15940</v>
      </c>
      <c r="AF5041" s="416" t="s">
        <v>15941</v>
      </c>
    </row>
    <row r="5042" spans="31:32">
      <c r="AE5042" s="417" t="s">
        <v>15942</v>
      </c>
      <c r="AF5042" s="416" t="s">
        <v>15943</v>
      </c>
    </row>
    <row r="5043" spans="31:32">
      <c r="AE5043" s="417" t="s">
        <v>15944</v>
      </c>
      <c r="AF5043" s="416" t="s">
        <v>15945</v>
      </c>
    </row>
    <row r="5044" spans="31:32">
      <c r="AE5044" s="417" t="s">
        <v>15946</v>
      </c>
      <c r="AF5044" s="416" t="s">
        <v>15947</v>
      </c>
    </row>
    <row r="5045" spans="31:32">
      <c r="AE5045" s="417" t="s">
        <v>15948</v>
      </c>
      <c r="AF5045" s="416" t="s">
        <v>15949</v>
      </c>
    </row>
    <row r="5046" spans="31:32">
      <c r="AE5046" s="417" t="s">
        <v>15950</v>
      </c>
      <c r="AF5046" s="416" t="s">
        <v>15951</v>
      </c>
    </row>
    <row r="5047" spans="31:32">
      <c r="AE5047" s="417" t="s">
        <v>15952</v>
      </c>
      <c r="AF5047" s="416" t="s">
        <v>15953</v>
      </c>
    </row>
    <row r="5048" spans="31:32">
      <c r="AE5048" s="417" t="s">
        <v>15954</v>
      </c>
      <c r="AF5048" s="416" t="s">
        <v>15955</v>
      </c>
    </row>
    <row r="5049" spans="31:32">
      <c r="AE5049" s="417" t="s">
        <v>15956</v>
      </c>
      <c r="AF5049" s="416" t="s">
        <v>15957</v>
      </c>
    </row>
    <row r="5050" spans="31:32">
      <c r="AE5050" s="417" t="s">
        <v>15958</v>
      </c>
      <c r="AF5050" s="416" t="s">
        <v>15959</v>
      </c>
    </row>
    <row r="5051" spans="31:32">
      <c r="AE5051" s="417" t="s">
        <v>15960</v>
      </c>
      <c r="AF5051" s="416" t="s">
        <v>15961</v>
      </c>
    </row>
    <row r="5052" spans="31:32">
      <c r="AE5052" s="417" t="s">
        <v>15962</v>
      </c>
      <c r="AF5052" s="416" t="s">
        <v>15963</v>
      </c>
    </row>
    <row r="5053" spans="31:32">
      <c r="AE5053" s="417" t="s">
        <v>15964</v>
      </c>
      <c r="AF5053" s="416" t="s">
        <v>15965</v>
      </c>
    </row>
    <row r="5054" spans="31:32">
      <c r="AE5054" s="417" t="s">
        <v>15966</v>
      </c>
      <c r="AF5054" s="416" t="s">
        <v>15967</v>
      </c>
    </row>
    <row r="5055" spans="31:32">
      <c r="AE5055" s="417" t="s">
        <v>15968</v>
      </c>
      <c r="AF5055" s="416" t="s">
        <v>15969</v>
      </c>
    </row>
    <row r="5056" spans="31:32">
      <c r="AE5056" s="417" t="s">
        <v>15970</v>
      </c>
      <c r="AF5056" s="416" t="s">
        <v>15971</v>
      </c>
    </row>
    <row r="5057" spans="31:32">
      <c r="AE5057" s="417" t="s">
        <v>15972</v>
      </c>
      <c r="AF5057" s="416" t="s">
        <v>15973</v>
      </c>
    </row>
    <row r="5058" spans="31:32">
      <c r="AE5058" s="417" t="s">
        <v>15974</v>
      </c>
      <c r="AF5058" s="416" t="s">
        <v>15975</v>
      </c>
    </row>
    <row r="5059" spans="31:32">
      <c r="AE5059" s="417" t="s">
        <v>15976</v>
      </c>
      <c r="AF5059" s="416" t="s">
        <v>15977</v>
      </c>
    </row>
    <row r="5060" spans="31:32">
      <c r="AE5060" s="417" t="s">
        <v>15978</v>
      </c>
      <c r="AF5060" s="416" t="s">
        <v>15979</v>
      </c>
    </row>
    <row r="5061" spans="31:32">
      <c r="AE5061" s="417" t="s">
        <v>15980</v>
      </c>
      <c r="AF5061" s="416" t="s">
        <v>15981</v>
      </c>
    </row>
    <row r="5062" spans="31:32">
      <c r="AE5062" s="417" t="s">
        <v>15982</v>
      </c>
      <c r="AF5062" s="416" t="s">
        <v>15983</v>
      </c>
    </row>
    <row r="5063" spans="31:32">
      <c r="AE5063" s="417" t="s">
        <v>15984</v>
      </c>
      <c r="AF5063" s="416" t="s">
        <v>15985</v>
      </c>
    </row>
    <row r="5064" spans="31:32">
      <c r="AE5064" s="417" t="s">
        <v>15986</v>
      </c>
      <c r="AF5064" s="416" t="s">
        <v>15987</v>
      </c>
    </row>
    <row r="5065" spans="31:32">
      <c r="AE5065" s="417" t="s">
        <v>15988</v>
      </c>
      <c r="AF5065" s="416" t="s">
        <v>15989</v>
      </c>
    </row>
    <row r="5066" spans="31:32">
      <c r="AE5066" s="417" t="s">
        <v>15990</v>
      </c>
      <c r="AF5066" s="416" t="s">
        <v>15991</v>
      </c>
    </row>
    <row r="5067" spans="31:32">
      <c r="AE5067" s="417" t="s">
        <v>15992</v>
      </c>
      <c r="AF5067" s="416" t="s">
        <v>15993</v>
      </c>
    </row>
    <row r="5068" spans="31:32">
      <c r="AE5068" s="417" t="s">
        <v>15994</v>
      </c>
      <c r="AF5068" s="416" t="s">
        <v>15995</v>
      </c>
    </row>
    <row r="5069" spans="31:32">
      <c r="AE5069" s="417" t="s">
        <v>15996</v>
      </c>
      <c r="AF5069" s="416" t="s">
        <v>15997</v>
      </c>
    </row>
    <row r="5070" spans="31:32">
      <c r="AE5070" s="417" t="s">
        <v>15998</v>
      </c>
      <c r="AF5070" s="416" t="s">
        <v>15999</v>
      </c>
    </row>
    <row r="5071" spans="31:32">
      <c r="AE5071" s="417" t="s">
        <v>16000</v>
      </c>
      <c r="AF5071" s="416" t="s">
        <v>16001</v>
      </c>
    </row>
    <row r="5072" spans="31:32">
      <c r="AE5072" s="417" t="s">
        <v>16002</v>
      </c>
      <c r="AF5072" s="416" t="s">
        <v>16003</v>
      </c>
    </row>
    <row r="5073" spans="31:32">
      <c r="AE5073" s="417" t="s">
        <v>16004</v>
      </c>
      <c r="AF5073" s="416" t="s">
        <v>16005</v>
      </c>
    </row>
    <row r="5074" spans="31:32">
      <c r="AE5074" s="417" t="s">
        <v>16006</v>
      </c>
      <c r="AF5074" s="416" t="s">
        <v>16007</v>
      </c>
    </row>
    <row r="5075" spans="31:32">
      <c r="AE5075" s="417" t="s">
        <v>16008</v>
      </c>
      <c r="AF5075" s="416" t="s">
        <v>16009</v>
      </c>
    </row>
    <row r="5076" spans="31:32">
      <c r="AE5076" s="417" t="s">
        <v>16010</v>
      </c>
      <c r="AF5076" s="416" t="s">
        <v>16011</v>
      </c>
    </row>
    <row r="5077" spans="31:32">
      <c r="AE5077" s="417" t="s">
        <v>16012</v>
      </c>
      <c r="AF5077" s="416" t="s">
        <v>16013</v>
      </c>
    </row>
    <row r="5078" spans="31:32">
      <c r="AE5078" s="417" t="s">
        <v>16014</v>
      </c>
      <c r="AF5078" s="416" t="s">
        <v>16015</v>
      </c>
    </row>
    <row r="5079" spans="31:32">
      <c r="AE5079" s="417" t="s">
        <v>16016</v>
      </c>
      <c r="AF5079" s="416" t="s">
        <v>16017</v>
      </c>
    </row>
    <row r="5080" spans="31:32">
      <c r="AE5080" s="417" t="s">
        <v>16018</v>
      </c>
      <c r="AF5080" s="416" t="s">
        <v>16019</v>
      </c>
    </row>
    <row r="5081" spans="31:32">
      <c r="AE5081" s="417" t="s">
        <v>16020</v>
      </c>
      <c r="AF5081" s="416" t="s">
        <v>16021</v>
      </c>
    </row>
    <row r="5082" spans="31:32">
      <c r="AE5082" s="417" t="s">
        <v>16022</v>
      </c>
      <c r="AF5082" s="416" t="s">
        <v>16023</v>
      </c>
    </row>
    <row r="5083" spans="31:32">
      <c r="AE5083" s="417" t="s">
        <v>16024</v>
      </c>
      <c r="AF5083" s="416" t="s">
        <v>16025</v>
      </c>
    </row>
    <row r="5084" spans="31:32">
      <c r="AE5084" s="417" t="s">
        <v>16026</v>
      </c>
      <c r="AF5084" s="416" t="s">
        <v>16027</v>
      </c>
    </row>
    <row r="5085" spans="31:32">
      <c r="AE5085" s="417" t="s">
        <v>16028</v>
      </c>
      <c r="AF5085" s="416" t="s">
        <v>15423</v>
      </c>
    </row>
    <row r="5086" spans="31:32">
      <c r="AE5086" s="417" t="s">
        <v>16029</v>
      </c>
      <c r="AF5086" s="416" t="s">
        <v>16030</v>
      </c>
    </row>
    <row r="5087" spans="31:32">
      <c r="AE5087" s="417" t="s">
        <v>16031</v>
      </c>
      <c r="AF5087" s="416" t="s">
        <v>15423</v>
      </c>
    </row>
    <row r="5088" spans="31:32">
      <c r="AE5088" s="417" t="s">
        <v>16032</v>
      </c>
      <c r="AF5088" s="416" t="s">
        <v>16033</v>
      </c>
    </row>
    <row r="5089" spans="31:32">
      <c r="AE5089" s="417" t="s">
        <v>16034</v>
      </c>
      <c r="AF5089" s="416" t="s">
        <v>15423</v>
      </c>
    </row>
    <row r="5090" spans="31:32">
      <c r="AE5090" s="417" t="s">
        <v>16035</v>
      </c>
      <c r="AF5090" s="416" t="s">
        <v>15423</v>
      </c>
    </row>
    <row r="5091" spans="31:32">
      <c r="AE5091" s="417" t="s">
        <v>16036</v>
      </c>
      <c r="AF5091" s="416" t="s">
        <v>16037</v>
      </c>
    </row>
    <row r="5092" spans="31:32">
      <c r="AE5092" s="417" t="s">
        <v>16038</v>
      </c>
      <c r="AF5092" s="416" t="s">
        <v>15423</v>
      </c>
    </row>
    <row r="5093" spans="31:32">
      <c r="AE5093" s="417" t="s">
        <v>16039</v>
      </c>
      <c r="AF5093" s="416" t="s">
        <v>15423</v>
      </c>
    </row>
    <row r="5094" spans="31:32">
      <c r="AE5094" s="417" t="s">
        <v>16040</v>
      </c>
      <c r="AF5094" s="416" t="s">
        <v>15423</v>
      </c>
    </row>
    <row r="5095" spans="31:32">
      <c r="AE5095" s="417" t="s">
        <v>16041</v>
      </c>
      <c r="AF5095" s="416" t="s">
        <v>15423</v>
      </c>
    </row>
    <row r="5096" spans="31:32">
      <c r="AE5096" s="417" t="s">
        <v>16042</v>
      </c>
      <c r="AF5096" s="416" t="s">
        <v>15423</v>
      </c>
    </row>
    <row r="5097" spans="31:32">
      <c r="AE5097" s="417" t="s">
        <v>16043</v>
      </c>
      <c r="AF5097" s="416" t="s">
        <v>15423</v>
      </c>
    </row>
    <row r="5098" spans="31:32">
      <c r="AE5098" s="417" t="s">
        <v>16044</v>
      </c>
      <c r="AF5098" s="416" t="s">
        <v>16045</v>
      </c>
    </row>
    <row r="5099" spans="31:32">
      <c r="AE5099" s="417" t="s">
        <v>16046</v>
      </c>
      <c r="AF5099" s="416" t="s">
        <v>15423</v>
      </c>
    </row>
    <row r="5100" spans="31:32">
      <c r="AE5100" s="417" t="s">
        <v>16047</v>
      </c>
      <c r="AF5100" s="416" t="s">
        <v>15423</v>
      </c>
    </row>
    <row r="5101" spans="31:32">
      <c r="AE5101" s="417" t="s">
        <v>16048</v>
      </c>
      <c r="AF5101" s="416" t="s">
        <v>16049</v>
      </c>
    </row>
    <row r="5102" spans="31:32">
      <c r="AE5102" s="417" t="s">
        <v>16050</v>
      </c>
      <c r="AF5102" s="416" t="s">
        <v>16051</v>
      </c>
    </row>
    <row r="5103" spans="31:32">
      <c r="AE5103" s="417" t="s">
        <v>16052</v>
      </c>
      <c r="AF5103" s="416" t="s">
        <v>15423</v>
      </c>
    </row>
    <row r="5104" spans="31:32">
      <c r="AE5104" s="417" t="s">
        <v>16053</v>
      </c>
      <c r="AF5104" s="416" t="s">
        <v>15423</v>
      </c>
    </row>
    <row r="5105" spans="31:32">
      <c r="AE5105" s="417" t="s">
        <v>16054</v>
      </c>
      <c r="AF5105" s="416" t="s">
        <v>16055</v>
      </c>
    </row>
    <row r="5106" spans="31:32">
      <c r="AE5106" s="417" t="s">
        <v>16056</v>
      </c>
      <c r="AF5106" s="416" t="s">
        <v>16057</v>
      </c>
    </row>
    <row r="5107" spans="31:32">
      <c r="AE5107" s="417" t="s">
        <v>16058</v>
      </c>
      <c r="AF5107" s="416" t="s">
        <v>15423</v>
      </c>
    </row>
    <row r="5108" spans="31:32">
      <c r="AE5108" s="417" t="s">
        <v>16059</v>
      </c>
      <c r="AF5108" s="416" t="s">
        <v>15423</v>
      </c>
    </row>
    <row r="5109" spans="31:32">
      <c r="AE5109" s="417" t="s">
        <v>16060</v>
      </c>
      <c r="AF5109" s="416" t="s">
        <v>15423</v>
      </c>
    </row>
    <row r="5110" spans="31:32">
      <c r="AE5110" s="417" t="s">
        <v>16061</v>
      </c>
      <c r="AF5110" s="416" t="s">
        <v>16062</v>
      </c>
    </row>
    <row r="5111" spans="31:32">
      <c r="AE5111" s="417" t="s">
        <v>16063</v>
      </c>
      <c r="AF5111" s="416" t="s">
        <v>16064</v>
      </c>
    </row>
    <row r="5112" spans="31:32">
      <c r="AE5112" s="417" t="s">
        <v>16065</v>
      </c>
      <c r="AF5112" s="416" t="s">
        <v>16066</v>
      </c>
    </row>
    <row r="5113" spans="31:32">
      <c r="AE5113" s="417" t="s">
        <v>16067</v>
      </c>
      <c r="AF5113" s="416" t="s">
        <v>15423</v>
      </c>
    </row>
    <row r="5114" spans="31:32">
      <c r="AE5114" s="417" t="s">
        <v>16068</v>
      </c>
      <c r="AF5114" s="416" t="s">
        <v>15423</v>
      </c>
    </row>
    <row r="5115" spans="31:32">
      <c r="AE5115" s="417" t="s">
        <v>16069</v>
      </c>
      <c r="AF5115" s="416" t="s">
        <v>15423</v>
      </c>
    </row>
    <row r="5116" spans="31:32">
      <c r="AE5116" s="417" t="s">
        <v>16070</v>
      </c>
      <c r="AF5116" s="416" t="s">
        <v>16071</v>
      </c>
    </row>
    <row r="5117" spans="31:32">
      <c r="AE5117" s="417" t="s">
        <v>16072</v>
      </c>
      <c r="AF5117" s="416" t="s">
        <v>16073</v>
      </c>
    </row>
    <row r="5118" spans="31:32">
      <c r="AE5118" s="417" t="s">
        <v>16074</v>
      </c>
      <c r="AF5118" s="416" t="s">
        <v>16075</v>
      </c>
    </row>
    <row r="5119" spans="31:32">
      <c r="AE5119" s="417" t="s">
        <v>16076</v>
      </c>
      <c r="AF5119" s="416" t="s">
        <v>15423</v>
      </c>
    </row>
    <row r="5120" spans="31:32">
      <c r="AE5120" s="417" t="s">
        <v>16077</v>
      </c>
      <c r="AF5120" s="416" t="s">
        <v>16078</v>
      </c>
    </row>
    <row r="5121" spans="31:32">
      <c r="AE5121" s="417" t="s">
        <v>16079</v>
      </c>
      <c r="AF5121" s="416" t="s">
        <v>16080</v>
      </c>
    </row>
    <row r="5122" spans="31:32">
      <c r="AE5122" s="417" t="s">
        <v>16081</v>
      </c>
      <c r="AF5122" s="416" t="s">
        <v>16082</v>
      </c>
    </row>
    <row r="5123" spans="31:32">
      <c r="AE5123" s="417" t="s">
        <v>16083</v>
      </c>
      <c r="AF5123" s="416" t="s">
        <v>16084</v>
      </c>
    </row>
    <row r="5124" spans="31:32">
      <c r="AE5124" s="417" t="s">
        <v>16085</v>
      </c>
      <c r="AF5124" s="416" t="s">
        <v>16086</v>
      </c>
    </row>
    <row r="5125" spans="31:32">
      <c r="AE5125" s="417" t="s">
        <v>16087</v>
      </c>
      <c r="AF5125" s="416" t="s">
        <v>16088</v>
      </c>
    </row>
    <row r="5126" spans="31:32">
      <c r="AE5126" s="417" t="s">
        <v>16089</v>
      </c>
      <c r="AF5126" s="416" t="s">
        <v>15423</v>
      </c>
    </row>
    <row r="5127" spans="31:32">
      <c r="AE5127" s="417" t="s">
        <v>16090</v>
      </c>
      <c r="AF5127" s="416" t="s">
        <v>16091</v>
      </c>
    </row>
    <row r="5128" spans="31:32">
      <c r="AE5128" s="417" t="s">
        <v>16092</v>
      </c>
      <c r="AF5128" s="416" t="s">
        <v>16093</v>
      </c>
    </row>
    <row r="5129" spans="31:32">
      <c r="AE5129" s="417" t="s">
        <v>16094</v>
      </c>
      <c r="AF5129" s="416" t="s">
        <v>15423</v>
      </c>
    </row>
    <row r="5130" spans="31:32">
      <c r="AE5130" s="417" t="s">
        <v>16095</v>
      </c>
      <c r="AF5130" s="416" t="s">
        <v>16096</v>
      </c>
    </row>
    <row r="5131" spans="31:32">
      <c r="AE5131" s="417" t="s">
        <v>16097</v>
      </c>
      <c r="AF5131" s="416" t="s">
        <v>16098</v>
      </c>
    </row>
    <row r="5132" spans="31:32">
      <c r="AE5132" s="417" t="s">
        <v>16099</v>
      </c>
      <c r="AF5132" s="416" t="s">
        <v>16100</v>
      </c>
    </row>
    <row r="5133" spans="31:32">
      <c r="AE5133" s="417" t="s">
        <v>16101</v>
      </c>
      <c r="AF5133" s="416" t="s">
        <v>16102</v>
      </c>
    </row>
    <row r="5134" spans="31:32">
      <c r="AE5134" s="417" t="s">
        <v>16103</v>
      </c>
      <c r="AF5134" s="416" t="s">
        <v>16104</v>
      </c>
    </row>
    <row r="5135" spans="31:32">
      <c r="AE5135" s="417" t="s">
        <v>16105</v>
      </c>
      <c r="AF5135" s="416" t="s">
        <v>16106</v>
      </c>
    </row>
    <row r="5136" spans="31:32">
      <c r="AE5136" s="417" t="s">
        <v>16107</v>
      </c>
      <c r="AF5136" s="416" t="s">
        <v>16108</v>
      </c>
    </row>
    <row r="5137" spans="31:32">
      <c r="AE5137" s="417" t="s">
        <v>16109</v>
      </c>
      <c r="AF5137" s="416" t="s">
        <v>16110</v>
      </c>
    </row>
    <row r="5138" spans="31:32">
      <c r="AE5138" s="417" t="s">
        <v>16111</v>
      </c>
      <c r="AF5138" s="416" t="s">
        <v>16112</v>
      </c>
    </row>
    <row r="5139" spans="31:32">
      <c r="AE5139" s="417" t="s">
        <v>16113</v>
      </c>
      <c r="AF5139" s="416" t="s">
        <v>16114</v>
      </c>
    </row>
    <row r="5140" spans="31:32">
      <c r="AE5140" s="417" t="s">
        <v>16115</v>
      </c>
      <c r="AF5140" s="416" t="s">
        <v>16116</v>
      </c>
    </row>
    <row r="5141" spans="31:32">
      <c r="AE5141" s="417" t="s">
        <v>16117</v>
      </c>
      <c r="AF5141" s="416" t="s">
        <v>16118</v>
      </c>
    </row>
    <row r="5142" spans="31:32">
      <c r="AE5142" s="417" t="s">
        <v>16119</v>
      </c>
      <c r="AF5142" s="416" t="s">
        <v>16120</v>
      </c>
    </row>
    <row r="5143" spans="31:32">
      <c r="AE5143" s="417" t="s">
        <v>16121</v>
      </c>
      <c r="AF5143" s="416" t="s">
        <v>16122</v>
      </c>
    </row>
    <row r="5144" spans="31:32">
      <c r="AE5144" s="417" t="s">
        <v>16123</v>
      </c>
      <c r="AF5144" s="416" t="s">
        <v>16124</v>
      </c>
    </row>
    <row r="5145" spans="31:32">
      <c r="AE5145" s="417" t="s">
        <v>16125</v>
      </c>
      <c r="AF5145" s="416" t="s">
        <v>16126</v>
      </c>
    </row>
    <row r="5146" spans="31:32">
      <c r="AE5146" s="417" t="s">
        <v>16127</v>
      </c>
      <c r="AF5146" s="416" t="s">
        <v>16128</v>
      </c>
    </row>
    <row r="5147" spans="31:32">
      <c r="AE5147" s="417" t="s">
        <v>16129</v>
      </c>
      <c r="AF5147" s="416" t="s">
        <v>16130</v>
      </c>
    </row>
    <row r="5148" spans="31:32">
      <c r="AE5148" s="417" t="s">
        <v>16131</v>
      </c>
      <c r="AF5148" s="416" t="s">
        <v>16132</v>
      </c>
    </row>
    <row r="5149" spans="31:32">
      <c r="AE5149" s="417" t="s">
        <v>16133</v>
      </c>
      <c r="AF5149" s="416" t="s">
        <v>16134</v>
      </c>
    </row>
    <row r="5150" spans="31:32">
      <c r="AE5150" s="417" t="s">
        <v>16135</v>
      </c>
      <c r="AF5150" s="416" t="s">
        <v>16136</v>
      </c>
    </row>
    <row r="5151" spans="31:32">
      <c r="AE5151" s="417" t="s">
        <v>16137</v>
      </c>
      <c r="AF5151" s="416" t="s">
        <v>16138</v>
      </c>
    </row>
    <row r="5152" spans="31:32">
      <c r="AE5152" s="417" t="s">
        <v>16139</v>
      </c>
      <c r="AF5152" s="416" t="s">
        <v>16140</v>
      </c>
    </row>
    <row r="5153" spans="31:32">
      <c r="AE5153" s="417" t="s">
        <v>16141</v>
      </c>
      <c r="AF5153" s="416" t="s">
        <v>16142</v>
      </c>
    </row>
    <row r="5154" spans="31:32">
      <c r="AE5154" s="417" t="s">
        <v>16143</v>
      </c>
      <c r="AF5154" s="416" t="s">
        <v>16144</v>
      </c>
    </row>
    <row r="5155" spans="31:32">
      <c r="AE5155" s="417" t="s">
        <v>16145</v>
      </c>
      <c r="AF5155" s="416" t="s">
        <v>16146</v>
      </c>
    </row>
    <row r="5156" spans="31:32">
      <c r="AE5156" s="417" t="s">
        <v>16147</v>
      </c>
      <c r="AF5156" s="416" t="s">
        <v>16148</v>
      </c>
    </row>
    <row r="5157" spans="31:32">
      <c r="AE5157" s="417" t="s">
        <v>16149</v>
      </c>
      <c r="AF5157" s="416" t="s">
        <v>16150</v>
      </c>
    </row>
    <row r="5158" spans="31:32">
      <c r="AE5158" s="417" t="s">
        <v>16151</v>
      </c>
      <c r="AF5158" s="416" t="s">
        <v>16152</v>
      </c>
    </row>
    <row r="5159" spans="31:32">
      <c r="AE5159" s="417" t="s">
        <v>16153</v>
      </c>
      <c r="AF5159" s="416" t="s">
        <v>16154</v>
      </c>
    </row>
    <row r="5160" spans="31:32">
      <c r="AE5160" s="417" t="s">
        <v>16155</v>
      </c>
      <c r="AF5160" s="416" t="s">
        <v>16156</v>
      </c>
    </row>
    <row r="5161" spans="31:32">
      <c r="AE5161" s="417" t="s">
        <v>16157</v>
      </c>
      <c r="AF5161" s="416" t="s">
        <v>16158</v>
      </c>
    </row>
    <row r="5162" spans="31:32">
      <c r="AE5162" s="417" t="s">
        <v>16159</v>
      </c>
      <c r="AF5162" s="416" t="s">
        <v>16160</v>
      </c>
    </row>
    <row r="5163" spans="31:32">
      <c r="AE5163" s="417" t="s">
        <v>16161</v>
      </c>
      <c r="AF5163" s="416" t="s">
        <v>16162</v>
      </c>
    </row>
    <row r="5164" spans="31:32">
      <c r="AE5164" s="417" t="s">
        <v>16163</v>
      </c>
      <c r="AF5164" s="416" t="s">
        <v>16164</v>
      </c>
    </row>
    <row r="5165" spans="31:32">
      <c r="AE5165" s="417" t="s">
        <v>16165</v>
      </c>
      <c r="AF5165" s="416" t="s">
        <v>16166</v>
      </c>
    </row>
    <row r="5166" spans="31:32">
      <c r="AE5166" s="417" t="s">
        <v>16167</v>
      </c>
      <c r="AF5166" s="416" t="s">
        <v>16168</v>
      </c>
    </row>
    <row r="5167" spans="31:32">
      <c r="AE5167" s="417" t="s">
        <v>16169</v>
      </c>
      <c r="AF5167" s="416" t="s">
        <v>16170</v>
      </c>
    </row>
    <row r="5168" spans="31:32">
      <c r="AE5168" s="417" t="s">
        <v>16171</v>
      </c>
      <c r="AF5168" s="416" t="s">
        <v>16172</v>
      </c>
    </row>
    <row r="5169" spans="31:32">
      <c r="AE5169" s="417" t="s">
        <v>16173</v>
      </c>
      <c r="AF5169" s="416" t="s">
        <v>16174</v>
      </c>
    </row>
    <row r="5170" spans="31:32">
      <c r="AE5170" s="417" t="s">
        <v>16175</v>
      </c>
      <c r="AF5170" s="416" t="s">
        <v>16176</v>
      </c>
    </row>
    <row r="5171" spans="31:32">
      <c r="AE5171" s="417" t="s">
        <v>16177</v>
      </c>
      <c r="AF5171" s="416" t="s">
        <v>16178</v>
      </c>
    </row>
    <row r="5172" spans="31:32">
      <c r="AE5172" s="417" t="s">
        <v>16179</v>
      </c>
      <c r="AF5172" s="416" t="s">
        <v>16180</v>
      </c>
    </row>
    <row r="5173" spans="31:32">
      <c r="AE5173" s="417" t="s">
        <v>16181</v>
      </c>
      <c r="AF5173" s="416" t="s">
        <v>16182</v>
      </c>
    </row>
    <row r="5174" spans="31:32">
      <c r="AE5174" s="417" t="s">
        <v>16183</v>
      </c>
      <c r="AF5174" s="416" t="s">
        <v>16184</v>
      </c>
    </row>
    <row r="5175" spans="31:32">
      <c r="AE5175" s="417" t="s">
        <v>16185</v>
      </c>
      <c r="AF5175" s="416" t="s">
        <v>16186</v>
      </c>
    </row>
    <row r="5176" spans="31:32">
      <c r="AE5176" s="417" t="s">
        <v>16187</v>
      </c>
      <c r="AF5176" s="416" t="s">
        <v>16188</v>
      </c>
    </row>
    <row r="5177" spans="31:32">
      <c r="AE5177" s="417" t="s">
        <v>16189</v>
      </c>
      <c r="AF5177" s="416" t="s">
        <v>16190</v>
      </c>
    </row>
    <row r="5178" spans="31:32">
      <c r="AE5178" s="417" t="s">
        <v>16191</v>
      </c>
      <c r="AF5178" s="416" t="s">
        <v>16192</v>
      </c>
    </row>
    <row r="5179" spans="31:32">
      <c r="AE5179" s="417" t="s">
        <v>16193</v>
      </c>
      <c r="AF5179" s="416" t="s">
        <v>16194</v>
      </c>
    </row>
    <row r="5180" spans="31:32">
      <c r="AE5180" s="417" t="s">
        <v>16195</v>
      </c>
      <c r="AF5180" s="416" t="s">
        <v>16196</v>
      </c>
    </row>
    <row r="5181" spans="31:32">
      <c r="AE5181" s="417" t="s">
        <v>16197</v>
      </c>
      <c r="AF5181" s="416" t="s">
        <v>16198</v>
      </c>
    </row>
    <row r="5182" spans="31:32">
      <c r="AE5182" s="417" t="s">
        <v>16199</v>
      </c>
      <c r="AF5182" s="416" t="s">
        <v>16200</v>
      </c>
    </row>
    <row r="5183" spans="31:32">
      <c r="AE5183" s="417" t="s">
        <v>16201</v>
      </c>
      <c r="AF5183" s="416" t="s">
        <v>16202</v>
      </c>
    </row>
    <row r="5184" spans="31:32">
      <c r="AE5184" s="417" t="s">
        <v>16203</v>
      </c>
      <c r="AF5184" s="416" t="s">
        <v>16204</v>
      </c>
    </row>
    <row r="5185" spans="31:32">
      <c r="AE5185" s="417" t="s">
        <v>16205</v>
      </c>
      <c r="AF5185" s="416" t="s">
        <v>16206</v>
      </c>
    </row>
    <row r="5186" spans="31:32">
      <c r="AE5186" s="417" t="s">
        <v>16207</v>
      </c>
      <c r="AF5186" s="416" t="s">
        <v>16208</v>
      </c>
    </row>
    <row r="5187" spans="31:32">
      <c r="AE5187" s="417" t="s">
        <v>16209</v>
      </c>
      <c r="AF5187" s="416" t="s">
        <v>16210</v>
      </c>
    </row>
    <row r="5188" spans="31:32">
      <c r="AE5188" s="417" t="s">
        <v>16211</v>
      </c>
      <c r="AF5188" s="416" t="s">
        <v>16212</v>
      </c>
    </row>
    <row r="5189" spans="31:32">
      <c r="AE5189" s="417" t="s">
        <v>16213</v>
      </c>
      <c r="AF5189" s="416" t="s">
        <v>16214</v>
      </c>
    </row>
    <row r="5190" spans="31:32">
      <c r="AE5190" s="417" t="s">
        <v>16215</v>
      </c>
      <c r="AF5190" s="416" t="s">
        <v>16216</v>
      </c>
    </row>
    <row r="5191" spans="31:32">
      <c r="AE5191" s="417" t="s">
        <v>16217</v>
      </c>
      <c r="AF5191" s="416" t="s">
        <v>16218</v>
      </c>
    </row>
    <row r="5192" spans="31:32">
      <c r="AE5192" s="417" t="s">
        <v>16219</v>
      </c>
      <c r="AF5192" s="416" t="s">
        <v>16220</v>
      </c>
    </row>
    <row r="5193" spans="31:32">
      <c r="AE5193" s="417" t="s">
        <v>16221</v>
      </c>
      <c r="AF5193" s="416" t="s">
        <v>16222</v>
      </c>
    </row>
    <row r="5194" spans="31:32">
      <c r="AE5194" s="417" t="s">
        <v>16223</v>
      </c>
      <c r="AF5194" s="416" t="s">
        <v>16224</v>
      </c>
    </row>
    <row r="5195" spans="31:32">
      <c r="AE5195" s="417" t="s">
        <v>16225</v>
      </c>
      <c r="AF5195" s="416" t="s">
        <v>16226</v>
      </c>
    </row>
    <row r="5196" spans="31:32">
      <c r="AE5196" s="417" t="s">
        <v>16227</v>
      </c>
      <c r="AF5196" s="416" t="s">
        <v>16228</v>
      </c>
    </row>
    <row r="5197" spans="31:32">
      <c r="AE5197" s="417" t="s">
        <v>16229</v>
      </c>
      <c r="AF5197" s="416" t="s">
        <v>16230</v>
      </c>
    </row>
    <row r="5198" spans="31:32">
      <c r="AE5198" s="417" t="s">
        <v>16231</v>
      </c>
      <c r="AF5198" s="416" t="s">
        <v>16232</v>
      </c>
    </row>
    <row r="5199" spans="31:32">
      <c r="AE5199" s="417" t="s">
        <v>16233</v>
      </c>
      <c r="AF5199" s="416" t="s">
        <v>16234</v>
      </c>
    </row>
    <row r="5200" spans="31:32">
      <c r="AE5200" s="417" t="s">
        <v>16235</v>
      </c>
      <c r="AF5200" s="416" t="s">
        <v>16236</v>
      </c>
    </row>
    <row r="5201" spans="31:32">
      <c r="AE5201" s="417" t="s">
        <v>16237</v>
      </c>
      <c r="AF5201" s="416" t="s">
        <v>16238</v>
      </c>
    </row>
    <row r="5202" spans="31:32">
      <c r="AE5202" s="417" t="s">
        <v>16239</v>
      </c>
      <c r="AF5202" s="416" t="s">
        <v>16240</v>
      </c>
    </row>
    <row r="5203" spans="31:32">
      <c r="AE5203" s="417" t="s">
        <v>16241</v>
      </c>
      <c r="AF5203" s="416" t="s">
        <v>16242</v>
      </c>
    </row>
    <row r="5204" spans="31:32">
      <c r="AE5204" s="417" t="s">
        <v>16243</v>
      </c>
      <c r="AF5204" s="416" t="s">
        <v>16244</v>
      </c>
    </row>
    <row r="5205" spans="31:32">
      <c r="AE5205" s="417" t="s">
        <v>16245</v>
      </c>
      <c r="AF5205" s="416" t="s">
        <v>16246</v>
      </c>
    </row>
    <row r="5206" spans="31:32">
      <c r="AE5206" s="417" t="s">
        <v>16247</v>
      </c>
      <c r="AF5206" s="416" t="s">
        <v>16248</v>
      </c>
    </row>
    <row r="5207" spans="31:32">
      <c r="AE5207" s="417" t="s">
        <v>16249</v>
      </c>
      <c r="AF5207" s="416" t="s">
        <v>16250</v>
      </c>
    </row>
    <row r="5208" spans="31:32">
      <c r="AE5208" s="417" t="s">
        <v>16251</v>
      </c>
      <c r="AF5208" s="416" t="s">
        <v>16252</v>
      </c>
    </row>
    <row r="5209" spans="31:32">
      <c r="AE5209" s="417" t="s">
        <v>16253</v>
      </c>
      <c r="AF5209" s="416" t="s">
        <v>16254</v>
      </c>
    </row>
    <row r="5210" spans="31:32">
      <c r="AE5210" s="417" t="s">
        <v>16255</v>
      </c>
      <c r="AF5210" s="416" t="s">
        <v>16256</v>
      </c>
    </row>
    <row r="5211" spans="31:32">
      <c r="AE5211" s="417" t="s">
        <v>16257</v>
      </c>
      <c r="AF5211" s="416" t="s">
        <v>16258</v>
      </c>
    </row>
    <row r="5212" spans="31:32">
      <c r="AE5212" s="417" t="s">
        <v>16259</v>
      </c>
      <c r="AF5212" s="416" t="s">
        <v>16260</v>
      </c>
    </row>
    <row r="5213" spans="31:32">
      <c r="AE5213" s="417" t="s">
        <v>16261</v>
      </c>
      <c r="AF5213" s="416" t="s">
        <v>16262</v>
      </c>
    </row>
    <row r="5214" spans="31:32">
      <c r="AE5214" s="417" t="s">
        <v>16263</v>
      </c>
      <c r="AF5214" s="416" t="s">
        <v>16264</v>
      </c>
    </row>
    <row r="5215" spans="31:32">
      <c r="AE5215" s="417" t="s">
        <v>16265</v>
      </c>
      <c r="AF5215" s="416" t="s">
        <v>16266</v>
      </c>
    </row>
    <row r="5216" spans="31:32">
      <c r="AE5216" s="417" t="s">
        <v>16267</v>
      </c>
      <c r="AF5216" s="416" t="s">
        <v>16268</v>
      </c>
    </row>
    <row r="5217" spans="31:32">
      <c r="AE5217" s="417" t="s">
        <v>16269</v>
      </c>
      <c r="AF5217" s="416" t="s">
        <v>16270</v>
      </c>
    </row>
    <row r="5218" spans="31:32">
      <c r="AE5218" s="417" t="s">
        <v>16271</v>
      </c>
      <c r="AF5218" s="416" t="s">
        <v>16272</v>
      </c>
    </row>
    <row r="5219" spans="31:32">
      <c r="AE5219" s="417" t="s">
        <v>16273</v>
      </c>
      <c r="AF5219" s="416" t="s">
        <v>16274</v>
      </c>
    </row>
    <row r="5220" spans="31:32">
      <c r="AE5220" s="417" t="s">
        <v>16275</v>
      </c>
      <c r="AF5220" s="416" t="s">
        <v>16276</v>
      </c>
    </row>
    <row r="5221" spans="31:32">
      <c r="AE5221" s="417" t="s">
        <v>16277</v>
      </c>
      <c r="AF5221" s="416" t="s">
        <v>16278</v>
      </c>
    </row>
    <row r="5222" spans="31:32">
      <c r="AE5222" s="417" t="s">
        <v>16279</v>
      </c>
      <c r="AF5222" s="416" t="s">
        <v>16280</v>
      </c>
    </row>
    <row r="5223" spans="31:32">
      <c r="AE5223" s="417" t="s">
        <v>16281</v>
      </c>
      <c r="AF5223" s="416" t="s">
        <v>16282</v>
      </c>
    </row>
    <row r="5224" spans="31:32">
      <c r="AE5224" s="417" t="s">
        <v>16283</v>
      </c>
      <c r="AF5224" s="416" t="s">
        <v>16284</v>
      </c>
    </row>
    <row r="5225" spans="31:32">
      <c r="AE5225" s="417" t="s">
        <v>16285</v>
      </c>
      <c r="AF5225" s="416" t="s">
        <v>16286</v>
      </c>
    </row>
    <row r="5226" spans="31:32">
      <c r="AE5226" s="417" t="s">
        <v>16287</v>
      </c>
      <c r="AF5226" s="416" t="s">
        <v>16288</v>
      </c>
    </row>
    <row r="5227" spans="31:32">
      <c r="AE5227" s="417" t="s">
        <v>16289</v>
      </c>
      <c r="AF5227" s="416" t="s">
        <v>16290</v>
      </c>
    </row>
    <row r="5228" spans="31:32">
      <c r="AE5228" s="417" t="s">
        <v>16291</v>
      </c>
      <c r="AF5228" s="416" t="s">
        <v>16292</v>
      </c>
    </row>
    <row r="5229" spans="31:32">
      <c r="AE5229" s="417" t="s">
        <v>16293</v>
      </c>
      <c r="AF5229" s="416" t="s">
        <v>16294</v>
      </c>
    </row>
    <row r="5230" spans="31:32">
      <c r="AE5230" s="417" t="s">
        <v>16295</v>
      </c>
      <c r="AF5230" s="416" t="s">
        <v>16296</v>
      </c>
    </row>
    <row r="5231" spans="31:32">
      <c r="AE5231" s="417" t="s">
        <v>16297</v>
      </c>
      <c r="AF5231" s="416" t="s">
        <v>16298</v>
      </c>
    </row>
    <row r="5232" spans="31:32">
      <c r="AE5232" s="417" t="s">
        <v>16299</v>
      </c>
      <c r="AF5232" s="416" t="s">
        <v>16300</v>
      </c>
    </row>
    <row r="5233" spans="31:32">
      <c r="AE5233" s="417" t="s">
        <v>16301</v>
      </c>
      <c r="AF5233" s="416" t="s">
        <v>16302</v>
      </c>
    </row>
    <row r="5234" spans="31:32">
      <c r="AE5234" s="417" t="s">
        <v>16303</v>
      </c>
      <c r="AF5234" s="416" t="s">
        <v>16304</v>
      </c>
    </row>
    <row r="5235" spans="31:32">
      <c r="AE5235" s="417" t="s">
        <v>16305</v>
      </c>
      <c r="AF5235" s="416" t="s">
        <v>16306</v>
      </c>
    </row>
    <row r="5236" spans="31:32">
      <c r="AE5236" s="417" t="s">
        <v>16307</v>
      </c>
      <c r="AF5236" s="416" t="s">
        <v>16308</v>
      </c>
    </row>
    <row r="5237" spans="31:32">
      <c r="AE5237" s="417" t="s">
        <v>16309</v>
      </c>
      <c r="AF5237" s="416" t="s">
        <v>16310</v>
      </c>
    </row>
    <row r="5238" spans="31:32">
      <c r="AE5238" s="417" t="s">
        <v>16311</v>
      </c>
      <c r="AF5238" s="416" t="s">
        <v>16312</v>
      </c>
    </row>
    <row r="5239" spans="31:32">
      <c r="AE5239" s="417" t="s">
        <v>16313</v>
      </c>
      <c r="AF5239" s="416" t="s">
        <v>16314</v>
      </c>
    </row>
    <row r="5240" spans="31:32">
      <c r="AE5240" s="417" t="s">
        <v>16315</v>
      </c>
      <c r="AF5240" s="416" t="s">
        <v>16316</v>
      </c>
    </row>
    <row r="5241" spans="31:32">
      <c r="AE5241" s="417" t="s">
        <v>16317</v>
      </c>
      <c r="AF5241" s="416" t="s">
        <v>16318</v>
      </c>
    </row>
    <row r="5242" spans="31:32">
      <c r="AE5242" s="417" t="s">
        <v>16319</v>
      </c>
      <c r="AF5242" s="416" t="s">
        <v>16320</v>
      </c>
    </row>
    <row r="5243" spans="31:32">
      <c r="AE5243" s="417" t="s">
        <v>16321</v>
      </c>
      <c r="AF5243" s="416" t="s">
        <v>16322</v>
      </c>
    </row>
    <row r="5244" spans="31:32">
      <c r="AE5244" s="417" t="s">
        <v>16323</v>
      </c>
      <c r="AF5244" s="416" t="s">
        <v>16324</v>
      </c>
    </row>
    <row r="5245" spans="31:32">
      <c r="AE5245" s="417" t="s">
        <v>16325</v>
      </c>
      <c r="AF5245" s="416" t="s">
        <v>16326</v>
      </c>
    </row>
    <row r="5246" spans="31:32">
      <c r="AE5246" s="417" t="s">
        <v>16327</v>
      </c>
      <c r="AF5246" s="416" t="s">
        <v>16328</v>
      </c>
    </row>
    <row r="5247" spans="31:32">
      <c r="AE5247" s="417" t="s">
        <v>16329</v>
      </c>
      <c r="AF5247" s="416" t="s">
        <v>16330</v>
      </c>
    </row>
    <row r="5248" spans="31:32">
      <c r="AE5248" s="417" t="s">
        <v>16331</v>
      </c>
      <c r="AF5248" s="416" t="s">
        <v>16332</v>
      </c>
    </row>
    <row r="5249" spans="31:32">
      <c r="AE5249" s="417" t="s">
        <v>16333</v>
      </c>
      <c r="AF5249" s="416" t="s">
        <v>16334</v>
      </c>
    </row>
    <row r="5250" spans="31:32">
      <c r="AE5250" s="417" t="s">
        <v>16335</v>
      </c>
      <c r="AF5250" s="416" t="s">
        <v>16336</v>
      </c>
    </row>
    <row r="5251" spans="31:32">
      <c r="AE5251" s="417" t="s">
        <v>16337</v>
      </c>
      <c r="AF5251" s="416" t="s">
        <v>16338</v>
      </c>
    </row>
    <row r="5252" spans="31:32">
      <c r="AE5252" s="417" t="s">
        <v>16339</v>
      </c>
      <c r="AF5252" s="416" t="s">
        <v>16340</v>
      </c>
    </row>
    <row r="5253" spans="31:32">
      <c r="AE5253" s="417" t="s">
        <v>16341</v>
      </c>
      <c r="AF5253" s="416" t="s">
        <v>16342</v>
      </c>
    </row>
    <row r="5254" spans="31:32">
      <c r="AE5254" s="417" t="s">
        <v>16343</v>
      </c>
      <c r="AF5254" s="416" t="s">
        <v>16344</v>
      </c>
    </row>
    <row r="5255" spans="31:32">
      <c r="AE5255" s="417" t="s">
        <v>16345</v>
      </c>
      <c r="AF5255" s="416" t="s">
        <v>16346</v>
      </c>
    </row>
    <row r="5256" spans="31:32">
      <c r="AE5256" s="417" t="s">
        <v>16347</v>
      </c>
      <c r="AF5256" s="416" t="s">
        <v>16348</v>
      </c>
    </row>
    <row r="5257" spans="31:32">
      <c r="AE5257" s="417" t="s">
        <v>16349</v>
      </c>
      <c r="AF5257" s="416" t="s">
        <v>16350</v>
      </c>
    </row>
    <row r="5258" spans="31:32">
      <c r="AE5258" s="417" t="s">
        <v>16351</v>
      </c>
      <c r="AF5258" s="416" t="s">
        <v>16352</v>
      </c>
    </row>
    <row r="5259" spans="31:32">
      <c r="AE5259" s="417" t="s">
        <v>16353</v>
      </c>
      <c r="AF5259" s="416" t="s">
        <v>16354</v>
      </c>
    </row>
    <row r="5260" spans="31:32">
      <c r="AE5260" s="417" t="s">
        <v>16355</v>
      </c>
      <c r="AF5260" s="416" t="s">
        <v>16356</v>
      </c>
    </row>
    <row r="5261" spans="31:32">
      <c r="AE5261" s="417" t="s">
        <v>16357</v>
      </c>
      <c r="AF5261" s="416" t="s">
        <v>16358</v>
      </c>
    </row>
    <row r="5262" spans="31:32">
      <c r="AE5262" s="417" t="s">
        <v>16359</v>
      </c>
      <c r="AF5262" s="416" t="s">
        <v>16360</v>
      </c>
    </row>
    <row r="5263" spans="31:32">
      <c r="AE5263" s="417" t="s">
        <v>16361</v>
      </c>
      <c r="AF5263" s="416" t="s">
        <v>16362</v>
      </c>
    </row>
    <row r="5264" spans="31:32">
      <c r="AE5264" s="417" t="s">
        <v>16363</v>
      </c>
      <c r="AF5264" s="416" t="s">
        <v>16364</v>
      </c>
    </row>
    <row r="5265" spans="31:32">
      <c r="AE5265" s="417" t="s">
        <v>16365</v>
      </c>
      <c r="AF5265" s="416" t="s">
        <v>16366</v>
      </c>
    </row>
    <row r="5266" spans="31:32">
      <c r="AE5266" s="417" t="s">
        <v>16367</v>
      </c>
      <c r="AF5266" s="416" t="s">
        <v>16368</v>
      </c>
    </row>
    <row r="5267" spans="31:32">
      <c r="AE5267" s="417" t="s">
        <v>16369</v>
      </c>
      <c r="AF5267" s="416" t="s">
        <v>16370</v>
      </c>
    </row>
    <row r="5268" spans="31:32">
      <c r="AE5268" s="417" t="s">
        <v>16371</v>
      </c>
      <c r="AF5268" s="416" t="s">
        <v>16372</v>
      </c>
    </row>
    <row r="5269" spans="31:32">
      <c r="AE5269" s="417" t="s">
        <v>16373</v>
      </c>
      <c r="AF5269" s="416" t="s">
        <v>16374</v>
      </c>
    </row>
    <row r="5270" spans="31:32">
      <c r="AE5270" s="417" t="s">
        <v>16375</v>
      </c>
      <c r="AF5270" s="416" t="s">
        <v>16376</v>
      </c>
    </row>
    <row r="5271" spans="31:32">
      <c r="AE5271" s="417" t="s">
        <v>16377</v>
      </c>
      <c r="AF5271" s="416" t="s">
        <v>16378</v>
      </c>
    </row>
    <row r="5272" spans="31:32">
      <c r="AE5272" s="417" t="s">
        <v>16379</v>
      </c>
      <c r="AF5272" s="416" t="s">
        <v>16380</v>
      </c>
    </row>
    <row r="5273" spans="31:32">
      <c r="AE5273" s="417" t="s">
        <v>16381</v>
      </c>
      <c r="AF5273" s="416" t="s">
        <v>16382</v>
      </c>
    </row>
    <row r="5274" spans="31:32">
      <c r="AE5274" s="417" t="s">
        <v>16383</v>
      </c>
      <c r="AF5274" s="416" t="s">
        <v>16384</v>
      </c>
    </row>
    <row r="5275" spans="31:32">
      <c r="AE5275" s="417" t="s">
        <v>16385</v>
      </c>
      <c r="AF5275" s="416" t="s">
        <v>16386</v>
      </c>
    </row>
    <row r="5276" spans="31:32">
      <c r="AE5276" s="417" t="s">
        <v>16387</v>
      </c>
      <c r="AF5276" s="416" t="s">
        <v>16388</v>
      </c>
    </row>
    <row r="5277" spans="31:32">
      <c r="AE5277" s="417" t="s">
        <v>16389</v>
      </c>
      <c r="AF5277" s="416" t="s">
        <v>16390</v>
      </c>
    </row>
    <row r="5278" spans="31:32">
      <c r="AE5278" s="417" t="s">
        <v>16391</v>
      </c>
      <c r="AF5278" s="416" t="s">
        <v>16392</v>
      </c>
    </row>
    <row r="5279" spans="31:32">
      <c r="AE5279" s="417" t="s">
        <v>16393</v>
      </c>
      <c r="AF5279" s="416" t="s">
        <v>16394</v>
      </c>
    </row>
    <row r="5280" spans="31:32">
      <c r="AE5280" s="417" t="s">
        <v>16395</v>
      </c>
      <c r="AF5280" s="416" t="s">
        <v>16396</v>
      </c>
    </row>
    <row r="5281" spans="31:32">
      <c r="AE5281" s="417" t="s">
        <v>16397</v>
      </c>
      <c r="AF5281" s="416" t="s">
        <v>16398</v>
      </c>
    </row>
    <row r="5282" spans="31:32">
      <c r="AE5282" s="417" t="s">
        <v>16399</v>
      </c>
      <c r="AF5282" s="416" t="s">
        <v>16400</v>
      </c>
    </row>
    <row r="5283" spans="31:32">
      <c r="AE5283" s="417" t="s">
        <v>16401</v>
      </c>
      <c r="AF5283" s="416" t="s">
        <v>16402</v>
      </c>
    </row>
    <row r="5284" spans="31:32">
      <c r="AE5284" s="417" t="s">
        <v>16403</v>
      </c>
      <c r="AF5284" s="416" t="s">
        <v>16404</v>
      </c>
    </row>
    <row r="5285" spans="31:32">
      <c r="AE5285" s="417" t="s">
        <v>16405</v>
      </c>
      <c r="AF5285" s="416" t="s">
        <v>16406</v>
      </c>
    </row>
    <row r="5286" spans="31:32">
      <c r="AE5286" s="417" t="s">
        <v>16407</v>
      </c>
      <c r="AF5286" s="416" t="s">
        <v>16408</v>
      </c>
    </row>
    <row r="5287" spans="31:32">
      <c r="AE5287" s="417" t="s">
        <v>16409</v>
      </c>
      <c r="AF5287" s="416" t="s">
        <v>16410</v>
      </c>
    </row>
    <row r="5288" spans="31:32">
      <c r="AE5288" s="417" t="s">
        <v>16411</v>
      </c>
      <c r="AF5288" s="416" t="s">
        <v>16412</v>
      </c>
    </row>
    <row r="5289" spans="31:32">
      <c r="AE5289" s="417" t="s">
        <v>16413</v>
      </c>
      <c r="AF5289" s="416" t="s">
        <v>16414</v>
      </c>
    </row>
    <row r="5290" spans="31:32">
      <c r="AE5290" s="417" t="s">
        <v>16415</v>
      </c>
      <c r="AF5290" s="416" t="s">
        <v>16416</v>
      </c>
    </row>
    <row r="5291" spans="31:32">
      <c r="AE5291" s="417" t="s">
        <v>16417</v>
      </c>
      <c r="AF5291" s="416" t="s">
        <v>16418</v>
      </c>
    </row>
    <row r="5292" spans="31:32">
      <c r="AE5292" s="417" t="s">
        <v>16419</v>
      </c>
      <c r="AF5292" s="416" t="s">
        <v>16420</v>
      </c>
    </row>
    <row r="5293" spans="31:32">
      <c r="AE5293" s="417" t="s">
        <v>16421</v>
      </c>
      <c r="AF5293" s="416" t="s">
        <v>16422</v>
      </c>
    </row>
    <row r="5294" spans="31:32">
      <c r="AE5294" s="417" t="s">
        <v>16423</v>
      </c>
      <c r="AF5294" s="416" t="s">
        <v>16424</v>
      </c>
    </row>
    <row r="5295" spans="31:32">
      <c r="AE5295" s="417" t="s">
        <v>16425</v>
      </c>
      <c r="AF5295" s="416" t="s">
        <v>16426</v>
      </c>
    </row>
    <row r="5296" spans="31:32">
      <c r="AE5296" s="417" t="s">
        <v>16427</v>
      </c>
      <c r="AF5296" s="416" t="s">
        <v>16428</v>
      </c>
    </row>
    <row r="5297" spans="31:32">
      <c r="AE5297" s="417" t="s">
        <v>16429</v>
      </c>
      <c r="AF5297" s="416" t="s">
        <v>16430</v>
      </c>
    </row>
    <row r="5298" spans="31:32">
      <c r="AE5298" s="417" t="s">
        <v>16431</v>
      </c>
      <c r="AF5298" s="416" t="s">
        <v>16432</v>
      </c>
    </row>
    <row r="5299" spans="31:32">
      <c r="AE5299" s="417" t="s">
        <v>16433</v>
      </c>
      <c r="AF5299" s="416" t="s">
        <v>16434</v>
      </c>
    </row>
    <row r="5300" spans="31:32">
      <c r="AE5300" s="417" t="s">
        <v>16435</v>
      </c>
      <c r="AF5300" s="416" t="s">
        <v>16436</v>
      </c>
    </row>
    <row r="5301" spans="31:32">
      <c r="AE5301" s="417" t="s">
        <v>16437</v>
      </c>
      <c r="AF5301" s="416" t="s">
        <v>16438</v>
      </c>
    </row>
    <row r="5302" spans="31:32">
      <c r="AE5302" s="417" t="s">
        <v>16439</v>
      </c>
      <c r="AF5302" s="416" t="s">
        <v>16440</v>
      </c>
    </row>
    <row r="5303" spans="31:32">
      <c r="AE5303" s="417" t="s">
        <v>16441</v>
      </c>
      <c r="AF5303" s="416" t="s">
        <v>16442</v>
      </c>
    </row>
    <row r="5304" spans="31:32">
      <c r="AE5304" s="417" t="s">
        <v>16443</v>
      </c>
      <c r="AF5304" s="416" t="s">
        <v>16444</v>
      </c>
    </row>
    <row r="5305" spans="31:32">
      <c r="AE5305" s="417" t="s">
        <v>16445</v>
      </c>
      <c r="AF5305" s="416" t="s">
        <v>16446</v>
      </c>
    </row>
    <row r="5306" spans="31:32">
      <c r="AE5306" s="417" t="s">
        <v>16447</v>
      </c>
      <c r="AF5306" s="416" t="s">
        <v>16448</v>
      </c>
    </row>
    <row r="5307" spans="31:32">
      <c r="AE5307" s="417" t="s">
        <v>16449</v>
      </c>
      <c r="AF5307" s="416" t="s">
        <v>16450</v>
      </c>
    </row>
    <row r="5308" spans="31:32">
      <c r="AE5308" s="417" t="s">
        <v>16451</v>
      </c>
      <c r="AF5308" s="416" t="s">
        <v>16452</v>
      </c>
    </row>
    <row r="5309" spans="31:32">
      <c r="AE5309" s="417" t="s">
        <v>16453</v>
      </c>
      <c r="AF5309" s="416" t="s">
        <v>16454</v>
      </c>
    </row>
    <row r="5310" spans="31:32">
      <c r="AE5310" s="417" t="s">
        <v>16455</v>
      </c>
      <c r="AF5310" s="416" t="s">
        <v>16456</v>
      </c>
    </row>
    <row r="5311" spans="31:32">
      <c r="AE5311" s="417" t="s">
        <v>16457</v>
      </c>
      <c r="AF5311" s="416" t="s">
        <v>16458</v>
      </c>
    </row>
    <row r="5312" spans="31:32">
      <c r="AE5312" s="417" t="s">
        <v>16459</v>
      </c>
      <c r="AF5312" s="416" t="s">
        <v>16460</v>
      </c>
    </row>
    <row r="5313" spans="31:32">
      <c r="AE5313" s="417" t="s">
        <v>16461</v>
      </c>
      <c r="AF5313" s="416" t="s">
        <v>16462</v>
      </c>
    </row>
    <row r="5314" spans="31:32">
      <c r="AE5314" s="417" t="s">
        <v>16463</v>
      </c>
      <c r="AF5314" s="416" t="s">
        <v>16464</v>
      </c>
    </row>
    <row r="5315" spans="31:32">
      <c r="AE5315" s="417" t="s">
        <v>16465</v>
      </c>
      <c r="AF5315" s="416" t="s">
        <v>16466</v>
      </c>
    </row>
    <row r="5316" spans="31:32">
      <c r="AE5316" s="417" t="s">
        <v>16467</v>
      </c>
      <c r="AF5316" s="416" t="s">
        <v>16468</v>
      </c>
    </row>
    <row r="5317" spans="31:32">
      <c r="AE5317" s="417" t="s">
        <v>16469</v>
      </c>
      <c r="AF5317" s="416" t="s">
        <v>16470</v>
      </c>
    </row>
    <row r="5318" spans="31:32">
      <c r="AE5318" s="417" t="s">
        <v>16471</v>
      </c>
      <c r="AF5318" s="416" t="s">
        <v>16472</v>
      </c>
    </row>
    <row r="5319" spans="31:32">
      <c r="AE5319" s="417" t="s">
        <v>16473</v>
      </c>
      <c r="AF5319" s="416" t="s">
        <v>16474</v>
      </c>
    </row>
    <row r="5320" spans="31:32">
      <c r="AE5320" s="417" t="s">
        <v>16475</v>
      </c>
      <c r="AF5320" s="416" t="s">
        <v>16476</v>
      </c>
    </row>
    <row r="5321" spans="31:32">
      <c r="AE5321" s="417" t="s">
        <v>16477</v>
      </c>
      <c r="AF5321" s="416" t="s">
        <v>16478</v>
      </c>
    </row>
    <row r="5322" spans="31:32">
      <c r="AE5322" s="417" t="s">
        <v>16479</v>
      </c>
      <c r="AF5322" s="416" t="s">
        <v>16480</v>
      </c>
    </row>
    <row r="5323" spans="31:32">
      <c r="AE5323" s="417" t="s">
        <v>16481</v>
      </c>
      <c r="AF5323" s="416" t="s">
        <v>16482</v>
      </c>
    </row>
    <row r="5324" spans="31:32">
      <c r="AE5324" s="417" t="s">
        <v>16483</v>
      </c>
      <c r="AF5324" s="416" t="s">
        <v>16484</v>
      </c>
    </row>
    <row r="5325" spans="31:32">
      <c r="AE5325" s="417" t="s">
        <v>16485</v>
      </c>
      <c r="AF5325" s="416" t="s">
        <v>16486</v>
      </c>
    </row>
    <row r="5326" spans="31:32">
      <c r="AE5326" s="417" t="s">
        <v>16487</v>
      </c>
      <c r="AF5326" s="416" t="s">
        <v>16488</v>
      </c>
    </row>
    <row r="5327" spans="31:32">
      <c r="AE5327" s="417" t="s">
        <v>16489</v>
      </c>
      <c r="AF5327" s="416" t="s">
        <v>16490</v>
      </c>
    </row>
    <row r="5328" spans="31:32">
      <c r="AE5328" s="417" t="s">
        <v>16491</v>
      </c>
      <c r="AF5328" s="416" t="s">
        <v>16492</v>
      </c>
    </row>
    <row r="5329" spans="31:32">
      <c r="AE5329" s="417" t="s">
        <v>16493</v>
      </c>
      <c r="AF5329" s="416" t="s">
        <v>16494</v>
      </c>
    </row>
    <row r="5330" spans="31:32">
      <c r="AE5330" s="417" t="s">
        <v>16495</v>
      </c>
      <c r="AF5330" s="416" t="s">
        <v>16496</v>
      </c>
    </row>
    <row r="5331" spans="31:32">
      <c r="AE5331" s="417" t="s">
        <v>16497</v>
      </c>
      <c r="AF5331" s="416" t="s">
        <v>16498</v>
      </c>
    </row>
    <row r="5332" spans="31:32">
      <c r="AE5332" s="417" t="s">
        <v>16499</v>
      </c>
      <c r="AF5332" s="416" t="s">
        <v>16500</v>
      </c>
    </row>
    <row r="5333" spans="31:32">
      <c r="AE5333" s="417" t="s">
        <v>16501</v>
      </c>
      <c r="AF5333" s="416" t="s">
        <v>16502</v>
      </c>
    </row>
    <row r="5334" spans="31:32">
      <c r="AE5334" s="417" t="s">
        <v>16503</v>
      </c>
      <c r="AF5334" s="416" t="s">
        <v>16504</v>
      </c>
    </row>
    <row r="5335" spans="31:32">
      <c r="AE5335" s="417" t="s">
        <v>16505</v>
      </c>
      <c r="AF5335" s="416" t="s">
        <v>16506</v>
      </c>
    </row>
    <row r="5336" spans="31:32">
      <c r="AE5336" s="417" t="s">
        <v>16507</v>
      </c>
      <c r="AF5336" s="416" t="s">
        <v>16508</v>
      </c>
    </row>
    <row r="5337" spans="31:32">
      <c r="AE5337" s="417" t="s">
        <v>16509</v>
      </c>
      <c r="AF5337" s="416" t="s">
        <v>16510</v>
      </c>
    </row>
    <row r="5338" spans="31:32">
      <c r="AE5338" s="417" t="s">
        <v>16511</v>
      </c>
      <c r="AF5338" s="416" t="s">
        <v>16512</v>
      </c>
    </row>
    <row r="5339" spans="31:32">
      <c r="AE5339" s="417" t="s">
        <v>16513</v>
      </c>
      <c r="AF5339" s="416" t="s">
        <v>16514</v>
      </c>
    </row>
    <row r="5340" spans="31:32">
      <c r="AE5340" s="417" t="s">
        <v>16515</v>
      </c>
      <c r="AF5340" s="416" t="s">
        <v>16516</v>
      </c>
    </row>
    <row r="5341" spans="31:32">
      <c r="AE5341" s="417" t="s">
        <v>16517</v>
      </c>
      <c r="AF5341" s="416" t="s">
        <v>16518</v>
      </c>
    </row>
    <row r="5342" spans="31:32">
      <c r="AE5342" s="417" t="s">
        <v>16519</v>
      </c>
      <c r="AF5342" s="416" t="s">
        <v>16520</v>
      </c>
    </row>
    <row r="5343" spans="31:32">
      <c r="AE5343" s="417" t="s">
        <v>16521</v>
      </c>
      <c r="AF5343" s="416" t="s">
        <v>16522</v>
      </c>
    </row>
    <row r="5344" spans="31:32">
      <c r="AE5344" s="417" t="s">
        <v>16523</v>
      </c>
      <c r="AF5344" s="416" t="s">
        <v>16524</v>
      </c>
    </row>
    <row r="5345" spans="31:32">
      <c r="AE5345" s="417" t="s">
        <v>16525</v>
      </c>
      <c r="AF5345" s="416" t="s">
        <v>16526</v>
      </c>
    </row>
    <row r="5346" spans="31:32">
      <c r="AE5346" s="417" t="s">
        <v>16527</v>
      </c>
      <c r="AF5346" s="416" t="s">
        <v>16528</v>
      </c>
    </row>
    <row r="5347" spans="31:32">
      <c r="AE5347" s="417" t="s">
        <v>16529</v>
      </c>
      <c r="AF5347" s="416" t="s">
        <v>16530</v>
      </c>
    </row>
    <row r="5348" spans="31:32">
      <c r="AE5348" s="417" t="s">
        <v>16531</v>
      </c>
      <c r="AF5348" s="416" t="s">
        <v>16532</v>
      </c>
    </row>
    <row r="5349" spans="31:32">
      <c r="AE5349" s="417" t="s">
        <v>16533</v>
      </c>
      <c r="AF5349" s="416" t="s">
        <v>16534</v>
      </c>
    </row>
    <row r="5350" spans="31:32">
      <c r="AE5350" s="417" t="s">
        <v>16535</v>
      </c>
      <c r="AF5350" s="416" t="s">
        <v>16536</v>
      </c>
    </row>
    <row r="5351" spans="31:32">
      <c r="AE5351" s="417" t="s">
        <v>16537</v>
      </c>
      <c r="AF5351" s="416" t="s">
        <v>16538</v>
      </c>
    </row>
    <row r="5352" spans="31:32">
      <c r="AE5352" s="417" t="s">
        <v>16539</v>
      </c>
      <c r="AF5352" s="416" t="s">
        <v>16540</v>
      </c>
    </row>
    <row r="5353" spans="31:32">
      <c r="AE5353" s="417" t="s">
        <v>16541</v>
      </c>
      <c r="AF5353" s="416" t="s">
        <v>16542</v>
      </c>
    </row>
    <row r="5354" spans="31:32">
      <c r="AE5354" s="417" t="s">
        <v>16543</v>
      </c>
      <c r="AF5354" s="416" t="s">
        <v>16544</v>
      </c>
    </row>
    <row r="5355" spans="31:32">
      <c r="AE5355" s="417" t="s">
        <v>16545</v>
      </c>
      <c r="AF5355" s="416" t="s">
        <v>16546</v>
      </c>
    </row>
    <row r="5356" spans="31:32">
      <c r="AE5356" s="417" t="s">
        <v>16547</v>
      </c>
      <c r="AF5356" s="416" t="s">
        <v>16548</v>
      </c>
    </row>
    <row r="5357" spans="31:32">
      <c r="AE5357" s="417" t="s">
        <v>16549</v>
      </c>
      <c r="AF5357" s="416" t="s">
        <v>16550</v>
      </c>
    </row>
    <row r="5358" spans="31:32">
      <c r="AE5358" s="417" t="s">
        <v>16551</v>
      </c>
      <c r="AF5358" s="416" t="s">
        <v>16552</v>
      </c>
    </row>
    <row r="5359" spans="31:32">
      <c r="AE5359" s="417" t="s">
        <v>16553</v>
      </c>
      <c r="AF5359" s="416" t="s">
        <v>16554</v>
      </c>
    </row>
    <row r="5360" spans="31:32">
      <c r="AE5360" s="417" t="s">
        <v>16555</v>
      </c>
      <c r="AF5360" s="416" t="s">
        <v>16556</v>
      </c>
    </row>
    <row r="5361" spans="31:32">
      <c r="AE5361" s="417" t="s">
        <v>16557</v>
      </c>
      <c r="AF5361" s="416" t="s">
        <v>16558</v>
      </c>
    </row>
    <row r="5362" spans="31:32">
      <c r="AE5362" s="417" t="s">
        <v>16559</v>
      </c>
      <c r="AF5362" s="416" t="s">
        <v>16560</v>
      </c>
    </row>
    <row r="5363" spans="31:32">
      <c r="AE5363" s="417" t="s">
        <v>16561</v>
      </c>
      <c r="AF5363" s="416" t="s">
        <v>16562</v>
      </c>
    </row>
    <row r="5364" spans="31:32">
      <c r="AE5364" s="417" t="s">
        <v>16563</v>
      </c>
      <c r="AF5364" s="416" t="s">
        <v>16564</v>
      </c>
    </row>
    <row r="5365" spans="31:32">
      <c r="AE5365" s="417" t="s">
        <v>16565</v>
      </c>
      <c r="AF5365" s="416" t="s">
        <v>16566</v>
      </c>
    </row>
    <row r="5366" spans="31:32">
      <c r="AE5366" s="417" t="s">
        <v>16567</v>
      </c>
      <c r="AF5366" s="416" t="s">
        <v>16568</v>
      </c>
    </row>
    <row r="5367" spans="31:32">
      <c r="AE5367" s="417" t="s">
        <v>16569</v>
      </c>
      <c r="AF5367" s="416" t="s">
        <v>16570</v>
      </c>
    </row>
    <row r="5368" spans="31:32">
      <c r="AE5368" s="417" t="s">
        <v>16571</v>
      </c>
      <c r="AF5368" s="416" t="s">
        <v>16572</v>
      </c>
    </row>
    <row r="5369" spans="31:32">
      <c r="AE5369" s="417" t="s">
        <v>16573</v>
      </c>
      <c r="AF5369" s="416" t="s">
        <v>16574</v>
      </c>
    </row>
    <row r="5370" spans="31:32">
      <c r="AE5370" s="417" t="s">
        <v>16575</v>
      </c>
      <c r="AF5370" s="416" t="s">
        <v>16576</v>
      </c>
    </row>
    <row r="5371" spans="31:32">
      <c r="AE5371" s="417" t="s">
        <v>16577</v>
      </c>
      <c r="AF5371" s="416" t="s">
        <v>16578</v>
      </c>
    </row>
    <row r="5372" spans="31:32">
      <c r="AE5372" s="417" t="s">
        <v>16579</v>
      </c>
      <c r="AF5372" s="416" t="s">
        <v>16580</v>
      </c>
    </row>
    <row r="5373" spans="31:32">
      <c r="AE5373" s="417" t="s">
        <v>16581</v>
      </c>
      <c r="AF5373" s="416" t="s">
        <v>16582</v>
      </c>
    </row>
    <row r="5374" spans="31:32">
      <c r="AE5374" s="417" t="s">
        <v>16583</v>
      </c>
      <c r="AF5374" s="416" t="s">
        <v>16584</v>
      </c>
    </row>
    <row r="5375" spans="31:32">
      <c r="AE5375" s="417" t="s">
        <v>16585</v>
      </c>
      <c r="AF5375" s="416" t="s">
        <v>16586</v>
      </c>
    </row>
    <row r="5376" spans="31:32">
      <c r="AE5376" s="417" t="s">
        <v>16587</v>
      </c>
      <c r="AF5376" s="416" t="s">
        <v>16588</v>
      </c>
    </row>
    <row r="5377" spans="31:32">
      <c r="AE5377" s="417" t="s">
        <v>16589</v>
      </c>
      <c r="AF5377" s="416" t="s">
        <v>16590</v>
      </c>
    </row>
    <row r="5378" spans="31:32">
      <c r="AE5378" s="417" t="s">
        <v>16591</v>
      </c>
      <c r="AF5378" s="416" t="s">
        <v>16592</v>
      </c>
    </row>
    <row r="5379" spans="31:32">
      <c r="AE5379" s="417" t="s">
        <v>16593</v>
      </c>
      <c r="AF5379" s="416" t="s">
        <v>16594</v>
      </c>
    </row>
    <row r="5380" spans="31:32">
      <c r="AE5380" s="417" t="s">
        <v>16595</v>
      </c>
      <c r="AF5380" s="416" t="s">
        <v>16596</v>
      </c>
    </row>
    <row r="5381" spans="31:32">
      <c r="AE5381" s="417" t="s">
        <v>16597</v>
      </c>
      <c r="AF5381" s="416" t="s">
        <v>16598</v>
      </c>
    </row>
    <row r="5382" spans="31:32">
      <c r="AE5382" s="417" t="s">
        <v>16599</v>
      </c>
      <c r="AF5382" s="416" t="s">
        <v>16600</v>
      </c>
    </row>
    <row r="5383" spans="31:32">
      <c r="AE5383" s="417" t="s">
        <v>16601</v>
      </c>
      <c r="AF5383" s="416" t="s">
        <v>16602</v>
      </c>
    </row>
    <row r="5384" spans="31:32">
      <c r="AE5384" s="417" t="s">
        <v>16603</v>
      </c>
      <c r="AF5384" s="416" t="s">
        <v>16604</v>
      </c>
    </row>
    <row r="5385" spans="31:32">
      <c r="AE5385" s="417" t="s">
        <v>16605</v>
      </c>
      <c r="AF5385" s="416" t="s">
        <v>16606</v>
      </c>
    </row>
    <row r="5386" spans="31:32">
      <c r="AE5386" s="417" t="s">
        <v>16607</v>
      </c>
      <c r="AF5386" s="416" t="s">
        <v>16608</v>
      </c>
    </row>
    <row r="5387" spans="31:32">
      <c r="AE5387" s="417" t="s">
        <v>16609</v>
      </c>
      <c r="AF5387" s="416" t="s">
        <v>16610</v>
      </c>
    </row>
    <row r="5388" spans="31:32">
      <c r="AE5388" s="417" t="s">
        <v>16611</v>
      </c>
      <c r="AF5388" s="416" t="s">
        <v>16612</v>
      </c>
    </row>
    <row r="5389" spans="31:32">
      <c r="AE5389" s="417" t="s">
        <v>16613</v>
      </c>
      <c r="AF5389" s="416" t="s">
        <v>16614</v>
      </c>
    </row>
    <row r="5390" spans="31:32">
      <c r="AE5390" s="417" t="s">
        <v>16615</v>
      </c>
      <c r="AF5390" s="416" t="s">
        <v>16616</v>
      </c>
    </row>
    <row r="5391" spans="31:32">
      <c r="AE5391" s="417" t="s">
        <v>16617</v>
      </c>
      <c r="AF5391" s="416" t="s">
        <v>16618</v>
      </c>
    </row>
    <row r="5392" spans="31:32">
      <c r="AE5392" s="417" t="s">
        <v>16619</v>
      </c>
      <c r="AF5392" s="416" t="s">
        <v>16620</v>
      </c>
    </row>
    <row r="5393" spans="31:32">
      <c r="AE5393" s="417" t="s">
        <v>16621</v>
      </c>
      <c r="AF5393" s="416" t="s">
        <v>16622</v>
      </c>
    </row>
    <row r="5394" spans="31:32">
      <c r="AE5394" s="417" t="s">
        <v>16623</v>
      </c>
      <c r="AF5394" s="416" t="s">
        <v>16624</v>
      </c>
    </row>
    <row r="5395" spans="31:32">
      <c r="AE5395" s="417" t="s">
        <v>16625</v>
      </c>
      <c r="AF5395" s="416" t="s">
        <v>16626</v>
      </c>
    </row>
    <row r="5396" spans="31:32">
      <c r="AE5396" s="417" t="s">
        <v>16627</v>
      </c>
      <c r="AF5396" s="416" t="s">
        <v>16628</v>
      </c>
    </row>
    <row r="5397" spans="31:32">
      <c r="AE5397" s="417" t="s">
        <v>16629</v>
      </c>
      <c r="AF5397" s="416" t="s">
        <v>16630</v>
      </c>
    </row>
    <row r="5398" spans="31:32">
      <c r="AE5398" s="417" t="s">
        <v>16631</v>
      </c>
      <c r="AF5398" s="416" t="s">
        <v>16632</v>
      </c>
    </row>
    <row r="5399" spans="31:32">
      <c r="AE5399" s="417" t="s">
        <v>16633</v>
      </c>
      <c r="AF5399" s="416" t="s">
        <v>16634</v>
      </c>
    </row>
    <row r="5400" spans="31:32">
      <c r="AE5400" s="417" t="s">
        <v>16635</v>
      </c>
      <c r="AF5400" s="416" t="s">
        <v>16636</v>
      </c>
    </row>
    <row r="5401" spans="31:32">
      <c r="AE5401" s="417" t="s">
        <v>16637</v>
      </c>
      <c r="AF5401" s="416" t="s">
        <v>16638</v>
      </c>
    </row>
    <row r="5402" spans="31:32">
      <c r="AE5402" s="417" t="s">
        <v>16639</v>
      </c>
      <c r="AF5402" s="416" t="s">
        <v>16640</v>
      </c>
    </row>
    <row r="5403" spans="31:32">
      <c r="AE5403" s="417" t="s">
        <v>16641</v>
      </c>
      <c r="AF5403" s="416" t="s">
        <v>16642</v>
      </c>
    </row>
    <row r="5404" spans="31:32">
      <c r="AE5404" s="417" t="s">
        <v>16643</v>
      </c>
      <c r="AF5404" s="416" t="s">
        <v>16644</v>
      </c>
    </row>
    <row r="5405" spans="31:32">
      <c r="AE5405" s="417" t="s">
        <v>16645</v>
      </c>
      <c r="AF5405" s="416" t="s">
        <v>16646</v>
      </c>
    </row>
    <row r="5406" spans="31:32">
      <c r="AE5406" s="417" t="s">
        <v>16647</v>
      </c>
      <c r="AF5406" s="416" t="s">
        <v>16648</v>
      </c>
    </row>
    <row r="5407" spans="31:32">
      <c r="AE5407" s="417" t="s">
        <v>16649</v>
      </c>
      <c r="AF5407" s="416" t="s">
        <v>16650</v>
      </c>
    </row>
    <row r="5408" spans="31:32">
      <c r="AE5408" s="417" t="s">
        <v>16651</v>
      </c>
      <c r="AF5408" s="416" t="s">
        <v>16652</v>
      </c>
    </row>
    <row r="5409" spans="31:32">
      <c r="AE5409" s="417" t="s">
        <v>16653</v>
      </c>
      <c r="AF5409" s="416" t="s">
        <v>16654</v>
      </c>
    </row>
    <row r="5410" spans="31:32">
      <c r="AE5410" s="417" t="s">
        <v>16655</v>
      </c>
      <c r="AF5410" s="416" t="s">
        <v>16656</v>
      </c>
    </row>
    <row r="5411" spans="31:32">
      <c r="AE5411" s="417" t="s">
        <v>16657</v>
      </c>
      <c r="AF5411" s="416" t="s">
        <v>16658</v>
      </c>
    </row>
    <row r="5412" spans="31:32">
      <c r="AE5412" s="417" t="s">
        <v>16659</v>
      </c>
      <c r="AF5412" s="416" t="s">
        <v>16660</v>
      </c>
    </row>
    <row r="5413" spans="31:32">
      <c r="AE5413" s="417" t="s">
        <v>16661</v>
      </c>
      <c r="AF5413" s="416" t="s">
        <v>16662</v>
      </c>
    </row>
    <row r="5414" spans="31:32">
      <c r="AE5414" s="417" t="s">
        <v>16663</v>
      </c>
      <c r="AF5414" s="416" t="s">
        <v>16664</v>
      </c>
    </row>
    <row r="5415" spans="31:32">
      <c r="AE5415" s="417" t="s">
        <v>16665</v>
      </c>
      <c r="AF5415" s="416" t="s">
        <v>16666</v>
      </c>
    </row>
    <row r="5416" spans="31:32">
      <c r="AE5416" s="417" t="s">
        <v>16667</v>
      </c>
      <c r="AF5416" s="416" t="s">
        <v>16668</v>
      </c>
    </row>
    <row r="5417" spans="31:32">
      <c r="AE5417" s="417" t="s">
        <v>16669</v>
      </c>
      <c r="AF5417" s="416" t="s">
        <v>16670</v>
      </c>
    </row>
    <row r="5418" spans="31:32">
      <c r="AE5418" s="417" t="s">
        <v>16671</v>
      </c>
      <c r="AF5418" s="416" t="s">
        <v>16672</v>
      </c>
    </row>
    <row r="5419" spans="31:32">
      <c r="AE5419" s="417" t="s">
        <v>16673</v>
      </c>
      <c r="AF5419" s="416" t="s">
        <v>16674</v>
      </c>
    </row>
    <row r="5420" spans="31:32">
      <c r="AE5420" s="417" t="s">
        <v>16675</v>
      </c>
      <c r="AF5420" s="416" t="s">
        <v>16676</v>
      </c>
    </row>
    <row r="5421" spans="31:32">
      <c r="AE5421" s="417" t="s">
        <v>16677</v>
      </c>
      <c r="AF5421" s="416" t="s">
        <v>16678</v>
      </c>
    </row>
    <row r="5422" spans="31:32">
      <c r="AE5422" s="417" t="s">
        <v>16679</v>
      </c>
      <c r="AF5422" s="416" t="s">
        <v>16680</v>
      </c>
    </row>
    <row r="5423" spans="31:32">
      <c r="AE5423" s="417" t="s">
        <v>16681</v>
      </c>
      <c r="AF5423" s="416" t="s">
        <v>16682</v>
      </c>
    </row>
    <row r="5424" spans="31:32">
      <c r="AE5424" s="417" t="s">
        <v>16683</v>
      </c>
      <c r="AF5424" s="416" t="s">
        <v>16684</v>
      </c>
    </row>
    <row r="5425" spans="31:32">
      <c r="AE5425" s="417" t="s">
        <v>16685</v>
      </c>
      <c r="AF5425" s="416" t="s">
        <v>16686</v>
      </c>
    </row>
    <row r="5426" spans="31:32">
      <c r="AE5426" s="417" t="s">
        <v>16687</v>
      </c>
      <c r="AF5426" s="416" t="s">
        <v>16688</v>
      </c>
    </row>
    <row r="5427" spans="31:32">
      <c r="AE5427" s="417" t="s">
        <v>16689</v>
      </c>
      <c r="AF5427" s="416" t="s">
        <v>16690</v>
      </c>
    </row>
    <row r="5428" spans="31:32">
      <c r="AE5428" s="417" t="s">
        <v>16691</v>
      </c>
      <c r="AF5428" s="416" t="s">
        <v>16692</v>
      </c>
    </row>
    <row r="5429" spans="31:32">
      <c r="AE5429" s="417" t="s">
        <v>16693</v>
      </c>
      <c r="AF5429" s="416" t="s">
        <v>16694</v>
      </c>
    </row>
    <row r="5430" spans="31:32">
      <c r="AE5430" s="417" t="s">
        <v>16695</v>
      </c>
      <c r="AF5430" s="416" t="s">
        <v>16696</v>
      </c>
    </row>
    <row r="5431" spans="31:32">
      <c r="AE5431" s="417" t="s">
        <v>16697</v>
      </c>
      <c r="AF5431" s="416" t="s">
        <v>16698</v>
      </c>
    </row>
    <row r="5432" spans="31:32">
      <c r="AE5432" s="417" t="s">
        <v>16699</v>
      </c>
      <c r="AF5432" s="416" t="s">
        <v>16700</v>
      </c>
    </row>
    <row r="5433" spans="31:32">
      <c r="AE5433" s="417" t="s">
        <v>16701</v>
      </c>
      <c r="AF5433" s="416" t="s">
        <v>16702</v>
      </c>
    </row>
    <row r="5434" spans="31:32">
      <c r="AE5434" s="417" t="s">
        <v>16703</v>
      </c>
      <c r="AF5434" s="416" t="s">
        <v>16704</v>
      </c>
    </row>
    <row r="5435" spans="31:32">
      <c r="AE5435" s="417" t="s">
        <v>16705</v>
      </c>
      <c r="AF5435" s="416" t="s">
        <v>16706</v>
      </c>
    </row>
    <row r="5436" spans="31:32">
      <c r="AE5436" s="417" t="s">
        <v>16707</v>
      </c>
      <c r="AF5436" s="416" t="s">
        <v>16708</v>
      </c>
    </row>
    <row r="5437" spans="31:32">
      <c r="AE5437" s="417" t="s">
        <v>16709</v>
      </c>
      <c r="AF5437" s="416" t="s">
        <v>16710</v>
      </c>
    </row>
    <row r="5438" spans="31:32">
      <c r="AE5438" s="417" t="s">
        <v>16711</v>
      </c>
      <c r="AF5438" s="416" t="s">
        <v>16712</v>
      </c>
    </row>
    <row r="5439" spans="31:32">
      <c r="AE5439" s="417" t="s">
        <v>16713</v>
      </c>
      <c r="AF5439" s="416" t="s">
        <v>16714</v>
      </c>
    </row>
    <row r="5440" spans="31:32">
      <c r="AE5440" s="417" t="s">
        <v>16715</v>
      </c>
      <c r="AF5440" s="416" t="s">
        <v>16716</v>
      </c>
    </row>
    <row r="5441" spans="31:32">
      <c r="AE5441" s="417" t="s">
        <v>16717</v>
      </c>
      <c r="AF5441" s="416" t="s">
        <v>16718</v>
      </c>
    </row>
    <row r="5442" spans="31:32">
      <c r="AE5442" s="417" t="s">
        <v>16719</v>
      </c>
      <c r="AF5442" s="416" t="s">
        <v>16720</v>
      </c>
    </row>
    <row r="5443" spans="31:32">
      <c r="AE5443" s="417" t="s">
        <v>16721</v>
      </c>
      <c r="AF5443" s="416" t="s">
        <v>16722</v>
      </c>
    </row>
    <row r="5444" spans="31:32">
      <c r="AE5444" s="417" t="s">
        <v>16723</v>
      </c>
      <c r="AF5444" s="416" t="s">
        <v>16724</v>
      </c>
    </row>
    <row r="5445" spans="31:32">
      <c r="AE5445" s="417" t="s">
        <v>16725</v>
      </c>
      <c r="AF5445" s="416" t="s">
        <v>16726</v>
      </c>
    </row>
    <row r="5446" spans="31:32">
      <c r="AE5446" s="417" t="s">
        <v>16727</v>
      </c>
      <c r="AF5446" s="416" t="s">
        <v>16728</v>
      </c>
    </row>
    <row r="5447" spans="31:32">
      <c r="AE5447" s="417" t="s">
        <v>16729</v>
      </c>
      <c r="AF5447" s="416" t="s">
        <v>16730</v>
      </c>
    </row>
    <row r="5448" spans="31:32">
      <c r="AE5448" s="417" t="s">
        <v>16731</v>
      </c>
      <c r="AF5448" s="416" t="s">
        <v>16732</v>
      </c>
    </row>
    <row r="5449" spans="31:32">
      <c r="AE5449" s="417" t="s">
        <v>16733</v>
      </c>
      <c r="AF5449" s="416" t="s">
        <v>16734</v>
      </c>
    </row>
    <row r="5450" spans="31:32">
      <c r="AE5450" s="417" t="s">
        <v>16735</v>
      </c>
      <c r="AF5450" s="416" t="s">
        <v>16736</v>
      </c>
    </row>
    <row r="5451" spans="31:32">
      <c r="AE5451" s="417" t="s">
        <v>16737</v>
      </c>
      <c r="AF5451" s="416" t="s">
        <v>16738</v>
      </c>
    </row>
    <row r="5452" spans="31:32">
      <c r="AE5452" s="417" t="s">
        <v>16739</v>
      </c>
      <c r="AF5452" s="416" t="s">
        <v>16740</v>
      </c>
    </row>
    <row r="5453" spans="31:32">
      <c r="AE5453" s="417" t="s">
        <v>16741</v>
      </c>
      <c r="AF5453" s="416" t="s">
        <v>16742</v>
      </c>
    </row>
    <row r="5454" spans="31:32">
      <c r="AE5454" s="417" t="s">
        <v>16743</v>
      </c>
      <c r="AF5454" s="416" t="s">
        <v>16744</v>
      </c>
    </row>
    <row r="5455" spans="31:32">
      <c r="AE5455" s="417" t="s">
        <v>16745</v>
      </c>
      <c r="AF5455" s="416" t="s">
        <v>16746</v>
      </c>
    </row>
    <row r="5456" spans="31:32">
      <c r="AE5456" s="417" t="s">
        <v>16747</v>
      </c>
      <c r="AF5456" s="416" t="s">
        <v>16748</v>
      </c>
    </row>
    <row r="5457" spans="31:32">
      <c r="AE5457" s="417" t="s">
        <v>16749</v>
      </c>
      <c r="AF5457" s="416" t="s">
        <v>16750</v>
      </c>
    </row>
    <row r="5458" spans="31:32">
      <c r="AE5458" s="417" t="s">
        <v>16751</v>
      </c>
      <c r="AF5458" s="416" t="s">
        <v>16752</v>
      </c>
    </row>
    <row r="5459" spans="31:32">
      <c r="AE5459" s="417" t="s">
        <v>16753</v>
      </c>
      <c r="AF5459" s="416" t="s">
        <v>16754</v>
      </c>
    </row>
    <row r="5460" spans="31:32">
      <c r="AE5460" s="417" t="s">
        <v>16755</v>
      </c>
      <c r="AF5460" s="416" t="s">
        <v>16756</v>
      </c>
    </row>
    <row r="5461" spans="31:32">
      <c r="AE5461" s="417" t="s">
        <v>16757</v>
      </c>
      <c r="AF5461" s="416" t="s">
        <v>16758</v>
      </c>
    </row>
    <row r="5462" spans="31:32">
      <c r="AE5462" s="417" t="s">
        <v>16759</v>
      </c>
      <c r="AF5462" s="416" t="s">
        <v>16760</v>
      </c>
    </row>
    <row r="5463" spans="31:32">
      <c r="AE5463" s="417" t="s">
        <v>16761</v>
      </c>
      <c r="AF5463" s="416" t="s">
        <v>16762</v>
      </c>
    </row>
    <row r="5464" spans="31:32">
      <c r="AE5464" s="417" t="s">
        <v>16763</v>
      </c>
      <c r="AF5464" s="416" t="s">
        <v>16764</v>
      </c>
    </row>
    <row r="5465" spans="31:32">
      <c r="AE5465" s="417" t="s">
        <v>16765</v>
      </c>
      <c r="AF5465" s="416" t="s">
        <v>16766</v>
      </c>
    </row>
    <row r="5466" spans="31:32">
      <c r="AE5466" s="417" t="s">
        <v>16767</v>
      </c>
      <c r="AF5466" s="416" t="s">
        <v>16768</v>
      </c>
    </row>
    <row r="5467" spans="31:32">
      <c r="AE5467" s="417" t="s">
        <v>16769</v>
      </c>
      <c r="AF5467" s="416" t="s">
        <v>16770</v>
      </c>
    </row>
    <row r="5468" spans="31:32">
      <c r="AE5468" s="417" t="s">
        <v>16771</v>
      </c>
      <c r="AF5468" s="416" t="s">
        <v>16772</v>
      </c>
    </row>
    <row r="5469" spans="31:32">
      <c r="AE5469" s="417" t="s">
        <v>16773</v>
      </c>
      <c r="AF5469" s="416" t="s">
        <v>16774</v>
      </c>
    </row>
    <row r="5470" spans="31:32">
      <c r="AE5470" s="417" t="s">
        <v>16775</v>
      </c>
      <c r="AF5470" s="416" t="s">
        <v>16776</v>
      </c>
    </row>
    <row r="5471" spans="31:32">
      <c r="AE5471" s="417" t="s">
        <v>16777</v>
      </c>
      <c r="AF5471" s="416" t="s">
        <v>16778</v>
      </c>
    </row>
    <row r="5472" spans="31:32">
      <c r="AE5472" s="417" t="s">
        <v>16779</v>
      </c>
      <c r="AF5472" s="416" t="s">
        <v>16780</v>
      </c>
    </row>
    <row r="5473" spans="31:32">
      <c r="AE5473" s="417" t="s">
        <v>16781</v>
      </c>
      <c r="AF5473" s="416" t="s">
        <v>16782</v>
      </c>
    </row>
    <row r="5474" spans="31:32">
      <c r="AE5474" s="417" t="s">
        <v>16783</v>
      </c>
      <c r="AF5474" s="416" t="s">
        <v>16784</v>
      </c>
    </row>
    <row r="5475" spans="31:32">
      <c r="AE5475" s="417" t="s">
        <v>16785</v>
      </c>
      <c r="AF5475" s="416" t="s">
        <v>16786</v>
      </c>
    </row>
    <row r="5476" spans="31:32">
      <c r="AE5476" s="417" t="s">
        <v>16787</v>
      </c>
      <c r="AF5476" s="416" t="s">
        <v>16788</v>
      </c>
    </row>
    <row r="5477" spans="31:32">
      <c r="AE5477" s="417" t="s">
        <v>16789</v>
      </c>
      <c r="AF5477" s="416" t="s">
        <v>16790</v>
      </c>
    </row>
    <row r="5478" spans="31:32">
      <c r="AE5478" s="417" t="s">
        <v>16791</v>
      </c>
      <c r="AF5478" s="416" t="s">
        <v>16792</v>
      </c>
    </row>
    <row r="5479" spans="31:32">
      <c r="AE5479" s="417" t="s">
        <v>16793</v>
      </c>
      <c r="AF5479" s="416" t="s">
        <v>16794</v>
      </c>
    </row>
    <row r="5480" spans="31:32">
      <c r="AE5480" s="417" t="s">
        <v>16795</v>
      </c>
      <c r="AF5480" s="416" t="s">
        <v>16796</v>
      </c>
    </row>
    <row r="5481" spans="31:32">
      <c r="AE5481" s="417" t="s">
        <v>16797</v>
      </c>
      <c r="AF5481" s="416" t="s">
        <v>16798</v>
      </c>
    </row>
    <row r="5482" spans="31:32">
      <c r="AE5482" s="417" t="s">
        <v>16799</v>
      </c>
      <c r="AF5482" s="416" t="s">
        <v>16800</v>
      </c>
    </row>
    <row r="5483" spans="31:32">
      <c r="AE5483" s="417" t="s">
        <v>16801</v>
      </c>
      <c r="AF5483" s="416" t="s">
        <v>16802</v>
      </c>
    </row>
    <row r="5484" spans="31:32">
      <c r="AE5484" s="417" t="s">
        <v>16803</v>
      </c>
      <c r="AF5484" s="416" t="s">
        <v>16804</v>
      </c>
    </row>
    <row r="5485" spans="31:32">
      <c r="AE5485" s="417" t="s">
        <v>16805</v>
      </c>
      <c r="AF5485" s="416" t="s">
        <v>16806</v>
      </c>
    </row>
    <row r="5486" spans="31:32">
      <c r="AE5486" s="417" t="s">
        <v>16807</v>
      </c>
      <c r="AF5486" s="416" t="s">
        <v>16808</v>
      </c>
    </row>
    <row r="5487" spans="31:32">
      <c r="AE5487" s="417" t="s">
        <v>16809</v>
      </c>
      <c r="AF5487" s="416" t="s">
        <v>16810</v>
      </c>
    </row>
    <row r="5488" spans="31:32">
      <c r="AE5488" s="417" t="s">
        <v>16811</v>
      </c>
      <c r="AF5488" s="416" t="s">
        <v>16812</v>
      </c>
    </row>
    <row r="5489" spans="31:32">
      <c r="AE5489" s="417" t="s">
        <v>16813</v>
      </c>
      <c r="AF5489" s="416" t="s">
        <v>16814</v>
      </c>
    </row>
    <row r="5490" spans="31:32">
      <c r="AE5490" s="417" t="s">
        <v>16815</v>
      </c>
      <c r="AF5490" s="416" t="s">
        <v>16816</v>
      </c>
    </row>
    <row r="5491" spans="31:32">
      <c r="AE5491" s="417" t="s">
        <v>16817</v>
      </c>
      <c r="AF5491" s="416" t="s">
        <v>16818</v>
      </c>
    </row>
    <row r="5492" spans="31:32">
      <c r="AE5492" s="417" t="s">
        <v>16819</v>
      </c>
      <c r="AF5492" s="416" t="s">
        <v>16820</v>
      </c>
    </row>
    <row r="5493" spans="31:32">
      <c r="AE5493" s="417" t="s">
        <v>16821</v>
      </c>
      <c r="AF5493" s="416" t="s">
        <v>16822</v>
      </c>
    </row>
    <row r="5494" spans="31:32">
      <c r="AE5494" s="417" t="s">
        <v>16823</v>
      </c>
      <c r="AF5494" s="416" t="s">
        <v>16824</v>
      </c>
    </row>
    <row r="5495" spans="31:32">
      <c r="AE5495" s="417" t="s">
        <v>16825</v>
      </c>
      <c r="AF5495" s="416" t="s">
        <v>16826</v>
      </c>
    </row>
    <row r="5496" spans="31:32">
      <c r="AE5496" s="417" t="s">
        <v>16827</v>
      </c>
      <c r="AF5496" s="416" t="s">
        <v>16828</v>
      </c>
    </row>
    <row r="5497" spans="31:32">
      <c r="AE5497" s="417" t="s">
        <v>16829</v>
      </c>
      <c r="AF5497" s="416" t="s">
        <v>16830</v>
      </c>
    </row>
    <row r="5498" spans="31:32">
      <c r="AE5498" s="417" t="s">
        <v>16831</v>
      </c>
      <c r="AF5498" s="416" t="s">
        <v>16832</v>
      </c>
    </row>
    <row r="5499" spans="31:32">
      <c r="AE5499" s="417" t="s">
        <v>16833</v>
      </c>
      <c r="AF5499" s="416" t="s">
        <v>16834</v>
      </c>
    </row>
    <row r="5500" spans="31:32">
      <c r="AE5500" s="417" t="s">
        <v>16835</v>
      </c>
      <c r="AF5500" s="416" t="s">
        <v>16836</v>
      </c>
    </row>
    <row r="5501" spans="31:32">
      <c r="AE5501" s="417" t="s">
        <v>16837</v>
      </c>
      <c r="AF5501" s="416" t="s">
        <v>16838</v>
      </c>
    </row>
    <row r="5502" spans="31:32">
      <c r="AE5502" s="417" t="s">
        <v>16839</v>
      </c>
      <c r="AF5502" s="416" t="s">
        <v>16840</v>
      </c>
    </row>
    <row r="5503" spans="31:32">
      <c r="AE5503" s="417" t="s">
        <v>16841</v>
      </c>
      <c r="AF5503" s="416" t="s">
        <v>16842</v>
      </c>
    </row>
    <row r="5504" spans="31:32">
      <c r="AE5504" s="417" t="s">
        <v>16843</v>
      </c>
      <c r="AF5504" s="416" t="s">
        <v>16844</v>
      </c>
    </row>
    <row r="5505" spans="31:32">
      <c r="AE5505" s="417" t="s">
        <v>16845</v>
      </c>
      <c r="AF5505" s="416" t="s">
        <v>16846</v>
      </c>
    </row>
    <row r="5506" spans="31:32">
      <c r="AE5506" s="417" t="s">
        <v>16847</v>
      </c>
      <c r="AF5506" s="416" t="s">
        <v>16848</v>
      </c>
    </row>
    <row r="5507" spans="31:32">
      <c r="AE5507" s="417" t="s">
        <v>16849</v>
      </c>
      <c r="AF5507" s="416" t="s">
        <v>16850</v>
      </c>
    </row>
    <row r="5508" spans="31:32">
      <c r="AE5508" s="417" t="s">
        <v>16851</v>
      </c>
      <c r="AF5508" s="416" t="s">
        <v>16852</v>
      </c>
    </row>
    <row r="5509" spans="31:32">
      <c r="AE5509" s="417" t="s">
        <v>16853</v>
      </c>
      <c r="AF5509" s="416" t="s">
        <v>16854</v>
      </c>
    </row>
    <row r="5510" spans="31:32">
      <c r="AE5510" s="417" t="s">
        <v>16855</v>
      </c>
      <c r="AF5510" s="416" t="s">
        <v>16856</v>
      </c>
    </row>
    <row r="5511" spans="31:32">
      <c r="AE5511" s="417" t="s">
        <v>16857</v>
      </c>
      <c r="AF5511" s="416" t="s">
        <v>16858</v>
      </c>
    </row>
    <row r="5512" spans="31:32">
      <c r="AE5512" s="417" t="s">
        <v>16859</v>
      </c>
      <c r="AF5512" s="416" t="s">
        <v>16860</v>
      </c>
    </row>
    <row r="5513" spans="31:32">
      <c r="AE5513" s="417" t="s">
        <v>16861</v>
      </c>
      <c r="AF5513" s="416" t="s">
        <v>16862</v>
      </c>
    </row>
    <row r="5514" spans="31:32">
      <c r="AE5514" s="417" t="s">
        <v>16863</v>
      </c>
      <c r="AF5514" s="416" t="s">
        <v>16864</v>
      </c>
    </row>
    <row r="5515" spans="31:32">
      <c r="AE5515" s="417" t="s">
        <v>16865</v>
      </c>
      <c r="AF5515" s="416" t="s">
        <v>16866</v>
      </c>
    </row>
    <row r="5516" spans="31:32">
      <c r="AE5516" s="417" t="s">
        <v>16867</v>
      </c>
      <c r="AF5516" s="416" t="s">
        <v>16868</v>
      </c>
    </row>
    <row r="5517" spans="31:32">
      <c r="AE5517" s="417" t="s">
        <v>16869</v>
      </c>
      <c r="AF5517" s="416" t="s">
        <v>16870</v>
      </c>
    </row>
    <row r="5518" spans="31:32">
      <c r="AE5518" s="417" t="s">
        <v>16871</v>
      </c>
      <c r="AF5518" s="416" t="s">
        <v>16872</v>
      </c>
    </row>
    <row r="5519" spans="31:32">
      <c r="AE5519" s="417" t="s">
        <v>16873</v>
      </c>
      <c r="AF5519" s="416" t="s">
        <v>16874</v>
      </c>
    </row>
    <row r="5520" spans="31:32">
      <c r="AE5520" s="417" t="s">
        <v>16875</v>
      </c>
      <c r="AF5520" s="416" t="s">
        <v>16876</v>
      </c>
    </row>
    <row r="5521" spans="31:32">
      <c r="AE5521" s="417" t="s">
        <v>16877</v>
      </c>
      <c r="AF5521" s="416" t="s">
        <v>16878</v>
      </c>
    </row>
    <row r="5522" spans="31:32">
      <c r="AE5522" s="417" t="s">
        <v>16879</v>
      </c>
      <c r="AF5522" s="416" t="s">
        <v>16880</v>
      </c>
    </row>
    <row r="5523" spans="31:32">
      <c r="AE5523" s="417" t="s">
        <v>16881</v>
      </c>
      <c r="AF5523" s="416" t="s">
        <v>16882</v>
      </c>
    </row>
    <row r="5524" spans="31:32">
      <c r="AE5524" s="417" t="s">
        <v>16883</v>
      </c>
      <c r="AF5524" s="416" t="s">
        <v>16884</v>
      </c>
    </row>
    <row r="5525" spans="31:32">
      <c r="AE5525" s="417" t="s">
        <v>16885</v>
      </c>
      <c r="AF5525" s="416" t="s">
        <v>16886</v>
      </c>
    </row>
    <row r="5526" spans="31:32">
      <c r="AE5526" s="417" t="s">
        <v>16887</v>
      </c>
      <c r="AF5526" s="416" t="s">
        <v>16888</v>
      </c>
    </row>
    <row r="5527" spans="31:32">
      <c r="AE5527" s="417" t="s">
        <v>16889</v>
      </c>
      <c r="AF5527" s="416" t="s">
        <v>16890</v>
      </c>
    </row>
    <row r="5528" spans="31:32">
      <c r="AE5528" s="417" t="s">
        <v>16891</v>
      </c>
      <c r="AF5528" s="416" t="s">
        <v>16892</v>
      </c>
    </row>
    <row r="5529" spans="31:32">
      <c r="AE5529" s="417" t="s">
        <v>16893</v>
      </c>
      <c r="AF5529" s="416" t="s">
        <v>16894</v>
      </c>
    </row>
    <row r="5530" spans="31:32">
      <c r="AE5530" s="417" t="s">
        <v>16895</v>
      </c>
      <c r="AF5530" s="416" t="s">
        <v>16896</v>
      </c>
    </row>
    <row r="5531" spans="31:32">
      <c r="AE5531" s="417" t="s">
        <v>16897</v>
      </c>
      <c r="AF5531" s="416" t="s">
        <v>16898</v>
      </c>
    </row>
    <row r="5532" spans="31:32">
      <c r="AE5532" s="417" t="s">
        <v>16899</v>
      </c>
      <c r="AF5532" s="416" t="s">
        <v>16900</v>
      </c>
    </row>
    <row r="5533" spans="31:32">
      <c r="AE5533" s="417" t="s">
        <v>16901</v>
      </c>
      <c r="AF5533" s="416" t="s">
        <v>16902</v>
      </c>
    </row>
    <row r="5534" spans="31:32">
      <c r="AE5534" s="417" t="s">
        <v>16903</v>
      </c>
      <c r="AF5534" s="416" t="s">
        <v>16904</v>
      </c>
    </row>
    <row r="5535" spans="31:32">
      <c r="AE5535" s="417" t="s">
        <v>16905</v>
      </c>
      <c r="AF5535" s="416" t="s">
        <v>16906</v>
      </c>
    </row>
    <row r="5536" spans="31:32">
      <c r="AE5536" s="417" t="s">
        <v>16907</v>
      </c>
      <c r="AF5536" s="416" t="s">
        <v>16908</v>
      </c>
    </row>
    <row r="5537" spans="31:32">
      <c r="AE5537" s="417" t="s">
        <v>16909</v>
      </c>
      <c r="AF5537" s="416" t="s">
        <v>16910</v>
      </c>
    </row>
    <row r="5538" spans="31:32">
      <c r="AE5538" s="417" t="s">
        <v>16911</v>
      </c>
      <c r="AF5538" s="416" t="s">
        <v>16912</v>
      </c>
    </row>
    <row r="5539" spans="31:32">
      <c r="AE5539" s="417" t="s">
        <v>16913</v>
      </c>
      <c r="AF5539" s="416" t="s">
        <v>16914</v>
      </c>
    </row>
    <row r="5540" spans="31:32">
      <c r="AE5540" s="417" t="s">
        <v>16915</v>
      </c>
      <c r="AF5540" s="416" t="s">
        <v>16916</v>
      </c>
    </row>
    <row r="5541" spans="31:32">
      <c r="AE5541" s="417" t="s">
        <v>16917</v>
      </c>
      <c r="AF5541" s="416" t="s">
        <v>16918</v>
      </c>
    </row>
    <row r="5542" spans="31:32">
      <c r="AE5542" s="417" t="s">
        <v>16919</v>
      </c>
      <c r="AF5542" s="416" t="s">
        <v>16920</v>
      </c>
    </row>
    <row r="5543" spans="31:32">
      <c r="AE5543" s="417" t="s">
        <v>16921</v>
      </c>
      <c r="AF5543" s="416" t="s">
        <v>16922</v>
      </c>
    </row>
    <row r="5544" spans="31:32">
      <c r="AE5544" s="417" t="s">
        <v>16923</v>
      </c>
      <c r="AF5544" s="416" t="s">
        <v>16924</v>
      </c>
    </row>
    <row r="5545" spans="31:32">
      <c r="AE5545" s="417" t="s">
        <v>16925</v>
      </c>
      <c r="AF5545" s="416" t="s">
        <v>16926</v>
      </c>
    </row>
    <row r="5546" spans="31:32">
      <c r="AE5546" s="417" t="s">
        <v>16927</v>
      </c>
      <c r="AF5546" s="416" t="s">
        <v>16928</v>
      </c>
    </row>
    <row r="5547" spans="31:32">
      <c r="AE5547" s="417" t="s">
        <v>16929</v>
      </c>
      <c r="AF5547" s="416" t="s">
        <v>16930</v>
      </c>
    </row>
    <row r="5548" spans="31:32">
      <c r="AE5548" s="417" t="s">
        <v>16931</v>
      </c>
      <c r="AF5548" s="416" t="s">
        <v>16932</v>
      </c>
    </row>
    <row r="5549" spans="31:32">
      <c r="AE5549" s="417" t="s">
        <v>16933</v>
      </c>
      <c r="AF5549" s="416" t="s">
        <v>16934</v>
      </c>
    </row>
    <row r="5550" spans="31:32">
      <c r="AE5550" s="417" t="s">
        <v>16935</v>
      </c>
      <c r="AF5550" s="416" t="s">
        <v>16936</v>
      </c>
    </row>
    <row r="5551" spans="31:32">
      <c r="AE5551" s="417" t="s">
        <v>16937</v>
      </c>
      <c r="AF5551" s="416" t="s">
        <v>16938</v>
      </c>
    </row>
    <row r="5552" spans="31:32">
      <c r="AE5552" s="417" t="s">
        <v>16939</v>
      </c>
      <c r="AF5552" s="416" t="s">
        <v>16940</v>
      </c>
    </row>
    <row r="5553" spans="31:32">
      <c r="AE5553" s="417" t="s">
        <v>16941</v>
      </c>
      <c r="AF5553" s="416" t="s">
        <v>16942</v>
      </c>
    </row>
    <row r="5554" spans="31:32">
      <c r="AE5554" s="417" t="s">
        <v>16943</v>
      </c>
      <c r="AF5554" s="416" t="s">
        <v>16944</v>
      </c>
    </row>
    <row r="5555" spans="31:32">
      <c r="AE5555" s="417" t="s">
        <v>16945</v>
      </c>
      <c r="AF5555" s="416" t="s">
        <v>16946</v>
      </c>
    </row>
    <row r="5556" spans="31:32">
      <c r="AE5556" s="417" t="s">
        <v>16947</v>
      </c>
      <c r="AF5556" s="416" t="s">
        <v>16948</v>
      </c>
    </row>
    <row r="5557" spans="31:32">
      <c r="AE5557" s="417" t="s">
        <v>16949</v>
      </c>
      <c r="AF5557" s="416" t="s">
        <v>16950</v>
      </c>
    </row>
    <row r="5558" spans="31:32">
      <c r="AE5558" s="417" t="s">
        <v>16951</v>
      </c>
      <c r="AF5558" s="416" t="s">
        <v>16952</v>
      </c>
    </row>
    <row r="5559" spans="31:32">
      <c r="AE5559" s="417" t="s">
        <v>16953</v>
      </c>
      <c r="AF5559" s="416" t="s">
        <v>16954</v>
      </c>
    </row>
    <row r="5560" spans="31:32">
      <c r="AE5560" s="417" t="s">
        <v>16955</v>
      </c>
      <c r="AF5560" s="416" t="s">
        <v>16956</v>
      </c>
    </row>
    <row r="5561" spans="31:32">
      <c r="AE5561" s="417" t="s">
        <v>16957</v>
      </c>
      <c r="AF5561" s="416" t="s">
        <v>16958</v>
      </c>
    </row>
    <row r="5562" spans="31:32">
      <c r="AE5562" s="417" t="s">
        <v>16959</v>
      </c>
      <c r="AF5562" s="416" t="s">
        <v>16960</v>
      </c>
    </row>
    <row r="5563" spans="31:32">
      <c r="AE5563" s="417" t="s">
        <v>16961</v>
      </c>
      <c r="AF5563" s="416" t="s">
        <v>16962</v>
      </c>
    </row>
    <row r="5564" spans="31:32">
      <c r="AE5564" s="417" t="s">
        <v>16963</v>
      </c>
      <c r="AF5564" s="416" t="s">
        <v>16964</v>
      </c>
    </row>
    <row r="5565" spans="31:32">
      <c r="AE5565" s="417" t="s">
        <v>16965</v>
      </c>
      <c r="AF5565" s="416" t="s">
        <v>16966</v>
      </c>
    </row>
    <row r="5566" spans="31:32">
      <c r="AE5566" s="417" t="s">
        <v>16967</v>
      </c>
      <c r="AF5566" s="416" t="s">
        <v>16968</v>
      </c>
    </row>
    <row r="5567" spans="31:32">
      <c r="AE5567" s="417" t="s">
        <v>16969</v>
      </c>
      <c r="AF5567" s="416" t="s">
        <v>16970</v>
      </c>
    </row>
    <row r="5568" spans="31:32">
      <c r="AE5568" s="417" t="s">
        <v>16971</v>
      </c>
      <c r="AF5568" s="416" t="s">
        <v>16972</v>
      </c>
    </row>
    <row r="5569" spans="31:32">
      <c r="AE5569" s="417" t="s">
        <v>16973</v>
      </c>
      <c r="AF5569" s="416" t="s">
        <v>16974</v>
      </c>
    </row>
    <row r="5570" spans="31:32">
      <c r="AE5570" s="417" t="s">
        <v>16975</v>
      </c>
      <c r="AF5570" s="416" t="s">
        <v>16976</v>
      </c>
    </row>
    <row r="5571" spans="31:32">
      <c r="AE5571" s="417" t="s">
        <v>16977</v>
      </c>
      <c r="AF5571" s="416" t="s">
        <v>16978</v>
      </c>
    </row>
    <row r="5572" spans="31:32">
      <c r="AE5572" s="417" t="s">
        <v>16979</v>
      </c>
      <c r="AF5572" s="416" t="s">
        <v>16980</v>
      </c>
    </row>
    <row r="5573" spans="31:32">
      <c r="AE5573" s="417" t="s">
        <v>16981</v>
      </c>
      <c r="AF5573" s="416" t="s">
        <v>16982</v>
      </c>
    </row>
    <row r="5574" spans="31:32">
      <c r="AE5574" s="417" t="s">
        <v>16983</v>
      </c>
      <c r="AF5574" s="416" t="s">
        <v>16984</v>
      </c>
    </row>
    <row r="5575" spans="31:32">
      <c r="AE5575" s="417" t="s">
        <v>16985</v>
      </c>
      <c r="AF5575" s="416" t="s">
        <v>16986</v>
      </c>
    </row>
    <row r="5576" spans="31:32">
      <c r="AE5576" s="417" t="s">
        <v>16987</v>
      </c>
      <c r="AF5576" s="416" t="s">
        <v>16988</v>
      </c>
    </row>
    <row r="5577" spans="31:32">
      <c r="AE5577" s="417" t="s">
        <v>16989</v>
      </c>
      <c r="AF5577" s="416" t="s">
        <v>16990</v>
      </c>
    </row>
    <row r="5578" spans="31:32">
      <c r="AE5578" s="417" t="s">
        <v>16991</v>
      </c>
      <c r="AF5578" s="416" t="s">
        <v>16992</v>
      </c>
    </row>
    <row r="5579" spans="31:32">
      <c r="AE5579" s="417" t="s">
        <v>16993</v>
      </c>
      <c r="AF5579" s="416" t="s">
        <v>16994</v>
      </c>
    </row>
    <row r="5580" spans="31:32">
      <c r="AE5580" s="417" t="s">
        <v>16995</v>
      </c>
      <c r="AF5580" s="416" t="s">
        <v>16996</v>
      </c>
    </row>
    <row r="5581" spans="31:32">
      <c r="AE5581" s="417" t="s">
        <v>16997</v>
      </c>
      <c r="AF5581" s="416" t="s">
        <v>16998</v>
      </c>
    </row>
    <row r="5582" spans="31:32">
      <c r="AE5582" s="417" t="s">
        <v>16999</v>
      </c>
      <c r="AF5582" s="416" t="s">
        <v>17000</v>
      </c>
    </row>
    <row r="5583" spans="31:32">
      <c r="AE5583" s="417" t="s">
        <v>17001</v>
      </c>
      <c r="AF5583" s="416" t="s">
        <v>17002</v>
      </c>
    </row>
    <row r="5584" spans="31:32">
      <c r="AE5584" s="417" t="s">
        <v>17003</v>
      </c>
      <c r="AF5584" s="416" t="s">
        <v>17004</v>
      </c>
    </row>
    <row r="5585" spans="31:32">
      <c r="AE5585" s="417" t="s">
        <v>17005</v>
      </c>
      <c r="AF5585" s="416" t="s">
        <v>17006</v>
      </c>
    </row>
    <row r="5586" spans="31:32">
      <c r="AE5586" s="417" t="s">
        <v>17007</v>
      </c>
      <c r="AF5586" s="416" t="s">
        <v>17008</v>
      </c>
    </row>
    <row r="5587" spans="31:32">
      <c r="AE5587" s="417" t="s">
        <v>17009</v>
      </c>
      <c r="AF5587" s="416" t="s">
        <v>17010</v>
      </c>
    </row>
    <row r="5588" spans="31:32">
      <c r="AE5588" s="417" t="s">
        <v>17011</v>
      </c>
      <c r="AF5588" s="416" t="s">
        <v>17012</v>
      </c>
    </row>
    <row r="5589" spans="31:32">
      <c r="AE5589" s="417" t="s">
        <v>17013</v>
      </c>
      <c r="AF5589" s="416" t="s">
        <v>17014</v>
      </c>
    </row>
    <row r="5590" spans="31:32">
      <c r="AE5590" s="417" t="s">
        <v>17015</v>
      </c>
      <c r="AF5590" s="416" t="s">
        <v>17016</v>
      </c>
    </row>
    <row r="5591" spans="31:32">
      <c r="AE5591" s="417" t="s">
        <v>17017</v>
      </c>
      <c r="AF5591" s="416" t="s">
        <v>17018</v>
      </c>
    </row>
    <row r="5592" spans="31:32">
      <c r="AE5592" s="417" t="s">
        <v>17019</v>
      </c>
      <c r="AF5592" s="416" t="s">
        <v>17020</v>
      </c>
    </row>
    <row r="5593" spans="31:32">
      <c r="AE5593" s="417" t="s">
        <v>17021</v>
      </c>
      <c r="AF5593" s="416" t="s">
        <v>17022</v>
      </c>
    </row>
    <row r="5594" spans="31:32">
      <c r="AE5594" s="417" t="s">
        <v>17023</v>
      </c>
      <c r="AF5594" s="416" t="s">
        <v>17024</v>
      </c>
    </row>
    <row r="5595" spans="31:32">
      <c r="AE5595" s="417" t="s">
        <v>17025</v>
      </c>
      <c r="AF5595" s="416" t="s">
        <v>17026</v>
      </c>
    </row>
    <row r="5596" spans="31:32">
      <c r="AE5596" s="417" t="s">
        <v>17027</v>
      </c>
      <c r="AF5596" s="416" t="s">
        <v>17028</v>
      </c>
    </row>
    <row r="5597" spans="31:32">
      <c r="AE5597" s="417" t="s">
        <v>17029</v>
      </c>
      <c r="AF5597" s="416" t="s">
        <v>17030</v>
      </c>
    </row>
    <row r="5598" spans="31:32">
      <c r="AE5598" s="417" t="s">
        <v>17031</v>
      </c>
      <c r="AF5598" s="416" t="s">
        <v>17032</v>
      </c>
    </row>
    <row r="5599" spans="31:32">
      <c r="AE5599" s="417" t="s">
        <v>17033</v>
      </c>
      <c r="AF5599" s="416" t="s">
        <v>17034</v>
      </c>
    </row>
    <row r="5600" spans="31:32">
      <c r="AE5600" s="417" t="s">
        <v>17035</v>
      </c>
      <c r="AF5600" s="416" t="s">
        <v>15423</v>
      </c>
    </row>
    <row r="5601" spans="31:32">
      <c r="AE5601" s="417" t="s">
        <v>17036</v>
      </c>
      <c r="AF5601" s="416" t="s">
        <v>15423</v>
      </c>
    </row>
    <row r="5602" spans="31:32">
      <c r="AE5602" s="417" t="s">
        <v>17037</v>
      </c>
      <c r="AF5602" s="416" t="s">
        <v>17038</v>
      </c>
    </row>
    <row r="5603" spans="31:32">
      <c r="AE5603" s="417" t="s">
        <v>17039</v>
      </c>
      <c r="AF5603" s="416" t="s">
        <v>17040</v>
      </c>
    </row>
    <row r="5604" spans="31:32">
      <c r="AE5604" s="417" t="s">
        <v>17041</v>
      </c>
      <c r="AF5604" s="416" t="s">
        <v>17042</v>
      </c>
    </row>
    <row r="5605" spans="31:32">
      <c r="AE5605" s="417" t="s">
        <v>17043</v>
      </c>
      <c r="AF5605" s="416" t="s">
        <v>17044</v>
      </c>
    </row>
    <row r="5606" spans="31:32">
      <c r="AE5606" s="417" t="s">
        <v>17045</v>
      </c>
      <c r="AF5606" s="416" t="s">
        <v>17046</v>
      </c>
    </row>
    <row r="5607" spans="31:32">
      <c r="AE5607" s="417" t="s">
        <v>17047</v>
      </c>
      <c r="AF5607" s="416" t="s">
        <v>17048</v>
      </c>
    </row>
    <row r="5608" spans="31:32">
      <c r="AE5608" s="417" t="s">
        <v>17049</v>
      </c>
      <c r="AF5608" s="416" t="s">
        <v>17050</v>
      </c>
    </row>
    <row r="5609" spans="31:32">
      <c r="AE5609" s="417" t="s">
        <v>17051</v>
      </c>
      <c r="AF5609" s="416" t="s">
        <v>17052</v>
      </c>
    </row>
    <row r="5610" spans="31:32">
      <c r="AE5610" s="417" t="s">
        <v>17053</v>
      </c>
      <c r="AF5610" s="416" t="s">
        <v>16033</v>
      </c>
    </row>
    <row r="5611" spans="31:32">
      <c r="AE5611" s="417" t="s">
        <v>17054</v>
      </c>
      <c r="AF5611" s="416" t="s">
        <v>17055</v>
      </c>
    </row>
    <row r="5612" spans="31:32">
      <c r="AE5612" s="417" t="s">
        <v>17056</v>
      </c>
      <c r="AF5612" s="416" t="s">
        <v>17057</v>
      </c>
    </row>
    <row r="5613" spans="31:32">
      <c r="AE5613" s="417" t="s">
        <v>17058</v>
      </c>
      <c r="AF5613" s="416" t="s">
        <v>17059</v>
      </c>
    </row>
    <row r="5614" spans="31:32">
      <c r="AE5614" s="417" t="s">
        <v>17060</v>
      </c>
      <c r="AF5614" s="416" t="s">
        <v>17061</v>
      </c>
    </row>
    <row r="5615" spans="31:32">
      <c r="AE5615" s="417" t="s">
        <v>17062</v>
      </c>
      <c r="AF5615" s="416" t="s">
        <v>17063</v>
      </c>
    </row>
    <row r="5616" spans="31:32">
      <c r="AE5616" s="417" t="s">
        <v>17064</v>
      </c>
      <c r="AF5616" s="416" t="s">
        <v>17065</v>
      </c>
    </row>
    <row r="5617" spans="31:32">
      <c r="AE5617" s="417" t="s">
        <v>17066</v>
      </c>
      <c r="AF5617" s="416" t="s">
        <v>17067</v>
      </c>
    </row>
    <row r="5618" spans="31:32">
      <c r="AE5618" s="417" t="s">
        <v>17068</v>
      </c>
      <c r="AF5618" s="416" t="s">
        <v>16051</v>
      </c>
    </row>
    <row r="5619" spans="31:32">
      <c r="AE5619" s="417" t="s">
        <v>17069</v>
      </c>
      <c r="AF5619" s="416" t="s">
        <v>17070</v>
      </c>
    </row>
    <row r="5620" spans="31:32">
      <c r="AE5620" s="417" t="s">
        <v>17071</v>
      </c>
      <c r="AF5620" s="416" t="s">
        <v>17072</v>
      </c>
    </row>
    <row r="5621" spans="31:32">
      <c r="AE5621" s="417" t="s">
        <v>17073</v>
      </c>
      <c r="AF5621" s="416" t="s">
        <v>17074</v>
      </c>
    </row>
    <row r="5622" spans="31:32">
      <c r="AE5622" s="417" t="s">
        <v>17075</v>
      </c>
      <c r="AF5622" s="416" t="s">
        <v>17076</v>
      </c>
    </row>
    <row r="5623" spans="31:32">
      <c r="AE5623" s="417" t="s">
        <v>17077</v>
      </c>
      <c r="AF5623" s="416" t="s">
        <v>17078</v>
      </c>
    </row>
    <row r="5624" spans="31:32">
      <c r="AE5624" s="417" t="s">
        <v>17079</v>
      </c>
      <c r="AF5624" s="416" t="s">
        <v>17080</v>
      </c>
    </row>
    <row r="5625" spans="31:32">
      <c r="AE5625" s="417" t="s">
        <v>17081</v>
      </c>
      <c r="AF5625" s="416" t="s">
        <v>17082</v>
      </c>
    </row>
    <row r="5626" spans="31:32">
      <c r="AE5626" s="417" t="s">
        <v>17083</v>
      </c>
      <c r="AF5626" s="416" t="s">
        <v>17084</v>
      </c>
    </row>
    <row r="5627" spans="31:32">
      <c r="AE5627" s="417" t="s">
        <v>17085</v>
      </c>
      <c r="AF5627" s="416" t="s">
        <v>17086</v>
      </c>
    </row>
    <row r="5628" spans="31:32">
      <c r="AE5628" s="417" t="s">
        <v>17087</v>
      </c>
      <c r="AF5628" s="416" t="s">
        <v>17088</v>
      </c>
    </row>
    <row r="5629" spans="31:32">
      <c r="AE5629" s="417" t="s">
        <v>17089</v>
      </c>
      <c r="AF5629" s="416" t="s">
        <v>17090</v>
      </c>
    </row>
    <row r="5630" spans="31:32">
      <c r="AE5630" s="417" t="s">
        <v>17091</v>
      </c>
      <c r="AF5630" s="416" t="s">
        <v>17092</v>
      </c>
    </row>
    <row r="5631" spans="31:32">
      <c r="AE5631" s="417" t="s">
        <v>17093</v>
      </c>
      <c r="AF5631" s="416" t="s">
        <v>17094</v>
      </c>
    </row>
    <row r="5632" spans="31:32">
      <c r="AE5632" s="417" t="s">
        <v>17095</v>
      </c>
      <c r="AF5632" s="416" t="s">
        <v>17096</v>
      </c>
    </row>
    <row r="5633" spans="31:32">
      <c r="AE5633" s="417" t="s">
        <v>17097</v>
      </c>
      <c r="AF5633" s="416" t="s">
        <v>17098</v>
      </c>
    </row>
    <row r="5634" spans="31:32">
      <c r="AE5634" s="417" t="s">
        <v>17099</v>
      </c>
      <c r="AF5634" s="416" t="s">
        <v>17100</v>
      </c>
    </row>
    <row r="5635" spans="31:32">
      <c r="AE5635" s="417" t="s">
        <v>17101</v>
      </c>
      <c r="AF5635" s="416" t="s">
        <v>17102</v>
      </c>
    </row>
    <row r="5636" spans="31:32">
      <c r="AE5636" s="417" t="s">
        <v>17103</v>
      </c>
      <c r="AF5636" s="416" t="s">
        <v>17104</v>
      </c>
    </row>
    <row r="5637" spans="31:32">
      <c r="AE5637" s="417" t="s">
        <v>17105</v>
      </c>
      <c r="AF5637" s="416" t="s">
        <v>17106</v>
      </c>
    </row>
    <row r="5638" spans="31:32">
      <c r="AE5638" s="417" t="s">
        <v>17107</v>
      </c>
      <c r="AF5638" s="416" t="s">
        <v>17108</v>
      </c>
    </row>
    <row r="5639" spans="31:32">
      <c r="AE5639" s="417" t="s">
        <v>17109</v>
      </c>
      <c r="AF5639" s="416" t="s">
        <v>17110</v>
      </c>
    </row>
    <row r="5640" spans="31:32">
      <c r="AE5640" s="417" t="s">
        <v>17111</v>
      </c>
      <c r="AF5640" s="416" t="s">
        <v>17112</v>
      </c>
    </row>
    <row r="5641" spans="31:32">
      <c r="AE5641" s="417" t="s">
        <v>17113</v>
      </c>
      <c r="AF5641" s="416" t="s">
        <v>17114</v>
      </c>
    </row>
    <row r="5642" spans="31:32">
      <c r="AE5642" s="417" t="s">
        <v>17115</v>
      </c>
      <c r="AF5642" s="416" t="s">
        <v>17116</v>
      </c>
    </row>
    <row r="5643" spans="31:32">
      <c r="AE5643" s="417" t="s">
        <v>17117</v>
      </c>
      <c r="AF5643" s="416" t="s">
        <v>17118</v>
      </c>
    </row>
    <row r="5644" spans="31:32">
      <c r="AE5644" s="417" t="s">
        <v>17119</v>
      </c>
      <c r="AF5644" s="416" t="s">
        <v>17120</v>
      </c>
    </row>
    <row r="5645" spans="31:32">
      <c r="AE5645" s="417" t="s">
        <v>17121</v>
      </c>
      <c r="AF5645" s="416" t="s">
        <v>17122</v>
      </c>
    </row>
    <row r="5646" spans="31:32">
      <c r="AE5646" s="417" t="s">
        <v>17123</v>
      </c>
      <c r="AF5646" s="416" t="s">
        <v>17124</v>
      </c>
    </row>
    <row r="5647" spans="31:32">
      <c r="AE5647" s="417" t="s">
        <v>17125</v>
      </c>
      <c r="AF5647" s="416" t="s">
        <v>17126</v>
      </c>
    </row>
    <row r="5648" spans="31:32">
      <c r="AE5648" s="417" t="s">
        <v>17127</v>
      </c>
      <c r="AF5648" s="416" t="s">
        <v>17128</v>
      </c>
    </row>
    <row r="5649" spans="31:32">
      <c r="AE5649" s="417" t="s">
        <v>17129</v>
      </c>
      <c r="AF5649" s="416" t="s">
        <v>17130</v>
      </c>
    </row>
    <row r="5650" spans="31:32">
      <c r="AE5650" s="417" t="s">
        <v>17131</v>
      </c>
      <c r="AF5650" s="416" t="s">
        <v>17132</v>
      </c>
    </row>
    <row r="5651" spans="31:32">
      <c r="AE5651" s="417" t="s">
        <v>17133</v>
      </c>
      <c r="AF5651" s="416" t="s">
        <v>17134</v>
      </c>
    </row>
    <row r="5652" spans="31:32">
      <c r="AE5652" s="417" t="s">
        <v>17135</v>
      </c>
      <c r="AF5652" s="416" t="s">
        <v>17136</v>
      </c>
    </row>
    <row r="5653" spans="31:32">
      <c r="AE5653" s="417" t="s">
        <v>17137</v>
      </c>
      <c r="AF5653" s="416" t="s">
        <v>17138</v>
      </c>
    </row>
    <row r="5654" spans="31:32">
      <c r="AE5654" s="417" t="s">
        <v>17139</v>
      </c>
      <c r="AF5654" s="416" t="s">
        <v>10799</v>
      </c>
    </row>
    <row r="5655" spans="31:32">
      <c r="AE5655" s="417" t="s">
        <v>17140</v>
      </c>
      <c r="AF5655" s="416" t="s">
        <v>17141</v>
      </c>
    </row>
    <row r="5656" spans="31:32">
      <c r="AE5656" s="417" t="s">
        <v>17142</v>
      </c>
      <c r="AF5656" s="416" t="s">
        <v>17143</v>
      </c>
    </row>
    <row r="5657" spans="31:32">
      <c r="AE5657" s="417" t="s">
        <v>17144</v>
      </c>
      <c r="AF5657" s="416" t="s">
        <v>17145</v>
      </c>
    </row>
    <row r="5658" spans="31:32">
      <c r="AE5658" s="417" t="s">
        <v>17146</v>
      </c>
      <c r="AF5658" s="416" t="s">
        <v>17147</v>
      </c>
    </row>
    <row r="5659" spans="31:32">
      <c r="AE5659" s="417" t="s">
        <v>17148</v>
      </c>
      <c r="AF5659" s="416" t="s">
        <v>17149</v>
      </c>
    </row>
    <row r="5660" spans="31:32">
      <c r="AE5660" s="417" t="s">
        <v>17150</v>
      </c>
      <c r="AF5660" s="416" t="s">
        <v>17151</v>
      </c>
    </row>
    <row r="5661" spans="31:32">
      <c r="AE5661" s="417" t="s">
        <v>17152</v>
      </c>
      <c r="AF5661" s="416" t="s">
        <v>17153</v>
      </c>
    </row>
    <row r="5662" spans="31:32">
      <c r="AE5662" s="417" t="s">
        <v>17154</v>
      </c>
      <c r="AF5662" s="416" t="s">
        <v>17155</v>
      </c>
    </row>
    <row r="5663" spans="31:32">
      <c r="AE5663" s="417" t="s">
        <v>17156</v>
      </c>
      <c r="AF5663" s="416" t="s">
        <v>17157</v>
      </c>
    </row>
    <row r="5664" spans="31:32">
      <c r="AE5664" s="417" t="s">
        <v>17158</v>
      </c>
      <c r="AF5664" s="416" t="s">
        <v>17159</v>
      </c>
    </row>
    <row r="5665" spans="31:32">
      <c r="AE5665" s="417" t="s">
        <v>17160</v>
      </c>
      <c r="AF5665" s="416" t="s">
        <v>17161</v>
      </c>
    </row>
    <row r="5666" spans="31:32">
      <c r="AE5666" s="417" t="s">
        <v>17162</v>
      </c>
      <c r="AF5666" s="416" t="s">
        <v>17163</v>
      </c>
    </row>
    <row r="5667" spans="31:32">
      <c r="AE5667" s="417" t="s">
        <v>17164</v>
      </c>
      <c r="AF5667" s="416" t="s">
        <v>17165</v>
      </c>
    </row>
    <row r="5668" spans="31:32">
      <c r="AE5668" s="417" t="s">
        <v>17166</v>
      </c>
      <c r="AF5668" s="416" t="s">
        <v>17167</v>
      </c>
    </row>
    <row r="5669" spans="31:32">
      <c r="AE5669" s="417" t="s">
        <v>17168</v>
      </c>
      <c r="AF5669" s="416" t="s">
        <v>17169</v>
      </c>
    </row>
    <row r="5670" spans="31:32">
      <c r="AE5670" s="417" t="s">
        <v>17170</v>
      </c>
      <c r="AF5670" s="416" t="s">
        <v>17171</v>
      </c>
    </row>
    <row r="5671" spans="31:32">
      <c r="AE5671" s="417" t="s">
        <v>17172</v>
      </c>
      <c r="AF5671" s="416" t="s">
        <v>17173</v>
      </c>
    </row>
    <row r="5672" spans="31:32">
      <c r="AE5672" s="417" t="s">
        <v>17174</v>
      </c>
      <c r="AF5672" s="416" t="s">
        <v>17175</v>
      </c>
    </row>
    <row r="5673" spans="31:32">
      <c r="AE5673" s="417" t="s">
        <v>17176</v>
      </c>
      <c r="AF5673" s="416" t="s">
        <v>17177</v>
      </c>
    </row>
    <row r="5674" spans="31:32">
      <c r="AE5674" s="417" t="s">
        <v>17178</v>
      </c>
      <c r="AF5674" s="416" t="s">
        <v>17179</v>
      </c>
    </row>
    <row r="5675" spans="31:32">
      <c r="AE5675" s="417" t="s">
        <v>17180</v>
      </c>
      <c r="AF5675" s="416" t="s">
        <v>17181</v>
      </c>
    </row>
    <row r="5676" spans="31:32">
      <c r="AE5676" s="417" t="s">
        <v>17182</v>
      </c>
      <c r="AF5676" s="416" t="s">
        <v>17183</v>
      </c>
    </row>
    <row r="5677" spans="31:32">
      <c r="AE5677" s="417" t="s">
        <v>17184</v>
      </c>
      <c r="AF5677" s="416" t="s">
        <v>17185</v>
      </c>
    </row>
    <row r="5678" spans="31:32">
      <c r="AE5678" s="417" t="s">
        <v>17186</v>
      </c>
      <c r="AF5678" s="416" t="s">
        <v>17187</v>
      </c>
    </row>
    <row r="5679" spans="31:32">
      <c r="AE5679" s="417" t="s">
        <v>17188</v>
      </c>
      <c r="AF5679" s="416" t="s">
        <v>17189</v>
      </c>
    </row>
    <row r="5680" spans="31:32">
      <c r="AE5680" s="417" t="s">
        <v>17190</v>
      </c>
      <c r="AF5680" s="416" t="s">
        <v>17191</v>
      </c>
    </row>
    <row r="5681" spans="31:32">
      <c r="AE5681" s="417" t="s">
        <v>17192</v>
      </c>
      <c r="AF5681" s="416" t="s">
        <v>17193</v>
      </c>
    </row>
    <row r="5682" spans="31:32">
      <c r="AE5682" s="417" t="s">
        <v>17194</v>
      </c>
      <c r="AF5682" s="416" t="s">
        <v>17195</v>
      </c>
    </row>
    <row r="5683" spans="31:32">
      <c r="AE5683" s="417" t="s">
        <v>17196</v>
      </c>
      <c r="AF5683" s="416" t="s">
        <v>17197</v>
      </c>
    </row>
    <row r="5684" spans="31:32">
      <c r="AE5684" s="417" t="s">
        <v>17198</v>
      </c>
      <c r="AF5684" s="416" t="s">
        <v>17199</v>
      </c>
    </row>
    <row r="5685" spans="31:32">
      <c r="AE5685" s="417" t="s">
        <v>17200</v>
      </c>
      <c r="AF5685" s="416" t="s">
        <v>17201</v>
      </c>
    </row>
    <row r="5686" spans="31:32">
      <c r="AE5686" s="417" t="s">
        <v>17202</v>
      </c>
      <c r="AF5686" s="416" t="s">
        <v>17203</v>
      </c>
    </row>
    <row r="5687" spans="31:32">
      <c r="AE5687" s="417" t="s">
        <v>17204</v>
      </c>
      <c r="AF5687" s="416" t="s">
        <v>17205</v>
      </c>
    </row>
    <row r="5688" spans="31:32">
      <c r="AE5688" s="417" t="s">
        <v>17206</v>
      </c>
      <c r="AF5688" s="416" t="s">
        <v>17207</v>
      </c>
    </row>
    <row r="5689" spans="31:32">
      <c r="AE5689" s="417" t="s">
        <v>17208</v>
      </c>
      <c r="AF5689" s="416" t="s">
        <v>17209</v>
      </c>
    </row>
    <row r="5690" spans="31:32">
      <c r="AE5690" s="417" t="s">
        <v>17210</v>
      </c>
      <c r="AF5690" s="416" t="s">
        <v>17211</v>
      </c>
    </row>
    <row r="5691" spans="31:32">
      <c r="AE5691" s="417" t="s">
        <v>17212</v>
      </c>
      <c r="AF5691" s="416" t="s">
        <v>17213</v>
      </c>
    </row>
    <row r="5692" spans="31:32">
      <c r="AE5692" s="417" t="s">
        <v>17214</v>
      </c>
      <c r="AF5692" s="416" t="s">
        <v>17215</v>
      </c>
    </row>
    <row r="5693" spans="31:32">
      <c r="AE5693" s="417" t="s">
        <v>17216</v>
      </c>
      <c r="AF5693" s="416" t="s">
        <v>17217</v>
      </c>
    </row>
    <row r="5694" spans="31:32">
      <c r="AE5694" s="417" t="s">
        <v>17218</v>
      </c>
      <c r="AF5694" s="416" t="s">
        <v>17219</v>
      </c>
    </row>
    <row r="5695" spans="31:32">
      <c r="AE5695" s="417" t="s">
        <v>17220</v>
      </c>
      <c r="AF5695" s="416" t="s">
        <v>17221</v>
      </c>
    </row>
    <row r="5696" spans="31:32">
      <c r="AE5696" s="417" t="s">
        <v>17222</v>
      </c>
      <c r="AF5696" s="416" t="s">
        <v>17223</v>
      </c>
    </row>
    <row r="5697" spans="31:32">
      <c r="AE5697" s="417" t="s">
        <v>17224</v>
      </c>
      <c r="AF5697" s="416" t="s">
        <v>17225</v>
      </c>
    </row>
    <row r="5698" spans="31:32">
      <c r="AE5698" s="417" t="s">
        <v>17226</v>
      </c>
      <c r="AF5698" s="416" t="s">
        <v>17227</v>
      </c>
    </row>
    <row r="5699" spans="31:32">
      <c r="AE5699" s="417" t="s">
        <v>17228</v>
      </c>
      <c r="AF5699" s="416" t="s">
        <v>17229</v>
      </c>
    </row>
    <row r="5700" spans="31:32">
      <c r="AE5700" s="417" t="s">
        <v>17230</v>
      </c>
      <c r="AF5700" s="416" t="s">
        <v>16023</v>
      </c>
    </row>
    <row r="5701" spans="31:32">
      <c r="AE5701" s="417" t="s">
        <v>17231</v>
      </c>
      <c r="AF5701" s="416" t="s">
        <v>17232</v>
      </c>
    </row>
    <row r="5702" spans="31:32">
      <c r="AE5702" s="417" t="s">
        <v>17233</v>
      </c>
      <c r="AF5702" s="416" t="s">
        <v>17234</v>
      </c>
    </row>
    <row r="5703" spans="31:32">
      <c r="AE5703" s="417" t="s">
        <v>17235</v>
      </c>
      <c r="AF5703" s="416" t="s">
        <v>17236</v>
      </c>
    </row>
    <row r="5704" spans="31:32">
      <c r="AE5704" s="417" t="s">
        <v>17237</v>
      </c>
      <c r="AF5704" s="416" t="s">
        <v>17238</v>
      </c>
    </row>
    <row r="5705" spans="31:32">
      <c r="AE5705" s="417" t="s">
        <v>17239</v>
      </c>
      <c r="AF5705" s="416" t="s">
        <v>17240</v>
      </c>
    </row>
    <row r="5706" spans="31:32">
      <c r="AE5706" s="417" t="s">
        <v>17241</v>
      </c>
      <c r="AF5706" s="416" t="s">
        <v>17242</v>
      </c>
    </row>
    <row r="5707" spans="31:32">
      <c r="AE5707" s="417" t="s">
        <v>17243</v>
      </c>
      <c r="AF5707" s="416" t="s">
        <v>17244</v>
      </c>
    </row>
    <row r="5708" spans="31:32">
      <c r="AE5708" s="417" t="s">
        <v>17245</v>
      </c>
      <c r="AF5708" s="416" t="s">
        <v>17246</v>
      </c>
    </row>
    <row r="5709" spans="31:32">
      <c r="AE5709" s="417" t="s">
        <v>17247</v>
      </c>
      <c r="AF5709" s="416" t="s">
        <v>17248</v>
      </c>
    </row>
    <row r="5710" spans="31:32">
      <c r="AE5710" s="417" t="s">
        <v>17249</v>
      </c>
      <c r="AF5710" s="416" t="s">
        <v>17250</v>
      </c>
    </row>
    <row r="5711" spans="31:32">
      <c r="AE5711" s="417" t="s">
        <v>17251</v>
      </c>
      <c r="AF5711" s="416" t="s">
        <v>16078</v>
      </c>
    </row>
    <row r="5712" spans="31:32">
      <c r="AE5712" s="417" t="s">
        <v>17252</v>
      </c>
      <c r="AF5712" s="416" t="s">
        <v>17253</v>
      </c>
    </row>
    <row r="5713" spans="31:32">
      <c r="AE5713" s="417" t="s">
        <v>17254</v>
      </c>
      <c r="AF5713" s="416" t="s">
        <v>17255</v>
      </c>
    </row>
    <row r="5714" spans="31:32">
      <c r="AE5714" s="417" t="s">
        <v>17256</v>
      </c>
      <c r="AF5714" s="416" t="s">
        <v>17257</v>
      </c>
    </row>
    <row r="5715" spans="31:32">
      <c r="AE5715" s="417" t="s">
        <v>17258</v>
      </c>
      <c r="AF5715" s="416" t="s">
        <v>17259</v>
      </c>
    </row>
    <row r="5716" spans="31:32">
      <c r="AE5716" s="417" t="s">
        <v>17260</v>
      </c>
      <c r="AF5716" s="416" t="s">
        <v>17261</v>
      </c>
    </row>
    <row r="5717" spans="31:32">
      <c r="AE5717" s="417" t="s">
        <v>17262</v>
      </c>
      <c r="AF5717" s="416" t="s">
        <v>17263</v>
      </c>
    </row>
    <row r="5718" spans="31:32">
      <c r="AE5718" s="417" t="s">
        <v>17264</v>
      </c>
      <c r="AF5718" s="416" t="s">
        <v>17265</v>
      </c>
    </row>
    <row r="5719" spans="31:32">
      <c r="AE5719" s="417" t="s">
        <v>17266</v>
      </c>
      <c r="AF5719" s="416" t="s">
        <v>17267</v>
      </c>
    </row>
    <row r="5720" spans="31:32">
      <c r="AE5720" s="417" t="s">
        <v>17268</v>
      </c>
      <c r="AF5720" s="416" t="s">
        <v>17269</v>
      </c>
    </row>
    <row r="5721" spans="31:32">
      <c r="AE5721" s="417" t="s">
        <v>17270</v>
      </c>
      <c r="AF5721" s="416" t="s">
        <v>17271</v>
      </c>
    </row>
    <row r="5722" spans="31:32">
      <c r="AE5722" s="417" t="s">
        <v>17272</v>
      </c>
      <c r="AF5722" s="416" t="s">
        <v>17273</v>
      </c>
    </row>
    <row r="5723" spans="31:32">
      <c r="AE5723" s="417" t="s">
        <v>17274</v>
      </c>
      <c r="AF5723" s="416" t="s">
        <v>17275</v>
      </c>
    </row>
    <row r="5724" spans="31:32">
      <c r="AE5724" s="417" t="s">
        <v>17276</v>
      </c>
      <c r="AF5724" s="416" t="s">
        <v>17277</v>
      </c>
    </row>
    <row r="5725" spans="31:32">
      <c r="AE5725" s="417" t="s">
        <v>17278</v>
      </c>
      <c r="AF5725" s="416" t="s">
        <v>17279</v>
      </c>
    </row>
    <row r="5726" spans="31:32">
      <c r="AE5726" s="417" t="s">
        <v>17280</v>
      </c>
      <c r="AF5726" s="416" t="s">
        <v>17281</v>
      </c>
    </row>
    <row r="5727" spans="31:32">
      <c r="AE5727" s="417" t="s">
        <v>17282</v>
      </c>
      <c r="AF5727" s="416" t="s">
        <v>17283</v>
      </c>
    </row>
    <row r="5728" spans="31:32">
      <c r="AE5728" s="417" t="s">
        <v>17284</v>
      </c>
      <c r="AF5728" s="416" t="s">
        <v>17285</v>
      </c>
    </row>
    <row r="5729" spans="31:32">
      <c r="AE5729" s="417" t="s">
        <v>17286</v>
      </c>
      <c r="AF5729" s="416" t="s">
        <v>17287</v>
      </c>
    </row>
    <row r="5730" spans="31:32">
      <c r="AE5730" s="417" t="s">
        <v>17288</v>
      </c>
      <c r="AF5730" s="416" t="s">
        <v>17289</v>
      </c>
    </row>
    <row r="5731" spans="31:32">
      <c r="AE5731" s="417" t="s">
        <v>17290</v>
      </c>
      <c r="AF5731" s="416" t="s">
        <v>17291</v>
      </c>
    </row>
    <row r="5732" spans="31:32">
      <c r="AE5732" s="417" t="s">
        <v>17292</v>
      </c>
      <c r="AF5732" s="416" t="s">
        <v>17293</v>
      </c>
    </row>
    <row r="5733" spans="31:32">
      <c r="AE5733" s="417" t="s">
        <v>17294</v>
      </c>
      <c r="AF5733" s="416" t="s">
        <v>17295</v>
      </c>
    </row>
    <row r="5734" spans="31:32">
      <c r="AE5734" s="417" t="s">
        <v>17296</v>
      </c>
      <c r="AF5734" s="416" t="s">
        <v>17297</v>
      </c>
    </row>
    <row r="5735" spans="31:32">
      <c r="AE5735" s="417" t="s">
        <v>17298</v>
      </c>
      <c r="AF5735" s="416" t="s">
        <v>17299</v>
      </c>
    </row>
    <row r="5736" spans="31:32">
      <c r="AE5736" s="417" t="s">
        <v>17300</v>
      </c>
      <c r="AF5736" s="416" t="s">
        <v>17301</v>
      </c>
    </row>
    <row r="5737" spans="31:32">
      <c r="AE5737" s="417" t="s">
        <v>17302</v>
      </c>
      <c r="AF5737" s="416" t="s">
        <v>17303</v>
      </c>
    </row>
    <row r="5738" spans="31:32">
      <c r="AE5738" s="417" t="s">
        <v>17304</v>
      </c>
      <c r="AF5738" s="416" t="s">
        <v>17305</v>
      </c>
    </row>
    <row r="5739" spans="31:32">
      <c r="AE5739" s="417" t="s">
        <v>17306</v>
      </c>
      <c r="AF5739" s="416" t="s">
        <v>17307</v>
      </c>
    </row>
    <row r="5740" spans="31:32">
      <c r="AE5740" s="417" t="s">
        <v>17308</v>
      </c>
      <c r="AF5740" s="416" t="s">
        <v>17309</v>
      </c>
    </row>
    <row r="5741" spans="31:32">
      <c r="AE5741" s="417" t="s">
        <v>17310</v>
      </c>
      <c r="AF5741" s="416" t="s">
        <v>17311</v>
      </c>
    </row>
    <row r="5742" spans="31:32">
      <c r="AE5742" s="417" t="s">
        <v>17312</v>
      </c>
      <c r="AF5742" s="416" t="s">
        <v>17313</v>
      </c>
    </row>
    <row r="5743" spans="31:32">
      <c r="AE5743" s="417" t="s">
        <v>17314</v>
      </c>
      <c r="AF5743" s="416" t="s">
        <v>17315</v>
      </c>
    </row>
    <row r="5744" spans="31:32">
      <c r="AE5744" s="417" t="s">
        <v>17316</v>
      </c>
      <c r="AF5744" s="416" t="s">
        <v>17317</v>
      </c>
    </row>
    <row r="5745" spans="31:32">
      <c r="AE5745" s="417" t="s">
        <v>17318</v>
      </c>
      <c r="AF5745" s="416" t="s">
        <v>17319</v>
      </c>
    </row>
    <row r="5746" spans="31:32">
      <c r="AE5746" s="417" t="s">
        <v>17320</v>
      </c>
      <c r="AF5746" s="416" t="s">
        <v>17321</v>
      </c>
    </row>
    <row r="5747" spans="31:32">
      <c r="AE5747" s="417" t="s">
        <v>17322</v>
      </c>
      <c r="AF5747" s="416" t="s">
        <v>17323</v>
      </c>
    </row>
    <row r="5748" spans="31:32">
      <c r="AE5748" s="417" t="s">
        <v>17324</v>
      </c>
      <c r="AF5748" s="416" t="s">
        <v>17325</v>
      </c>
    </row>
    <row r="5749" spans="31:32">
      <c r="AE5749" s="417" t="s">
        <v>17326</v>
      </c>
      <c r="AF5749" s="416" t="s">
        <v>17327</v>
      </c>
    </row>
    <row r="5750" spans="31:32">
      <c r="AE5750" s="417" t="s">
        <v>17328</v>
      </c>
      <c r="AF5750" s="416" t="s">
        <v>17329</v>
      </c>
    </row>
    <row r="5751" spans="31:32">
      <c r="AE5751" s="417" t="s">
        <v>17330</v>
      </c>
      <c r="AF5751" s="416" t="s">
        <v>17331</v>
      </c>
    </row>
    <row r="5752" spans="31:32">
      <c r="AE5752" s="417" t="s">
        <v>17332</v>
      </c>
      <c r="AF5752" s="416" t="s">
        <v>17333</v>
      </c>
    </row>
    <row r="5753" spans="31:32">
      <c r="AE5753" s="417" t="s">
        <v>17334</v>
      </c>
      <c r="AF5753" s="416" t="s">
        <v>17335</v>
      </c>
    </row>
    <row r="5754" spans="31:32">
      <c r="AE5754" s="417" t="s">
        <v>17336</v>
      </c>
      <c r="AF5754" s="416" t="s">
        <v>17337</v>
      </c>
    </row>
    <row r="5755" spans="31:32">
      <c r="AE5755" s="417" t="s">
        <v>17338</v>
      </c>
      <c r="AF5755" s="416" t="s">
        <v>17339</v>
      </c>
    </row>
    <row r="5756" spans="31:32">
      <c r="AE5756" s="417" t="s">
        <v>17340</v>
      </c>
      <c r="AF5756" s="416" t="s">
        <v>17341</v>
      </c>
    </row>
    <row r="5757" spans="31:32">
      <c r="AE5757" s="417" t="s">
        <v>17342</v>
      </c>
      <c r="AF5757" s="416" t="s">
        <v>17343</v>
      </c>
    </row>
    <row r="5758" spans="31:32">
      <c r="AE5758" s="417" t="s">
        <v>17344</v>
      </c>
      <c r="AF5758" s="416" t="s">
        <v>17345</v>
      </c>
    </row>
    <row r="5759" spans="31:32">
      <c r="AE5759" s="417" t="s">
        <v>17346</v>
      </c>
      <c r="AF5759" s="416" t="s">
        <v>17347</v>
      </c>
    </row>
    <row r="5760" spans="31:32">
      <c r="AE5760" s="417" t="s">
        <v>17348</v>
      </c>
      <c r="AF5760" s="416" t="s">
        <v>17349</v>
      </c>
    </row>
    <row r="5761" spans="31:32">
      <c r="AE5761" s="417" t="s">
        <v>17350</v>
      </c>
      <c r="AF5761" s="416" t="s">
        <v>17351</v>
      </c>
    </row>
    <row r="5762" spans="31:32">
      <c r="AE5762" s="417" t="s">
        <v>17352</v>
      </c>
      <c r="AF5762" s="416" t="s">
        <v>17353</v>
      </c>
    </row>
    <row r="5763" spans="31:32">
      <c r="AE5763" s="417" t="s">
        <v>17354</v>
      </c>
      <c r="AF5763" s="416" t="s">
        <v>17355</v>
      </c>
    </row>
    <row r="5764" spans="31:32">
      <c r="AE5764" s="417" t="s">
        <v>17356</v>
      </c>
      <c r="AF5764" s="416" t="s">
        <v>17357</v>
      </c>
    </row>
    <row r="5765" spans="31:32">
      <c r="AE5765" s="417" t="s">
        <v>17358</v>
      </c>
      <c r="AF5765" s="416" t="s">
        <v>17359</v>
      </c>
    </row>
    <row r="5766" spans="31:32">
      <c r="AE5766" s="417" t="s">
        <v>17360</v>
      </c>
      <c r="AF5766" s="416" t="s">
        <v>17361</v>
      </c>
    </row>
    <row r="5767" spans="31:32">
      <c r="AE5767" s="417" t="s">
        <v>17362</v>
      </c>
      <c r="AF5767" s="416" t="s">
        <v>17363</v>
      </c>
    </row>
    <row r="5768" spans="31:32">
      <c r="AE5768" s="417" t="s">
        <v>17364</v>
      </c>
      <c r="AF5768" s="416" t="s">
        <v>17365</v>
      </c>
    </row>
    <row r="5769" spans="31:32">
      <c r="AE5769" s="417" t="s">
        <v>17366</v>
      </c>
      <c r="AF5769" s="416" t="s">
        <v>17367</v>
      </c>
    </row>
    <row r="5770" spans="31:32">
      <c r="AE5770" s="417" t="s">
        <v>17368</v>
      </c>
      <c r="AF5770" s="416" t="s">
        <v>17369</v>
      </c>
    </row>
    <row r="5771" spans="31:32">
      <c r="AE5771" s="417" t="s">
        <v>17370</v>
      </c>
      <c r="AF5771" s="416" t="s">
        <v>17371</v>
      </c>
    </row>
    <row r="5772" spans="31:32">
      <c r="AE5772" s="417" t="s">
        <v>17372</v>
      </c>
      <c r="AF5772" s="416" t="s">
        <v>17373</v>
      </c>
    </row>
    <row r="5773" spans="31:32">
      <c r="AE5773" s="417" t="s">
        <v>17374</v>
      </c>
      <c r="AF5773" s="416" t="s">
        <v>17375</v>
      </c>
    </row>
    <row r="5774" spans="31:32">
      <c r="AE5774" s="417" t="s">
        <v>17376</v>
      </c>
      <c r="AF5774" s="416" t="s">
        <v>17377</v>
      </c>
    </row>
    <row r="5775" spans="31:32">
      <c r="AE5775" s="417" t="s">
        <v>17378</v>
      </c>
      <c r="AF5775" s="416" t="s">
        <v>17379</v>
      </c>
    </row>
    <row r="5776" spans="31:32">
      <c r="AE5776" s="417" t="s">
        <v>17380</v>
      </c>
      <c r="AF5776" s="416" t="s">
        <v>17381</v>
      </c>
    </row>
    <row r="5777" spans="31:32">
      <c r="AE5777" s="417" t="s">
        <v>17382</v>
      </c>
      <c r="AF5777" s="416" t="s">
        <v>17383</v>
      </c>
    </row>
    <row r="5778" spans="31:32">
      <c r="AE5778" s="417" t="s">
        <v>17384</v>
      </c>
      <c r="AF5778" s="416" t="s">
        <v>17385</v>
      </c>
    </row>
    <row r="5779" spans="31:32">
      <c r="AE5779" s="417" t="s">
        <v>17386</v>
      </c>
      <c r="AF5779" s="416" t="s">
        <v>17387</v>
      </c>
    </row>
    <row r="5780" spans="31:32">
      <c r="AE5780" s="417" t="s">
        <v>17388</v>
      </c>
      <c r="AF5780" s="416" t="s">
        <v>17389</v>
      </c>
    </row>
    <row r="5781" spans="31:32">
      <c r="AE5781" s="417" t="s">
        <v>17390</v>
      </c>
      <c r="AF5781" s="416" t="s">
        <v>17391</v>
      </c>
    </row>
    <row r="5782" spans="31:32">
      <c r="AE5782" s="417" t="s">
        <v>17392</v>
      </c>
      <c r="AF5782" s="416" t="s">
        <v>17393</v>
      </c>
    </row>
    <row r="5783" spans="31:32">
      <c r="AE5783" s="417" t="s">
        <v>17394</v>
      </c>
      <c r="AF5783" s="416" t="s">
        <v>17395</v>
      </c>
    </row>
    <row r="5784" spans="31:32">
      <c r="AE5784" s="417" t="s">
        <v>17396</v>
      </c>
      <c r="AF5784" s="416" t="s">
        <v>17397</v>
      </c>
    </row>
    <row r="5785" spans="31:32">
      <c r="AE5785" s="417" t="s">
        <v>17398</v>
      </c>
      <c r="AF5785" s="416" t="s">
        <v>17399</v>
      </c>
    </row>
    <row r="5786" spans="31:32">
      <c r="AE5786" s="417" t="s">
        <v>17400</v>
      </c>
      <c r="AF5786" s="416" t="s">
        <v>17401</v>
      </c>
    </row>
    <row r="5787" spans="31:32">
      <c r="AE5787" s="417" t="s">
        <v>17402</v>
      </c>
      <c r="AF5787" s="416" t="s">
        <v>17403</v>
      </c>
    </row>
    <row r="5788" spans="31:32">
      <c r="AE5788" s="417" t="s">
        <v>17404</v>
      </c>
      <c r="AF5788" s="416" t="s">
        <v>17405</v>
      </c>
    </row>
    <row r="5789" spans="31:32">
      <c r="AE5789" s="417" t="s">
        <v>17406</v>
      </c>
      <c r="AF5789" s="416" t="s">
        <v>17407</v>
      </c>
    </row>
    <row r="5790" spans="31:32">
      <c r="AE5790" s="417" t="s">
        <v>17408</v>
      </c>
      <c r="AF5790" s="416" t="s">
        <v>17409</v>
      </c>
    </row>
    <row r="5791" spans="31:32">
      <c r="AE5791" s="417" t="s">
        <v>17410</v>
      </c>
      <c r="AF5791" s="416" t="s">
        <v>17411</v>
      </c>
    </row>
    <row r="5792" spans="31:32">
      <c r="AE5792" s="417" t="s">
        <v>17412</v>
      </c>
      <c r="AF5792" s="416" t="s">
        <v>17413</v>
      </c>
    </row>
    <row r="5793" spans="31:32">
      <c r="AE5793" s="417" t="s">
        <v>17414</v>
      </c>
      <c r="AF5793" s="416" t="s">
        <v>17415</v>
      </c>
    </row>
    <row r="5794" spans="31:32">
      <c r="AE5794" s="417" t="s">
        <v>17416</v>
      </c>
      <c r="AF5794" s="416" t="s">
        <v>17417</v>
      </c>
    </row>
    <row r="5795" spans="31:32">
      <c r="AE5795" s="417" t="s">
        <v>17418</v>
      </c>
      <c r="AF5795" s="416" t="s">
        <v>17419</v>
      </c>
    </row>
    <row r="5796" spans="31:32">
      <c r="AE5796" s="417" t="s">
        <v>17420</v>
      </c>
      <c r="AF5796" s="416" t="s">
        <v>17421</v>
      </c>
    </row>
    <row r="5797" spans="31:32">
      <c r="AE5797" s="417" t="s">
        <v>17422</v>
      </c>
      <c r="AF5797" s="416" t="s">
        <v>17423</v>
      </c>
    </row>
    <row r="5798" spans="31:32">
      <c r="AE5798" s="417" t="s">
        <v>17424</v>
      </c>
      <c r="AF5798" s="416" t="s">
        <v>17425</v>
      </c>
    </row>
    <row r="5799" spans="31:32">
      <c r="AE5799" s="417" t="s">
        <v>17426</v>
      </c>
      <c r="AF5799" s="416" t="s">
        <v>17427</v>
      </c>
    </row>
    <row r="5800" spans="31:32">
      <c r="AE5800" s="417" t="s">
        <v>17428</v>
      </c>
      <c r="AF5800" s="416" t="s">
        <v>17429</v>
      </c>
    </row>
    <row r="5801" spans="31:32">
      <c r="AE5801" s="417" t="s">
        <v>17430</v>
      </c>
      <c r="AF5801" s="416" t="s">
        <v>17431</v>
      </c>
    </row>
    <row r="5802" spans="31:32">
      <c r="AE5802" s="417" t="s">
        <v>17432</v>
      </c>
      <c r="AF5802" s="416" t="s">
        <v>17433</v>
      </c>
    </row>
    <row r="5803" spans="31:32">
      <c r="AE5803" s="417" t="s">
        <v>17434</v>
      </c>
      <c r="AF5803" s="416" t="s">
        <v>17435</v>
      </c>
    </row>
    <row r="5804" spans="31:32">
      <c r="AE5804" s="417" t="s">
        <v>17436</v>
      </c>
      <c r="AF5804" s="416" t="s">
        <v>17437</v>
      </c>
    </row>
    <row r="5805" spans="31:32">
      <c r="AE5805" s="417" t="s">
        <v>17438</v>
      </c>
      <c r="AF5805" s="416" t="s">
        <v>17439</v>
      </c>
    </row>
    <row r="5806" spans="31:32">
      <c r="AE5806" s="417" t="s">
        <v>17440</v>
      </c>
      <c r="AF5806" s="416" t="s">
        <v>17441</v>
      </c>
    </row>
    <row r="5807" spans="31:32">
      <c r="AE5807" s="417" t="s">
        <v>17442</v>
      </c>
      <c r="AF5807" s="416" t="s">
        <v>17443</v>
      </c>
    </row>
    <row r="5808" spans="31:32">
      <c r="AE5808" s="417" t="s">
        <v>17444</v>
      </c>
      <c r="AF5808" s="416" t="s">
        <v>17445</v>
      </c>
    </row>
    <row r="5809" spans="31:32">
      <c r="AE5809" s="417" t="s">
        <v>17446</v>
      </c>
      <c r="AF5809" s="416" t="s">
        <v>17447</v>
      </c>
    </row>
    <row r="5810" spans="31:32">
      <c r="AE5810" s="417" t="s">
        <v>17448</v>
      </c>
      <c r="AF5810" s="416" t="s">
        <v>17449</v>
      </c>
    </row>
    <row r="5811" spans="31:32">
      <c r="AE5811" s="417" t="s">
        <v>17450</v>
      </c>
      <c r="AF5811" s="416" t="s">
        <v>17451</v>
      </c>
    </row>
    <row r="5812" spans="31:32">
      <c r="AE5812" s="417" t="s">
        <v>17452</v>
      </c>
      <c r="AF5812" s="416" t="s">
        <v>17453</v>
      </c>
    </row>
    <row r="5813" spans="31:32">
      <c r="AE5813" s="417" t="s">
        <v>17454</v>
      </c>
      <c r="AF5813" s="416" t="s">
        <v>17455</v>
      </c>
    </row>
    <row r="5814" spans="31:32">
      <c r="AE5814" s="417" t="s">
        <v>17456</v>
      </c>
      <c r="AF5814" s="416" t="s">
        <v>17457</v>
      </c>
    </row>
    <row r="5815" spans="31:32">
      <c r="AE5815" s="417" t="s">
        <v>17458</v>
      </c>
      <c r="AF5815" s="416" t="s">
        <v>17459</v>
      </c>
    </row>
    <row r="5816" spans="31:32">
      <c r="AE5816" s="417" t="s">
        <v>17460</v>
      </c>
      <c r="AF5816" s="416" t="s">
        <v>17461</v>
      </c>
    </row>
    <row r="5817" spans="31:32">
      <c r="AE5817" s="417" t="s">
        <v>17462</v>
      </c>
      <c r="AF5817" s="416" t="s">
        <v>17463</v>
      </c>
    </row>
    <row r="5818" spans="31:32">
      <c r="AE5818" s="417" t="s">
        <v>17464</v>
      </c>
      <c r="AF5818" s="416" t="s">
        <v>17465</v>
      </c>
    </row>
    <row r="5819" spans="31:32">
      <c r="AE5819" s="417" t="s">
        <v>17466</v>
      </c>
      <c r="AF5819" s="416" t="s">
        <v>17467</v>
      </c>
    </row>
    <row r="5820" spans="31:32">
      <c r="AE5820" s="417" t="s">
        <v>17468</v>
      </c>
      <c r="AF5820" s="416" t="s">
        <v>17469</v>
      </c>
    </row>
    <row r="5821" spans="31:32">
      <c r="AE5821" s="417" t="s">
        <v>17470</v>
      </c>
      <c r="AF5821" s="416" t="s">
        <v>17471</v>
      </c>
    </row>
    <row r="5822" spans="31:32">
      <c r="AE5822" s="417" t="s">
        <v>17472</v>
      </c>
      <c r="AF5822" s="416" t="s">
        <v>17473</v>
      </c>
    </row>
    <row r="5823" spans="31:32">
      <c r="AE5823" s="417" t="s">
        <v>17474</v>
      </c>
      <c r="AF5823" s="416" t="s">
        <v>17475</v>
      </c>
    </row>
    <row r="5824" spans="31:32">
      <c r="AE5824" s="417" t="s">
        <v>17476</v>
      </c>
      <c r="AF5824" s="416" t="s">
        <v>17477</v>
      </c>
    </row>
    <row r="5825" spans="31:32">
      <c r="AE5825" s="417" t="s">
        <v>17478</v>
      </c>
      <c r="AF5825" s="416" t="s">
        <v>17479</v>
      </c>
    </row>
    <row r="5826" spans="31:32">
      <c r="AE5826" s="417" t="s">
        <v>17480</v>
      </c>
      <c r="AF5826" s="416" t="s">
        <v>17481</v>
      </c>
    </row>
    <row r="5827" spans="31:32">
      <c r="AE5827" s="417" t="s">
        <v>17482</v>
      </c>
      <c r="AF5827" s="416" t="s">
        <v>17483</v>
      </c>
    </row>
    <row r="5828" spans="31:32">
      <c r="AE5828" s="417" t="s">
        <v>17484</v>
      </c>
      <c r="AF5828" s="416" t="s">
        <v>17485</v>
      </c>
    </row>
    <row r="5829" spans="31:32">
      <c r="AE5829" s="417" t="s">
        <v>17486</v>
      </c>
      <c r="AF5829" s="416" t="s">
        <v>17487</v>
      </c>
    </row>
    <row r="5830" spans="31:32">
      <c r="AE5830" s="417" t="s">
        <v>17488</v>
      </c>
      <c r="AF5830" s="416" t="s">
        <v>17489</v>
      </c>
    </row>
    <row r="5831" spans="31:32">
      <c r="AE5831" s="417" t="s">
        <v>17490</v>
      </c>
      <c r="AF5831" s="416" t="s">
        <v>17491</v>
      </c>
    </row>
    <row r="5832" spans="31:32">
      <c r="AE5832" s="417" t="s">
        <v>17492</v>
      </c>
      <c r="AF5832" s="416" t="s">
        <v>17493</v>
      </c>
    </row>
    <row r="5833" spans="31:32">
      <c r="AE5833" s="417" t="s">
        <v>17494</v>
      </c>
      <c r="AF5833" s="416" t="s">
        <v>17495</v>
      </c>
    </row>
    <row r="5834" spans="31:32">
      <c r="AE5834" s="417" t="s">
        <v>17496</v>
      </c>
      <c r="AF5834" s="416" t="s">
        <v>17497</v>
      </c>
    </row>
    <row r="5835" spans="31:32">
      <c r="AE5835" s="417" t="s">
        <v>17498</v>
      </c>
      <c r="AF5835" s="416" t="s">
        <v>17499</v>
      </c>
    </row>
    <row r="5836" spans="31:32">
      <c r="AE5836" s="417" t="s">
        <v>17500</v>
      </c>
      <c r="AF5836" s="416" t="s">
        <v>17501</v>
      </c>
    </row>
    <row r="5837" spans="31:32">
      <c r="AE5837" s="417" t="s">
        <v>17502</v>
      </c>
      <c r="AF5837" s="416" t="s">
        <v>17503</v>
      </c>
    </row>
    <row r="5838" spans="31:32">
      <c r="AE5838" s="417" t="s">
        <v>17504</v>
      </c>
      <c r="AF5838" s="416" t="s">
        <v>17505</v>
      </c>
    </row>
    <row r="5839" spans="31:32">
      <c r="AE5839" s="417" t="s">
        <v>17506</v>
      </c>
      <c r="AF5839" s="416" t="s">
        <v>17507</v>
      </c>
    </row>
    <row r="5840" spans="31:32">
      <c r="AE5840" s="417" t="s">
        <v>17508</v>
      </c>
      <c r="AF5840" s="416" t="s">
        <v>17509</v>
      </c>
    </row>
    <row r="5841" spans="31:32">
      <c r="AE5841" s="417" t="s">
        <v>17510</v>
      </c>
      <c r="AF5841" s="416" t="s">
        <v>17511</v>
      </c>
    </row>
    <row r="5842" spans="31:32">
      <c r="AE5842" s="417" t="s">
        <v>17512</v>
      </c>
      <c r="AF5842" s="416" t="s">
        <v>17513</v>
      </c>
    </row>
    <row r="5843" spans="31:32">
      <c r="AE5843" s="417" t="s">
        <v>17514</v>
      </c>
      <c r="AF5843" s="416" t="s">
        <v>17515</v>
      </c>
    </row>
    <row r="5844" spans="31:32">
      <c r="AE5844" s="417" t="s">
        <v>17516</v>
      </c>
      <c r="AF5844" s="416" t="s">
        <v>17517</v>
      </c>
    </row>
    <row r="5845" spans="31:32">
      <c r="AE5845" s="417" t="s">
        <v>17518</v>
      </c>
      <c r="AF5845" s="416" t="s">
        <v>17519</v>
      </c>
    </row>
    <row r="5846" spans="31:32">
      <c r="AE5846" s="417" t="s">
        <v>17520</v>
      </c>
      <c r="AF5846" s="416" t="s">
        <v>17521</v>
      </c>
    </row>
    <row r="5847" spans="31:32">
      <c r="AE5847" s="417" t="s">
        <v>17522</v>
      </c>
      <c r="AF5847" s="416" t="s">
        <v>17523</v>
      </c>
    </row>
    <row r="5848" spans="31:32">
      <c r="AE5848" s="417" t="s">
        <v>17524</v>
      </c>
      <c r="AF5848" s="416" t="s">
        <v>17525</v>
      </c>
    </row>
    <row r="5849" spans="31:32">
      <c r="AE5849" s="417" t="s">
        <v>17526</v>
      </c>
      <c r="AF5849" s="416" t="s">
        <v>17527</v>
      </c>
    </row>
    <row r="5850" spans="31:32">
      <c r="AE5850" s="417" t="s">
        <v>17528</v>
      </c>
      <c r="AF5850" s="416" t="s">
        <v>17529</v>
      </c>
    </row>
    <row r="5851" spans="31:32">
      <c r="AE5851" s="417" t="s">
        <v>17530</v>
      </c>
      <c r="AF5851" s="416" t="s">
        <v>17531</v>
      </c>
    </row>
    <row r="5852" spans="31:32">
      <c r="AE5852" s="417" t="s">
        <v>17532</v>
      </c>
      <c r="AF5852" s="416" t="s">
        <v>17533</v>
      </c>
    </row>
    <row r="5853" spans="31:32">
      <c r="AE5853" s="417" t="s">
        <v>17534</v>
      </c>
      <c r="AF5853" s="416" t="s">
        <v>17535</v>
      </c>
    </row>
    <row r="5854" spans="31:32">
      <c r="AE5854" s="417" t="s">
        <v>17536</v>
      </c>
      <c r="AF5854" s="416" t="s">
        <v>17537</v>
      </c>
    </row>
    <row r="5855" spans="31:32">
      <c r="AE5855" s="417" t="s">
        <v>17538</v>
      </c>
      <c r="AF5855" s="416" t="s">
        <v>17539</v>
      </c>
    </row>
    <row r="5856" spans="31:32">
      <c r="AE5856" s="417" t="s">
        <v>17540</v>
      </c>
      <c r="AF5856" s="416" t="s">
        <v>17541</v>
      </c>
    </row>
    <row r="5857" spans="31:32">
      <c r="AE5857" s="417" t="s">
        <v>17542</v>
      </c>
      <c r="AF5857" s="416" t="s">
        <v>17543</v>
      </c>
    </row>
    <row r="5858" spans="31:32">
      <c r="AE5858" s="417" t="s">
        <v>17544</v>
      </c>
      <c r="AF5858" s="416" t="s">
        <v>17545</v>
      </c>
    </row>
    <row r="5859" spans="31:32">
      <c r="AE5859" s="417" t="s">
        <v>17546</v>
      </c>
      <c r="AF5859" s="416" t="s">
        <v>17547</v>
      </c>
    </row>
    <row r="5860" spans="31:32">
      <c r="AE5860" s="417" t="s">
        <v>17548</v>
      </c>
      <c r="AF5860" s="416" t="s">
        <v>17549</v>
      </c>
    </row>
    <row r="5861" spans="31:32">
      <c r="AE5861" s="417" t="s">
        <v>17550</v>
      </c>
      <c r="AF5861" s="416" t="s">
        <v>17551</v>
      </c>
    </row>
    <row r="5862" spans="31:32">
      <c r="AE5862" s="417" t="s">
        <v>17552</v>
      </c>
      <c r="AF5862" s="416" t="s">
        <v>17553</v>
      </c>
    </row>
    <row r="5863" spans="31:32">
      <c r="AE5863" s="417" t="s">
        <v>17554</v>
      </c>
      <c r="AF5863" s="416" t="s">
        <v>17555</v>
      </c>
    </row>
    <row r="5864" spans="31:32">
      <c r="AE5864" s="417" t="s">
        <v>17556</v>
      </c>
      <c r="AF5864" s="416" t="s">
        <v>17557</v>
      </c>
    </row>
    <row r="5865" spans="31:32">
      <c r="AE5865" s="417" t="s">
        <v>17558</v>
      </c>
      <c r="AF5865" s="416" t="s">
        <v>17559</v>
      </c>
    </row>
    <row r="5866" spans="31:32">
      <c r="AE5866" s="417" t="s">
        <v>17560</v>
      </c>
      <c r="AF5866" s="416" t="s">
        <v>17561</v>
      </c>
    </row>
    <row r="5867" spans="31:32">
      <c r="AE5867" s="417" t="s">
        <v>17562</v>
      </c>
      <c r="AF5867" s="416" t="s">
        <v>17563</v>
      </c>
    </row>
    <row r="5868" spans="31:32">
      <c r="AE5868" s="417" t="s">
        <v>17564</v>
      </c>
      <c r="AF5868" s="416" t="s">
        <v>17565</v>
      </c>
    </row>
    <row r="5869" spans="31:32">
      <c r="AE5869" s="417" t="s">
        <v>17566</v>
      </c>
      <c r="AF5869" s="416" t="s">
        <v>17567</v>
      </c>
    </row>
    <row r="5870" spans="31:32">
      <c r="AE5870" s="417" t="s">
        <v>17568</v>
      </c>
      <c r="AF5870" s="416" t="s">
        <v>17569</v>
      </c>
    </row>
    <row r="5871" spans="31:32">
      <c r="AE5871" s="417" t="s">
        <v>17570</v>
      </c>
      <c r="AF5871" s="416" t="s">
        <v>17571</v>
      </c>
    </row>
    <row r="5872" spans="31:32">
      <c r="AE5872" s="417" t="s">
        <v>17572</v>
      </c>
      <c r="AF5872" s="416" t="s">
        <v>17573</v>
      </c>
    </row>
    <row r="5873" spans="31:32">
      <c r="AE5873" s="417" t="s">
        <v>17574</v>
      </c>
      <c r="AF5873" s="416" t="s">
        <v>17575</v>
      </c>
    </row>
    <row r="5874" spans="31:32">
      <c r="AE5874" s="417" t="s">
        <v>17576</v>
      </c>
      <c r="AF5874" s="416" t="s">
        <v>17577</v>
      </c>
    </row>
    <row r="5875" spans="31:32">
      <c r="AE5875" s="417" t="s">
        <v>17578</v>
      </c>
      <c r="AF5875" s="416" t="s">
        <v>17579</v>
      </c>
    </row>
    <row r="5876" spans="31:32">
      <c r="AE5876" s="417" t="s">
        <v>17580</v>
      </c>
      <c r="AF5876" s="416" t="s">
        <v>17581</v>
      </c>
    </row>
    <row r="5877" spans="31:32">
      <c r="AE5877" s="417" t="s">
        <v>17582</v>
      </c>
      <c r="AF5877" s="416" t="s">
        <v>17583</v>
      </c>
    </row>
    <row r="5878" spans="31:32">
      <c r="AE5878" s="417" t="s">
        <v>17584</v>
      </c>
      <c r="AF5878" s="416" t="s">
        <v>17585</v>
      </c>
    </row>
    <row r="5879" spans="31:32">
      <c r="AE5879" s="417" t="s">
        <v>17586</v>
      </c>
      <c r="AF5879" s="416" t="s">
        <v>17587</v>
      </c>
    </row>
    <row r="5880" spans="31:32">
      <c r="AE5880" s="417" t="s">
        <v>17588</v>
      </c>
      <c r="AF5880" s="416" t="s">
        <v>17589</v>
      </c>
    </row>
    <row r="5881" spans="31:32">
      <c r="AE5881" s="417" t="s">
        <v>17590</v>
      </c>
      <c r="AF5881" s="416" t="s">
        <v>17591</v>
      </c>
    </row>
    <row r="5882" spans="31:32">
      <c r="AE5882" s="417" t="s">
        <v>17592</v>
      </c>
      <c r="AF5882" s="416" t="s">
        <v>17593</v>
      </c>
    </row>
    <row r="5883" spans="31:32">
      <c r="AE5883" s="417" t="s">
        <v>17594</v>
      </c>
      <c r="AF5883" s="416" t="s">
        <v>17595</v>
      </c>
    </row>
    <row r="5884" spans="31:32">
      <c r="AE5884" s="417" t="s">
        <v>17596</v>
      </c>
      <c r="AF5884" s="416" t="s">
        <v>17597</v>
      </c>
    </row>
    <row r="5885" spans="31:32">
      <c r="AE5885" s="417" t="s">
        <v>17598</v>
      </c>
      <c r="AF5885" s="416" t="s">
        <v>17599</v>
      </c>
    </row>
    <row r="5886" spans="31:32">
      <c r="AE5886" s="417" t="s">
        <v>17600</v>
      </c>
      <c r="AF5886" s="416" t="s">
        <v>17601</v>
      </c>
    </row>
    <row r="5887" spans="31:32">
      <c r="AE5887" s="417" t="s">
        <v>17602</v>
      </c>
      <c r="AF5887" s="416" t="s">
        <v>17603</v>
      </c>
    </row>
    <row r="5888" spans="31:32">
      <c r="AE5888" s="417" t="s">
        <v>17604</v>
      </c>
      <c r="AF5888" s="416" t="s">
        <v>17605</v>
      </c>
    </row>
    <row r="5889" spans="31:32">
      <c r="AE5889" s="417" t="s">
        <v>17606</v>
      </c>
      <c r="AF5889" s="416" t="s">
        <v>17607</v>
      </c>
    </row>
    <row r="5890" spans="31:32">
      <c r="AE5890" s="417" t="s">
        <v>17608</v>
      </c>
      <c r="AF5890" s="416" t="s">
        <v>17609</v>
      </c>
    </row>
    <row r="5891" spans="31:32">
      <c r="AE5891" s="417" t="s">
        <v>17610</v>
      </c>
      <c r="AF5891" s="416" t="s">
        <v>17611</v>
      </c>
    </row>
    <row r="5892" spans="31:32">
      <c r="AE5892" s="417" t="s">
        <v>17612</v>
      </c>
      <c r="AF5892" s="416" t="s">
        <v>17613</v>
      </c>
    </row>
    <row r="5893" spans="31:32">
      <c r="AE5893" s="417" t="s">
        <v>17614</v>
      </c>
      <c r="AF5893" s="416" t="s">
        <v>17615</v>
      </c>
    </row>
    <row r="5894" spans="31:32">
      <c r="AE5894" s="417" t="s">
        <v>17616</v>
      </c>
      <c r="AF5894" s="416" t="s">
        <v>17617</v>
      </c>
    </row>
    <row r="5895" spans="31:32">
      <c r="AE5895" s="417" t="s">
        <v>17618</v>
      </c>
      <c r="AF5895" s="416" t="s">
        <v>17619</v>
      </c>
    </row>
    <row r="5896" spans="31:32">
      <c r="AE5896" s="417" t="s">
        <v>17620</v>
      </c>
      <c r="AF5896" s="416" t="s">
        <v>17621</v>
      </c>
    </row>
    <row r="5897" spans="31:32">
      <c r="AE5897" s="417" t="s">
        <v>17622</v>
      </c>
      <c r="AF5897" s="416" t="s">
        <v>17623</v>
      </c>
    </row>
    <row r="5898" spans="31:32">
      <c r="AE5898" s="417" t="s">
        <v>17624</v>
      </c>
      <c r="AF5898" s="416" t="s">
        <v>17625</v>
      </c>
    </row>
    <row r="5899" spans="31:32">
      <c r="AE5899" s="417" t="s">
        <v>17626</v>
      </c>
      <c r="AF5899" s="416" t="s">
        <v>17627</v>
      </c>
    </row>
    <row r="5900" spans="31:32">
      <c r="AE5900" s="417" t="s">
        <v>17628</v>
      </c>
      <c r="AF5900" s="416" t="s">
        <v>17629</v>
      </c>
    </row>
    <row r="5901" spans="31:32">
      <c r="AE5901" s="417" t="s">
        <v>17630</v>
      </c>
      <c r="AF5901" s="416" t="s">
        <v>17631</v>
      </c>
    </row>
    <row r="5902" spans="31:32">
      <c r="AE5902" s="417" t="s">
        <v>17632</v>
      </c>
      <c r="AF5902" s="416" t="s">
        <v>17633</v>
      </c>
    </row>
    <row r="5903" spans="31:32">
      <c r="AE5903" s="417" t="s">
        <v>17634</v>
      </c>
      <c r="AF5903" s="416" t="s">
        <v>17635</v>
      </c>
    </row>
    <row r="5904" spans="31:32">
      <c r="AE5904" s="417" t="s">
        <v>17636</v>
      </c>
      <c r="AF5904" s="416" t="s">
        <v>17637</v>
      </c>
    </row>
    <row r="5905" spans="31:32">
      <c r="AE5905" s="417" t="s">
        <v>17638</v>
      </c>
      <c r="AF5905" s="416" t="s">
        <v>17639</v>
      </c>
    </row>
    <row r="5906" spans="31:32">
      <c r="AE5906" s="417" t="s">
        <v>17640</v>
      </c>
      <c r="AF5906" s="416" t="s">
        <v>17641</v>
      </c>
    </row>
    <row r="5907" spans="31:32">
      <c r="AE5907" s="417" t="s">
        <v>17642</v>
      </c>
      <c r="AF5907" s="416" t="s">
        <v>17643</v>
      </c>
    </row>
    <row r="5908" spans="31:32">
      <c r="AE5908" s="417" t="s">
        <v>17644</v>
      </c>
      <c r="AF5908" s="416" t="s">
        <v>17645</v>
      </c>
    </row>
    <row r="5909" spans="31:32">
      <c r="AE5909" s="417" t="s">
        <v>17646</v>
      </c>
      <c r="AF5909" s="416" t="s">
        <v>17647</v>
      </c>
    </row>
    <row r="5910" spans="31:32">
      <c r="AE5910" s="417" t="s">
        <v>17648</v>
      </c>
      <c r="AF5910" s="416" t="s">
        <v>17649</v>
      </c>
    </row>
    <row r="5911" spans="31:32">
      <c r="AE5911" s="417" t="s">
        <v>17650</v>
      </c>
      <c r="AF5911" s="416" t="s">
        <v>17651</v>
      </c>
    </row>
    <row r="5912" spans="31:32">
      <c r="AE5912" s="417" t="s">
        <v>17652</v>
      </c>
      <c r="AF5912" s="416" t="s">
        <v>17653</v>
      </c>
    </row>
    <row r="5913" spans="31:32">
      <c r="AE5913" s="417" t="s">
        <v>17654</v>
      </c>
      <c r="AF5913" s="416" t="s">
        <v>17655</v>
      </c>
    </row>
    <row r="5914" spans="31:32">
      <c r="AE5914" s="417" t="s">
        <v>17656</v>
      </c>
      <c r="AF5914" s="416" t="s">
        <v>17657</v>
      </c>
    </row>
    <row r="5915" spans="31:32">
      <c r="AE5915" s="417" t="s">
        <v>17658</v>
      </c>
      <c r="AF5915" s="416" t="s">
        <v>17659</v>
      </c>
    </row>
    <row r="5916" spans="31:32">
      <c r="AE5916" s="417" t="s">
        <v>17660</v>
      </c>
      <c r="AF5916" s="416" t="s">
        <v>17661</v>
      </c>
    </row>
    <row r="5917" spans="31:32">
      <c r="AE5917" s="417" t="s">
        <v>17662</v>
      </c>
      <c r="AF5917" s="416" t="s">
        <v>17663</v>
      </c>
    </row>
    <row r="5918" spans="31:32">
      <c r="AE5918" s="417" t="s">
        <v>17664</v>
      </c>
      <c r="AF5918" s="416" t="s">
        <v>17665</v>
      </c>
    </row>
    <row r="5919" spans="31:32">
      <c r="AE5919" s="417" t="s">
        <v>17666</v>
      </c>
      <c r="AF5919" s="416" t="s">
        <v>17667</v>
      </c>
    </row>
    <row r="5920" spans="31:32">
      <c r="AE5920" s="417" t="s">
        <v>17668</v>
      </c>
      <c r="AF5920" s="416" t="s">
        <v>17669</v>
      </c>
    </row>
    <row r="5921" spans="31:32">
      <c r="AE5921" s="417" t="s">
        <v>17670</v>
      </c>
      <c r="AF5921" s="416" t="s">
        <v>17671</v>
      </c>
    </row>
    <row r="5922" spans="31:32">
      <c r="AE5922" s="417" t="s">
        <v>17672</v>
      </c>
      <c r="AF5922" s="416" t="s">
        <v>17673</v>
      </c>
    </row>
    <row r="5923" spans="31:32">
      <c r="AE5923" s="417" t="s">
        <v>17674</v>
      </c>
      <c r="AF5923" s="416" t="s">
        <v>17675</v>
      </c>
    </row>
    <row r="5924" spans="31:32">
      <c r="AE5924" s="417" t="s">
        <v>17676</v>
      </c>
      <c r="AF5924" s="416" t="s">
        <v>17677</v>
      </c>
    </row>
    <row r="5925" spans="31:32">
      <c r="AE5925" s="417" t="s">
        <v>17678</v>
      </c>
      <c r="AF5925" s="416" t="s">
        <v>17679</v>
      </c>
    </row>
    <row r="5926" spans="31:32">
      <c r="AE5926" s="417" t="s">
        <v>17680</v>
      </c>
      <c r="AF5926" s="416" t="s">
        <v>17681</v>
      </c>
    </row>
    <row r="5927" spans="31:32">
      <c r="AE5927" s="417" t="s">
        <v>17682</v>
      </c>
      <c r="AF5927" s="416" t="s">
        <v>17683</v>
      </c>
    </row>
    <row r="5928" spans="31:32">
      <c r="AE5928" s="417" t="s">
        <v>17684</v>
      </c>
      <c r="AF5928" s="416" t="s">
        <v>17685</v>
      </c>
    </row>
    <row r="5929" spans="31:32">
      <c r="AE5929" s="417" t="s">
        <v>17686</v>
      </c>
      <c r="AF5929" s="416" t="s">
        <v>17687</v>
      </c>
    </row>
    <row r="5930" spans="31:32">
      <c r="AE5930" s="417" t="s">
        <v>17688</v>
      </c>
      <c r="AF5930" s="416" t="s">
        <v>17689</v>
      </c>
    </row>
    <row r="5931" spans="31:32">
      <c r="AE5931" s="417" t="s">
        <v>17690</v>
      </c>
      <c r="AF5931" s="416" t="s">
        <v>17691</v>
      </c>
    </row>
    <row r="5932" spans="31:32">
      <c r="AE5932" s="417" t="s">
        <v>17692</v>
      </c>
      <c r="AF5932" s="416" t="s">
        <v>17693</v>
      </c>
    </row>
    <row r="5933" spans="31:32">
      <c r="AE5933" s="417" t="s">
        <v>17694</v>
      </c>
      <c r="AF5933" s="416" t="s">
        <v>17695</v>
      </c>
    </row>
    <row r="5934" spans="31:32">
      <c r="AE5934" s="417" t="s">
        <v>17696</v>
      </c>
      <c r="AF5934" s="416" t="s">
        <v>17697</v>
      </c>
    </row>
    <row r="5935" spans="31:32">
      <c r="AE5935" s="417" t="s">
        <v>17698</v>
      </c>
      <c r="AF5935" s="416" t="s">
        <v>17699</v>
      </c>
    </row>
    <row r="5936" spans="31:32">
      <c r="AE5936" s="417" t="s">
        <v>17700</v>
      </c>
      <c r="AF5936" s="416" t="s">
        <v>17701</v>
      </c>
    </row>
    <row r="5937" spans="31:32">
      <c r="AE5937" s="417" t="s">
        <v>17702</v>
      </c>
      <c r="AF5937" s="416" t="s">
        <v>17703</v>
      </c>
    </row>
    <row r="5938" spans="31:32">
      <c r="AE5938" s="417" t="s">
        <v>17704</v>
      </c>
      <c r="AF5938" s="416" t="s">
        <v>17705</v>
      </c>
    </row>
    <row r="5939" spans="31:32">
      <c r="AE5939" s="417" t="s">
        <v>17706</v>
      </c>
      <c r="AF5939" s="416" t="s">
        <v>17707</v>
      </c>
    </row>
    <row r="5940" spans="31:32">
      <c r="AE5940" s="417" t="s">
        <v>17708</v>
      </c>
      <c r="AF5940" s="416" t="s">
        <v>17709</v>
      </c>
    </row>
    <row r="5941" spans="31:32">
      <c r="AE5941" s="417" t="s">
        <v>17710</v>
      </c>
      <c r="AF5941" s="416" t="s">
        <v>17711</v>
      </c>
    </row>
    <row r="5942" spans="31:32">
      <c r="AE5942" s="417" t="s">
        <v>17712</v>
      </c>
      <c r="AF5942" s="416" t="s">
        <v>17713</v>
      </c>
    </row>
    <row r="5943" spans="31:32">
      <c r="AE5943" s="417" t="s">
        <v>17714</v>
      </c>
      <c r="AF5943" s="416" t="s">
        <v>17715</v>
      </c>
    </row>
    <row r="5944" spans="31:32">
      <c r="AE5944" s="417" t="s">
        <v>17716</v>
      </c>
      <c r="AF5944" s="416" t="s">
        <v>17717</v>
      </c>
    </row>
    <row r="5945" spans="31:32">
      <c r="AE5945" s="417" t="s">
        <v>17718</v>
      </c>
      <c r="AF5945" s="416" t="s">
        <v>17719</v>
      </c>
    </row>
    <row r="5946" spans="31:32">
      <c r="AE5946" s="417" t="s">
        <v>17720</v>
      </c>
      <c r="AF5946" s="416" t="s">
        <v>17721</v>
      </c>
    </row>
    <row r="5947" spans="31:32">
      <c r="AE5947" s="417" t="s">
        <v>17722</v>
      </c>
      <c r="AF5947" s="416" t="s">
        <v>17723</v>
      </c>
    </row>
    <row r="5948" spans="31:32">
      <c r="AE5948" s="417" t="s">
        <v>17724</v>
      </c>
      <c r="AF5948" s="416" t="s">
        <v>17725</v>
      </c>
    </row>
    <row r="5949" spans="31:32">
      <c r="AE5949" s="417" t="s">
        <v>17726</v>
      </c>
      <c r="AF5949" s="416" t="s">
        <v>17727</v>
      </c>
    </row>
    <row r="5950" spans="31:32">
      <c r="AE5950" s="417" t="s">
        <v>17728</v>
      </c>
      <c r="AF5950" s="416" t="s">
        <v>17729</v>
      </c>
    </row>
    <row r="5951" spans="31:32">
      <c r="AE5951" s="417" t="s">
        <v>17730</v>
      </c>
      <c r="AF5951" s="416" t="s">
        <v>17731</v>
      </c>
    </row>
    <row r="5952" spans="31:32">
      <c r="AE5952" s="417" t="s">
        <v>17732</v>
      </c>
      <c r="AF5952" s="416" t="s">
        <v>17733</v>
      </c>
    </row>
    <row r="5953" spans="31:32">
      <c r="AE5953" s="417" t="s">
        <v>17734</v>
      </c>
      <c r="AF5953" s="416" t="s">
        <v>17735</v>
      </c>
    </row>
    <row r="5954" spans="31:32">
      <c r="AE5954" s="417" t="s">
        <v>17736</v>
      </c>
      <c r="AF5954" s="416" t="s">
        <v>17737</v>
      </c>
    </row>
    <row r="5955" spans="31:32">
      <c r="AE5955" s="417" t="s">
        <v>17738</v>
      </c>
      <c r="AF5955" s="416" t="s">
        <v>17739</v>
      </c>
    </row>
    <row r="5956" spans="31:32">
      <c r="AE5956" s="417" t="s">
        <v>17740</v>
      </c>
      <c r="AF5956" s="416" t="s">
        <v>17741</v>
      </c>
    </row>
    <row r="5957" spans="31:32">
      <c r="AE5957" s="417" t="s">
        <v>17742</v>
      </c>
      <c r="AF5957" s="416" t="s">
        <v>17743</v>
      </c>
    </row>
    <row r="5958" spans="31:32">
      <c r="AE5958" s="417" t="s">
        <v>17744</v>
      </c>
      <c r="AF5958" s="416" t="s">
        <v>17745</v>
      </c>
    </row>
    <row r="5959" spans="31:32">
      <c r="AE5959" s="417" t="s">
        <v>17746</v>
      </c>
      <c r="AF5959" s="416" t="s">
        <v>17747</v>
      </c>
    </row>
    <row r="5960" spans="31:32">
      <c r="AE5960" s="417" t="s">
        <v>17748</v>
      </c>
      <c r="AF5960" s="416" t="s">
        <v>17749</v>
      </c>
    </row>
    <row r="5961" spans="31:32">
      <c r="AE5961" s="417" t="s">
        <v>17750</v>
      </c>
      <c r="AF5961" s="416" t="s">
        <v>17751</v>
      </c>
    </row>
    <row r="5962" spans="31:32">
      <c r="AE5962" s="417" t="s">
        <v>17752</v>
      </c>
      <c r="AF5962" s="416" t="s">
        <v>17753</v>
      </c>
    </row>
    <row r="5963" spans="31:32">
      <c r="AE5963" s="417" t="s">
        <v>17754</v>
      </c>
      <c r="AF5963" s="416" t="s">
        <v>17755</v>
      </c>
    </row>
    <row r="5964" spans="31:32">
      <c r="AE5964" s="417" t="s">
        <v>17756</v>
      </c>
      <c r="AF5964" s="416" t="s">
        <v>17757</v>
      </c>
    </row>
    <row r="5965" spans="31:32">
      <c r="AE5965" s="417" t="s">
        <v>17758</v>
      </c>
      <c r="AF5965" s="416" t="s">
        <v>17759</v>
      </c>
    </row>
    <row r="5966" spans="31:32">
      <c r="AE5966" s="417" t="s">
        <v>17760</v>
      </c>
      <c r="AF5966" s="416" t="s">
        <v>17761</v>
      </c>
    </row>
    <row r="5967" spans="31:32">
      <c r="AE5967" s="417" t="s">
        <v>17762</v>
      </c>
      <c r="AF5967" s="416" t="s">
        <v>17763</v>
      </c>
    </row>
    <row r="5968" spans="31:32">
      <c r="AE5968" s="417" t="s">
        <v>17764</v>
      </c>
      <c r="AF5968" s="416" t="s">
        <v>17765</v>
      </c>
    </row>
    <row r="5969" spans="31:32">
      <c r="AE5969" s="417" t="s">
        <v>17766</v>
      </c>
      <c r="AF5969" s="416" t="s">
        <v>17767</v>
      </c>
    </row>
    <row r="5970" spans="31:32">
      <c r="AE5970" s="417" t="s">
        <v>17768</v>
      </c>
      <c r="AF5970" s="416" t="s">
        <v>17769</v>
      </c>
    </row>
    <row r="5971" spans="31:32">
      <c r="AE5971" s="417" t="s">
        <v>17770</v>
      </c>
      <c r="AF5971" s="416" t="s">
        <v>17771</v>
      </c>
    </row>
    <row r="5972" spans="31:32">
      <c r="AE5972" s="417" t="s">
        <v>17772</v>
      </c>
      <c r="AF5972" s="416" t="s">
        <v>17773</v>
      </c>
    </row>
    <row r="5973" spans="31:32">
      <c r="AE5973" s="417" t="s">
        <v>17774</v>
      </c>
      <c r="AF5973" s="416" t="s">
        <v>17775</v>
      </c>
    </row>
    <row r="5974" spans="31:32">
      <c r="AE5974" s="417" t="s">
        <v>17776</v>
      </c>
      <c r="AF5974" s="416" t="s">
        <v>17777</v>
      </c>
    </row>
    <row r="5975" spans="31:32">
      <c r="AE5975" s="417" t="s">
        <v>17778</v>
      </c>
      <c r="AF5975" s="416" t="s">
        <v>17779</v>
      </c>
    </row>
    <row r="5976" spans="31:32">
      <c r="AE5976" s="417" t="s">
        <v>17780</v>
      </c>
      <c r="AF5976" s="416" t="s">
        <v>17781</v>
      </c>
    </row>
    <row r="5977" spans="31:32">
      <c r="AE5977" s="417" t="s">
        <v>17782</v>
      </c>
      <c r="AF5977" s="416" t="s">
        <v>17783</v>
      </c>
    </row>
    <row r="5978" spans="31:32">
      <c r="AE5978" s="417" t="s">
        <v>17784</v>
      </c>
      <c r="AF5978" s="416" t="s">
        <v>17785</v>
      </c>
    </row>
    <row r="5979" spans="31:32">
      <c r="AE5979" s="417" t="s">
        <v>17786</v>
      </c>
      <c r="AF5979" s="416" t="s">
        <v>17787</v>
      </c>
    </row>
    <row r="5980" spans="31:32">
      <c r="AE5980" s="417" t="s">
        <v>17788</v>
      </c>
      <c r="AF5980" s="416" t="s">
        <v>17789</v>
      </c>
    </row>
    <row r="5981" spans="31:32">
      <c r="AE5981" s="417" t="s">
        <v>17790</v>
      </c>
      <c r="AF5981" s="416" t="s">
        <v>17791</v>
      </c>
    </row>
    <row r="5982" spans="31:32">
      <c r="AE5982" s="417" t="s">
        <v>17792</v>
      </c>
      <c r="AF5982" s="416" t="s">
        <v>17793</v>
      </c>
    </row>
    <row r="5983" spans="31:32">
      <c r="AE5983" s="417" t="s">
        <v>17794</v>
      </c>
      <c r="AF5983" s="416" t="s">
        <v>17795</v>
      </c>
    </row>
    <row r="5984" spans="31:32">
      <c r="AE5984" s="417" t="s">
        <v>17796</v>
      </c>
      <c r="AF5984" s="416" t="s">
        <v>17797</v>
      </c>
    </row>
    <row r="5985" spans="31:32">
      <c r="AE5985" s="417" t="s">
        <v>17798</v>
      </c>
      <c r="AF5985" s="416" t="s">
        <v>17799</v>
      </c>
    </row>
    <row r="5986" spans="31:32">
      <c r="AE5986" s="417" t="s">
        <v>17800</v>
      </c>
      <c r="AF5986" s="416" t="s">
        <v>17801</v>
      </c>
    </row>
    <row r="5987" spans="31:32">
      <c r="AE5987" s="417" t="s">
        <v>17802</v>
      </c>
      <c r="AF5987" s="416" t="s">
        <v>17803</v>
      </c>
    </row>
    <row r="5988" spans="31:32">
      <c r="AE5988" s="417" t="s">
        <v>17804</v>
      </c>
      <c r="AF5988" s="416" t="s">
        <v>17805</v>
      </c>
    </row>
    <row r="5989" spans="31:32">
      <c r="AE5989" s="417" t="s">
        <v>17806</v>
      </c>
      <c r="AF5989" s="416" t="s">
        <v>17807</v>
      </c>
    </row>
    <row r="5990" spans="31:32">
      <c r="AE5990" s="417" t="s">
        <v>17808</v>
      </c>
      <c r="AF5990" s="416" t="s">
        <v>17809</v>
      </c>
    </row>
    <row r="5991" spans="31:32">
      <c r="AE5991" s="417" t="s">
        <v>17810</v>
      </c>
      <c r="AF5991" s="416" t="s">
        <v>17811</v>
      </c>
    </row>
    <row r="5992" spans="31:32">
      <c r="AE5992" s="417" t="s">
        <v>17812</v>
      </c>
      <c r="AF5992" s="416" t="s">
        <v>17813</v>
      </c>
    </row>
    <row r="5993" spans="31:32">
      <c r="AE5993" s="417" t="s">
        <v>17814</v>
      </c>
      <c r="AF5993" s="416" t="s">
        <v>17815</v>
      </c>
    </row>
    <row r="5994" spans="31:32">
      <c r="AE5994" s="417" t="s">
        <v>17816</v>
      </c>
      <c r="AF5994" s="416" t="s">
        <v>17817</v>
      </c>
    </row>
    <row r="5995" spans="31:32">
      <c r="AE5995" s="417" t="s">
        <v>17818</v>
      </c>
      <c r="AF5995" s="416" t="s">
        <v>17819</v>
      </c>
    </row>
    <row r="5996" spans="31:32">
      <c r="AE5996" s="417" t="s">
        <v>17820</v>
      </c>
      <c r="AF5996" s="416" t="s">
        <v>17821</v>
      </c>
    </row>
    <row r="5997" spans="31:32">
      <c r="AE5997" s="417" t="s">
        <v>17822</v>
      </c>
      <c r="AF5997" s="416" t="s">
        <v>17823</v>
      </c>
    </row>
    <row r="5998" spans="31:32">
      <c r="AE5998" s="417" t="s">
        <v>17824</v>
      </c>
      <c r="AF5998" s="416" t="s">
        <v>17825</v>
      </c>
    </row>
    <row r="5999" spans="31:32">
      <c r="AE5999" s="417" t="s">
        <v>17826</v>
      </c>
      <c r="AF5999" s="416" t="s">
        <v>17827</v>
      </c>
    </row>
    <row r="6000" spans="31:32">
      <c r="AE6000" s="417" t="s">
        <v>17828</v>
      </c>
      <c r="AF6000" s="416" t="s">
        <v>17829</v>
      </c>
    </row>
    <row r="6001" spans="31:32">
      <c r="AE6001" s="417" t="s">
        <v>17830</v>
      </c>
      <c r="AF6001" s="416" t="s">
        <v>17831</v>
      </c>
    </row>
    <row r="6002" spans="31:32">
      <c r="AE6002" s="417" t="s">
        <v>17832</v>
      </c>
      <c r="AF6002" s="416" t="s">
        <v>17833</v>
      </c>
    </row>
    <row r="6003" spans="31:32">
      <c r="AE6003" s="417" t="s">
        <v>17834</v>
      </c>
      <c r="AF6003" s="416" t="s">
        <v>17835</v>
      </c>
    </row>
    <row r="6004" spans="31:32">
      <c r="AE6004" s="417" t="s">
        <v>17836</v>
      </c>
      <c r="AF6004" s="416" t="s">
        <v>17837</v>
      </c>
    </row>
    <row r="6005" spans="31:32">
      <c r="AE6005" s="417" t="s">
        <v>17838</v>
      </c>
      <c r="AF6005" s="416" t="s">
        <v>17839</v>
      </c>
    </row>
    <row r="6006" spans="31:32">
      <c r="AE6006" s="417" t="s">
        <v>17840</v>
      </c>
      <c r="AF6006" s="416" t="s">
        <v>17841</v>
      </c>
    </row>
    <row r="6007" spans="31:32">
      <c r="AE6007" s="417" t="s">
        <v>17842</v>
      </c>
      <c r="AF6007" s="416" t="s">
        <v>17843</v>
      </c>
    </row>
    <row r="6008" spans="31:32">
      <c r="AE6008" s="417" t="s">
        <v>17844</v>
      </c>
      <c r="AF6008" s="416" t="s">
        <v>17845</v>
      </c>
    </row>
    <row r="6009" spans="31:32">
      <c r="AE6009" s="417" t="s">
        <v>17846</v>
      </c>
      <c r="AF6009" s="416" t="s">
        <v>17847</v>
      </c>
    </row>
    <row r="6010" spans="31:32">
      <c r="AE6010" s="417" t="s">
        <v>17848</v>
      </c>
      <c r="AF6010" s="416" t="s">
        <v>17849</v>
      </c>
    </row>
    <row r="6011" spans="31:32">
      <c r="AE6011" s="417" t="s">
        <v>17850</v>
      </c>
      <c r="AF6011" s="416" t="s">
        <v>17851</v>
      </c>
    </row>
    <row r="6012" spans="31:32">
      <c r="AE6012" s="417" t="s">
        <v>17852</v>
      </c>
      <c r="AF6012" s="416" t="s">
        <v>17853</v>
      </c>
    </row>
    <row r="6013" spans="31:32">
      <c r="AE6013" s="417" t="s">
        <v>17854</v>
      </c>
      <c r="AF6013" s="416" t="s">
        <v>17855</v>
      </c>
    </row>
    <row r="6014" spans="31:32">
      <c r="AE6014" s="417" t="s">
        <v>17856</v>
      </c>
      <c r="AF6014" s="416" t="s">
        <v>17857</v>
      </c>
    </row>
    <row r="6015" spans="31:32">
      <c r="AE6015" s="417" t="s">
        <v>17858</v>
      </c>
      <c r="AF6015" s="416" t="s">
        <v>17859</v>
      </c>
    </row>
    <row r="6016" spans="31:32">
      <c r="AE6016" s="417" t="s">
        <v>17860</v>
      </c>
      <c r="AF6016" s="416" t="s">
        <v>17861</v>
      </c>
    </row>
    <row r="6017" spans="31:32">
      <c r="AE6017" s="417" t="s">
        <v>17862</v>
      </c>
      <c r="AF6017" s="416" t="s">
        <v>17863</v>
      </c>
    </row>
    <row r="6018" spans="31:32">
      <c r="AE6018" s="417" t="s">
        <v>17864</v>
      </c>
      <c r="AF6018" s="416" t="s">
        <v>17865</v>
      </c>
    </row>
    <row r="6019" spans="31:32">
      <c r="AE6019" s="417" t="s">
        <v>17866</v>
      </c>
      <c r="AF6019" s="416" t="s">
        <v>17867</v>
      </c>
    </row>
    <row r="6020" spans="31:32">
      <c r="AE6020" s="417" t="s">
        <v>17868</v>
      </c>
      <c r="AF6020" s="416" t="s">
        <v>17869</v>
      </c>
    </row>
    <row r="6021" spans="31:32">
      <c r="AE6021" s="417" t="s">
        <v>17870</v>
      </c>
      <c r="AF6021" s="416" t="s">
        <v>17871</v>
      </c>
    </row>
    <row r="6022" spans="31:32">
      <c r="AE6022" s="417" t="s">
        <v>17872</v>
      </c>
      <c r="AF6022" s="416" t="s">
        <v>17873</v>
      </c>
    </row>
    <row r="6023" spans="31:32">
      <c r="AE6023" s="417" t="s">
        <v>17874</v>
      </c>
      <c r="AF6023" s="416" t="s">
        <v>17875</v>
      </c>
    </row>
    <row r="6024" spans="31:32">
      <c r="AE6024" s="417" t="s">
        <v>17876</v>
      </c>
      <c r="AF6024" s="416" t="s">
        <v>17877</v>
      </c>
    </row>
    <row r="6025" spans="31:32">
      <c r="AE6025" s="417" t="s">
        <v>17878</v>
      </c>
      <c r="AF6025" s="416" t="s">
        <v>17879</v>
      </c>
    </row>
    <row r="6026" spans="31:32">
      <c r="AE6026" s="417" t="s">
        <v>17880</v>
      </c>
      <c r="AF6026" s="416" t="s">
        <v>17881</v>
      </c>
    </row>
    <row r="6027" spans="31:32">
      <c r="AE6027" s="417" t="s">
        <v>17882</v>
      </c>
      <c r="AF6027" s="416" t="s">
        <v>17883</v>
      </c>
    </row>
    <row r="6028" spans="31:32">
      <c r="AE6028" s="417" t="s">
        <v>17884</v>
      </c>
      <c r="AF6028" s="416" t="s">
        <v>17885</v>
      </c>
    </row>
    <row r="6029" spans="31:32">
      <c r="AE6029" s="417" t="s">
        <v>17886</v>
      </c>
      <c r="AF6029" s="416" t="s">
        <v>17887</v>
      </c>
    </row>
    <row r="6030" spans="31:32">
      <c r="AE6030" s="417" t="s">
        <v>17888</v>
      </c>
      <c r="AF6030" s="416" t="s">
        <v>17889</v>
      </c>
    </row>
    <row r="6031" spans="31:32">
      <c r="AE6031" s="417" t="s">
        <v>17890</v>
      </c>
      <c r="AF6031" s="416" t="s">
        <v>17891</v>
      </c>
    </row>
    <row r="6032" spans="31:32">
      <c r="AE6032" s="417" t="s">
        <v>17892</v>
      </c>
      <c r="AF6032" s="416" t="s">
        <v>17893</v>
      </c>
    </row>
    <row r="6033" spans="31:32">
      <c r="AE6033" s="417" t="s">
        <v>17894</v>
      </c>
      <c r="AF6033" s="416" t="s">
        <v>17895</v>
      </c>
    </row>
    <row r="6034" spans="31:32">
      <c r="AE6034" s="417" t="s">
        <v>17896</v>
      </c>
      <c r="AF6034" s="416" t="s">
        <v>17897</v>
      </c>
    </row>
    <row r="6035" spans="31:32">
      <c r="AE6035" s="417" t="s">
        <v>17898</v>
      </c>
      <c r="AF6035" s="416" t="s">
        <v>17899</v>
      </c>
    </row>
    <row r="6036" spans="31:32">
      <c r="AE6036" s="417" t="s">
        <v>17900</v>
      </c>
      <c r="AF6036" s="416" t="s">
        <v>17901</v>
      </c>
    </row>
    <row r="6037" spans="31:32">
      <c r="AE6037" s="417" t="s">
        <v>17902</v>
      </c>
      <c r="AF6037" s="416" t="s">
        <v>17903</v>
      </c>
    </row>
    <row r="6038" spans="31:32">
      <c r="AE6038" s="417" t="s">
        <v>17904</v>
      </c>
      <c r="AF6038" s="416" t="s">
        <v>17905</v>
      </c>
    </row>
    <row r="6039" spans="31:32">
      <c r="AE6039" s="417" t="s">
        <v>17906</v>
      </c>
      <c r="AF6039" s="416" t="s">
        <v>17907</v>
      </c>
    </row>
    <row r="6040" spans="31:32">
      <c r="AE6040" s="417" t="s">
        <v>17908</v>
      </c>
      <c r="AF6040" s="416" t="s">
        <v>17909</v>
      </c>
    </row>
    <row r="6041" spans="31:32">
      <c r="AE6041" s="417" t="s">
        <v>17910</v>
      </c>
      <c r="AF6041" s="416" t="s">
        <v>17911</v>
      </c>
    </row>
    <row r="6042" spans="31:32">
      <c r="AE6042" s="417" t="s">
        <v>17912</v>
      </c>
      <c r="AF6042" s="416" t="s">
        <v>17913</v>
      </c>
    </row>
    <row r="6043" spans="31:32">
      <c r="AE6043" s="417" t="s">
        <v>17914</v>
      </c>
      <c r="AF6043" s="416" t="s">
        <v>17915</v>
      </c>
    </row>
    <row r="6044" spans="31:32">
      <c r="AE6044" s="417" t="s">
        <v>17916</v>
      </c>
      <c r="AF6044" s="416" t="s">
        <v>17917</v>
      </c>
    </row>
    <row r="6045" spans="31:32">
      <c r="AE6045" s="417" t="s">
        <v>17918</v>
      </c>
      <c r="AF6045" s="416" t="s">
        <v>17919</v>
      </c>
    </row>
    <row r="6046" spans="31:32">
      <c r="AE6046" s="417" t="s">
        <v>17920</v>
      </c>
      <c r="AF6046" s="416" t="s">
        <v>17921</v>
      </c>
    </row>
    <row r="6047" spans="31:32">
      <c r="AE6047" s="417" t="s">
        <v>17922</v>
      </c>
      <c r="AF6047" s="416" t="s">
        <v>17923</v>
      </c>
    </row>
    <row r="6048" spans="31:32">
      <c r="AE6048" s="417" t="s">
        <v>17924</v>
      </c>
      <c r="AF6048" s="416" t="s">
        <v>17925</v>
      </c>
    </row>
    <row r="6049" spans="31:32">
      <c r="AE6049" s="417" t="s">
        <v>17926</v>
      </c>
      <c r="AF6049" s="416" t="s">
        <v>17927</v>
      </c>
    </row>
    <row r="6050" spans="31:32">
      <c r="AE6050" s="417" t="s">
        <v>17928</v>
      </c>
      <c r="AF6050" s="416" t="s">
        <v>17929</v>
      </c>
    </row>
    <row r="6051" spans="31:32">
      <c r="AE6051" s="417" t="s">
        <v>17930</v>
      </c>
      <c r="AF6051" s="416" t="s">
        <v>17931</v>
      </c>
    </row>
    <row r="6052" spans="31:32">
      <c r="AE6052" s="417" t="s">
        <v>17932</v>
      </c>
      <c r="AF6052" s="416" t="s">
        <v>17933</v>
      </c>
    </row>
    <row r="6053" spans="31:32">
      <c r="AE6053" s="417" t="s">
        <v>17934</v>
      </c>
      <c r="AF6053" s="416" t="s">
        <v>17935</v>
      </c>
    </row>
    <row r="6054" spans="31:32">
      <c r="AE6054" s="417" t="s">
        <v>17936</v>
      </c>
      <c r="AF6054" s="416" t="s">
        <v>17937</v>
      </c>
    </row>
    <row r="6055" spans="31:32">
      <c r="AE6055" s="417" t="s">
        <v>17938</v>
      </c>
      <c r="AF6055" s="416" t="s">
        <v>17939</v>
      </c>
    </row>
    <row r="6056" spans="31:32">
      <c r="AE6056" s="417" t="s">
        <v>17940</v>
      </c>
      <c r="AF6056" s="416" t="s">
        <v>17941</v>
      </c>
    </row>
    <row r="6057" spans="31:32">
      <c r="AE6057" s="417" t="s">
        <v>17942</v>
      </c>
      <c r="AF6057" s="416" t="s">
        <v>17943</v>
      </c>
    </row>
    <row r="6058" spans="31:32">
      <c r="AE6058" s="417" t="s">
        <v>17944</v>
      </c>
      <c r="AF6058" s="416" t="s">
        <v>17945</v>
      </c>
    </row>
    <row r="6059" spans="31:32">
      <c r="AE6059" s="417" t="s">
        <v>17946</v>
      </c>
      <c r="AF6059" s="416" t="s">
        <v>17947</v>
      </c>
    </row>
    <row r="6060" spans="31:32">
      <c r="AE6060" s="417" t="s">
        <v>17948</v>
      </c>
      <c r="AF6060" s="416" t="s">
        <v>17949</v>
      </c>
    </row>
    <row r="6061" spans="31:32">
      <c r="AE6061" s="417" t="s">
        <v>17950</v>
      </c>
      <c r="AF6061" s="416" t="s">
        <v>17951</v>
      </c>
    </row>
    <row r="6062" spans="31:32">
      <c r="AE6062" s="417" t="s">
        <v>17952</v>
      </c>
      <c r="AF6062" s="416" t="s">
        <v>17953</v>
      </c>
    </row>
    <row r="6063" spans="31:32">
      <c r="AE6063" s="417" t="s">
        <v>17954</v>
      </c>
      <c r="AF6063" s="416" t="s">
        <v>17955</v>
      </c>
    </row>
    <row r="6064" spans="31:32">
      <c r="AE6064" s="417" t="s">
        <v>17956</v>
      </c>
      <c r="AF6064" s="416" t="s">
        <v>17957</v>
      </c>
    </row>
    <row r="6065" spans="31:32">
      <c r="AE6065" s="417" t="s">
        <v>17958</v>
      </c>
      <c r="AF6065" s="416" t="s">
        <v>17959</v>
      </c>
    </row>
    <row r="6066" spans="31:32">
      <c r="AE6066" s="417" t="s">
        <v>17960</v>
      </c>
      <c r="AF6066" s="416" t="s">
        <v>17961</v>
      </c>
    </row>
    <row r="6067" spans="31:32">
      <c r="AE6067" s="417" t="s">
        <v>17962</v>
      </c>
      <c r="AF6067" s="416" t="s">
        <v>17963</v>
      </c>
    </row>
    <row r="6068" spans="31:32">
      <c r="AE6068" s="417" t="s">
        <v>17964</v>
      </c>
      <c r="AF6068" s="416" t="s">
        <v>17777</v>
      </c>
    </row>
    <row r="6069" spans="31:32">
      <c r="AE6069" s="417" t="s">
        <v>17965</v>
      </c>
      <c r="AF6069" s="416" t="s">
        <v>17966</v>
      </c>
    </row>
    <row r="6070" spans="31:32">
      <c r="AE6070" s="417" t="s">
        <v>17967</v>
      </c>
      <c r="AF6070" s="416" t="s">
        <v>17968</v>
      </c>
    </row>
    <row r="6071" spans="31:32">
      <c r="AE6071" s="417" t="s">
        <v>17969</v>
      </c>
      <c r="AF6071" s="416" t="s">
        <v>17970</v>
      </c>
    </row>
    <row r="6072" spans="31:32">
      <c r="AE6072" s="417" t="s">
        <v>17971</v>
      </c>
      <c r="AF6072" s="416" t="s">
        <v>17972</v>
      </c>
    </row>
    <row r="6073" spans="31:32">
      <c r="AE6073" s="417" t="s">
        <v>17973</v>
      </c>
      <c r="AF6073" s="416" t="s">
        <v>17974</v>
      </c>
    </row>
    <row r="6074" spans="31:32">
      <c r="AE6074" s="417" t="s">
        <v>17975</v>
      </c>
      <c r="AF6074" s="416" t="s">
        <v>17976</v>
      </c>
    </row>
    <row r="6075" spans="31:32">
      <c r="AE6075" s="417" t="s">
        <v>17977</v>
      </c>
      <c r="AF6075" s="416" t="s">
        <v>17978</v>
      </c>
    </row>
    <row r="6076" spans="31:32">
      <c r="AE6076" s="417" t="s">
        <v>17979</v>
      </c>
      <c r="AF6076" s="416" t="s">
        <v>17980</v>
      </c>
    </row>
    <row r="6077" spans="31:32">
      <c r="AE6077" s="417" t="s">
        <v>17981</v>
      </c>
      <c r="AF6077" s="416" t="s">
        <v>17982</v>
      </c>
    </row>
    <row r="6078" spans="31:32">
      <c r="AE6078" s="417" t="s">
        <v>17983</v>
      </c>
      <c r="AF6078" s="416" t="s">
        <v>17984</v>
      </c>
    </row>
    <row r="6079" spans="31:32">
      <c r="AE6079" s="417" t="s">
        <v>17985</v>
      </c>
      <c r="AF6079" s="416" t="s">
        <v>17986</v>
      </c>
    </row>
    <row r="6080" spans="31:32">
      <c r="AE6080" s="417" t="s">
        <v>17987</v>
      </c>
      <c r="AF6080" s="416" t="s">
        <v>17988</v>
      </c>
    </row>
    <row r="6081" spans="31:32">
      <c r="AE6081" s="417" t="s">
        <v>17989</v>
      </c>
      <c r="AF6081" s="416" t="s">
        <v>17990</v>
      </c>
    </row>
    <row r="6082" spans="31:32">
      <c r="AE6082" s="417" t="s">
        <v>17991</v>
      </c>
      <c r="AF6082" s="416" t="s">
        <v>17992</v>
      </c>
    </row>
    <row r="6083" spans="31:32">
      <c r="AE6083" s="417" t="s">
        <v>17993</v>
      </c>
      <c r="AF6083" s="416" t="s">
        <v>17994</v>
      </c>
    </row>
    <row r="6084" spans="31:32">
      <c r="AE6084" s="417" t="s">
        <v>17995</v>
      </c>
      <c r="AF6084" s="416" t="s">
        <v>17996</v>
      </c>
    </row>
    <row r="6085" spans="31:32">
      <c r="AE6085" s="417" t="s">
        <v>17997</v>
      </c>
      <c r="AF6085" s="416" t="s">
        <v>17998</v>
      </c>
    </row>
    <row r="6086" spans="31:32">
      <c r="AE6086" s="417" t="s">
        <v>17999</v>
      </c>
      <c r="AF6086" s="416" t="s">
        <v>18000</v>
      </c>
    </row>
    <row r="6087" spans="31:32">
      <c r="AE6087" s="417" t="s">
        <v>18001</v>
      </c>
      <c r="AF6087" s="416" t="s">
        <v>18002</v>
      </c>
    </row>
    <row r="6088" spans="31:32">
      <c r="AE6088" s="417" t="s">
        <v>18003</v>
      </c>
      <c r="AF6088" s="416" t="s">
        <v>18004</v>
      </c>
    </row>
    <row r="6089" spans="31:32">
      <c r="AE6089" s="417" t="s">
        <v>18005</v>
      </c>
      <c r="AF6089" s="416" t="s">
        <v>18006</v>
      </c>
    </row>
    <row r="6090" spans="31:32">
      <c r="AE6090" s="417" t="s">
        <v>18007</v>
      </c>
      <c r="AF6090" s="416" t="s">
        <v>18008</v>
      </c>
    </row>
    <row r="6091" spans="31:32">
      <c r="AE6091" s="417" t="s">
        <v>18009</v>
      </c>
      <c r="AF6091" s="416" t="s">
        <v>18010</v>
      </c>
    </row>
    <row r="6092" spans="31:32">
      <c r="AE6092" s="417" t="s">
        <v>18011</v>
      </c>
      <c r="AF6092" s="416" t="s">
        <v>18012</v>
      </c>
    </row>
    <row r="6093" spans="31:32">
      <c r="AE6093" s="417" t="s">
        <v>18013</v>
      </c>
      <c r="AF6093" s="416" t="s">
        <v>18014</v>
      </c>
    </row>
    <row r="6094" spans="31:32">
      <c r="AE6094" s="417" t="s">
        <v>18015</v>
      </c>
      <c r="AF6094" s="416" t="s">
        <v>18016</v>
      </c>
    </row>
    <row r="6095" spans="31:32">
      <c r="AE6095" s="417" t="s">
        <v>18017</v>
      </c>
      <c r="AF6095" s="416" t="s">
        <v>18018</v>
      </c>
    </row>
    <row r="6096" spans="31:32">
      <c r="AE6096" s="417" t="s">
        <v>18019</v>
      </c>
      <c r="AF6096" s="416" t="s">
        <v>18020</v>
      </c>
    </row>
    <row r="6097" spans="31:32">
      <c r="AE6097" s="417" t="s">
        <v>18021</v>
      </c>
      <c r="AF6097" s="416" t="s">
        <v>18022</v>
      </c>
    </row>
    <row r="6098" spans="31:32">
      <c r="AE6098" s="417" t="s">
        <v>18023</v>
      </c>
      <c r="AF6098" s="416" t="s">
        <v>18024</v>
      </c>
    </row>
    <row r="6099" spans="31:32">
      <c r="AE6099" s="417" t="s">
        <v>18025</v>
      </c>
      <c r="AF6099" s="416" t="s">
        <v>18026</v>
      </c>
    </row>
    <row r="6100" spans="31:32">
      <c r="AE6100" s="417" t="s">
        <v>18027</v>
      </c>
      <c r="AF6100" s="416" t="s">
        <v>18028</v>
      </c>
    </row>
    <row r="6101" spans="31:32">
      <c r="AE6101" s="417" t="s">
        <v>18029</v>
      </c>
      <c r="AF6101" s="416" t="s">
        <v>18030</v>
      </c>
    </row>
    <row r="6102" spans="31:32">
      <c r="AE6102" s="417" t="s">
        <v>18031</v>
      </c>
      <c r="AF6102" s="416" t="s">
        <v>18032</v>
      </c>
    </row>
    <row r="6103" spans="31:32">
      <c r="AE6103" s="417" t="s">
        <v>18033</v>
      </c>
      <c r="AF6103" s="416" t="s">
        <v>18034</v>
      </c>
    </row>
    <row r="6104" spans="31:32">
      <c r="AE6104" s="417" t="s">
        <v>18035</v>
      </c>
      <c r="AF6104" s="416" t="s">
        <v>18036</v>
      </c>
    </row>
    <row r="6105" spans="31:32">
      <c r="AE6105" s="417" t="s">
        <v>18037</v>
      </c>
      <c r="AF6105" s="416" t="s">
        <v>18038</v>
      </c>
    </row>
    <row r="6106" spans="31:32">
      <c r="AE6106" s="417" t="s">
        <v>18039</v>
      </c>
      <c r="AF6106" s="416" t="s">
        <v>18040</v>
      </c>
    </row>
    <row r="6107" spans="31:32">
      <c r="AE6107" s="417" t="s">
        <v>18041</v>
      </c>
      <c r="AF6107" s="416" t="s">
        <v>18042</v>
      </c>
    </row>
    <row r="6108" spans="31:32">
      <c r="AE6108" s="417" t="s">
        <v>18043</v>
      </c>
      <c r="AF6108" s="416" t="s">
        <v>18044</v>
      </c>
    </row>
    <row r="6109" spans="31:32">
      <c r="AE6109" s="417" t="s">
        <v>18045</v>
      </c>
      <c r="AF6109" s="416" t="s">
        <v>18046</v>
      </c>
    </row>
    <row r="6110" spans="31:32">
      <c r="AE6110" s="417" t="s">
        <v>18047</v>
      </c>
      <c r="AF6110" s="416" t="s">
        <v>18048</v>
      </c>
    </row>
    <row r="6111" spans="31:32">
      <c r="AE6111" s="417" t="s">
        <v>18049</v>
      </c>
      <c r="AF6111" s="416" t="s">
        <v>18050</v>
      </c>
    </row>
    <row r="6112" spans="31:32">
      <c r="AE6112" s="417" t="s">
        <v>18051</v>
      </c>
      <c r="AF6112" s="416" t="s">
        <v>18052</v>
      </c>
    </row>
    <row r="6113" spans="31:32">
      <c r="AE6113" s="417" t="s">
        <v>18053</v>
      </c>
      <c r="AF6113" s="416" t="s">
        <v>18054</v>
      </c>
    </row>
    <row r="6114" spans="31:32">
      <c r="AE6114" s="417" t="s">
        <v>18055</v>
      </c>
      <c r="AF6114" s="416" t="s">
        <v>18056</v>
      </c>
    </row>
    <row r="6115" spans="31:32">
      <c r="AE6115" s="417" t="s">
        <v>18057</v>
      </c>
      <c r="AF6115" s="416" t="s">
        <v>18058</v>
      </c>
    </row>
    <row r="6116" spans="31:32">
      <c r="AE6116" s="417" t="s">
        <v>18059</v>
      </c>
      <c r="AF6116" s="416" t="s">
        <v>18060</v>
      </c>
    </row>
    <row r="6117" spans="31:32">
      <c r="AE6117" s="417" t="s">
        <v>18061</v>
      </c>
      <c r="AF6117" s="416" t="s">
        <v>18062</v>
      </c>
    </row>
    <row r="6118" spans="31:32">
      <c r="AE6118" s="417" t="s">
        <v>18063</v>
      </c>
      <c r="AF6118" s="416" t="s">
        <v>18064</v>
      </c>
    </row>
    <row r="6119" spans="31:32">
      <c r="AE6119" s="417" t="s">
        <v>18065</v>
      </c>
      <c r="AF6119" s="416" t="s">
        <v>18066</v>
      </c>
    </row>
    <row r="6120" spans="31:32">
      <c r="AE6120" s="417" t="s">
        <v>18067</v>
      </c>
      <c r="AF6120" s="416" t="s">
        <v>18068</v>
      </c>
    </row>
    <row r="6121" spans="31:32">
      <c r="AE6121" s="417" t="s">
        <v>18069</v>
      </c>
      <c r="AF6121" s="416" t="s">
        <v>18070</v>
      </c>
    </row>
    <row r="6122" spans="31:32">
      <c r="AE6122" s="417" t="s">
        <v>18071</v>
      </c>
      <c r="AF6122" s="416" t="s">
        <v>18072</v>
      </c>
    </row>
    <row r="6123" spans="31:32">
      <c r="AE6123" s="417" t="s">
        <v>18073</v>
      </c>
      <c r="AF6123" s="416" t="s">
        <v>18074</v>
      </c>
    </row>
    <row r="6124" spans="31:32">
      <c r="AE6124" s="417" t="s">
        <v>18075</v>
      </c>
      <c r="AF6124" s="416" t="s">
        <v>18076</v>
      </c>
    </row>
    <row r="6125" spans="31:32">
      <c r="AE6125" s="417" t="s">
        <v>18077</v>
      </c>
      <c r="AF6125" s="416" t="s">
        <v>18078</v>
      </c>
    </row>
    <row r="6126" spans="31:32">
      <c r="AE6126" s="417" t="s">
        <v>18079</v>
      </c>
      <c r="AF6126" s="416" t="s">
        <v>18080</v>
      </c>
    </row>
    <row r="6127" spans="31:32">
      <c r="AE6127" s="417" t="s">
        <v>18081</v>
      </c>
      <c r="AF6127" s="416" t="s">
        <v>18082</v>
      </c>
    </row>
    <row r="6128" spans="31:32">
      <c r="AE6128" s="417" t="s">
        <v>18083</v>
      </c>
      <c r="AF6128" s="416" t="s">
        <v>18084</v>
      </c>
    </row>
    <row r="6129" spans="31:32">
      <c r="AE6129" s="417" t="s">
        <v>18085</v>
      </c>
      <c r="AF6129" s="416" t="s">
        <v>18086</v>
      </c>
    </row>
    <row r="6130" spans="31:32">
      <c r="AE6130" s="417" t="s">
        <v>18087</v>
      </c>
      <c r="AF6130" s="416" t="s">
        <v>18088</v>
      </c>
    </row>
    <row r="6131" spans="31:32">
      <c r="AE6131" s="417" t="s">
        <v>18089</v>
      </c>
      <c r="AF6131" s="416" t="s">
        <v>18090</v>
      </c>
    </row>
    <row r="6132" spans="31:32">
      <c r="AE6132" s="417" t="s">
        <v>18091</v>
      </c>
      <c r="AF6132" s="416" t="s">
        <v>18092</v>
      </c>
    </row>
    <row r="6133" spans="31:32">
      <c r="AE6133" s="417" t="s">
        <v>18093</v>
      </c>
      <c r="AF6133" s="416" t="s">
        <v>18094</v>
      </c>
    </row>
    <row r="6134" spans="31:32">
      <c r="AE6134" s="417" t="s">
        <v>18095</v>
      </c>
      <c r="AF6134" s="416" t="s">
        <v>18096</v>
      </c>
    </row>
    <row r="6135" spans="31:32">
      <c r="AE6135" s="417" t="s">
        <v>18097</v>
      </c>
      <c r="AF6135" s="416" t="s">
        <v>18098</v>
      </c>
    </row>
    <row r="6136" spans="31:32">
      <c r="AE6136" s="417" t="s">
        <v>18099</v>
      </c>
      <c r="AF6136" s="416" t="s">
        <v>18100</v>
      </c>
    </row>
    <row r="6137" spans="31:32">
      <c r="AE6137" s="417" t="s">
        <v>18101</v>
      </c>
      <c r="AF6137" s="416" t="s">
        <v>18102</v>
      </c>
    </row>
    <row r="6138" spans="31:32">
      <c r="AE6138" s="417" t="s">
        <v>18103</v>
      </c>
      <c r="AF6138" s="416" t="s">
        <v>18104</v>
      </c>
    </row>
    <row r="6139" spans="31:32">
      <c r="AE6139" s="417" t="s">
        <v>18105</v>
      </c>
      <c r="AF6139" s="416" t="s">
        <v>18106</v>
      </c>
    </row>
    <row r="6140" spans="31:32">
      <c r="AE6140" s="417" t="s">
        <v>18107</v>
      </c>
      <c r="AF6140" s="416" t="s">
        <v>18108</v>
      </c>
    </row>
    <row r="6141" spans="31:32">
      <c r="AE6141" s="417" t="s">
        <v>18109</v>
      </c>
      <c r="AF6141" s="416" t="s">
        <v>18110</v>
      </c>
    </row>
    <row r="6142" spans="31:32">
      <c r="AE6142" s="417" t="s">
        <v>18111</v>
      </c>
      <c r="AF6142" s="416" t="s">
        <v>18112</v>
      </c>
    </row>
    <row r="6143" spans="31:32">
      <c r="AE6143" s="417" t="s">
        <v>18113</v>
      </c>
      <c r="AF6143" s="416" t="s">
        <v>18114</v>
      </c>
    </row>
    <row r="6144" spans="31:32">
      <c r="AE6144" s="417" t="s">
        <v>18115</v>
      </c>
      <c r="AF6144" s="416" t="s">
        <v>18116</v>
      </c>
    </row>
    <row r="6145" spans="31:32">
      <c r="AE6145" s="417" t="s">
        <v>18117</v>
      </c>
      <c r="AF6145" s="416" t="s">
        <v>18118</v>
      </c>
    </row>
    <row r="6146" spans="31:32">
      <c r="AE6146" s="417" t="s">
        <v>18119</v>
      </c>
      <c r="AF6146" s="416" t="s">
        <v>18120</v>
      </c>
    </row>
    <row r="6147" spans="31:32">
      <c r="AE6147" s="417" t="s">
        <v>18121</v>
      </c>
      <c r="AF6147" s="416" t="s">
        <v>18122</v>
      </c>
    </row>
    <row r="6148" spans="31:32">
      <c r="AE6148" s="417" t="s">
        <v>18123</v>
      </c>
      <c r="AF6148" s="416" t="s">
        <v>18124</v>
      </c>
    </row>
    <row r="6149" spans="31:32">
      <c r="AE6149" s="417" t="s">
        <v>18125</v>
      </c>
      <c r="AF6149" s="416" t="s">
        <v>18126</v>
      </c>
    </row>
    <row r="6150" spans="31:32">
      <c r="AE6150" s="417" t="s">
        <v>18127</v>
      </c>
      <c r="AF6150" s="416" t="s">
        <v>18128</v>
      </c>
    </row>
    <row r="6151" spans="31:32">
      <c r="AE6151" s="417" t="s">
        <v>18129</v>
      </c>
      <c r="AF6151" s="416" t="s">
        <v>18130</v>
      </c>
    </row>
    <row r="6152" spans="31:32">
      <c r="AE6152" s="417" t="s">
        <v>18131</v>
      </c>
      <c r="AF6152" s="416" t="s">
        <v>18132</v>
      </c>
    </row>
    <row r="6153" spans="31:32">
      <c r="AE6153" s="417" t="s">
        <v>18133</v>
      </c>
      <c r="AF6153" s="416" t="s">
        <v>18134</v>
      </c>
    </row>
    <row r="6154" spans="31:32">
      <c r="AE6154" s="417" t="s">
        <v>18135</v>
      </c>
      <c r="AF6154" s="416" t="s">
        <v>18136</v>
      </c>
    </row>
    <row r="6155" spans="31:32">
      <c r="AE6155" s="417" t="s">
        <v>18137</v>
      </c>
      <c r="AF6155" s="416" t="s">
        <v>18138</v>
      </c>
    </row>
    <row r="6156" spans="31:32">
      <c r="AE6156" s="417" t="s">
        <v>18139</v>
      </c>
      <c r="AF6156" s="416" t="s">
        <v>18140</v>
      </c>
    </row>
    <row r="6157" spans="31:32">
      <c r="AE6157" s="417" t="s">
        <v>18141</v>
      </c>
      <c r="AF6157" s="416" t="s">
        <v>18142</v>
      </c>
    </row>
    <row r="6158" spans="31:32">
      <c r="AE6158" s="417" t="s">
        <v>18143</v>
      </c>
      <c r="AF6158" s="416" t="s">
        <v>18144</v>
      </c>
    </row>
    <row r="6159" spans="31:32">
      <c r="AE6159" s="417" t="s">
        <v>18145</v>
      </c>
      <c r="AF6159" s="416" t="s">
        <v>18146</v>
      </c>
    </row>
    <row r="6160" spans="31:32">
      <c r="AE6160" s="417" t="s">
        <v>18147</v>
      </c>
      <c r="AF6160" s="416" t="s">
        <v>18148</v>
      </c>
    </row>
    <row r="6161" spans="31:32">
      <c r="AE6161" s="417" t="s">
        <v>18149</v>
      </c>
      <c r="AF6161" s="416" t="s">
        <v>18150</v>
      </c>
    </row>
    <row r="6162" spans="31:32">
      <c r="AE6162" s="417" t="s">
        <v>18151</v>
      </c>
      <c r="AF6162" s="416" t="s">
        <v>18152</v>
      </c>
    </row>
    <row r="6163" spans="31:32">
      <c r="AE6163" s="417" t="s">
        <v>18153</v>
      </c>
      <c r="AF6163" s="416" t="s">
        <v>18154</v>
      </c>
    </row>
    <row r="6164" spans="31:32">
      <c r="AE6164" s="417" t="s">
        <v>18155</v>
      </c>
      <c r="AF6164" s="416" t="s">
        <v>18156</v>
      </c>
    </row>
    <row r="6165" spans="31:32">
      <c r="AE6165" s="417" t="s">
        <v>18157</v>
      </c>
      <c r="AF6165" s="416" t="s">
        <v>18158</v>
      </c>
    </row>
    <row r="6166" spans="31:32">
      <c r="AE6166" s="417" t="s">
        <v>18159</v>
      </c>
      <c r="AF6166" s="416" t="s">
        <v>18160</v>
      </c>
    </row>
    <row r="6167" spans="31:32">
      <c r="AE6167" s="417" t="s">
        <v>18161</v>
      </c>
      <c r="AF6167" s="416" t="s">
        <v>18162</v>
      </c>
    </row>
    <row r="6168" spans="31:32">
      <c r="AE6168" s="417" t="s">
        <v>18163</v>
      </c>
      <c r="AF6168" s="416" t="s">
        <v>18164</v>
      </c>
    </row>
    <row r="6169" spans="31:32">
      <c r="AE6169" s="417" t="s">
        <v>18165</v>
      </c>
      <c r="AF6169" s="416" t="s">
        <v>18166</v>
      </c>
    </row>
    <row r="6170" spans="31:32">
      <c r="AE6170" s="417" t="s">
        <v>18167</v>
      </c>
      <c r="AF6170" s="416" t="s">
        <v>18168</v>
      </c>
    </row>
    <row r="6171" spans="31:32">
      <c r="AE6171" s="417" t="s">
        <v>18169</v>
      </c>
      <c r="AF6171" s="416" t="s">
        <v>18170</v>
      </c>
    </row>
    <row r="6172" spans="31:32">
      <c r="AE6172" s="417" t="s">
        <v>18171</v>
      </c>
      <c r="AF6172" s="416" t="s">
        <v>18172</v>
      </c>
    </row>
    <row r="6173" spans="31:32">
      <c r="AE6173" s="417" t="s">
        <v>18173</v>
      </c>
      <c r="AF6173" s="416" t="s">
        <v>18174</v>
      </c>
    </row>
    <row r="6174" spans="31:32">
      <c r="AE6174" s="417" t="s">
        <v>18175</v>
      </c>
      <c r="AF6174" s="416" t="s">
        <v>18176</v>
      </c>
    </row>
    <row r="6175" spans="31:32">
      <c r="AE6175" s="417" t="s">
        <v>18177</v>
      </c>
      <c r="AF6175" s="416" t="s">
        <v>18178</v>
      </c>
    </row>
    <row r="6176" spans="31:32">
      <c r="AE6176" s="417" t="s">
        <v>18179</v>
      </c>
      <c r="AF6176" s="416" t="s">
        <v>18180</v>
      </c>
    </row>
    <row r="6177" spans="31:32">
      <c r="AE6177" s="417" t="s">
        <v>18181</v>
      </c>
      <c r="AF6177" s="416" t="s">
        <v>18182</v>
      </c>
    </row>
    <row r="6178" spans="31:32">
      <c r="AE6178" s="417" t="s">
        <v>18183</v>
      </c>
      <c r="AF6178" s="416" t="s">
        <v>18184</v>
      </c>
    </row>
    <row r="6179" spans="31:32">
      <c r="AE6179" s="417" t="s">
        <v>18185</v>
      </c>
      <c r="AF6179" s="416" t="s">
        <v>18186</v>
      </c>
    </row>
    <row r="6180" spans="31:32">
      <c r="AE6180" s="417" t="s">
        <v>18187</v>
      </c>
      <c r="AF6180" s="416" t="s">
        <v>18188</v>
      </c>
    </row>
    <row r="6181" spans="31:32">
      <c r="AE6181" s="417" t="s">
        <v>18189</v>
      </c>
      <c r="AF6181" s="416" t="s">
        <v>18190</v>
      </c>
    </row>
    <row r="6182" spans="31:32">
      <c r="AE6182" s="417" t="s">
        <v>18191</v>
      </c>
      <c r="AF6182" s="416" t="s">
        <v>18192</v>
      </c>
    </row>
    <row r="6183" spans="31:32">
      <c r="AE6183" s="417" t="s">
        <v>18193</v>
      </c>
      <c r="AF6183" s="416" t="s">
        <v>18194</v>
      </c>
    </row>
    <row r="6184" spans="31:32">
      <c r="AE6184" s="417" t="s">
        <v>18195</v>
      </c>
      <c r="AF6184" s="416" t="s">
        <v>18196</v>
      </c>
    </row>
    <row r="6185" spans="31:32">
      <c r="AE6185" s="417" t="s">
        <v>18197</v>
      </c>
      <c r="AF6185" s="416" t="s">
        <v>18198</v>
      </c>
    </row>
    <row r="6186" spans="31:32">
      <c r="AE6186" s="417" t="s">
        <v>18199</v>
      </c>
      <c r="AF6186" s="416" t="s">
        <v>18200</v>
      </c>
    </row>
    <row r="6187" spans="31:32">
      <c r="AE6187" s="417" t="s">
        <v>18201</v>
      </c>
      <c r="AF6187" s="416" t="s">
        <v>18202</v>
      </c>
    </row>
    <row r="6188" spans="31:32">
      <c r="AE6188" s="417" t="s">
        <v>18203</v>
      </c>
      <c r="AF6188" s="416" t="s">
        <v>18204</v>
      </c>
    </row>
    <row r="6189" spans="31:32">
      <c r="AE6189" s="417" t="s">
        <v>18205</v>
      </c>
      <c r="AF6189" s="416" t="s">
        <v>18206</v>
      </c>
    </row>
    <row r="6190" spans="31:32">
      <c r="AE6190" s="417" t="s">
        <v>18207</v>
      </c>
      <c r="AF6190" s="416" t="s">
        <v>18208</v>
      </c>
    </row>
    <row r="6191" spans="31:32">
      <c r="AE6191" s="417" t="s">
        <v>18209</v>
      </c>
      <c r="AF6191" s="416" t="s">
        <v>18210</v>
      </c>
    </row>
    <row r="6192" spans="31:32">
      <c r="AE6192" s="417" t="s">
        <v>18211</v>
      </c>
      <c r="AF6192" s="416" t="s">
        <v>18212</v>
      </c>
    </row>
    <row r="6193" spans="31:32">
      <c r="AE6193" s="417" t="s">
        <v>18213</v>
      </c>
      <c r="AF6193" s="416" t="s">
        <v>18214</v>
      </c>
    </row>
    <row r="6194" spans="31:32">
      <c r="AE6194" s="417" t="s">
        <v>18215</v>
      </c>
      <c r="AF6194" s="416" t="s">
        <v>18216</v>
      </c>
    </row>
    <row r="6195" spans="31:32">
      <c r="AE6195" s="417" t="s">
        <v>18217</v>
      </c>
      <c r="AF6195" s="416" t="s">
        <v>18218</v>
      </c>
    </row>
    <row r="6196" spans="31:32">
      <c r="AE6196" s="417" t="s">
        <v>18219</v>
      </c>
      <c r="AF6196" s="416" t="s">
        <v>18220</v>
      </c>
    </row>
    <row r="6197" spans="31:32">
      <c r="AE6197" s="417" t="s">
        <v>18221</v>
      </c>
      <c r="AF6197" s="416" t="s">
        <v>18222</v>
      </c>
    </row>
    <row r="6198" spans="31:32">
      <c r="AE6198" s="417" t="s">
        <v>18223</v>
      </c>
      <c r="AF6198" s="416" t="s">
        <v>18224</v>
      </c>
    </row>
    <row r="6199" spans="31:32">
      <c r="AE6199" s="417" t="s">
        <v>18225</v>
      </c>
      <c r="AF6199" s="416" t="s">
        <v>18226</v>
      </c>
    </row>
    <row r="6200" spans="31:32">
      <c r="AE6200" s="417" t="s">
        <v>18227</v>
      </c>
      <c r="AF6200" s="416" t="s">
        <v>18228</v>
      </c>
    </row>
    <row r="6201" spans="31:32">
      <c r="AE6201" s="417" t="s">
        <v>18229</v>
      </c>
      <c r="AF6201" s="416" t="s">
        <v>18230</v>
      </c>
    </row>
    <row r="6202" spans="31:32">
      <c r="AE6202" s="417" t="s">
        <v>18231</v>
      </c>
      <c r="AF6202" s="416" t="s">
        <v>18232</v>
      </c>
    </row>
    <row r="6203" spans="31:32">
      <c r="AE6203" s="417" t="s">
        <v>18233</v>
      </c>
      <c r="AF6203" s="416" t="s">
        <v>18234</v>
      </c>
    </row>
    <row r="6204" spans="31:32">
      <c r="AE6204" s="417" t="s">
        <v>18235</v>
      </c>
      <c r="AF6204" s="416" t="s">
        <v>18236</v>
      </c>
    </row>
    <row r="6205" spans="31:32">
      <c r="AE6205" s="417" t="s">
        <v>18237</v>
      </c>
      <c r="AF6205" s="416" t="s">
        <v>18238</v>
      </c>
    </row>
    <row r="6206" spans="31:32">
      <c r="AE6206" s="417" t="s">
        <v>18239</v>
      </c>
      <c r="AF6206" s="416" t="s">
        <v>18240</v>
      </c>
    </row>
    <row r="6207" spans="31:32">
      <c r="AE6207" s="417" t="s">
        <v>18241</v>
      </c>
      <c r="AF6207" s="416" t="s">
        <v>18242</v>
      </c>
    </row>
    <row r="6208" spans="31:32">
      <c r="AE6208" s="417" t="s">
        <v>18243</v>
      </c>
      <c r="AF6208" s="416" t="s">
        <v>18244</v>
      </c>
    </row>
    <row r="6209" spans="31:32">
      <c r="AE6209" s="417" t="s">
        <v>18245</v>
      </c>
      <c r="AF6209" s="416" t="s">
        <v>18246</v>
      </c>
    </row>
    <row r="6210" spans="31:32">
      <c r="AE6210" s="417" t="s">
        <v>18247</v>
      </c>
      <c r="AF6210" s="416" t="s">
        <v>18248</v>
      </c>
    </row>
    <row r="6211" spans="31:32">
      <c r="AE6211" s="417" t="s">
        <v>18249</v>
      </c>
      <c r="AF6211" s="416" t="s">
        <v>18250</v>
      </c>
    </row>
    <row r="6212" spans="31:32">
      <c r="AE6212" s="417" t="s">
        <v>18251</v>
      </c>
      <c r="AF6212" s="416" t="s">
        <v>18252</v>
      </c>
    </row>
    <row r="6213" spans="31:32">
      <c r="AE6213" s="417" t="s">
        <v>18253</v>
      </c>
      <c r="AF6213" s="416" t="s">
        <v>18254</v>
      </c>
    </row>
    <row r="6214" spans="31:32">
      <c r="AE6214" s="417" t="s">
        <v>18255</v>
      </c>
      <c r="AF6214" s="416" t="s">
        <v>18256</v>
      </c>
    </row>
    <row r="6215" spans="31:32">
      <c r="AE6215" s="417" t="s">
        <v>18257</v>
      </c>
      <c r="AF6215" s="416" t="s">
        <v>18258</v>
      </c>
    </row>
    <row r="6216" spans="31:32">
      <c r="AE6216" s="417" t="s">
        <v>18259</v>
      </c>
      <c r="AF6216" s="416" t="s">
        <v>18260</v>
      </c>
    </row>
    <row r="6217" spans="31:32">
      <c r="AE6217" s="417" t="s">
        <v>18261</v>
      </c>
      <c r="AF6217" s="416" t="s">
        <v>18262</v>
      </c>
    </row>
    <row r="6218" spans="31:32">
      <c r="AE6218" s="417" t="s">
        <v>18263</v>
      </c>
      <c r="AF6218" s="416" t="s">
        <v>18264</v>
      </c>
    </row>
    <row r="6219" spans="31:32">
      <c r="AE6219" s="417" t="s">
        <v>18265</v>
      </c>
      <c r="AF6219" s="416" t="s">
        <v>18266</v>
      </c>
    </row>
    <row r="6220" spans="31:32">
      <c r="AE6220" s="417" t="s">
        <v>18267</v>
      </c>
      <c r="AF6220" s="416" t="s">
        <v>18268</v>
      </c>
    </row>
    <row r="6221" spans="31:32">
      <c r="AE6221" s="417" t="s">
        <v>18269</v>
      </c>
      <c r="AF6221" s="416" t="s">
        <v>18270</v>
      </c>
    </row>
    <row r="6222" spans="31:32">
      <c r="AE6222" s="417" t="s">
        <v>18271</v>
      </c>
      <c r="AF6222" s="416" t="s">
        <v>18272</v>
      </c>
    </row>
    <row r="6223" spans="31:32">
      <c r="AE6223" s="417" t="s">
        <v>18273</v>
      </c>
      <c r="AF6223" s="416" t="s">
        <v>18274</v>
      </c>
    </row>
    <row r="6224" spans="31:32">
      <c r="AE6224" s="417" t="s">
        <v>18275</v>
      </c>
      <c r="AF6224" s="416" t="s">
        <v>18276</v>
      </c>
    </row>
    <row r="6225" spans="31:32">
      <c r="AE6225" s="417" t="s">
        <v>18277</v>
      </c>
      <c r="AF6225" s="416" t="s">
        <v>18278</v>
      </c>
    </row>
    <row r="6226" spans="31:32">
      <c r="AE6226" s="417" t="s">
        <v>18279</v>
      </c>
      <c r="AF6226" s="416" t="s">
        <v>18280</v>
      </c>
    </row>
    <row r="6227" spans="31:32">
      <c r="AE6227" s="417" t="s">
        <v>18281</v>
      </c>
      <c r="AF6227" s="416" t="s">
        <v>18282</v>
      </c>
    </row>
    <row r="6228" spans="31:32">
      <c r="AE6228" s="417" t="s">
        <v>18283</v>
      </c>
      <c r="AF6228" s="416" t="s">
        <v>18284</v>
      </c>
    </row>
    <row r="6229" spans="31:32">
      <c r="AE6229" s="417" t="s">
        <v>18285</v>
      </c>
      <c r="AF6229" s="416" t="s">
        <v>18286</v>
      </c>
    </row>
    <row r="6230" spans="31:32">
      <c r="AE6230" s="417" t="s">
        <v>18287</v>
      </c>
      <c r="AF6230" s="416" t="s">
        <v>18288</v>
      </c>
    </row>
    <row r="6231" spans="31:32">
      <c r="AE6231" s="417" t="s">
        <v>18289</v>
      </c>
      <c r="AF6231" s="416" t="s">
        <v>18290</v>
      </c>
    </row>
    <row r="6232" spans="31:32">
      <c r="AE6232" s="417" t="s">
        <v>18291</v>
      </c>
      <c r="AF6232" s="416" t="s">
        <v>18292</v>
      </c>
    </row>
    <row r="6233" spans="31:32">
      <c r="AE6233" s="417" t="s">
        <v>18293</v>
      </c>
      <c r="AF6233" s="416" t="s">
        <v>18294</v>
      </c>
    </row>
    <row r="6234" spans="31:32">
      <c r="AE6234" s="417" t="s">
        <v>18295</v>
      </c>
      <c r="AF6234" s="416" t="s">
        <v>18296</v>
      </c>
    </row>
    <row r="6235" spans="31:32">
      <c r="AE6235" s="417" t="s">
        <v>18297</v>
      </c>
      <c r="AF6235" s="416" t="s">
        <v>18250</v>
      </c>
    </row>
    <row r="6236" spans="31:32">
      <c r="AE6236" s="417" t="s">
        <v>18298</v>
      </c>
      <c r="AF6236" s="416" t="s">
        <v>18299</v>
      </c>
    </row>
    <row r="6237" spans="31:32">
      <c r="AE6237" s="417" t="s">
        <v>18300</v>
      </c>
      <c r="AF6237" s="416" t="s">
        <v>18301</v>
      </c>
    </row>
    <row r="6238" spans="31:32">
      <c r="AE6238" s="417" t="s">
        <v>18302</v>
      </c>
      <c r="AF6238" s="416" t="s">
        <v>18303</v>
      </c>
    </row>
    <row r="6239" spans="31:32">
      <c r="AE6239" s="417" t="s">
        <v>18304</v>
      </c>
      <c r="AF6239" s="416" t="s">
        <v>18305</v>
      </c>
    </row>
    <row r="6240" spans="31:32">
      <c r="AE6240" s="417" t="s">
        <v>18306</v>
      </c>
      <c r="AF6240" s="416" t="s">
        <v>18160</v>
      </c>
    </row>
    <row r="6241" spans="31:32">
      <c r="AE6241" s="417" t="s">
        <v>18307</v>
      </c>
      <c r="AF6241" s="416" t="s">
        <v>18308</v>
      </c>
    </row>
    <row r="6242" spans="31:32">
      <c r="AE6242" s="417" t="s">
        <v>18309</v>
      </c>
      <c r="AF6242" s="416" t="s">
        <v>18310</v>
      </c>
    </row>
    <row r="6243" spans="31:32">
      <c r="AE6243" s="417" t="s">
        <v>18311</v>
      </c>
      <c r="AF6243" s="416" t="s">
        <v>18312</v>
      </c>
    </row>
    <row r="6244" spans="31:32">
      <c r="AE6244" s="417" t="s">
        <v>18313</v>
      </c>
      <c r="AF6244" s="416" t="s">
        <v>18314</v>
      </c>
    </row>
    <row r="6245" spans="31:32">
      <c r="AE6245" s="417" t="s">
        <v>18315</v>
      </c>
      <c r="AF6245" s="416" t="s">
        <v>18316</v>
      </c>
    </row>
    <row r="6246" spans="31:32">
      <c r="AE6246" s="417" t="s">
        <v>18317</v>
      </c>
      <c r="AF6246" s="416" t="s">
        <v>18318</v>
      </c>
    </row>
    <row r="6247" spans="31:32">
      <c r="AE6247" s="417" t="s">
        <v>18319</v>
      </c>
      <c r="AF6247" s="416" t="s">
        <v>18320</v>
      </c>
    </row>
    <row r="6248" spans="31:32">
      <c r="AE6248" s="417" t="s">
        <v>18321</v>
      </c>
      <c r="AF6248" s="416" t="s">
        <v>18322</v>
      </c>
    </row>
    <row r="6249" spans="31:32">
      <c r="AE6249" s="417" t="s">
        <v>18323</v>
      </c>
      <c r="AF6249" s="416" t="s">
        <v>18324</v>
      </c>
    </row>
    <row r="6250" spans="31:32">
      <c r="AE6250" s="417" t="s">
        <v>18325</v>
      </c>
      <c r="AF6250" s="416" t="s">
        <v>18326</v>
      </c>
    </row>
    <row r="6251" spans="31:32">
      <c r="AE6251" s="417" t="s">
        <v>18327</v>
      </c>
      <c r="AF6251" s="416" t="s">
        <v>18328</v>
      </c>
    </row>
    <row r="6252" spans="31:32">
      <c r="AE6252" s="417" t="s">
        <v>18329</v>
      </c>
      <c r="AF6252" s="416" t="s">
        <v>18330</v>
      </c>
    </row>
    <row r="6253" spans="31:32">
      <c r="AE6253" s="417" t="s">
        <v>18331</v>
      </c>
      <c r="AF6253" s="416" t="s">
        <v>18332</v>
      </c>
    </row>
    <row r="6254" spans="31:32">
      <c r="AE6254" s="417" t="s">
        <v>18333</v>
      </c>
      <c r="AF6254" s="416" t="s">
        <v>18334</v>
      </c>
    </row>
    <row r="6255" spans="31:32">
      <c r="AE6255" s="417" t="s">
        <v>18335</v>
      </c>
      <c r="AF6255" s="416" t="s">
        <v>18336</v>
      </c>
    </row>
    <row r="6256" spans="31:32">
      <c r="AE6256" s="417" t="s">
        <v>18337</v>
      </c>
      <c r="AF6256" s="416" t="s">
        <v>18338</v>
      </c>
    </row>
    <row r="6257" spans="31:32">
      <c r="AE6257" s="417" t="s">
        <v>18339</v>
      </c>
      <c r="AF6257" s="416" t="s">
        <v>18340</v>
      </c>
    </row>
    <row r="6258" spans="31:32">
      <c r="AE6258" s="417" t="s">
        <v>18341</v>
      </c>
      <c r="AF6258" s="416" t="s">
        <v>18342</v>
      </c>
    </row>
    <row r="6259" spans="31:32">
      <c r="AE6259" s="417" t="s">
        <v>18343</v>
      </c>
      <c r="AF6259" s="416" t="s">
        <v>18344</v>
      </c>
    </row>
    <row r="6260" spans="31:32">
      <c r="AE6260" s="417" t="s">
        <v>18345</v>
      </c>
      <c r="AF6260" s="416" t="s">
        <v>18346</v>
      </c>
    </row>
    <row r="6261" spans="31:32">
      <c r="AE6261" s="417" t="s">
        <v>18347</v>
      </c>
      <c r="AF6261" s="416" t="s">
        <v>18348</v>
      </c>
    </row>
    <row r="6262" spans="31:32">
      <c r="AE6262" s="417" t="s">
        <v>18349</v>
      </c>
      <c r="AF6262" s="416" t="s">
        <v>18350</v>
      </c>
    </row>
    <row r="6263" spans="31:32">
      <c r="AE6263" s="417" t="s">
        <v>18351</v>
      </c>
      <c r="AF6263" s="416" t="s">
        <v>18352</v>
      </c>
    </row>
    <row r="6264" spans="31:32">
      <c r="AE6264" s="417" t="s">
        <v>18353</v>
      </c>
      <c r="AF6264" s="416" t="s">
        <v>18354</v>
      </c>
    </row>
    <row r="6265" spans="31:32">
      <c r="AE6265" s="417" t="s">
        <v>18355</v>
      </c>
      <c r="AF6265" s="416" t="s">
        <v>18356</v>
      </c>
    </row>
    <row r="6266" spans="31:32">
      <c r="AE6266" s="417" t="s">
        <v>18357</v>
      </c>
      <c r="AF6266" s="416" t="s">
        <v>18358</v>
      </c>
    </row>
    <row r="6267" spans="31:32">
      <c r="AE6267" s="417" t="s">
        <v>18359</v>
      </c>
      <c r="AF6267" s="416" t="s">
        <v>18360</v>
      </c>
    </row>
    <row r="6268" spans="31:32">
      <c r="AE6268" s="417" t="s">
        <v>18361</v>
      </c>
      <c r="AF6268" s="416" t="s">
        <v>18362</v>
      </c>
    </row>
    <row r="6269" spans="31:32">
      <c r="AE6269" s="417" t="s">
        <v>18363</v>
      </c>
      <c r="AF6269" s="416" t="s">
        <v>18364</v>
      </c>
    </row>
    <row r="6270" spans="31:32">
      <c r="AE6270" s="417" t="s">
        <v>18365</v>
      </c>
      <c r="AF6270" s="416" t="s">
        <v>18366</v>
      </c>
    </row>
    <row r="6271" spans="31:32">
      <c r="AE6271" s="417" t="s">
        <v>18367</v>
      </c>
      <c r="AF6271" s="416" t="s">
        <v>18368</v>
      </c>
    </row>
    <row r="6272" spans="31:32">
      <c r="AE6272" s="417" t="s">
        <v>18369</v>
      </c>
      <c r="AF6272" s="416" t="s">
        <v>18370</v>
      </c>
    </row>
    <row r="6273" spans="31:32">
      <c r="AE6273" s="417" t="s">
        <v>18371</v>
      </c>
      <c r="AF6273" s="416" t="s">
        <v>18372</v>
      </c>
    </row>
    <row r="6274" spans="31:32">
      <c r="AE6274" s="417" t="s">
        <v>18373</v>
      </c>
      <c r="AF6274" s="416" t="s">
        <v>18374</v>
      </c>
    </row>
    <row r="6275" spans="31:32">
      <c r="AE6275" s="417" t="s">
        <v>18375</v>
      </c>
      <c r="AF6275" s="416" t="s">
        <v>18376</v>
      </c>
    </row>
    <row r="6276" spans="31:32">
      <c r="AE6276" s="417" t="s">
        <v>18377</v>
      </c>
      <c r="AF6276" s="416" t="s">
        <v>18378</v>
      </c>
    </row>
    <row r="6277" spans="31:32">
      <c r="AE6277" s="417" t="s">
        <v>18379</v>
      </c>
      <c r="AF6277" s="416" t="s">
        <v>18380</v>
      </c>
    </row>
    <row r="6278" spans="31:32">
      <c r="AE6278" s="417" t="s">
        <v>18381</v>
      </c>
      <c r="AF6278" s="416" t="s">
        <v>18382</v>
      </c>
    </row>
    <row r="6279" spans="31:32">
      <c r="AE6279" s="417" t="s">
        <v>18383</v>
      </c>
      <c r="AF6279" s="416" t="s">
        <v>18384</v>
      </c>
    </row>
    <row r="6280" spans="31:32">
      <c r="AE6280" s="417" t="s">
        <v>18385</v>
      </c>
      <c r="AF6280" s="416" t="s">
        <v>18386</v>
      </c>
    </row>
    <row r="6281" spans="31:32">
      <c r="AE6281" s="417" t="s">
        <v>18387</v>
      </c>
      <c r="AF6281" s="416" t="s">
        <v>18388</v>
      </c>
    </row>
    <row r="6282" spans="31:32">
      <c r="AE6282" s="417" t="s">
        <v>18389</v>
      </c>
      <c r="AF6282" s="416" t="s">
        <v>18390</v>
      </c>
    </row>
    <row r="6283" spans="31:32">
      <c r="AE6283" s="417" t="s">
        <v>18391</v>
      </c>
      <c r="AF6283" s="416" t="s">
        <v>18392</v>
      </c>
    </row>
    <row r="6284" spans="31:32">
      <c r="AE6284" s="417" t="s">
        <v>18393</v>
      </c>
      <c r="AF6284" s="416" t="s">
        <v>18394</v>
      </c>
    </row>
    <row r="6285" spans="31:32">
      <c r="AE6285" s="417" t="s">
        <v>18395</v>
      </c>
      <c r="AF6285" s="416" t="s">
        <v>18396</v>
      </c>
    </row>
    <row r="6286" spans="31:32">
      <c r="AE6286" s="417" t="s">
        <v>18397</v>
      </c>
      <c r="AF6286" s="416" t="s">
        <v>18398</v>
      </c>
    </row>
    <row r="6287" spans="31:32">
      <c r="AE6287" s="417" t="s">
        <v>18399</v>
      </c>
      <c r="AF6287" s="416" t="s">
        <v>18400</v>
      </c>
    </row>
    <row r="6288" spans="31:32">
      <c r="AE6288" s="417" t="s">
        <v>18401</v>
      </c>
      <c r="AF6288" s="416" t="s">
        <v>18402</v>
      </c>
    </row>
    <row r="6289" spans="31:32">
      <c r="AE6289" s="417" t="s">
        <v>18403</v>
      </c>
      <c r="AF6289" s="416" t="s">
        <v>18404</v>
      </c>
    </row>
    <row r="6290" spans="31:32">
      <c r="AE6290" s="417" t="s">
        <v>18405</v>
      </c>
      <c r="AF6290" s="416" t="s">
        <v>18406</v>
      </c>
    </row>
    <row r="6291" spans="31:32">
      <c r="AE6291" s="417" t="s">
        <v>18407</v>
      </c>
      <c r="AF6291" s="416" t="s">
        <v>18408</v>
      </c>
    </row>
    <row r="6292" spans="31:32">
      <c r="AE6292" s="417" t="s">
        <v>18409</v>
      </c>
      <c r="AF6292" s="416" t="s">
        <v>18410</v>
      </c>
    </row>
    <row r="6293" spans="31:32">
      <c r="AE6293" s="417" t="s">
        <v>18411</v>
      </c>
      <c r="AF6293" s="416" t="s">
        <v>18412</v>
      </c>
    </row>
    <row r="6294" spans="31:32">
      <c r="AE6294" s="417" t="s">
        <v>18413</v>
      </c>
      <c r="AF6294" s="416" t="s">
        <v>18414</v>
      </c>
    </row>
    <row r="6295" spans="31:32">
      <c r="AE6295" s="417" t="s">
        <v>18415</v>
      </c>
      <c r="AF6295" s="416" t="s">
        <v>18416</v>
      </c>
    </row>
    <row r="6296" spans="31:32">
      <c r="AE6296" s="417" t="s">
        <v>18417</v>
      </c>
      <c r="AF6296" s="416" t="s">
        <v>18418</v>
      </c>
    </row>
    <row r="6297" spans="31:32">
      <c r="AE6297" s="417" t="s">
        <v>18419</v>
      </c>
      <c r="AF6297" s="416" t="s">
        <v>18420</v>
      </c>
    </row>
    <row r="6298" spans="31:32">
      <c r="AE6298" s="417" t="s">
        <v>18421</v>
      </c>
      <c r="AF6298" s="416" t="s">
        <v>18422</v>
      </c>
    </row>
    <row r="6299" spans="31:32">
      <c r="AE6299" s="417" t="s">
        <v>18423</v>
      </c>
      <c r="AF6299" s="416" t="s">
        <v>18424</v>
      </c>
    </row>
    <row r="6300" spans="31:32">
      <c r="AE6300" s="417" t="s">
        <v>18425</v>
      </c>
      <c r="AF6300" s="416" t="s">
        <v>18426</v>
      </c>
    </row>
    <row r="6301" spans="31:32">
      <c r="AE6301" s="417" t="s">
        <v>18427</v>
      </c>
      <c r="AF6301" s="416" t="s">
        <v>18428</v>
      </c>
    </row>
    <row r="6302" spans="31:32">
      <c r="AE6302" s="417" t="s">
        <v>18429</v>
      </c>
      <c r="AF6302" s="416" t="s">
        <v>18430</v>
      </c>
    </row>
    <row r="6303" spans="31:32">
      <c r="AE6303" s="417" t="s">
        <v>18431</v>
      </c>
      <c r="AF6303" s="416" t="s">
        <v>18432</v>
      </c>
    </row>
    <row r="6304" spans="31:32">
      <c r="AE6304" s="417" t="s">
        <v>18433</v>
      </c>
      <c r="AF6304" s="416" t="s">
        <v>18434</v>
      </c>
    </row>
    <row r="6305" spans="31:32">
      <c r="AE6305" s="417" t="s">
        <v>18435</v>
      </c>
      <c r="AF6305" s="416" t="s">
        <v>18436</v>
      </c>
    </row>
    <row r="6306" spans="31:32">
      <c r="AE6306" s="417" t="s">
        <v>18437</v>
      </c>
      <c r="AF6306" s="416" t="s">
        <v>18438</v>
      </c>
    </row>
    <row r="6307" spans="31:32">
      <c r="AE6307" s="417" t="s">
        <v>18439</v>
      </c>
      <c r="AF6307" s="416" t="s">
        <v>18440</v>
      </c>
    </row>
    <row r="6308" spans="31:32">
      <c r="AE6308" s="417" t="s">
        <v>18441</v>
      </c>
      <c r="AF6308" s="416" t="s">
        <v>18442</v>
      </c>
    </row>
    <row r="6309" spans="31:32">
      <c r="AE6309" s="417" t="s">
        <v>18443</v>
      </c>
      <c r="AF6309" s="416" t="s">
        <v>18444</v>
      </c>
    </row>
    <row r="6310" spans="31:32">
      <c r="AE6310" s="417" t="s">
        <v>18445</v>
      </c>
      <c r="AF6310" s="416" t="s">
        <v>18446</v>
      </c>
    </row>
    <row r="6311" spans="31:32">
      <c r="AE6311" s="417" t="s">
        <v>18447</v>
      </c>
      <c r="AF6311" s="416" t="s">
        <v>18448</v>
      </c>
    </row>
    <row r="6312" spans="31:32">
      <c r="AE6312" s="417" t="s">
        <v>18449</v>
      </c>
      <c r="AF6312" s="416" t="s">
        <v>18450</v>
      </c>
    </row>
    <row r="6313" spans="31:32">
      <c r="AE6313" s="417" t="s">
        <v>18451</v>
      </c>
      <c r="AF6313" s="416" t="s">
        <v>18452</v>
      </c>
    </row>
    <row r="6314" spans="31:32">
      <c r="AE6314" s="417" t="s">
        <v>18453</v>
      </c>
      <c r="AF6314" s="416" t="s">
        <v>18454</v>
      </c>
    </row>
    <row r="6315" spans="31:32">
      <c r="AE6315" s="417" t="s">
        <v>18455</v>
      </c>
      <c r="AF6315" s="416" t="s">
        <v>18456</v>
      </c>
    </row>
    <row r="6316" spans="31:32">
      <c r="AE6316" s="417" t="s">
        <v>18457</v>
      </c>
      <c r="AF6316" s="416" t="s">
        <v>18458</v>
      </c>
    </row>
    <row r="6317" spans="31:32">
      <c r="AE6317" s="417" t="s">
        <v>18459</v>
      </c>
      <c r="AF6317" s="416" t="s">
        <v>18460</v>
      </c>
    </row>
    <row r="6318" spans="31:32">
      <c r="AE6318" s="417" t="s">
        <v>18461</v>
      </c>
      <c r="AF6318" s="416" t="s">
        <v>18462</v>
      </c>
    </row>
    <row r="6319" spans="31:32">
      <c r="AE6319" s="417" t="s">
        <v>18463</v>
      </c>
      <c r="AF6319" s="416" t="s">
        <v>18464</v>
      </c>
    </row>
    <row r="6320" spans="31:32">
      <c r="AE6320" s="417" t="s">
        <v>18465</v>
      </c>
      <c r="AF6320" s="416" t="s">
        <v>18466</v>
      </c>
    </row>
    <row r="6321" spans="31:32">
      <c r="AE6321" s="417" t="s">
        <v>18467</v>
      </c>
      <c r="AF6321" s="416" t="s">
        <v>18468</v>
      </c>
    </row>
    <row r="6322" spans="31:32">
      <c r="AE6322" s="417" t="s">
        <v>18469</v>
      </c>
      <c r="AF6322" s="416" t="s">
        <v>18470</v>
      </c>
    </row>
    <row r="6323" spans="31:32">
      <c r="AE6323" s="417" t="s">
        <v>18471</v>
      </c>
      <c r="AF6323" s="416" t="s">
        <v>18472</v>
      </c>
    </row>
    <row r="6324" spans="31:32">
      <c r="AE6324" s="417" t="s">
        <v>18473</v>
      </c>
      <c r="AF6324" s="416" t="s">
        <v>18474</v>
      </c>
    </row>
    <row r="6325" spans="31:32">
      <c r="AE6325" s="417" t="s">
        <v>18475</v>
      </c>
      <c r="AF6325" s="416" t="s">
        <v>18476</v>
      </c>
    </row>
    <row r="6326" spans="31:32">
      <c r="AE6326" s="417" t="s">
        <v>18477</v>
      </c>
      <c r="AF6326" s="416" t="s">
        <v>18478</v>
      </c>
    </row>
    <row r="6327" spans="31:32">
      <c r="AE6327" s="417" t="s">
        <v>18479</v>
      </c>
      <c r="AF6327" s="416" t="s">
        <v>18480</v>
      </c>
    </row>
    <row r="6328" spans="31:32">
      <c r="AE6328" s="417" t="s">
        <v>18481</v>
      </c>
      <c r="AF6328" s="416" t="s">
        <v>18482</v>
      </c>
    </row>
    <row r="6329" spans="31:32">
      <c r="AE6329" s="417" t="s">
        <v>18483</v>
      </c>
      <c r="AF6329" s="416" t="s">
        <v>18484</v>
      </c>
    </row>
    <row r="6330" spans="31:32">
      <c r="AE6330" s="417" t="s">
        <v>18485</v>
      </c>
      <c r="AF6330" s="416" t="s">
        <v>18486</v>
      </c>
    </row>
    <row r="6331" spans="31:32">
      <c r="AE6331" s="417" t="s">
        <v>18487</v>
      </c>
      <c r="AF6331" s="416" t="s">
        <v>18488</v>
      </c>
    </row>
    <row r="6332" spans="31:32">
      <c r="AE6332" s="417" t="s">
        <v>18489</v>
      </c>
      <c r="AF6332" s="416" t="s">
        <v>18490</v>
      </c>
    </row>
    <row r="6333" spans="31:32">
      <c r="AE6333" s="417" t="s">
        <v>18491</v>
      </c>
      <c r="AF6333" s="416" t="s">
        <v>18492</v>
      </c>
    </row>
    <row r="6334" spans="31:32">
      <c r="AE6334" s="417" t="s">
        <v>18493</v>
      </c>
      <c r="AF6334" s="416" t="s">
        <v>18494</v>
      </c>
    </row>
    <row r="6335" spans="31:32">
      <c r="AE6335" s="417" t="s">
        <v>18495</v>
      </c>
      <c r="AF6335" s="416" t="s">
        <v>18496</v>
      </c>
    </row>
    <row r="6336" spans="31:32">
      <c r="AE6336" s="417" t="s">
        <v>18497</v>
      </c>
      <c r="AF6336" s="416" t="s">
        <v>18498</v>
      </c>
    </row>
    <row r="6337" spans="31:32">
      <c r="AE6337" s="417" t="s">
        <v>18499</v>
      </c>
      <c r="AF6337" s="416" t="s">
        <v>18500</v>
      </c>
    </row>
    <row r="6338" spans="31:32">
      <c r="AE6338" s="417" t="s">
        <v>18501</v>
      </c>
      <c r="AF6338" s="416" t="s">
        <v>18502</v>
      </c>
    </row>
    <row r="6339" spans="31:32">
      <c r="AE6339" s="417" t="s">
        <v>18503</v>
      </c>
      <c r="AF6339" s="416" t="s">
        <v>18504</v>
      </c>
    </row>
    <row r="6340" spans="31:32">
      <c r="AE6340" s="417" t="s">
        <v>18505</v>
      </c>
      <c r="AF6340" s="416" t="s">
        <v>18506</v>
      </c>
    </row>
    <row r="6341" spans="31:32">
      <c r="AE6341" s="417" t="s">
        <v>18507</v>
      </c>
      <c r="AF6341" s="416" t="s">
        <v>18508</v>
      </c>
    </row>
    <row r="6342" spans="31:32">
      <c r="AE6342" s="417" t="s">
        <v>18509</v>
      </c>
      <c r="AF6342" s="416" t="s">
        <v>18510</v>
      </c>
    </row>
    <row r="6343" spans="31:32">
      <c r="AE6343" s="417" t="s">
        <v>18511</v>
      </c>
      <c r="AF6343" s="416" t="s">
        <v>18512</v>
      </c>
    </row>
    <row r="6344" spans="31:32">
      <c r="AE6344" s="417" t="s">
        <v>18513</v>
      </c>
      <c r="AF6344" s="416" t="s">
        <v>18514</v>
      </c>
    </row>
    <row r="6345" spans="31:32">
      <c r="AE6345" s="417" t="s">
        <v>18515</v>
      </c>
      <c r="AF6345" s="416" t="s">
        <v>18516</v>
      </c>
    </row>
    <row r="6346" spans="31:32">
      <c r="AE6346" s="417" t="s">
        <v>18517</v>
      </c>
      <c r="AF6346" s="416" t="s">
        <v>18518</v>
      </c>
    </row>
    <row r="6347" spans="31:32">
      <c r="AE6347" s="417" t="s">
        <v>18519</v>
      </c>
      <c r="AF6347" s="416" t="s">
        <v>18520</v>
      </c>
    </row>
    <row r="6348" spans="31:32">
      <c r="AE6348" s="417" t="s">
        <v>18521</v>
      </c>
      <c r="AF6348" s="416" t="s">
        <v>18522</v>
      </c>
    </row>
    <row r="6349" spans="31:32">
      <c r="AE6349" s="417" t="s">
        <v>18523</v>
      </c>
      <c r="AF6349" s="416" t="s">
        <v>18524</v>
      </c>
    </row>
    <row r="6350" spans="31:32">
      <c r="AE6350" s="417" t="s">
        <v>18525</v>
      </c>
      <c r="AF6350" s="416" t="s">
        <v>18526</v>
      </c>
    </row>
    <row r="6351" spans="31:32">
      <c r="AE6351" s="417" t="s">
        <v>18527</v>
      </c>
      <c r="AF6351" s="416" t="s">
        <v>18528</v>
      </c>
    </row>
    <row r="6352" spans="31:32">
      <c r="AE6352" s="417" t="s">
        <v>18529</v>
      </c>
      <c r="AF6352" s="416" t="s">
        <v>18530</v>
      </c>
    </row>
    <row r="6353" spans="31:32">
      <c r="AE6353" s="417" t="s">
        <v>18531</v>
      </c>
      <c r="AF6353" s="416" t="s">
        <v>18532</v>
      </c>
    </row>
    <row r="6354" spans="31:32">
      <c r="AE6354" s="417" t="s">
        <v>18533</v>
      </c>
      <c r="AF6354" s="416" t="s">
        <v>18534</v>
      </c>
    </row>
    <row r="6355" spans="31:32">
      <c r="AE6355" s="417" t="s">
        <v>18535</v>
      </c>
      <c r="AF6355" s="416" t="s">
        <v>18536</v>
      </c>
    </row>
    <row r="6356" spans="31:32">
      <c r="AE6356" s="417" t="s">
        <v>18537</v>
      </c>
      <c r="AF6356" s="416" t="s">
        <v>18538</v>
      </c>
    </row>
    <row r="6357" spans="31:32">
      <c r="AE6357" s="417" t="s">
        <v>18539</v>
      </c>
      <c r="AF6357" s="416" t="s">
        <v>18540</v>
      </c>
    </row>
    <row r="6358" spans="31:32">
      <c r="AE6358" s="417" t="s">
        <v>18541</v>
      </c>
      <c r="AF6358" s="416" t="s">
        <v>18542</v>
      </c>
    </row>
    <row r="6359" spans="31:32">
      <c r="AE6359" s="417" t="s">
        <v>18543</v>
      </c>
      <c r="AF6359" s="416" t="s">
        <v>18544</v>
      </c>
    </row>
    <row r="6360" spans="31:32">
      <c r="AE6360" s="417" t="s">
        <v>18545</v>
      </c>
      <c r="AF6360" s="416" t="s">
        <v>18546</v>
      </c>
    </row>
    <row r="6361" spans="31:32">
      <c r="AE6361" s="417" t="s">
        <v>18547</v>
      </c>
      <c r="AF6361" s="416" t="s">
        <v>18548</v>
      </c>
    </row>
    <row r="6362" spans="31:32">
      <c r="AE6362" s="417" t="s">
        <v>18549</v>
      </c>
      <c r="AF6362" s="416" t="s">
        <v>18550</v>
      </c>
    </row>
    <row r="6363" spans="31:32">
      <c r="AE6363" s="417" t="s">
        <v>18551</v>
      </c>
      <c r="AF6363" s="416" t="s">
        <v>18552</v>
      </c>
    </row>
    <row r="6364" spans="31:32">
      <c r="AE6364" s="417" t="s">
        <v>18553</v>
      </c>
      <c r="AF6364" s="416" t="s">
        <v>18554</v>
      </c>
    </row>
    <row r="6365" spans="31:32">
      <c r="AE6365" s="417" t="s">
        <v>18555</v>
      </c>
      <c r="AF6365" s="416" t="s">
        <v>18556</v>
      </c>
    </row>
    <row r="6366" spans="31:32">
      <c r="AE6366" s="417" t="s">
        <v>18557</v>
      </c>
      <c r="AF6366" s="416" t="s">
        <v>18558</v>
      </c>
    </row>
    <row r="6367" spans="31:32">
      <c r="AE6367" s="417" t="s">
        <v>18559</v>
      </c>
      <c r="AF6367" s="416" t="s">
        <v>18560</v>
      </c>
    </row>
    <row r="6368" spans="31:32">
      <c r="AE6368" s="417" t="s">
        <v>18561</v>
      </c>
      <c r="AF6368" s="416" t="s">
        <v>18562</v>
      </c>
    </row>
    <row r="6369" spans="31:32">
      <c r="AE6369" s="417" t="s">
        <v>18563</v>
      </c>
      <c r="AF6369" s="416" t="s">
        <v>18564</v>
      </c>
    </row>
    <row r="6370" spans="31:32">
      <c r="AE6370" s="417" t="s">
        <v>18565</v>
      </c>
      <c r="AF6370" s="416" t="s">
        <v>18566</v>
      </c>
    </row>
    <row r="6371" spans="31:32">
      <c r="AE6371" s="417" t="s">
        <v>18567</v>
      </c>
      <c r="AF6371" s="416" t="s">
        <v>18568</v>
      </c>
    </row>
    <row r="6372" spans="31:32">
      <c r="AE6372" s="417" t="s">
        <v>18569</v>
      </c>
      <c r="AF6372" s="416" t="s">
        <v>18570</v>
      </c>
    </row>
    <row r="6373" spans="31:32">
      <c r="AE6373" s="417" t="s">
        <v>18571</v>
      </c>
      <c r="AF6373" s="416" t="s">
        <v>18572</v>
      </c>
    </row>
    <row r="6374" spans="31:32">
      <c r="AE6374" s="417" t="s">
        <v>18573</v>
      </c>
      <c r="AF6374" s="416" t="s">
        <v>18574</v>
      </c>
    </row>
    <row r="6375" spans="31:32">
      <c r="AE6375" s="417" t="s">
        <v>18575</v>
      </c>
      <c r="AF6375" s="416" t="s">
        <v>18576</v>
      </c>
    </row>
    <row r="6376" spans="31:32">
      <c r="AE6376" s="417" t="s">
        <v>18577</v>
      </c>
      <c r="AF6376" s="416" t="s">
        <v>18578</v>
      </c>
    </row>
    <row r="6377" spans="31:32">
      <c r="AE6377" s="417" t="s">
        <v>18579</v>
      </c>
      <c r="AF6377" s="416" t="s">
        <v>18580</v>
      </c>
    </row>
    <row r="6378" spans="31:32">
      <c r="AE6378" s="417" t="s">
        <v>18581</v>
      </c>
      <c r="AF6378" s="416" t="s">
        <v>18582</v>
      </c>
    </row>
    <row r="6379" spans="31:32">
      <c r="AE6379" s="417" t="s">
        <v>18583</v>
      </c>
      <c r="AF6379" s="416" t="s">
        <v>18584</v>
      </c>
    </row>
    <row r="6380" spans="31:32">
      <c r="AE6380" s="417" t="s">
        <v>18585</v>
      </c>
      <c r="AF6380" s="416" t="s">
        <v>18586</v>
      </c>
    </row>
    <row r="6381" spans="31:32">
      <c r="AE6381" s="417" t="s">
        <v>18587</v>
      </c>
      <c r="AF6381" s="416" t="s">
        <v>18588</v>
      </c>
    </row>
    <row r="6382" spans="31:32">
      <c r="AE6382" s="417" t="s">
        <v>18589</v>
      </c>
      <c r="AF6382" s="416" t="s">
        <v>18590</v>
      </c>
    </row>
    <row r="6383" spans="31:32">
      <c r="AE6383" s="417" t="s">
        <v>18591</v>
      </c>
      <c r="AF6383" s="416" t="s">
        <v>18592</v>
      </c>
    </row>
    <row r="6384" spans="31:32">
      <c r="AE6384" s="417" t="s">
        <v>18593</v>
      </c>
      <c r="AF6384" s="416" t="s">
        <v>18594</v>
      </c>
    </row>
    <row r="6385" spans="31:32">
      <c r="AE6385" s="417" t="s">
        <v>18595</v>
      </c>
      <c r="AF6385" s="416" t="s">
        <v>18596</v>
      </c>
    </row>
    <row r="6386" spans="31:32">
      <c r="AE6386" s="417" t="s">
        <v>18597</v>
      </c>
      <c r="AF6386" s="416" t="s">
        <v>18598</v>
      </c>
    </row>
    <row r="6387" spans="31:32">
      <c r="AE6387" s="417" t="s">
        <v>18599</v>
      </c>
      <c r="AF6387" s="416" t="s">
        <v>18600</v>
      </c>
    </row>
    <row r="6388" spans="31:32">
      <c r="AE6388" s="417" t="s">
        <v>18601</v>
      </c>
      <c r="AF6388" s="416" t="s">
        <v>18602</v>
      </c>
    </row>
    <row r="6389" spans="31:32">
      <c r="AE6389" s="417" t="s">
        <v>18603</v>
      </c>
      <c r="AF6389" s="416" t="s">
        <v>18604</v>
      </c>
    </row>
    <row r="6390" spans="31:32">
      <c r="AE6390" s="417" t="s">
        <v>18605</v>
      </c>
      <c r="AF6390" s="416" t="s">
        <v>18606</v>
      </c>
    </row>
    <row r="6391" spans="31:32">
      <c r="AE6391" s="417" t="s">
        <v>18607</v>
      </c>
      <c r="AF6391" s="416" t="s">
        <v>18608</v>
      </c>
    </row>
    <row r="6392" spans="31:32">
      <c r="AE6392" s="417" t="s">
        <v>18609</v>
      </c>
      <c r="AF6392" s="416" t="s">
        <v>18610</v>
      </c>
    </row>
    <row r="6393" spans="31:32">
      <c r="AE6393" s="417" t="s">
        <v>18611</v>
      </c>
      <c r="AF6393" s="416" t="s">
        <v>18612</v>
      </c>
    </row>
    <row r="6394" spans="31:32">
      <c r="AE6394" s="417" t="s">
        <v>18613</v>
      </c>
      <c r="AF6394" s="416" t="s">
        <v>18614</v>
      </c>
    </row>
    <row r="6395" spans="31:32">
      <c r="AE6395" s="417" t="s">
        <v>18615</v>
      </c>
      <c r="AF6395" s="416" t="s">
        <v>18616</v>
      </c>
    </row>
    <row r="6396" spans="31:32">
      <c r="AE6396" s="417" t="s">
        <v>18617</v>
      </c>
      <c r="AF6396" s="416" t="s">
        <v>18618</v>
      </c>
    </row>
    <row r="6397" spans="31:32">
      <c r="AE6397" s="417" t="s">
        <v>18619</v>
      </c>
      <c r="AF6397" s="416" t="s">
        <v>18620</v>
      </c>
    </row>
    <row r="6398" spans="31:32">
      <c r="AE6398" s="417" t="s">
        <v>18621</v>
      </c>
      <c r="AF6398" s="416" t="s">
        <v>18622</v>
      </c>
    </row>
    <row r="6399" spans="31:32">
      <c r="AE6399" s="417" t="s">
        <v>18623</v>
      </c>
      <c r="AF6399" s="416" t="s">
        <v>18624</v>
      </c>
    </row>
    <row r="6400" spans="31:32">
      <c r="AE6400" s="417" t="s">
        <v>18625</v>
      </c>
      <c r="AF6400" s="416" t="s">
        <v>18626</v>
      </c>
    </row>
    <row r="6401" spans="31:32">
      <c r="AE6401" s="417" t="s">
        <v>18627</v>
      </c>
      <c r="AF6401" s="416" t="s">
        <v>18628</v>
      </c>
    </row>
    <row r="6402" spans="31:32">
      <c r="AE6402" s="417" t="s">
        <v>18629</v>
      </c>
      <c r="AF6402" s="416" t="s">
        <v>18630</v>
      </c>
    </row>
    <row r="6403" spans="31:32">
      <c r="AE6403" s="417" t="s">
        <v>18631</v>
      </c>
      <c r="AF6403" s="416" t="s">
        <v>18632</v>
      </c>
    </row>
    <row r="6404" spans="31:32">
      <c r="AE6404" s="417" t="s">
        <v>18633</v>
      </c>
      <c r="AF6404" s="416" t="s">
        <v>18634</v>
      </c>
    </row>
    <row r="6405" spans="31:32">
      <c r="AE6405" s="417" t="s">
        <v>18635</v>
      </c>
      <c r="AF6405" s="416" t="s">
        <v>18636</v>
      </c>
    </row>
    <row r="6406" spans="31:32">
      <c r="AE6406" s="417" t="s">
        <v>18637</v>
      </c>
      <c r="AF6406" s="416" t="s">
        <v>18638</v>
      </c>
    </row>
    <row r="6407" spans="31:32">
      <c r="AE6407" s="417" t="s">
        <v>18639</v>
      </c>
      <c r="AF6407" s="416" t="s">
        <v>18640</v>
      </c>
    </row>
    <row r="6408" spans="31:32">
      <c r="AE6408" s="417" t="s">
        <v>18641</v>
      </c>
      <c r="AF6408" s="416" t="s">
        <v>18642</v>
      </c>
    </row>
    <row r="6409" spans="31:32">
      <c r="AE6409" s="417" t="s">
        <v>18643</v>
      </c>
      <c r="AF6409" s="416" t="s">
        <v>18406</v>
      </c>
    </row>
    <row r="6410" spans="31:32">
      <c r="AE6410" s="417" t="s">
        <v>18644</v>
      </c>
      <c r="AF6410" s="416" t="s">
        <v>18645</v>
      </c>
    </row>
    <row r="6411" spans="31:32">
      <c r="AE6411" s="417" t="s">
        <v>18646</v>
      </c>
      <c r="AF6411" s="416" t="s">
        <v>18647</v>
      </c>
    </row>
    <row r="6412" spans="31:32">
      <c r="AE6412" s="417" t="s">
        <v>18648</v>
      </c>
      <c r="AF6412" s="416" t="s">
        <v>18649</v>
      </c>
    </row>
    <row r="6413" spans="31:32">
      <c r="AE6413" s="417" t="s">
        <v>18650</v>
      </c>
      <c r="AF6413" s="416" t="s">
        <v>18651</v>
      </c>
    </row>
    <row r="6414" spans="31:32">
      <c r="AE6414" s="417" t="s">
        <v>18652</v>
      </c>
      <c r="AF6414" s="416" t="s">
        <v>18653</v>
      </c>
    </row>
    <row r="6415" spans="31:32">
      <c r="AE6415" s="417" t="s">
        <v>18654</v>
      </c>
      <c r="AF6415" s="416" t="s">
        <v>18655</v>
      </c>
    </row>
    <row r="6416" spans="31:32">
      <c r="AE6416" s="417" t="s">
        <v>18656</v>
      </c>
      <c r="AF6416" s="416" t="s">
        <v>18506</v>
      </c>
    </row>
    <row r="6417" spans="31:32">
      <c r="AE6417" s="417" t="s">
        <v>18657</v>
      </c>
      <c r="AF6417" s="416" t="s">
        <v>18658</v>
      </c>
    </row>
    <row r="6418" spans="31:32">
      <c r="AE6418" s="417" t="s">
        <v>18659</v>
      </c>
      <c r="AF6418" s="416" t="s">
        <v>18660</v>
      </c>
    </row>
    <row r="6419" spans="31:32">
      <c r="AE6419" s="417" t="s">
        <v>18661</v>
      </c>
      <c r="AF6419" s="416" t="s">
        <v>18662</v>
      </c>
    </row>
    <row r="6420" spans="31:32">
      <c r="AE6420" s="417" t="s">
        <v>18663</v>
      </c>
      <c r="AF6420" s="416" t="s">
        <v>18664</v>
      </c>
    </row>
    <row r="6421" spans="31:32">
      <c r="AE6421" s="417" t="s">
        <v>18665</v>
      </c>
      <c r="AF6421" s="416" t="s">
        <v>18666</v>
      </c>
    </row>
    <row r="6422" spans="31:32">
      <c r="AE6422" s="417" t="s">
        <v>18667</v>
      </c>
      <c r="AF6422" s="416" t="s">
        <v>18668</v>
      </c>
    </row>
    <row r="6423" spans="31:32">
      <c r="AE6423" s="417" t="s">
        <v>18669</v>
      </c>
      <c r="AF6423" s="416" t="s">
        <v>18670</v>
      </c>
    </row>
    <row r="6424" spans="31:32">
      <c r="AE6424" s="417" t="s">
        <v>18671</v>
      </c>
      <c r="AF6424" s="416" t="s">
        <v>18672</v>
      </c>
    </row>
    <row r="6425" spans="31:32">
      <c r="AE6425" s="417" t="s">
        <v>18673</v>
      </c>
      <c r="AF6425" s="416" t="s">
        <v>18674</v>
      </c>
    </row>
    <row r="6426" spans="31:32">
      <c r="AE6426" s="417" t="s">
        <v>18675</v>
      </c>
      <c r="AF6426" s="416" t="s">
        <v>18676</v>
      </c>
    </row>
    <row r="6427" spans="31:32">
      <c r="AE6427" s="417" t="s">
        <v>18677</v>
      </c>
      <c r="AF6427" s="416" t="s">
        <v>18678</v>
      </c>
    </row>
    <row r="6428" spans="31:32">
      <c r="AE6428" s="417" t="s">
        <v>18679</v>
      </c>
      <c r="AF6428" s="416" t="s">
        <v>18680</v>
      </c>
    </row>
    <row r="6429" spans="31:32">
      <c r="AE6429" s="417" t="s">
        <v>18681</v>
      </c>
      <c r="AF6429" s="416" t="s">
        <v>18682</v>
      </c>
    </row>
    <row r="6430" spans="31:32">
      <c r="AE6430" s="417" t="s">
        <v>18683</v>
      </c>
      <c r="AF6430" s="416" t="s">
        <v>18684</v>
      </c>
    </row>
    <row r="6431" spans="31:32">
      <c r="AE6431" s="417" t="s">
        <v>18685</v>
      </c>
      <c r="AF6431" s="416" t="s">
        <v>18686</v>
      </c>
    </row>
    <row r="6432" spans="31:32">
      <c r="AE6432" s="417" t="s">
        <v>18687</v>
      </c>
      <c r="AF6432" s="416" t="s">
        <v>18688</v>
      </c>
    </row>
    <row r="6433" spans="31:32">
      <c r="AE6433" s="417" t="s">
        <v>18689</v>
      </c>
      <c r="AF6433" s="416" t="s">
        <v>18690</v>
      </c>
    </row>
    <row r="6434" spans="31:32">
      <c r="AE6434" s="417" t="s">
        <v>18691</v>
      </c>
      <c r="AF6434" s="416" t="s">
        <v>18692</v>
      </c>
    </row>
    <row r="6435" spans="31:32">
      <c r="AE6435" s="417" t="s">
        <v>18693</v>
      </c>
      <c r="AF6435" s="416" t="s">
        <v>18694</v>
      </c>
    </row>
    <row r="6436" spans="31:32">
      <c r="AE6436" s="417" t="s">
        <v>18695</v>
      </c>
      <c r="AF6436" s="416" t="s">
        <v>18696</v>
      </c>
    </row>
    <row r="6437" spans="31:32">
      <c r="AE6437" s="417" t="s">
        <v>18697</v>
      </c>
      <c r="AF6437" s="416" t="s">
        <v>18698</v>
      </c>
    </row>
    <row r="6438" spans="31:32">
      <c r="AE6438" s="417" t="s">
        <v>18699</v>
      </c>
      <c r="AF6438" s="416" t="s">
        <v>18700</v>
      </c>
    </row>
    <row r="6439" spans="31:32">
      <c r="AE6439" s="417" t="s">
        <v>18701</v>
      </c>
      <c r="AF6439" s="416" t="s">
        <v>18702</v>
      </c>
    </row>
    <row r="6440" spans="31:32">
      <c r="AE6440" s="417" t="s">
        <v>18703</v>
      </c>
      <c r="AF6440" s="416" t="s">
        <v>18704</v>
      </c>
    </row>
    <row r="6441" spans="31:32">
      <c r="AE6441" s="417" t="s">
        <v>18705</v>
      </c>
      <c r="AF6441" s="416" t="s">
        <v>18706</v>
      </c>
    </row>
    <row r="6442" spans="31:32">
      <c r="AE6442" s="417" t="s">
        <v>18707</v>
      </c>
      <c r="AF6442" s="416" t="s">
        <v>18708</v>
      </c>
    </row>
    <row r="6443" spans="31:32">
      <c r="AE6443" s="417" t="s">
        <v>18709</v>
      </c>
      <c r="AF6443" s="416" t="s">
        <v>18710</v>
      </c>
    </row>
    <row r="6444" spans="31:32">
      <c r="AE6444" s="417" t="s">
        <v>18711</v>
      </c>
      <c r="AF6444" s="416" t="s">
        <v>18712</v>
      </c>
    </row>
    <row r="6445" spans="31:32">
      <c r="AE6445" s="417" t="s">
        <v>18713</v>
      </c>
      <c r="AF6445" s="416" t="s">
        <v>18714</v>
      </c>
    </row>
    <row r="6446" spans="31:32">
      <c r="AE6446" s="417" t="s">
        <v>18715</v>
      </c>
      <c r="AF6446" s="416" t="s">
        <v>18716</v>
      </c>
    </row>
    <row r="6447" spans="31:32">
      <c r="AE6447" s="417" t="s">
        <v>18717</v>
      </c>
      <c r="AF6447" s="416" t="s">
        <v>18718</v>
      </c>
    </row>
    <row r="6448" spans="31:32">
      <c r="AE6448" s="417" t="s">
        <v>18719</v>
      </c>
      <c r="AF6448" s="416" t="s">
        <v>18720</v>
      </c>
    </row>
    <row r="6449" spans="31:32">
      <c r="AE6449" s="417" t="s">
        <v>18721</v>
      </c>
      <c r="AF6449" s="416" t="s">
        <v>18722</v>
      </c>
    </row>
    <row r="6450" spans="31:32">
      <c r="AE6450" s="417" t="s">
        <v>18723</v>
      </c>
      <c r="AF6450" s="416" t="s">
        <v>18724</v>
      </c>
    </row>
    <row r="6451" spans="31:32">
      <c r="AE6451" s="417" t="s">
        <v>18725</v>
      </c>
      <c r="AF6451" s="416" t="s">
        <v>18726</v>
      </c>
    </row>
    <row r="6452" spans="31:32">
      <c r="AE6452" s="417" t="s">
        <v>18727</v>
      </c>
      <c r="AF6452" s="416" t="s">
        <v>18728</v>
      </c>
    </row>
    <row r="6453" spans="31:32">
      <c r="AE6453" s="417" t="s">
        <v>18729</v>
      </c>
      <c r="AF6453" s="416" t="s">
        <v>18730</v>
      </c>
    </row>
    <row r="6454" spans="31:32">
      <c r="AE6454" s="417" t="s">
        <v>18731</v>
      </c>
      <c r="AF6454" s="416" t="s">
        <v>18732</v>
      </c>
    </row>
    <row r="6455" spans="31:32">
      <c r="AE6455" s="417" t="s">
        <v>18733</v>
      </c>
      <c r="AF6455" s="416" t="s">
        <v>18734</v>
      </c>
    </row>
    <row r="6456" spans="31:32">
      <c r="AE6456" s="417" t="s">
        <v>18735</v>
      </c>
      <c r="AF6456" s="416" t="s">
        <v>18736</v>
      </c>
    </row>
    <row r="6457" spans="31:32">
      <c r="AE6457" s="417" t="s">
        <v>18737</v>
      </c>
      <c r="AF6457" s="416" t="s">
        <v>18738</v>
      </c>
    </row>
    <row r="6458" spans="31:32">
      <c r="AE6458" s="417" t="s">
        <v>18739</v>
      </c>
      <c r="AF6458" s="416" t="s">
        <v>18740</v>
      </c>
    </row>
    <row r="6459" spans="31:32">
      <c r="AE6459" s="417" t="s">
        <v>18741</v>
      </c>
      <c r="AF6459" s="416" t="s">
        <v>18742</v>
      </c>
    </row>
    <row r="6460" spans="31:32">
      <c r="AE6460" s="417" t="s">
        <v>18743</v>
      </c>
      <c r="AF6460" s="416" t="s">
        <v>18744</v>
      </c>
    </row>
    <row r="6461" spans="31:32">
      <c r="AE6461" s="417" t="s">
        <v>18745</v>
      </c>
      <c r="AF6461" s="416" t="s">
        <v>18746</v>
      </c>
    </row>
    <row r="6462" spans="31:32">
      <c r="AE6462" s="417" t="s">
        <v>18747</v>
      </c>
      <c r="AF6462" s="416" t="s">
        <v>18748</v>
      </c>
    </row>
    <row r="6463" spans="31:32">
      <c r="AE6463" s="417" t="s">
        <v>18749</v>
      </c>
      <c r="AF6463" s="416" t="s">
        <v>18750</v>
      </c>
    </row>
    <row r="6464" spans="31:32">
      <c r="AE6464" s="417" t="s">
        <v>18751</v>
      </c>
      <c r="AF6464" s="416" t="s">
        <v>18752</v>
      </c>
    </row>
    <row r="6465" spans="31:32">
      <c r="AE6465" s="417" t="s">
        <v>18753</v>
      </c>
      <c r="AF6465" s="416" t="s">
        <v>18754</v>
      </c>
    </row>
    <row r="6466" spans="31:32">
      <c r="AE6466" s="417" t="s">
        <v>18755</v>
      </c>
      <c r="AF6466" s="416" t="s">
        <v>18756</v>
      </c>
    </row>
    <row r="6467" spans="31:32">
      <c r="AE6467" s="417" t="s">
        <v>18757</v>
      </c>
      <c r="AF6467" s="416" t="s">
        <v>18758</v>
      </c>
    </row>
    <row r="6468" spans="31:32">
      <c r="AE6468" s="417" t="s">
        <v>18759</v>
      </c>
      <c r="AF6468" s="416" t="s">
        <v>18760</v>
      </c>
    </row>
    <row r="6469" spans="31:32">
      <c r="AE6469" s="417" t="s">
        <v>18761</v>
      </c>
      <c r="AF6469" s="416" t="s">
        <v>18762</v>
      </c>
    </row>
    <row r="6470" spans="31:32">
      <c r="AE6470" s="417" t="s">
        <v>18763</v>
      </c>
      <c r="AF6470" s="416" t="s">
        <v>18764</v>
      </c>
    </row>
    <row r="6471" spans="31:32">
      <c r="AE6471" s="417" t="s">
        <v>18765</v>
      </c>
      <c r="AF6471" s="416" t="s">
        <v>18766</v>
      </c>
    </row>
    <row r="6472" spans="31:32">
      <c r="AE6472" s="417" t="s">
        <v>18767</v>
      </c>
      <c r="AF6472" s="416" t="s">
        <v>18768</v>
      </c>
    </row>
    <row r="6473" spans="31:32">
      <c r="AE6473" s="417" t="s">
        <v>18769</v>
      </c>
      <c r="AF6473" s="416" t="s">
        <v>18770</v>
      </c>
    </row>
    <row r="6474" spans="31:32">
      <c r="AE6474" s="417" t="s">
        <v>18771</v>
      </c>
      <c r="AF6474" s="416" t="s">
        <v>18772</v>
      </c>
    </row>
    <row r="6475" spans="31:32">
      <c r="AE6475" s="417" t="s">
        <v>18773</v>
      </c>
      <c r="AF6475" s="416" t="s">
        <v>18774</v>
      </c>
    </row>
    <row r="6476" spans="31:32">
      <c r="AE6476" s="417" t="s">
        <v>18775</v>
      </c>
      <c r="AF6476" s="416" t="s">
        <v>18776</v>
      </c>
    </row>
    <row r="6477" spans="31:32">
      <c r="AE6477" s="417" t="s">
        <v>18777</v>
      </c>
      <c r="AF6477" s="416" t="s">
        <v>18778</v>
      </c>
    </row>
    <row r="6478" spans="31:32">
      <c r="AE6478" s="417" t="s">
        <v>18779</v>
      </c>
      <c r="AF6478" s="416" t="s">
        <v>18780</v>
      </c>
    </row>
    <row r="6479" spans="31:32">
      <c r="AE6479" s="417" t="s">
        <v>18781</v>
      </c>
      <c r="AF6479" s="416" t="s">
        <v>18782</v>
      </c>
    </row>
    <row r="6480" spans="31:32">
      <c r="AE6480" s="417" t="s">
        <v>18783</v>
      </c>
      <c r="AF6480" s="416" t="s">
        <v>18784</v>
      </c>
    </row>
    <row r="6481" spans="31:32">
      <c r="AE6481" s="417" t="s">
        <v>18785</v>
      </c>
      <c r="AF6481" s="416" t="s">
        <v>18786</v>
      </c>
    </row>
    <row r="6482" spans="31:32">
      <c r="AE6482" s="417" t="s">
        <v>18787</v>
      </c>
      <c r="AF6482" s="416" t="s">
        <v>18788</v>
      </c>
    </row>
    <row r="6483" spans="31:32">
      <c r="AE6483" s="417" t="s">
        <v>18789</v>
      </c>
      <c r="AF6483" s="416" t="s">
        <v>18790</v>
      </c>
    </row>
    <row r="6484" spans="31:32">
      <c r="AE6484" s="417" t="s">
        <v>18791</v>
      </c>
      <c r="AF6484" s="416" t="s">
        <v>18792</v>
      </c>
    </row>
    <row r="6485" spans="31:32">
      <c r="AE6485" s="417" t="s">
        <v>18793</v>
      </c>
      <c r="AF6485" s="416" t="s">
        <v>18794</v>
      </c>
    </row>
    <row r="6486" spans="31:32">
      <c r="AE6486" s="417" t="s">
        <v>18795</v>
      </c>
      <c r="AF6486" s="416" t="s">
        <v>18796</v>
      </c>
    </row>
    <row r="6487" spans="31:32">
      <c r="AE6487" s="417" t="s">
        <v>18797</v>
      </c>
      <c r="AF6487" s="416" t="s">
        <v>18798</v>
      </c>
    </row>
    <row r="6488" spans="31:32">
      <c r="AE6488" s="417" t="s">
        <v>18799</v>
      </c>
      <c r="AF6488" s="416" t="s">
        <v>18800</v>
      </c>
    </row>
    <row r="6489" spans="31:32">
      <c r="AE6489" s="417" t="s">
        <v>18801</v>
      </c>
      <c r="AF6489" s="416" t="s">
        <v>18802</v>
      </c>
    </row>
    <row r="6490" spans="31:32">
      <c r="AE6490" s="417" t="s">
        <v>18803</v>
      </c>
      <c r="AF6490" s="416" t="s">
        <v>18804</v>
      </c>
    </row>
    <row r="6491" spans="31:32">
      <c r="AE6491" s="417" t="s">
        <v>18805</v>
      </c>
      <c r="AF6491" s="416" t="s">
        <v>18806</v>
      </c>
    </row>
    <row r="6492" spans="31:32">
      <c r="AE6492" s="417" t="s">
        <v>18807</v>
      </c>
      <c r="AF6492" s="416" t="s">
        <v>18808</v>
      </c>
    </row>
    <row r="6493" spans="31:32">
      <c r="AE6493" s="417" t="s">
        <v>18809</v>
      </c>
      <c r="AF6493" s="416" t="s">
        <v>18810</v>
      </c>
    </row>
    <row r="6494" spans="31:32">
      <c r="AE6494" s="417" t="s">
        <v>18811</v>
      </c>
      <c r="AF6494" s="416" t="s">
        <v>18812</v>
      </c>
    </row>
    <row r="6495" spans="31:32">
      <c r="AE6495" s="417" t="s">
        <v>18813</v>
      </c>
      <c r="AF6495" s="416" t="s">
        <v>18814</v>
      </c>
    </row>
    <row r="6496" spans="31:32">
      <c r="AE6496" s="417" t="s">
        <v>18815</v>
      </c>
      <c r="AF6496" s="416" t="s">
        <v>18816</v>
      </c>
    </row>
    <row r="6497" spans="31:32">
      <c r="AE6497" s="417" t="s">
        <v>18817</v>
      </c>
      <c r="AF6497" s="416" t="s">
        <v>18818</v>
      </c>
    </row>
    <row r="6498" spans="31:32">
      <c r="AE6498" s="417" t="s">
        <v>18819</v>
      </c>
      <c r="AF6498" s="416" t="s">
        <v>18820</v>
      </c>
    </row>
    <row r="6499" spans="31:32">
      <c r="AE6499" s="417" t="s">
        <v>18821</v>
      </c>
      <c r="AF6499" s="416" t="s">
        <v>18822</v>
      </c>
    </row>
    <row r="6500" spans="31:32">
      <c r="AE6500" s="417" t="s">
        <v>18823</v>
      </c>
      <c r="AF6500" s="416" t="s">
        <v>18824</v>
      </c>
    </row>
    <row r="6501" spans="31:32">
      <c r="AE6501" s="417" t="s">
        <v>18825</v>
      </c>
      <c r="AF6501" s="416" t="s">
        <v>18826</v>
      </c>
    </row>
    <row r="6502" spans="31:32">
      <c r="AE6502" s="417" t="s">
        <v>18827</v>
      </c>
      <c r="AF6502" s="416" t="s">
        <v>18828</v>
      </c>
    </row>
    <row r="6503" spans="31:32">
      <c r="AE6503" s="417" t="s">
        <v>18829</v>
      </c>
      <c r="AF6503" s="416" t="s">
        <v>18830</v>
      </c>
    </row>
    <row r="6504" spans="31:32">
      <c r="AE6504" s="417" t="s">
        <v>18831</v>
      </c>
      <c r="AF6504" s="416" t="s">
        <v>18832</v>
      </c>
    </row>
    <row r="6505" spans="31:32">
      <c r="AE6505" s="417" t="s">
        <v>18833</v>
      </c>
      <c r="AF6505" s="416" t="s">
        <v>18834</v>
      </c>
    </row>
    <row r="6506" spans="31:32">
      <c r="AE6506" s="417" t="s">
        <v>18835</v>
      </c>
      <c r="AF6506" s="416" t="s">
        <v>18836</v>
      </c>
    </row>
    <row r="6507" spans="31:32">
      <c r="AE6507" s="417" t="s">
        <v>18837</v>
      </c>
      <c r="AF6507" s="416" t="s">
        <v>18838</v>
      </c>
    </row>
    <row r="6508" spans="31:32">
      <c r="AE6508" s="417" t="s">
        <v>18839</v>
      </c>
      <c r="AF6508" s="416" t="s">
        <v>18840</v>
      </c>
    </row>
    <row r="6509" spans="31:32">
      <c r="AE6509" s="417" t="s">
        <v>18841</v>
      </c>
      <c r="AF6509" s="416" t="s">
        <v>18842</v>
      </c>
    </row>
    <row r="6510" spans="31:32">
      <c r="AE6510" s="417" t="s">
        <v>18843</v>
      </c>
      <c r="AF6510" s="416" t="s">
        <v>18844</v>
      </c>
    </row>
    <row r="6511" spans="31:32">
      <c r="AE6511" s="417" t="s">
        <v>18845</v>
      </c>
      <c r="AF6511" s="416" t="s">
        <v>18846</v>
      </c>
    </row>
    <row r="6512" spans="31:32">
      <c r="AE6512" s="417" t="s">
        <v>18847</v>
      </c>
      <c r="AF6512" s="416" t="s">
        <v>18848</v>
      </c>
    </row>
    <row r="6513" spans="31:32">
      <c r="AE6513" s="417" t="s">
        <v>18849</v>
      </c>
      <c r="AF6513" s="416" t="s">
        <v>18850</v>
      </c>
    </row>
    <row r="6514" spans="31:32">
      <c r="AE6514" s="417" t="s">
        <v>18851</v>
      </c>
      <c r="AF6514" s="416" t="s">
        <v>18852</v>
      </c>
    </row>
    <row r="6515" spans="31:32">
      <c r="AE6515" s="417" t="s">
        <v>18853</v>
      </c>
      <c r="AF6515" s="416" t="s">
        <v>18854</v>
      </c>
    </row>
    <row r="6516" spans="31:32">
      <c r="AE6516" s="417" t="s">
        <v>18855</v>
      </c>
      <c r="AF6516" s="416" t="s">
        <v>18856</v>
      </c>
    </row>
    <row r="6517" spans="31:32">
      <c r="AE6517" s="417" t="s">
        <v>18857</v>
      </c>
      <c r="AF6517" s="416" t="s">
        <v>18858</v>
      </c>
    </row>
    <row r="6518" spans="31:32">
      <c r="AE6518" s="417" t="s">
        <v>18859</v>
      </c>
      <c r="AF6518" s="416" t="s">
        <v>18860</v>
      </c>
    </row>
    <row r="6519" spans="31:32">
      <c r="AE6519" s="417" t="s">
        <v>18861</v>
      </c>
      <c r="AF6519" s="416" t="s">
        <v>18862</v>
      </c>
    </row>
    <row r="6520" spans="31:32">
      <c r="AE6520" s="417" t="s">
        <v>18863</v>
      </c>
      <c r="AF6520" s="416" t="s">
        <v>18864</v>
      </c>
    </row>
    <row r="6521" spans="31:32">
      <c r="AE6521" s="417" t="s">
        <v>18865</v>
      </c>
      <c r="AF6521" s="416" t="s">
        <v>18866</v>
      </c>
    </row>
    <row r="6522" spans="31:32">
      <c r="AE6522" s="417" t="s">
        <v>18867</v>
      </c>
      <c r="AF6522" s="416" t="s">
        <v>18868</v>
      </c>
    </row>
    <row r="6523" spans="31:32">
      <c r="AE6523" s="417" t="s">
        <v>18869</v>
      </c>
      <c r="AF6523" s="416" t="s">
        <v>18870</v>
      </c>
    </row>
    <row r="6524" spans="31:32">
      <c r="AE6524" s="417" t="s">
        <v>18871</v>
      </c>
      <c r="AF6524" s="416" t="s">
        <v>18872</v>
      </c>
    </row>
    <row r="6525" spans="31:32">
      <c r="AE6525" s="417" t="s">
        <v>18873</v>
      </c>
      <c r="AF6525" s="416" t="s">
        <v>18874</v>
      </c>
    </row>
    <row r="6526" spans="31:32">
      <c r="AE6526" s="417" t="s">
        <v>18875</v>
      </c>
      <c r="AF6526" s="416" t="s">
        <v>18876</v>
      </c>
    </row>
    <row r="6527" spans="31:32">
      <c r="AE6527" s="417" t="s">
        <v>18877</v>
      </c>
      <c r="AF6527" s="416" t="s">
        <v>18878</v>
      </c>
    </row>
    <row r="6528" spans="31:32">
      <c r="AE6528" s="417" t="s">
        <v>18879</v>
      </c>
      <c r="AF6528" s="416" t="s">
        <v>18880</v>
      </c>
    </row>
    <row r="6529" spans="31:32">
      <c r="AE6529" s="417" t="s">
        <v>18881</v>
      </c>
      <c r="AF6529" s="416" t="s">
        <v>18882</v>
      </c>
    </row>
    <row r="6530" spans="31:32">
      <c r="AE6530" s="417" t="s">
        <v>18883</v>
      </c>
      <c r="AF6530" s="416" t="s">
        <v>18884</v>
      </c>
    </row>
    <row r="6531" spans="31:32">
      <c r="AE6531" s="417" t="s">
        <v>18885</v>
      </c>
      <c r="AF6531" s="416" t="s">
        <v>18886</v>
      </c>
    </row>
    <row r="6532" spans="31:32">
      <c r="AE6532" s="417" t="s">
        <v>18887</v>
      </c>
      <c r="AF6532" s="416" t="s">
        <v>18888</v>
      </c>
    </row>
    <row r="6533" spans="31:32">
      <c r="AE6533" s="417" t="s">
        <v>18889</v>
      </c>
      <c r="AF6533" s="416" t="s">
        <v>18890</v>
      </c>
    </row>
    <row r="6534" spans="31:32">
      <c r="AE6534" s="417" t="s">
        <v>18891</v>
      </c>
      <c r="AF6534" s="416" t="s">
        <v>18892</v>
      </c>
    </row>
    <row r="6535" spans="31:32">
      <c r="AE6535" s="417" t="s">
        <v>18893</v>
      </c>
      <c r="AF6535" s="416" t="s">
        <v>18894</v>
      </c>
    </row>
    <row r="6536" spans="31:32">
      <c r="AE6536" s="417" t="s">
        <v>18895</v>
      </c>
      <c r="AF6536" s="416" t="s">
        <v>18896</v>
      </c>
    </row>
    <row r="6537" spans="31:32">
      <c r="AE6537" s="417" t="s">
        <v>18897</v>
      </c>
      <c r="AF6537" s="416" t="s">
        <v>18898</v>
      </c>
    </row>
    <row r="6538" spans="31:32">
      <c r="AE6538" s="417" t="s">
        <v>18899</v>
      </c>
      <c r="AF6538" s="416" t="s">
        <v>18900</v>
      </c>
    </row>
    <row r="6539" spans="31:32">
      <c r="AE6539" s="417" t="s">
        <v>18901</v>
      </c>
      <c r="AF6539" s="416" t="s">
        <v>18902</v>
      </c>
    </row>
    <row r="6540" spans="31:32">
      <c r="AE6540" s="417" t="s">
        <v>18903</v>
      </c>
      <c r="AF6540" s="416" t="s">
        <v>18904</v>
      </c>
    </row>
    <row r="6541" spans="31:32">
      <c r="AE6541" s="417" t="s">
        <v>18905</v>
      </c>
      <c r="AF6541" s="416" t="s">
        <v>18906</v>
      </c>
    </row>
    <row r="6542" spans="31:32">
      <c r="AE6542" s="417" t="s">
        <v>18907</v>
      </c>
      <c r="AF6542" s="416" t="s">
        <v>18908</v>
      </c>
    </row>
    <row r="6543" spans="31:32">
      <c r="AE6543" s="417" t="s">
        <v>18909</v>
      </c>
      <c r="AF6543" s="416" t="s">
        <v>18910</v>
      </c>
    </row>
    <row r="6544" spans="31:32">
      <c r="AE6544" s="417" t="s">
        <v>18911</v>
      </c>
      <c r="AF6544" s="416" t="s">
        <v>18912</v>
      </c>
    </row>
    <row r="6545" spans="31:32">
      <c r="AE6545" s="417" t="s">
        <v>18913</v>
      </c>
      <c r="AF6545" s="416" t="s">
        <v>18914</v>
      </c>
    </row>
    <row r="6546" spans="31:32">
      <c r="AE6546" s="417" t="s">
        <v>18915</v>
      </c>
      <c r="AF6546" s="416" t="s">
        <v>18916</v>
      </c>
    </row>
    <row r="6547" spans="31:32">
      <c r="AE6547" s="417" t="s">
        <v>18917</v>
      </c>
      <c r="AF6547" s="416" t="s">
        <v>18918</v>
      </c>
    </row>
    <row r="6548" spans="31:32">
      <c r="AE6548" s="417" t="s">
        <v>18919</v>
      </c>
      <c r="AF6548" s="416" t="s">
        <v>18920</v>
      </c>
    </row>
    <row r="6549" spans="31:32">
      <c r="AE6549" s="417" t="s">
        <v>18921</v>
      </c>
      <c r="AF6549" s="416" t="s">
        <v>18922</v>
      </c>
    </row>
    <row r="6550" spans="31:32">
      <c r="AE6550" s="417" t="s">
        <v>18923</v>
      </c>
      <c r="AF6550" s="416" t="s">
        <v>18924</v>
      </c>
    </row>
    <row r="6551" spans="31:32">
      <c r="AE6551" s="417" t="s">
        <v>18925</v>
      </c>
      <c r="AF6551" s="416" t="s">
        <v>18926</v>
      </c>
    </row>
    <row r="6552" spans="31:32">
      <c r="AE6552" s="417" t="s">
        <v>18927</v>
      </c>
      <c r="AF6552" s="416" t="s">
        <v>18928</v>
      </c>
    </row>
    <row r="6553" spans="31:32">
      <c r="AE6553" s="417" t="s">
        <v>18929</v>
      </c>
      <c r="AF6553" s="416" t="s">
        <v>18930</v>
      </c>
    </row>
    <row r="6554" spans="31:32">
      <c r="AE6554" s="417" t="s">
        <v>18931</v>
      </c>
      <c r="AF6554" s="416" t="s">
        <v>18932</v>
      </c>
    </row>
    <row r="6555" spans="31:32">
      <c r="AE6555" s="417" t="s">
        <v>18933</v>
      </c>
      <c r="AF6555" s="416" t="s">
        <v>18934</v>
      </c>
    </row>
    <row r="6556" spans="31:32">
      <c r="AE6556" s="417" t="s">
        <v>18935</v>
      </c>
      <c r="AF6556" s="416" t="s">
        <v>18936</v>
      </c>
    </row>
    <row r="6557" spans="31:32">
      <c r="AE6557" s="417" t="s">
        <v>18937</v>
      </c>
      <c r="AF6557" s="416" t="s">
        <v>18938</v>
      </c>
    </row>
    <row r="6558" spans="31:32">
      <c r="AE6558" s="417" t="s">
        <v>18939</v>
      </c>
      <c r="AF6558" s="416" t="s">
        <v>18940</v>
      </c>
    </row>
    <row r="6559" spans="31:32">
      <c r="AE6559" s="417" t="s">
        <v>18941</v>
      </c>
      <c r="AF6559" s="416" t="s">
        <v>18942</v>
      </c>
    </row>
    <row r="6560" spans="31:32">
      <c r="AE6560" s="417" t="s">
        <v>18943</v>
      </c>
      <c r="AF6560" s="416" t="s">
        <v>18944</v>
      </c>
    </row>
    <row r="6561" spans="31:32">
      <c r="AE6561" s="417" t="s">
        <v>18945</v>
      </c>
      <c r="AF6561" s="416" t="s">
        <v>18946</v>
      </c>
    </row>
    <row r="6562" spans="31:32">
      <c r="AE6562" s="417" t="s">
        <v>18947</v>
      </c>
      <c r="AF6562" s="416" t="s">
        <v>18948</v>
      </c>
    </row>
    <row r="6563" spans="31:32">
      <c r="AE6563" s="417" t="s">
        <v>18949</v>
      </c>
      <c r="AF6563" s="416" t="s">
        <v>18950</v>
      </c>
    </row>
    <row r="6564" spans="31:32">
      <c r="AE6564" s="417" t="s">
        <v>18951</v>
      </c>
      <c r="AF6564" s="416" t="s">
        <v>18952</v>
      </c>
    </row>
    <row r="6565" spans="31:32">
      <c r="AE6565" s="417" t="s">
        <v>18953</v>
      </c>
      <c r="AF6565" s="416" t="s">
        <v>18954</v>
      </c>
    </row>
    <row r="6566" spans="31:32">
      <c r="AE6566" s="417" t="s">
        <v>18955</v>
      </c>
      <c r="AF6566" s="416" t="s">
        <v>18956</v>
      </c>
    </row>
    <row r="6567" spans="31:32">
      <c r="AE6567" s="417" t="s">
        <v>18957</v>
      </c>
      <c r="AF6567" s="416" t="s">
        <v>18958</v>
      </c>
    </row>
    <row r="6568" spans="31:32">
      <c r="AE6568" s="417" t="s">
        <v>18959</v>
      </c>
      <c r="AF6568" s="416" t="s">
        <v>18960</v>
      </c>
    </row>
    <row r="6569" spans="31:32">
      <c r="AE6569" s="417" t="s">
        <v>18961</v>
      </c>
      <c r="AF6569" s="416" t="s">
        <v>18962</v>
      </c>
    </row>
    <row r="6570" spans="31:32">
      <c r="AE6570" s="417" t="s">
        <v>18963</v>
      </c>
      <c r="AF6570" s="416" t="s">
        <v>18964</v>
      </c>
    </row>
    <row r="6571" spans="31:32">
      <c r="AE6571" s="417" t="s">
        <v>18965</v>
      </c>
      <c r="AF6571" s="416" t="s">
        <v>18966</v>
      </c>
    </row>
    <row r="6572" spans="31:32">
      <c r="AE6572" s="417" t="s">
        <v>18967</v>
      </c>
      <c r="AF6572" s="416" t="s">
        <v>18968</v>
      </c>
    </row>
    <row r="6573" spans="31:32">
      <c r="AE6573" s="417" t="s">
        <v>18969</v>
      </c>
      <c r="AF6573" s="416" t="s">
        <v>18970</v>
      </c>
    </row>
    <row r="6574" spans="31:32">
      <c r="AE6574" s="417" t="s">
        <v>18971</v>
      </c>
      <c r="AF6574" s="416" t="s">
        <v>18972</v>
      </c>
    </row>
    <row r="6575" spans="31:32">
      <c r="AE6575" s="417" t="s">
        <v>18973</v>
      </c>
      <c r="AF6575" s="416" t="s">
        <v>18974</v>
      </c>
    </row>
    <row r="6576" spans="31:32">
      <c r="AE6576" s="417" t="s">
        <v>18975</v>
      </c>
      <c r="AF6576" s="416" t="s">
        <v>18976</v>
      </c>
    </row>
    <row r="6577" spans="31:32">
      <c r="AE6577" s="417" t="s">
        <v>18977</v>
      </c>
      <c r="AF6577" s="416" t="s">
        <v>18978</v>
      </c>
    </row>
    <row r="6578" spans="31:32">
      <c r="AE6578" s="417" t="s">
        <v>18979</v>
      </c>
      <c r="AF6578" s="416" t="s">
        <v>18980</v>
      </c>
    </row>
    <row r="6579" spans="31:32">
      <c r="AE6579" s="417" t="s">
        <v>18981</v>
      </c>
      <c r="AF6579" s="416" t="s">
        <v>18982</v>
      </c>
    </row>
    <row r="6580" spans="31:32">
      <c r="AE6580" s="417" t="s">
        <v>18983</v>
      </c>
      <c r="AF6580" s="416" t="s">
        <v>18984</v>
      </c>
    </row>
    <row r="6581" spans="31:32">
      <c r="AE6581" s="417" t="s">
        <v>18985</v>
      </c>
      <c r="AF6581" s="416" t="s">
        <v>18986</v>
      </c>
    </row>
    <row r="6582" spans="31:32">
      <c r="AE6582" s="417" t="s">
        <v>18987</v>
      </c>
      <c r="AF6582" s="416" t="s">
        <v>18988</v>
      </c>
    </row>
    <row r="6583" spans="31:32">
      <c r="AE6583" s="417" t="s">
        <v>18989</v>
      </c>
      <c r="AF6583" s="416" t="s">
        <v>18990</v>
      </c>
    </row>
    <row r="6584" spans="31:32">
      <c r="AE6584" s="417" t="s">
        <v>18991</v>
      </c>
      <c r="AF6584" s="416" t="s">
        <v>18992</v>
      </c>
    </row>
    <row r="6585" spans="31:32">
      <c r="AE6585" s="417" t="s">
        <v>18993</v>
      </c>
      <c r="AF6585" s="416" t="s">
        <v>18994</v>
      </c>
    </row>
    <row r="6586" spans="31:32">
      <c r="AE6586" s="417" t="s">
        <v>18995</v>
      </c>
      <c r="AF6586" s="416" t="s">
        <v>18996</v>
      </c>
    </row>
    <row r="6587" spans="31:32">
      <c r="AE6587" s="417" t="s">
        <v>18997</v>
      </c>
      <c r="AF6587" s="416" t="s">
        <v>18998</v>
      </c>
    </row>
    <row r="6588" spans="31:32">
      <c r="AE6588" s="417" t="s">
        <v>18999</v>
      </c>
      <c r="AF6588" s="416" t="s">
        <v>19000</v>
      </c>
    </row>
    <row r="6589" spans="31:32">
      <c r="AE6589" s="417" t="s">
        <v>19001</v>
      </c>
      <c r="AF6589" s="416" t="s">
        <v>19002</v>
      </c>
    </row>
    <row r="6590" spans="31:32">
      <c r="AE6590" s="417" t="s">
        <v>19003</v>
      </c>
      <c r="AF6590" s="416" t="s">
        <v>19004</v>
      </c>
    </row>
    <row r="6591" spans="31:32">
      <c r="AE6591" s="417" t="s">
        <v>19005</v>
      </c>
      <c r="AF6591" s="416" t="s">
        <v>19006</v>
      </c>
    </row>
    <row r="6592" spans="31:32">
      <c r="AE6592" s="417" t="s">
        <v>19007</v>
      </c>
      <c r="AF6592" s="416" t="s">
        <v>19008</v>
      </c>
    </row>
    <row r="6593" spans="31:32">
      <c r="AE6593" s="417" t="s">
        <v>19009</v>
      </c>
      <c r="AF6593" s="416" t="s">
        <v>19010</v>
      </c>
    </row>
    <row r="6594" spans="31:32">
      <c r="AE6594" s="417" t="s">
        <v>19011</v>
      </c>
      <c r="AF6594" s="416" t="s">
        <v>19012</v>
      </c>
    </row>
    <row r="6595" spans="31:32">
      <c r="AE6595" s="417" t="s">
        <v>19013</v>
      </c>
      <c r="AF6595" s="416" t="s">
        <v>19014</v>
      </c>
    </row>
    <row r="6596" spans="31:32">
      <c r="AE6596" s="417" t="s">
        <v>19015</v>
      </c>
      <c r="AF6596" s="416" t="s">
        <v>19016</v>
      </c>
    </row>
    <row r="6597" spans="31:32">
      <c r="AE6597" s="417" t="s">
        <v>19017</v>
      </c>
      <c r="AF6597" s="416" t="s">
        <v>19018</v>
      </c>
    </row>
    <row r="6598" spans="31:32">
      <c r="AE6598" s="417" t="s">
        <v>19019</v>
      </c>
      <c r="AF6598" s="416" t="s">
        <v>19020</v>
      </c>
    </row>
    <row r="6599" spans="31:32">
      <c r="AE6599" s="417" t="s">
        <v>19021</v>
      </c>
      <c r="AF6599" s="416" t="s">
        <v>19022</v>
      </c>
    </row>
    <row r="6600" spans="31:32">
      <c r="AE6600" s="417" t="s">
        <v>19023</v>
      </c>
      <c r="AF6600" s="416" t="s">
        <v>19024</v>
      </c>
    </row>
    <row r="6601" spans="31:32">
      <c r="AE6601" s="417" t="s">
        <v>19025</v>
      </c>
      <c r="AF6601" s="416" t="s">
        <v>19026</v>
      </c>
    </row>
    <row r="6602" spans="31:32">
      <c r="AE6602" s="417" t="s">
        <v>19027</v>
      </c>
      <c r="AF6602" s="416" t="s">
        <v>19028</v>
      </c>
    </row>
    <row r="6603" spans="31:32">
      <c r="AE6603" s="417" t="s">
        <v>19029</v>
      </c>
      <c r="AF6603" s="416" t="s">
        <v>19030</v>
      </c>
    </row>
    <row r="6604" spans="31:32">
      <c r="AE6604" s="417" t="s">
        <v>19031</v>
      </c>
      <c r="AF6604" s="416" t="s">
        <v>19032</v>
      </c>
    </row>
    <row r="6605" spans="31:32">
      <c r="AE6605" s="417" t="s">
        <v>19033</v>
      </c>
      <c r="AF6605" s="416" t="s">
        <v>19034</v>
      </c>
    </row>
    <row r="6606" spans="31:32">
      <c r="AE6606" s="417" t="s">
        <v>19035</v>
      </c>
      <c r="AF6606" s="416" t="s">
        <v>19036</v>
      </c>
    </row>
    <row r="6607" spans="31:32">
      <c r="AE6607" s="417" t="s">
        <v>19037</v>
      </c>
      <c r="AF6607" s="416" t="s">
        <v>19038</v>
      </c>
    </row>
    <row r="6608" spans="31:32">
      <c r="AE6608" s="417" t="s">
        <v>19039</v>
      </c>
      <c r="AF6608" s="416" t="s">
        <v>19040</v>
      </c>
    </row>
    <row r="6609" spans="31:32">
      <c r="AE6609" s="417" t="s">
        <v>19041</v>
      </c>
      <c r="AF6609" s="416" t="s">
        <v>19042</v>
      </c>
    </row>
    <row r="6610" spans="31:32">
      <c r="AE6610" s="417" t="s">
        <v>19043</v>
      </c>
      <c r="AF6610" s="416" t="s">
        <v>19044</v>
      </c>
    </row>
    <row r="6611" spans="31:32">
      <c r="AE6611" s="417" t="s">
        <v>19045</v>
      </c>
      <c r="AF6611" s="416" t="s">
        <v>19046</v>
      </c>
    </row>
    <row r="6612" spans="31:32">
      <c r="AE6612" s="417" t="s">
        <v>19047</v>
      </c>
      <c r="AF6612" s="416" t="s">
        <v>19048</v>
      </c>
    </row>
    <row r="6613" spans="31:32">
      <c r="AE6613" s="417" t="s">
        <v>19049</v>
      </c>
      <c r="AF6613" s="416" t="s">
        <v>19050</v>
      </c>
    </row>
    <row r="6614" spans="31:32">
      <c r="AE6614" s="417" t="s">
        <v>19051</v>
      </c>
      <c r="AF6614" s="416" t="s">
        <v>19052</v>
      </c>
    </row>
    <row r="6615" spans="31:32">
      <c r="AE6615" s="417" t="s">
        <v>19053</v>
      </c>
      <c r="AF6615" s="416" t="s">
        <v>19054</v>
      </c>
    </row>
    <row r="6616" spans="31:32">
      <c r="AE6616" s="417" t="s">
        <v>19055</v>
      </c>
      <c r="AF6616" s="416" t="s">
        <v>19056</v>
      </c>
    </row>
    <row r="6617" spans="31:32">
      <c r="AE6617" s="417" t="s">
        <v>19057</v>
      </c>
      <c r="AF6617" s="416" t="s">
        <v>19058</v>
      </c>
    </row>
    <row r="6618" spans="31:32">
      <c r="AE6618" s="417" t="s">
        <v>19059</v>
      </c>
      <c r="AF6618" s="416" t="s">
        <v>19060</v>
      </c>
    </row>
    <row r="6619" spans="31:32">
      <c r="AE6619" s="417" t="s">
        <v>19061</v>
      </c>
      <c r="AF6619" s="416" t="s">
        <v>19062</v>
      </c>
    </row>
    <row r="6620" spans="31:32">
      <c r="AE6620" s="417" t="s">
        <v>19063</v>
      </c>
      <c r="AF6620" s="416" t="s">
        <v>19064</v>
      </c>
    </row>
    <row r="6621" spans="31:32">
      <c r="AE6621" s="417" t="s">
        <v>19065</v>
      </c>
      <c r="AF6621" s="416" t="s">
        <v>19066</v>
      </c>
    </row>
    <row r="6622" spans="31:32">
      <c r="AE6622" s="417" t="s">
        <v>19067</v>
      </c>
      <c r="AF6622" s="416" t="s">
        <v>19068</v>
      </c>
    </row>
    <row r="6623" spans="31:32">
      <c r="AE6623" s="417" t="s">
        <v>19069</v>
      </c>
      <c r="AF6623" s="416" t="s">
        <v>19070</v>
      </c>
    </row>
    <row r="6624" spans="31:32">
      <c r="AE6624" s="417" t="s">
        <v>19071</v>
      </c>
      <c r="AF6624" s="416" t="s">
        <v>19072</v>
      </c>
    </row>
    <row r="6625" spans="31:32">
      <c r="AE6625" s="417" t="s">
        <v>19073</v>
      </c>
      <c r="AF6625" s="416" t="s">
        <v>19074</v>
      </c>
    </row>
    <row r="6626" spans="31:32">
      <c r="AE6626" s="417" t="s">
        <v>19075</v>
      </c>
      <c r="AF6626" s="416" t="s">
        <v>19076</v>
      </c>
    </row>
    <row r="6627" spans="31:32">
      <c r="AE6627" s="417" t="s">
        <v>19077</v>
      </c>
      <c r="AF6627" s="416" t="s">
        <v>19078</v>
      </c>
    </row>
    <row r="6628" spans="31:32">
      <c r="AE6628" s="417" t="s">
        <v>19079</v>
      </c>
      <c r="AF6628" s="416" t="s">
        <v>19080</v>
      </c>
    </row>
    <row r="6629" spans="31:32">
      <c r="AE6629" s="417" t="s">
        <v>19081</v>
      </c>
      <c r="AF6629" s="416" t="s">
        <v>19082</v>
      </c>
    </row>
    <row r="6630" spans="31:32">
      <c r="AE6630" s="417" t="s">
        <v>19083</v>
      </c>
      <c r="AF6630" s="416" t="s">
        <v>19084</v>
      </c>
    </row>
    <row r="6631" spans="31:32">
      <c r="AE6631" s="417" t="s">
        <v>19085</v>
      </c>
      <c r="AF6631" s="416" t="s">
        <v>19086</v>
      </c>
    </row>
    <row r="6632" spans="31:32">
      <c r="AE6632" s="417" t="s">
        <v>19087</v>
      </c>
      <c r="AF6632" s="416" t="s">
        <v>19088</v>
      </c>
    </row>
    <row r="6633" spans="31:32">
      <c r="AE6633" s="417" t="s">
        <v>19089</v>
      </c>
      <c r="AF6633" s="416" t="s">
        <v>19090</v>
      </c>
    </row>
    <row r="6634" spans="31:32">
      <c r="AE6634" s="417" t="s">
        <v>19091</v>
      </c>
      <c r="AF6634" s="416" t="s">
        <v>19092</v>
      </c>
    </row>
    <row r="6635" spans="31:32">
      <c r="AE6635" s="417" t="s">
        <v>19093</v>
      </c>
      <c r="AF6635" s="416" t="s">
        <v>19094</v>
      </c>
    </row>
    <row r="6636" spans="31:32">
      <c r="AE6636" s="417" t="s">
        <v>19095</v>
      </c>
      <c r="AF6636" s="416" t="s">
        <v>19096</v>
      </c>
    </row>
    <row r="6637" spans="31:32">
      <c r="AE6637" s="417" t="s">
        <v>19097</v>
      </c>
      <c r="AF6637" s="416" t="s">
        <v>19098</v>
      </c>
    </row>
    <row r="6638" spans="31:32">
      <c r="AE6638" s="417" t="s">
        <v>19099</v>
      </c>
      <c r="AF6638" s="416" t="s">
        <v>19100</v>
      </c>
    </row>
    <row r="6639" spans="31:32">
      <c r="AE6639" s="417" t="s">
        <v>19101</v>
      </c>
      <c r="AF6639" s="416" t="s">
        <v>19102</v>
      </c>
    </row>
    <row r="6640" spans="31:32">
      <c r="AE6640" s="417" t="s">
        <v>19103</v>
      </c>
      <c r="AF6640" s="416" t="s">
        <v>19104</v>
      </c>
    </row>
    <row r="6641" spans="31:32">
      <c r="AE6641" s="417" t="s">
        <v>19105</v>
      </c>
      <c r="AF6641" s="416" t="s">
        <v>19106</v>
      </c>
    </row>
    <row r="6642" spans="31:32">
      <c r="AE6642" s="417" t="s">
        <v>19107</v>
      </c>
      <c r="AF6642" s="416" t="s">
        <v>19108</v>
      </c>
    </row>
    <row r="6643" spans="31:32">
      <c r="AE6643" s="417" t="s">
        <v>19109</v>
      </c>
      <c r="AF6643" s="416" t="s">
        <v>19110</v>
      </c>
    </row>
    <row r="6644" spans="31:32">
      <c r="AE6644" s="417" t="s">
        <v>19111</v>
      </c>
      <c r="AF6644" s="416" t="s">
        <v>19112</v>
      </c>
    </row>
    <row r="6645" spans="31:32">
      <c r="AE6645" s="417" t="s">
        <v>19113</v>
      </c>
      <c r="AF6645" s="416" t="s">
        <v>19114</v>
      </c>
    </row>
    <row r="6646" spans="31:32">
      <c r="AE6646" s="417" t="s">
        <v>19115</v>
      </c>
      <c r="AF6646" s="416" t="s">
        <v>19116</v>
      </c>
    </row>
    <row r="6647" spans="31:32">
      <c r="AE6647" s="417" t="s">
        <v>19117</v>
      </c>
      <c r="AF6647" s="416" t="s">
        <v>19118</v>
      </c>
    </row>
    <row r="6648" spans="31:32">
      <c r="AE6648" s="417" t="s">
        <v>19119</v>
      </c>
      <c r="AF6648" s="416" t="s">
        <v>19120</v>
      </c>
    </row>
    <row r="6649" spans="31:32">
      <c r="AE6649" s="417" t="s">
        <v>19121</v>
      </c>
      <c r="AF6649" s="416" t="s">
        <v>19122</v>
      </c>
    </row>
    <row r="6650" spans="31:32">
      <c r="AE6650" s="417" t="s">
        <v>19123</v>
      </c>
      <c r="AF6650" s="416" t="s">
        <v>19124</v>
      </c>
    </row>
    <row r="6651" spans="31:32">
      <c r="AE6651" s="417" t="s">
        <v>19125</v>
      </c>
      <c r="AF6651" s="416" t="s">
        <v>19126</v>
      </c>
    </row>
    <row r="6652" spans="31:32">
      <c r="AE6652" s="417" t="s">
        <v>19127</v>
      </c>
      <c r="AF6652" s="416" t="s">
        <v>19128</v>
      </c>
    </row>
    <row r="6653" spans="31:32">
      <c r="AE6653" s="417" t="s">
        <v>19129</v>
      </c>
      <c r="AF6653" s="416" t="s">
        <v>19130</v>
      </c>
    </row>
    <row r="6654" spans="31:32">
      <c r="AE6654" s="417" t="s">
        <v>19131</v>
      </c>
      <c r="AF6654" s="416" t="s">
        <v>19132</v>
      </c>
    </row>
    <row r="6655" spans="31:32">
      <c r="AE6655" s="417" t="s">
        <v>19133</v>
      </c>
      <c r="AF6655" s="416" t="s">
        <v>19134</v>
      </c>
    </row>
    <row r="6656" spans="31:32">
      <c r="AE6656" s="417" t="s">
        <v>19135</v>
      </c>
      <c r="AF6656" s="416" t="s">
        <v>19136</v>
      </c>
    </row>
    <row r="6657" spans="31:32">
      <c r="AE6657" s="417" t="s">
        <v>19137</v>
      </c>
      <c r="AF6657" s="416" t="s">
        <v>19138</v>
      </c>
    </row>
    <row r="6658" spans="31:32">
      <c r="AE6658" s="417" t="s">
        <v>19139</v>
      </c>
      <c r="AF6658" s="416" t="s">
        <v>19140</v>
      </c>
    </row>
    <row r="6659" spans="31:32">
      <c r="AE6659" s="417" t="s">
        <v>19141</v>
      </c>
      <c r="AF6659" s="416" t="s">
        <v>19142</v>
      </c>
    </row>
    <row r="6660" spans="31:32">
      <c r="AE6660" s="417" t="s">
        <v>19143</v>
      </c>
      <c r="AF6660" s="416" t="s">
        <v>19144</v>
      </c>
    </row>
    <row r="6661" spans="31:32">
      <c r="AE6661" s="417" t="s">
        <v>19145</v>
      </c>
      <c r="AF6661" s="416" t="s">
        <v>19146</v>
      </c>
    </row>
    <row r="6662" spans="31:32">
      <c r="AE6662" s="417" t="s">
        <v>19147</v>
      </c>
      <c r="AF6662" s="416" t="s">
        <v>19148</v>
      </c>
    </row>
    <row r="6663" spans="31:32">
      <c r="AE6663" s="417" t="s">
        <v>19149</v>
      </c>
      <c r="AF6663" s="416" t="s">
        <v>19150</v>
      </c>
    </row>
    <row r="6664" spans="31:32">
      <c r="AE6664" s="417" t="s">
        <v>19151</v>
      </c>
      <c r="AF6664" s="416" t="s">
        <v>19152</v>
      </c>
    </row>
    <row r="6665" spans="31:32">
      <c r="AE6665" s="417" t="s">
        <v>19153</v>
      </c>
      <c r="AF6665" s="416" t="s">
        <v>19154</v>
      </c>
    </row>
    <row r="6666" spans="31:32">
      <c r="AE6666" s="417" t="s">
        <v>19155</v>
      </c>
      <c r="AF6666" s="416" t="s">
        <v>19156</v>
      </c>
    </row>
    <row r="6667" spans="31:32">
      <c r="AE6667" s="417" t="s">
        <v>19157</v>
      </c>
      <c r="AF6667" s="416" t="s">
        <v>19158</v>
      </c>
    </row>
    <row r="6668" spans="31:32">
      <c r="AE6668" s="417" t="s">
        <v>19159</v>
      </c>
      <c r="AF6668" s="416" t="s">
        <v>19160</v>
      </c>
    </row>
    <row r="6669" spans="31:32">
      <c r="AE6669" s="417" t="s">
        <v>19161</v>
      </c>
      <c r="AF6669" s="416" t="s">
        <v>19162</v>
      </c>
    </row>
    <row r="6670" spans="31:32">
      <c r="AE6670" s="417" t="s">
        <v>19163</v>
      </c>
      <c r="AF6670" s="416" t="s">
        <v>19164</v>
      </c>
    </row>
    <row r="6671" spans="31:32">
      <c r="AE6671" s="417" t="s">
        <v>19165</v>
      </c>
      <c r="AF6671" s="416" t="s">
        <v>19166</v>
      </c>
    </row>
    <row r="6672" spans="31:32">
      <c r="AE6672" s="417" t="s">
        <v>19167</v>
      </c>
      <c r="AF6672" s="416" t="s">
        <v>19168</v>
      </c>
    </row>
    <row r="6673" spans="31:32">
      <c r="AE6673" s="417" t="s">
        <v>19169</v>
      </c>
      <c r="AF6673" s="416" t="s">
        <v>18770</v>
      </c>
    </row>
    <row r="6674" spans="31:32">
      <c r="AE6674" s="417" t="s">
        <v>19170</v>
      </c>
      <c r="AF6674" s="416" t="s">
        <v>19171</v>
      </c>
    </row>
    <row r="6675" spans="31:32">
      <c r="AE6675" s="417" t="s">
        <v>19172</v>
      </c>
      <c r="AF6675" s="416" t="s">
        <v>19173</v>
      </c>
    </row>
    <row r="6676" spans="31:32">
      <c r="AE6676" s="417" t="s">
        <v>19174</v>
      </c>
      <c r="AF6676" s="416" t="s">
        <v>19175</v>
      </c>
    </row>
    <row r="6677" spans="31:32">
      <c r="AE6677" s="417" t="s">
        <v>19176</v>
      </c>
      <c r="AF6677" s="416" t="s">
        <v>19177</v>
      </c>
    </row>
    <row r="6678" spans="31:32">
      <c r="AE6678" s="417" t="s">
        <v>19178</v>
      </c>
      <c r="AF6678" s="416" t="s">
        <v>19179</v>
      </c>
    </row>
    <row r="6679" spans="31:32">
      <c r="AE6679" s="417" t="s">
        <v>19180</v>
      </c>
      <c r="AF6679" s="416" t="s">
        <v>19181</v>
      </c>
    </row>
    <row r="6680" spans="31:32">
      <c r="AE6680" s="417" t="s">
        <v>19182</v>
      </c>
      <c r="AF6680" s="416" t="s">
        <v>19183</v>
      </c>
    </row>
    <row r="6681" spans="31:32">
      <c r="AE6681" s="417" t="s">
        <v>19184</v>
      </c>
      <c r="AF6681" s="416" t="s">
        <v>19185</v>
      </c>
    </row>
    <row r="6682" spans="31:32">
      <c r="AE6682" s="417" t="s">
        <v>19186</v>
      </c>
      <c r="AF6682" s="416" t="s">
        <v>19187</v>
      </c>
    </row>
    <row r="6683" spans="31:32">
      <c r="AE6683" s="417" t="s">
        <v>19188</v>
      </c>
      <c r="AF6683" s="416" t="s">
        <v>19189</v>
      </c>
    </row>
    <row r="6684" spans="31:32">
      <c r="AE6684" s="417" t="s">
        <v>19190</v>
      </c>
      <c r="AF6684" s="416" t="s">
        <v>19191</v>
      </c>
    </row>
    <row r="6685" spans="31:32">
      <c r="AE6685" s="417" t="s">
        <v>19192</v>
      </c>
      <c r="AF6685" s="416" t="s">
        <v>19193</v>
      </c>
    </row>
    <row r="6686" spans="31:32">
      <c r="AE6686" s="417" t="s">
        <v>19194</v>
      </c>
      <c r="AF6686" s="416" t="s">
        <v>19195</v>
      </c>
    </row>
    <row r="6687" spans="31:32">
      <c r="AE6687" s="417" t="s">
        <v>19196</v>
      </c>
      <c r="AF6687" s="416" t="s">
        <v>19197</v>
      </c>
    </row>
    <row r="6688" spans="31:32">
      <c r="AE6688" s="417" t="s">
        <v>19198</v>
      </c>
      <c r="AF6688" s="416" t="s">
        <v>19199</v>
      </c>
    </row>
    <row r="6689" spans="31:32">
      <c r="AE6689" s="417" t="s">
        <v>19200</v>
      </c>
      <c r="AF6689" s="416" t="s">
        <v>19201</v>
      </c>
    </row>
    <row r="6690" spans="31:32">
      <c r="AE6690" s="417" t="s">
        <v>19202</v>
      </c>
      <c r="AF6690" s="416" t="s">
        <v>19203</v>
      </c>
    </row>
    <row r="6691" spans="31:32">
      <c r="AE6691" s="417" t="s">
        <v>19204</v>
      </c>
      <c r="AF6691" s="416" t="s">
        <v>19205</v>
      </c>
    </row>
    <row r="6692" spans="31:32">
      <c r="AE6692" s="417" t="s">
        <v>19206</v>
      </c>
      <c r="AF6692" s="416" t="s">
        <v>19207</v>
      </c>
    </row>
    <row r="6693" spans="31:32">
      <c r="AE6693" s="417" t="s">
        <v>19208</v>
      </c>
      <c r="AF6693" s="416" t="s">
        <v>19209</v>
      </c>
    </row>
    <row r="6694" spans="31:32">
      <c r="AE6694" s="417" t="s">
        <v>19210</v>
      </c>
      <c r="AF6694" s="416" t="s">
        <v>19211</v>
      </c>
    </row>
    <row r="6695" spans="31:32">
      <c r="AE6695" s="417" t="s">
        <v>19212</v>
      </c>
      <c r="AF6695" s="416" t="s">
        <v>19213</v>
      </c>
    </row>
    <row r="6696" spans="31:32">
      <c r="AE6696" s="417" t="s">
        <v>19214</v>
      </c>
      <c r="AF6696" s="416" t="s">
        <v>19215</v>
      </c>
    </row>
    <row r="6697" spans="31:32">
      <c r="AE6697" s="417" t="s">
        <v>19216</v>
      </c>
      <c r="AF6697" s="416" t="s">
        <v>19217</v>
      </c>
    </row>
    <row r="6698" spans="31:32">
      <c r="AE6698" s="417" t="s">
        <v>19218</v>
      </c>
      <c r="AF6698" s="416" t="s">
        <v>19219</v>
      </c>
    </row>
    <row r="6699" spans="31:32">
      <c r="AE6699" s="417" t="s">
        <v>19220</v>
      </c>
      <c r="AF6699" s="416" t="s">
        <v>19221</v>
      </c>
    </row>
    <row r="6700" spans="31:32">
      <c r="AE6700" s="417" t="s">
        <v>19222</v>
      </c>
      <c r="AF6700" s="416" t="s">
        <v>19223</v>
      </c>
    </row>
    <row r="6701" spans="31:32">
      <c r="AE6701" s="417" t="s">
        <v>19224</v>
      </c>
      <c r="AF6701" s="416" t="s">
        <v>19225</v>
      </c>
    </row>
    <row r="6702" spans="31:32">
      <c r="AE6702" s="417" t="s">
        <v>19226</v>
      </c>
      <c r="AF6702" s="416" t="s">
        <v>19227</v>
      </c>
    </row>
    <row r="6703" spans="31:32">
      <c r="AE6703" s="417" t="s">
        <v>19228</v>
      </c>
      <c r="AF6703" s="416" t="s">
        <v>19229</v>
      </c>
    </row>
    <row r="6704" spans="31:32">
      <c r="AE6704" s="417" t="s">
        <v>19230</v>
      </c>
      <c r="AF6704" s="416" t="s">
        <v>19231</v>
      </c>
    </row>
    <row r="6705" spans="31:32">
      <c r="AE6705" s="417" t="s">
        <v>19232</v>
      </c>
      <c r="AF6705" s="416" t="s">
        <v>19233</v>
      </c>
    </row>
    <row r="6706" spans="31:32">
      <c r="AE6706" s="417" t="s">
        <v>19234</v>
      </c>
      <c r="AF6706" s="416" t="s">
        <v>19235</v>
      </c>
    </row>
    <row r="6707" spans="31:32">
      <c r="AE6707" s="417" t="s">
        <v>19236</v>
      </c>
      <c r="AF6707" s="416" t="s">
        <v>19237</v>
      </c>
    </row>
    <row r="6708" spans="31:32">
      <c r="AE6708" s="417" t="s">
        <v>19238</v>
      </c>
      <c r="AF6708" s="416" t="s">
        <v>19239</v>
      </c>
    </row>
    <row r="6709" spans="31:32">
      <c r="AE6709" s="417" t="s">
        <v>19240</v>
      </c>
      <c r="AF6709" s="416" t="s">
        <v>19241</v>
      </c>
    </row>
    <row r="6710" spans="31:32">
      <c r="AE6710" s="417" t="s">
        <v>19242</v>
      </c>
      <c r="AF6710" s="416" t="s">
        <v>19243</v>
      </c>
    </row>
    <row r="6711" spans="31:32">
      <c r="AE6711" s="417" t="s">
        <v>19244</v>
      </c>
      <c r="AF6711" s="416" t="s">
        <v>19245</v>
      </c>
    </row>
    <row r="6712" spans="31:32">
      <c r="AE6712" s="417" t="s">
        <v>19246</v>
      </c>
      <c r="AF6712" s="416" t="s">
        <v>19247</v>
      </c>
    </row>
    <row r="6713" spans="31:32">
      <c r="AE6713" s="417" t="s">
        <v>19248</v>
      </c>
      <c r="AF6713" s="416" t="s">
        <v>19249</v>
      </c>
    </row>
    <row r="6714" spans="31:32">
      <c r="AE6714" s="417" t="s">
        <v>19250</v>
      </c>
      <c r="AF6714" s="416" t="s">
        <v>19251</v>
      </c>
    </row>
    <row r="6715" spans="31:32">
      <c r="AE6715" s="417" t="s">
        <v>19252</v>
      </c>
      <c r="AF6715" s="416" t="s">
        <v>19253</v>
      </c>
    </row>
    <row r="6716" spans="31:32">
      <c r="AE6716" s="417" t="s">
        <v>19254</v>
      </c>
      <c r="AF6716" s="416" t="s">
        <v>19255</v>
      </c>
    </row>
    <row r="6717" spans="31:32">
      <c r="AE6717" s="417" t="s">
        <v>19256</v>
      </c>
      <c r="AF6717" s="416" t="s">
        <v>19257</v>
      </c>
    </row>
    <row r="6718" spans="31:32">
      <c r="AE6718" s="417" t="s">
        <v>19258</v>
      </c>
      <c r="AF6718" s="416" t="s">
        <v>19259</v>
      </c>
    </row>
    <row r="6719" spans="31:32">
      <c r="AE6719" s="417" t="s">
        <v>19260</v>
      </c>
      <c r="AF6719" s="416" t="s">
        <v>19261</v>
      </c>
    </row>
    <row r="6720" spans="31:32">
      <c r="AE6720" s="417" t="s">
        <v>19262</v>
      </c>
      <c r="AF6720" s="416" t="s">
        <v>19263</v>
      </c>
    </row>
    <row r="6721" spans="31:32">
      <c r="AE6721" s="417" t="s">
        <v>19264</v>
      </c>
      <c r="AF6721" s="416" t="s">
        <v>19265</v>
      </c>
    </row>
    <row r="6722" spans="31:32">
      <c r="AE6722" s="417" t="s">
        <v>19266</v>
      </c>
      <c r="AF6722" s="416" t="s">
        <v>19267</v>
      </c>
    </row>
    <row r="6723" spans="31:32">
      <c r="AE6723" s="417" t="s">
        <v>19268</v>
      </c>
      <c r="AF6723" s="416" t="s">
        <v>19269</v>
      </c>
    </row>
    <row r="6724" spans="31:32">
      <c r="AE6724" s="417" t="s">
        <v>19270</v>
      </c>
      <c r="AF6724" s="416" t="s">
        <v>19271</v>
      </c>
    </row>
    <row r="6725" spans="31:32">
      <c r="AE6725" s="417" t="s">
        <v>19272</v>
      </c>
      <c r="AF6725" s="416" t="s">
        <v>19273</v>
      </c>
    </row>
    <row r="6726" spans="31:32">
      <c r="AE6726" s="417" t="s">
        <v>19274</v>
      </c>
      <c r="AF6726" s="416" t="s">
        <v>19275</v>
      </c>
    </row>
    <row r="6727" spans="31:32">
      <c r="AE6727" s="417" t="s">
        <v>19276</v>
      </c>
      <c r="AF6727" s="416" t="s">
        <v>19277</v>
      </c>
    </row>
    <row r="6728" spans="31:32">
      <c r="AE6728" s="417" t="s">
        <v>19278</v>
      </c>
      <c r="AF6728" s="416" t="s">
        <v>19279</v>
      </c>
    </row>
    <row r="6729" spans="31:32">
      <c r="AE6729" s="417" t="s">
        <v>19280</v>
      </c>
      <c r="AF6729" s="416" t="s">
        <v>19281</v>
      </c>
    </row>
    <row r="6730" spans="31:32">
      <c r="AE6730" s="417" t="s">
        <v>19282</v>
      </c>
      <c r="AF6730" s="416" t="s">
        <v>19283</v>
      </c>
    </row>
    <row r="6731" spans="31:32">
      <c r="AE6731" s="417" t="s">
        <v>19284</v>
      </c>
      <c r="AF6731" s="416" t="s">
        <v>19285</v>
      </c>
    </row>
    <row r="6732" spans="31:32">
      <c r="AE6732" s="417" t="s">
        <v>19286</v>
      </c>
      <c r="AF6732" s="416" t="s">
        <v>19287</v>
      </c>
    </row>
    <row r="6733" spans="31:32">
      <c r="AE6733" s="417" t="s">
        <v>19288</v>
      </c>
      <c r="AF6733" s="416" t="s">
        <v>19289</v>
      </c>
    </row>
    <row r="6734" spans="31:32">
      <c r="AE6734" s="417" t="s">
        <v>19290</v>
      </c>
      <c r="AF6734" s="416" t="s">
        <v>19291</v>
      </c>
    </row>
    <row r="6735" spans="31:32">
      <c r="AE6735" s="417" t="s">
        <v>19292</v>
      </c>
      <c r="AF6735" s="416" t="s">
        <v>19293</v>
      </c>
    </row>
    <row r="6736" spans="31:32">
      <c r="AE6736" s="417" t="s">
        <v>19294</v>
      </c>
      <c r="AF6736" s="416" t="s">
        <v>19295</v>
      </c>
    </row>
    <row r="6737" spans="31:32">
      <c r="AE6737" s="417" t="s">
        <v>19296</v>
      </c>
      <c r="AF6737" s="416" t="s">
        <v>19297</v>
      </c>
    </row>
    <row r="6738" spans="31:32">
      <c r="AE6738" s="417" t="s">
        <v>19298</v>
      </c>
      <c r="AF6738" s="416" t="s">
        <v>19299</v>
      </c>
    </row>
    <row r="6739" spans="31:32">
      <c r="AE6739" s="417" t="s">
        <v>19300</v>
      </c>
      <c r="AF6739" s="416" t="s">
        <v>19301</v>
      </c>
    </row>
    <row r="6740" spans="31:32">
      <c r="AE6740" s="417" t="s">
        <v>19302</v>
      </c>
      <c r="AF6740" s="416" t="s">
        <v>19303</v>
      </c>
    </row>
    <row r="6741" spans="31:32">
      <c r="AE6741" s="417" t="s">
        <v>19304</v>
      </c>
      <c r="AF6741" s="416" t="s">
        <v>19305</v>
      </c>
    </row>
    <row r="6742" spans="31:32">
      <c r="AE6742" s="417" t="s">
        <v>19306</v>
      </c>
      <c r="AF6742" s="416" t="s">
        <v>19307</v>
      </c>
    </row>
    <row r="6743" spans="31:32">
      <c r="AE6743" s="417" t="s">
        <v>19308</v>
      </c>
      <c r="AF6743" s="416" t="s">
        <v>19309</v>
      </c>
    </row>
    <row r="6744" spans="31:32">
      <c r="AE6744" s="417" t="s">
        <v>19310</v>
      </c>
      <c r="AF6744" s="416" t="s">
        <v>19311</v>
      </c>
    </row>
    <row r="6745" spans="31:32">
      <c r="AE6745" s="417" t="s">
        <v>19312</v>
      </c>
      <c r="AF6745" s="416" t="s">
        <v>19313</v>
      </c>
    </row>
    <row r="6746" spans="31:32">
      <c r="AE6746" s="417" t="s">
        <v>19314</v>
      </c>
      <c r="AF6746" s="416" t="s">
        <v>19315</v>
      </c>
    </row>
    <row r="6747" spans="31:32">
      <c r="AE6747" s="417" t="s">
        <v>19316</v>
      </c>
      <c r="AF6747" s="416" t="s">
        <v>19317</v>
      </c>
    </row>
    <row r="6748" spans="31:32">
      <c r="AE6748" s="417" t="s">
        <v>19318</v>
      </c>
      <c r="AF6748" s="416" t="s">
        <v>19319</v>
      </c>
    </row>
    <row r="6749" spans="31:32">
      <c r="AE6749" s="417" t="s">
        <v>19320</v>
      </c>
      <c r="AF6749" s="416" t="s">
        <v>19321</v>
      </c>
    </row>
    <row r="6750" spans="31:32">
      <c r="AE6750" s="417" t="s">
        <v>19322</v>
      </c>
      <c r="AF6750" s="416" t="s">
        <v>19323</v>
      </c>
    </row>
    <row r="6751" spans="31:32">
      <c r="AE6751" s="417" t="s">
        <v>19324</v>
      </c>
      <c r="AF6751" s="416" t="s">
        <v>19325</v>
      </c>
    </row>
    <row r="6752" spans="31:32">
      <c r="AE6752" s="417" t="s">
        <v>19326</v>
      </c>
      <c r="AF6752" s="416" t="s">
        <v>19327</v>
      </c>
    </row>
    <row r="6753" spans="31:32">
      <c r="AE6753" s="417" t="s">
        <v>19328</v>
      </c>
      <c r="AF6753" s="416" t="s">
        <v>19329</v>
      </c>
    </row>
    <row r="6754" spans="31:32">
      <c r="AE6754" s="417" t="s">
        <v>19330</v>
      </c>
      <c r="AF6754" s="416" t="s">
        <v>19331</v>
      </c>
    </row>
    <row r="6755" spans="31:32">
      <c r="AE6755" s="417" t="s">
        <v>19332</v>
      </c>
      <c r="AF6755" s="416" t="s">
        <v>19333</v>
      </c>
    </row>
    <row r="6756" spans="31:32">
      <c r="AE6756" s="417" t="s">
        <v>19334</v>
      </c>
      <c r="AF6756" s="416" t="s">
        <v>19335</v>
      </c>
    </row>
    <row r="6757" spans="31:32">
      <c r="AE6757" s="417" t="s">
        <v>19336</v>
      </c>
      <c r="AF6757" s="416" t="s">
        <v>19337</v>
      </c>
    </row>
    <row r="6758" spans="31:32">
      <c r="AE6758" s="417" t="s">
        <v>19338</v>
      </c>
      <c r="AF6758" s="416" t="s">
        <v>19339</v>
      </c>
    </row>
    <row r="6759" spans="31:32">
      <c r="AE6759" s="417" t="s">
        <v>19340</v>
      </c>
      <c r="AF6759" s="416" t="s">
        <v>19341</v>
      </c>
    </row>
    <row r="6760" spans="31:32">
      <c r="AE6760" s="417" t="s">
        <v>19342</v>
      </c>
      <c r="AF6760" s="416" t="s">
        <v>19343</v>
      </c>
    </row>
    <row r="6761" spans="31:32">
      <c r="AE6761" s="417" t="s">
        <v>19344</v>
      </c>
      <c r="AF6761" s="416" t="s">
        <v>19345</v>
      </c>
    </row>
    <row r="6762" spans="31:32">
      <c r="AE6762" s="417" t="s">
        <v>19346</v>
      </c>
      <c r="AF6762" s="416" t="s">
        <v>19347</v>
      </c>
    </row>
    <row r="6763" spans="31:32">
      <c r="AE6763" s="417" t="s">
        <v>19348</v>
      </c>
      <c r="AF6763" s="416" t="s">
        <v>19349</v>
      </c>
    </row>
    <row r="6764" spans="31:32">
      <c r="AE6764" s="417" t="s">
        <v>19350</v>
      </c>
      <c r="AF6764" s="416" t="s">
        <v>19351</v>
      </c>
    </row>
    <row r="6765" spans="31:32">
      <c r="AE6765" s="417" t="s">
        <v>19352</v>
      </c>
      <c r="AF6765" s="416" t="s">
        <v>19353</v>
      </c>
    </row>
    <row r="6766" spans="31:32">
      <c r="AE6766" s="417" t="s">
        <v>19354</v>
      </c>
      <c r="AF6766" s="416" t="s">
        <v>19355</v>
      </c>
    </row>
    <row r="6767" spans="31:32">
      <c r="AE6767" s="417" t="s">
        <v>19356</v>
      </c>
      <c r="AF6767" s="416" t="s">
        <v>19357</v>
      </c>
    </row>
    <row r="6768" spans="31:32">
      <c r="AE6768" s="417" t="s">
        <v>19358</v>
      </c>
      <c r="AF6768" s="416" t="s">
        <v>19359</v>
      </c>
    </row>
    <row r="6769" spans="31:32">
      <c r="AE6769" s="417" t="s">
        <v>19360</v>
      </c>
      <c r="AF6769" s="416" t="s">
        <v>19361</v>
      </c>
    </row>
    <row r="6770" spans="31:32">
      <c r="AE6770" s="417" t="s">
        <v>19362</v>
      </c>
      <c r="AF6770" s="416" t="s">
        <v>19363</v>
      </c>
    </row>
    <row r="6771" spans="31:32">
      <c r="AE6771" s="417" t="s">
        <v>19364</v>
      </c>
      <c r="AF6771" s="416" t="s">
        <v>19365</v>
      </c>
    </row>
    <row r="6772" spans="31:32">
      <c r="AE6772" s="417" t="s">
        <v>19366</v>
      </c>
      <c r="AF6772" s="416" t="s">
        <v>19367</v>
      </c>
    </row>
    <row r="6773" spans="31:32">
      <c r="AE6773" s="417" t="s">
        <v>19368</v>
      </c>
      <c r="AF6773" s="416" t="s">
        <v>19369</v>
      </c>
    </row>
    <row r="6774" spans="31:32">
      <c r="AE6774" s="417" t="s">
        <v>19370</v>
      </c>
      <c r="AF6774" s="416" t="s">
        <v>19371</v>
      </c>
    </row>
    <row r="6775" spans="31:32">
      <c r="AE6775" s="417" t="s">
        <v>19372</v>
      </c>
      <c r="AF6775" s="416" t="s">
        <v>19373</v>
      </c>
    </row>
    <row r="6776" spans="31:32">
      <c r="AE6776" s="417" t="s">
        <v>19374</v>
      </c>
      <c r="AF6776" s="416" t="s">
        <v>19375</v>
      </c>
    </row>
    <row r="6777" spans="31:32">
      <c r="AE6777" s="417" t="s">
        <v>19376</v>
      </c>
      <c r="AF6777" s="416" t="s">
        <v>19377</v>
      </c>
    </row>
    <row r="6778" spans="31:32">
      <c r="AE6778" s="417" t="s">
        <v>19378</v>
      </c>
      <c r="AF6778" s="416" t="s">
        <v>19379</v>
      </c>
    </row>
    <row r="6779" spans="31:32">
      <c r="AE6779" s="417" t="s">
        <v>19380</v>
      </c>
      <c r="AF6779" s="416" t="s">
        <v>19381</v>
      </c>
    </row>
    <row r="6780" spans="31:32">
      <c r="AE6780" s="417" t="s">
        <v>19382</v>
      </c>
      <c r="AF6780" s="416" t="s">
        <v>19383</v>
      </c>
    </row>
    <row r="6781" spans="31:32">
      <c r="AE6781" s="417" t="s">
        <v>19384</v>
      </c>
      <c r="AF6781" s="416" t="s">
        <v>19385</v>
      </c>
    </row>
    <row r="6782" spans="31:32">
      <c r="AE6782" s="417" t="s">
        <v>19386</v>
      </c>
      <c r="AF6782" s="416" t="s">
        <v>19387</v>
      </c>
    </row>
    <row r="6783" spans="31:32">
      <c r="AE6783" s="417" t="s">
        <v>19388</v>
      </c>
      <c r="AF6783" s="416" t="s">
        <v>19389</v>
      </c>
    </row>
    <row r="6784" spans="31:32">
      <c r="AE6784" s="417" t="s">
        <v>19390</v>
      </c>
      <c r="AF6784" s="416" t="s">
        <v>19391</v>
      </c>
    </row>
    <row r="6785" spans="31:32">
      <c r="AE6785" s="417" t="s">
        <v>19392</v>
      </c>
      <c r="AF6785" s="416" t="s">
        <v>19393</v>
      </c>
    </row>
    <row r="6786" spans="31:32">
      <c r="AE6786" s="417" t="s">
        <v>19394</v>
      </c>
      <c r="AF6786" s="416" t="s">
        <v>19395</v>
      </c>
    </row>
    <row r="6787" spans="31:32">
      <c r="AE6787" s="417" t="s">
        <v>19396</v>
      </c>
      <c r="AF6787" s="416" t="s">
        <v>19397</v>
      </c>
    </row>
    <row r="6788" spans="31:32">
      <c r="AE6788" s="417" t="s">
        <v>19398</v>
      </c>
      <c r="AF6788" s="416" t="s">
        <v>19399</v>
      </c>
    </row>
    <row r="6789" spans="31:32">
      <c r="AE6789" s="417" t="s">
        <v>19400</v>
      </c>
      <c r="AF6789" s="416" t="s">
        <v>19401</v>
      </c>
    </row>
    <row r="6790" spans="31:32">
      <c r="AE6790" s="417" t="s">
        <v>19402</v>
      </c>
      <c r="AF6790" s="416" t="s">
        <v>19403</v>
      </c>
    </row>
    <row r="6791" spans="31:32">
      <c r="AE6791" s="417" t="s">
        <v>19404</v>
      </c>
      <c r="AF6791" s="416" t="s">
        <v>19405</v>
      </c>
    </row>
    <row r="6792" spans="31:32">
      <c r="AE6792" s="417" t="s">
        <v>19406</v>
      </c>
      <c r="AF6792" s="416" t="s">
        <v>19407</v>
      </c>
    </row>
    <row r="6793" spans="31:32">
      <c r="AE6793" s="417" t="s">
        <v>19408</v>
      </c>
      <c r="AF6793" s="416" t="s">
        <v>19409</v>
      </c>
    </row>
    <row r="6794" spans="31:32">
      <c r="AE6794" s="417" t="s">
        <v>19410</v>
      </c>
      <c r="AF6794" s="416" t="s">
        <v>19411</v>
      </c>
    </row>
    <row r="6795" spans="31:32">
      <c r="AE6795" s="417" t="s">
        <v>19412</v>
      </c>
      <c r="AF6795" s="416" t="s">
        <v>19413</v>
      </c>
    </row>
    <row r="6796" spans="31:32">
      <c r="AE6796" s="417" t="s">
        <v>19414</v>
      </c>
      <c r="AF6796" s="416" t="s">
        <v>19415</v>
      </c>
    </row>
    <row r="6797" spans="31:32">
      <c r="AE6797" s="417" t="s">
        <v>19416</v>
      </c>
      <c r="AF6797" s="416" t="s">
        <v>19417</v>
      </c>
    </row>
    <row r="6798" spans="31:32">
      <c r="AE6798" s="417" t="s">
        <v>19418</v>
      </c>
      <c r="AF6798" s="416" t="s">
        <v>19419</v>
      </c>
    </row>
    <row r="6799" spans="31:32">
      <c r="AE6799" s="417" t="s">
        <v>19420</v>
      </c>
      <c r="AF6799" s="416" t="s">
        <v>19421</v>
      </c>
    </row>
    <row r="6800" spans="31:32">
      <c r="AE6800" s="417" t="s">
        <v>19422</v>
      </c>
      <c r="AF6800" s="416" t="s">
        <v>19423</v>
      </c>
    </row>
    <row r="6801" spans="31:32">
      <c r="AE6801" s="417" t="s">
        <v>19424</v>
      </c>
      <c r="AF6801" s="416" t="s">
        <v>19425</v>
      </c>
    </row>
    <row r="6802" spans="31:32">
      <c r="AE6802" s="417" t="s">
        <v>19426</v>
      </c>
      <c r="AF6802" s="416" t="s">
        <v>19427</v>
      </c>
    </row>
    <row r="6803" spans="31:32">
      <c r="AE6803" s="417" t="s">
        <v>19428</v>
      </c>
      <c r="AF6803" s="416" t="s">
        <v>19429</v>
      </c>
    </row>
    <row r="6804" spans="31:32">
      <c r="AE6804" s="417" t="s">
        <v>19430</v>
      </c>
      <c r="AF6804" s="416" t="s">
        <v>19431</v>
      </c>
    </row>
    <row r="6805" spans="31:32">
      <c r="AE6805" s="417" t="s">
        <v>19432</v>
      </c>
      <c r="AF6805" s="416" t="s">
        <v>19433</v>
      </c>
    </row>
    <row r="6806" spans="31:32">
      <c r="AE6806" s="417" t="s">
        <v>19434</v>
      </c>
      <c r="AF6806" s="416" t="s">
        <v>19435</v>
      </c>
    </row>
    <row r="6807" spans="31:32">
      <c r="AE6807" s="417" t="s">
        <v>19436</v>
      </c>
      <c r="AF6807" s="416" t="s">
        <v>19437</v>
      </c>
    </row>
    <row r="6808" spans="31:32">
      <c r="AE6808" s="417" t="s">
        <v>19438</v>
      </c>
      <c r="AF6808" s="416" t="s">
        <v>19439</v>
      </c>
    </row>
    <row r="6809" spans="31:32">
      <c r="AE6809" s="417" t="s">
        <v>19440</v>
      </c>
      <c r="AF6809" s="416" t="s">
        <v>19441</v>
      </c>
    </row>
    <row r="6810" spans="31:32">
      <c r="AE6810" s="417" t="s">
        <v>19442</v>
      </c>
      <c r="AF6810" s="416" t="s">
        <v>19443</v>
      </c>
    </row>
    <row r="6811" spans="31:32">
      <c r="AE6811" s="417" t="s">
        <v>19444</v>
      </c>
      <c r="AF6811" s="416" t="s">
        <v>19445</v>
      </c>
    </row>
    <row r="6812" spans="31:32">
      <c r="AE6812" s="417" t="s">
        <v>19446</v>
      </c>
      <c r="AF6812" s="416" t="s">
        <v>19447</v>
      </c>
    </row>
    <row r="6813" spans="31:32">
      <c r="AE6813" s="417" t="s">
        <v>19448</v>
      </c>
      <c r="AF6813" s="416" t="s">
        <v>19449</v>
      </c>
    </row>
    <row r="6814" spans="31:32">
      <c r="AE6814" s="417" t="s">
        <v>19450</v>
      </c>
      <c r="AF6814" s="416" t="s">
        <v>19451</v>
      </c>
    </row>
    <row r="6815" spans="31:32">
      <c r="AE6815" s="417" t="s">
        <v>19452</v>
      </c>
      <c r="AF6815" s="416" t="s">
        <v>19453</v>
      </c>
    </row>
    <row r="6816" spans="31:32">
      <c r="AE6816" s="417" t="s">
        <v>19454</v>
      </c>
      <c r="AF6816" s="416" t="s">
        <v>19455</v>
      </c>
    </row>
    <row r="6817" spans="31:32">
      <c r="AE6817" s="417" t="s">
        <v>19456</v>
      </c>
      <c r="AF6817" s="416" t="s">
        <v>19457</v>
      </c>
    </row>
    <row r="6818" spans="31:32">
      <c r="AE6818" s="417" t="s">
        <v>19458</v>
      </c>
      <c r="AF6818" s="416" t="s">
        <v>19459</v>
      </c>
    </row>
    <row r="6819" spans="31:32">
      <c r="AE6819" s="417" t="s">
        <v>19460</v>
      </c>
      <c r="AF6819" s="416" t="s">
        <v>19461</v>
      </c>
    </row>
    <row r="6820" spans="31:32">
      <c r="AE6820" s="417" t="s">
        <v>19462</v>
      </c>
      <c r="AF6820" s="416" t="s">
        <v>19463</v>
      </c>
    </row>
    <row r="6821" spans="31:32">
      <c r="AE6821" s="417" t="s">
        <v>19464</v>
      </c>
      <c r="AF6821" s="416" t="s">
        <v>19465</v>
      </c>
    </row>
    <row r="6822" spans="31:32">
      <c r="AE6822" s="417" t="s">
        <v>19466</v>
      </c>
      <c r="AF6822" s="416" t="s">
        <v>19467</v>
      </c>
    </row>
    <row r="6823" spans="31:32">
      <c r="AE6823" s="417" t="s">
        <v>19468</v>
      </c>
      <c r="AF6823" s="416" t="s">
        <v>19469</v>
      </c>
    </row>
    <row r="6824" spans="31:32">
      <c r="AE6824" s="417" t="s">
        <v>19470</v>
      </c>
      <c r="AF6824" s="416" t="s">
        <v>19471</v>
      </c>
    </row>
    <row r="6825" spans="31:32">
      <c r="AE6825" s="417" t="s">
        <v>19472</v>
      </c>
      <c r="AF6825" s="416" t="s">
        <v>19473</v>
      </c>
    </row>
    <row r="6826" spans="31:32">
      <c r="AE6826" s="417" t="s">
        <v>19474</v>
      </c>
      <c r="AF6826" s="416" t="s">
        <v>19475</v>
      </c>
    </row>
    <row r="6827" spans="31:32">
      <c r="AE6827" s="417" t="s">
        <v>19476</v>
      </c>
      <c r="AF6827" s="416" t="s">
        <v>19477</v>
      </c>
    </row>
    <row r="6828" spans="31:32">
      <c r="AE6828" s="417" t="s">
        <v>19478</v>
      </c>
      <c r="AF6828" s="416" t="s">
        <v>19479</v>
      </c>
    </row>
    <row r="6829" spans="31:32">
      <c r="AE6829" s="417" t="s">
        <v>19480</v>
      </c>
      <c r="AF6829" s="416" t="s">
        <v>19481</v>
      </c>
    </row>
    <row r="6830" spans="31:32">
      <c r="AE6830" s="417" t="s">
        <v>19482</v>
      </c>
      <c r="AF6830" s="416" t="s">
        <v>19483</v>
      </c>
    </row>
    <row r="6831" spans="31:32">
      <c r="AE6831" s="417" t="s">
        <v>19484</v>
      </c>
      <c r="AF6831" s="416" t="s">
        <v>19485</v>
      </c>
    </row>
    <row r="6832" spans="31:32">
      <c r="AE6832" s="417" t="s">
        <v>19486</v>
      </c>
      <c r="AF6832" s="416" t="s">
        <v>19487</v>
      </c>
    </row>
    <row r="6833" spans="31:32">
      <c r="AE6833" s="417" t="s">
        <v>19488</v>
      </c>
      <c r="AF6833" s="416" t="s">
        <v>19489</v>
      </c>
    </row>
    <row r="6834" spans="31:32">
      <c r="AE6834" s="417" t="s">
        <v>19490</v>
      </c>
      <c r="AF6834" s="416" t="s">
        <v>19491</v>
      </c>
    </row>
    <row r="6835" spans="31:32">
      <c r="AE6835" s="417" t="s">
        <v>19492</v>
      </c>
      <c r="AF6835" s="416" t="s">
        <v>19493</v>
      </c>
    </row>
    <row r="6836" spans="31:32">
      <c r="AE6836" s="417" t="s">
        <v>19494</v>
      </c>
      <c r="AF6836" s="416" t="s">
        <v>19495</v>
      </c>
    </row>
    <row r="6837" spans="31:32">
      <c r="AE6837" s="417" t="s">
        <v>19496</v>
      </c>
      <c r="AF6837" s="416" t="s">
        <v>19497</v>
      </c>
    </row>
    <row r="6838" spans="31:32">
      <c r="AE6838" s="417" t="s">
        <v>19498</v>
      </c>
      <c r="AF6838" s="416" t="s">
        <v>19499</v>
      </c>
    </row>
    <row r="6839" spans="31:32">
      <c r="AE6839" s="417" t="s">
        <v>19500</v>
      </c>
      <c r="AF6839" s="416" t="s">
        <v>19501</v>
      </c>
    </row>
    <row r="6840" spans="31:32">
      <c r="AE6840" s="417" t="s">
        <v>19502</v>
      </c>
      <c r="AF6840" s="416" t="s">
        <v>19503</v>
      </c>
    </row>
    <row r="6841" spans="31:32">
      <c r="AE6841" s="417" t="s">
        <v>19504</v>
      </c>
      <c r="AF6841" s="416" t="s">
        <v>19505</v>
      </c>
    </row>
    <row r="6842" spans="31:32">
      <c r="AE6842" s="417" t="s">
        <v>19506</v>
      </c>
      <c r="AF6842" s="416" t="s">
        <v>19507</v>
      </c>
    </row>
    <row r="6843" spans="31:32">
      <c r="AE6843" s="417" t="s">
        <v>19508</v>
      </c>
      <c r="AF6843" s="416" t="s">
        <v>19509</v>
      </c>
    </row>
    <row r="6844" spans="31:32">
      <c r="AE6844" s="417" t="s">
        <v>19510</v>
      </c>
      <c r="AF6844" s="416" t="s">
        <v>19511</v>
      </c>
    </row>
    <row r="6845" spans="31:32">
      <c r="AE6845" s="417" t="s">
        <v>19512</v>
      </c>
      <c r="AF6845" s="416" t="s">
        <v>19513</v>
      </c>
    </row>
    <row r="6846" spans="31:32">
      <c r="AE6846" s="417" t="s">
        <v>19514</v>
      </c>
      <c r="AF6846" s="416" t="s">
        <v>19515</v>
      </c>
    </row>
    <row r="6847" spans="31:32">
      <c r="AE6847" s="417" t="s">
        <v>19516</v>
      </c>
      <c r="AF6847" s="416" t="s">
        <v>19517</v>
      </c>
    </row>
    <row r="6848" spans="31:32">
      <c r="AE6848" s="417" t="s">
        <v>19518</v>
      </c>
      <c r="AF6848" s="416" t="s">
        <v>19519</v>
      </c>
    </row>
    <row r="6849" spans="31:32">
      <c r="AE6849" s="417" t="s">
        <v>19520</v>
      </c>
      <c r="AF6849" s="416" t="s">
        <v>19521</v>
      </c>
    </row>
    <row r="6850" spans="31:32">
      <c r="AE6850" s="417" t="s">
        <v>19522</v>
      </c>
      <c r="AF6850" s="416" t="s">
        <v>19523</v>
      </c>
    </row>
    <row r="6851" spans="31:32">
      <c r="AE6851" s="417" t="s">
        <v>19524</v>
      </c>
      <c r="AF6851" s="416" t="s">
        <v>19525</v>
      </c>
    </row>
    <row r="6852" spans="31:32">
      <c r="AE6852" s="417" t="s">
        <v>19526</v>
      </c>
      <c r="AF6852" s="416" t="s">
        <v>19527</v>
      </c>
    </row>
    <row r="6853" spans="31:32">
      <c r="AE6853" s="417" t="s">
        <v>19528</v>
      </c>
      <c r="AF6853" s="416" t="s">
        <v>19529</v>
      </c>
    </row>
    <row r="6854" spans="31:32">
      <c r="AE6854" s="417" t="s">
        <v>19530</v>
      </c>
      <c r="AF6854" s="416" t="s">
        <v>19531</v>
      </c>
    </row>
    <row r="6855" spans="31:32">
      <c r="AE6855" s="417" t="s">
        <v>19532</v>
      </c>
      <c r="AF6855" s="416" t="s">
        <v>19533</v>
      </c>
    </row>
    <row r="6856" spans="31:32">
      <c r="AE6856" s="417" t="s">
        <v>19534</v>
      </c>
      <c r="AF6856" s="416" t="s">
        <v>19535</v>
      </c>
    </row>
    <row r="6857" spans="31:32">
      <c r="AE6857" s="417" t="s">
        <v>19536</v>
      </c>
      <c r="AF6857" s="416" t="s">
        <v>19537</v>
      </c>
    </row>
    <row r="6858" spans="31:32">
      <c r="AE6858" s="417" t="s">
        <v>19538</v>
      </c>
      <c r="AF6858" s="416" t="s">
        <v>19539</v>
      </c>
    </row>
    <row r="6859" spans="31:32">
      <c r="AE6859" s="417" t="s">
        <v>19540</v>
      </c>
      <c r="AF6859" s="416" t="s">
        <v>19541</v>
      </c>
    </row>
    <row r="6860" spans="31:32">
      <c r="AE6860" s="417" t="s">
        <v>19542</v>
      </c>
      <c r="AF6860" s="416" t="s">
        <v>19543</v>
      </c>
    </row>
    <row r="6861" spans="31:32">
      <c r="AE6861" s="417" t="s">
        <v>19544</v>
      </c>
      <c r="AF6861" s="416" t="s">
        <v>19545</v>
      </c>
    </row>
    <row r="6862" spans="31:32">
      <c r="AE6862" s="417" t="s">
        <v>19546</v>
      </c>
      <c r="AF6862" s="416" t="s">
        <v>19547</v>
      </c>
    </row>
    <row r="6863" spans="31:32">
      <c r="AE6863" s="417" t="s">
        <v>19548</v>
      </c>
      <c r="AF6863" s="416" t="s">
        <v>19549</v>
      </c>
    </row>
    <row r="6864" spans="31:32">
      <c r="AE6864" s="417" t="s">
        <v>19550</v>
      </c>
      <c r="AF6864" s="416" t="s">
        <v>19551</v>
      </c>
    </row>
    <row r="6865" spans="31:32">
      <c r="AE6865" s="417" t="s">
        <v>19552</v>
      </c>
      <c r="AF6865" s="416" t="s">
        <v>19553</v>
      </c>
    </row>
    <row r="6866" spans="31:32">
      <c r="AE6866" s="417" t="s">
        <v>19554</v>
      </c>
      <c r="AF6866" s="416" t="s">
        <v>19555</v>
      </c>
    </row>
    <row r="6867" spans="31:32">
      <c r="AE6867" s="417" t="s">
        <v>19556</v>
      </c>
      <c r="AF6867" s="416" t="s">
        <v>19557</v>
      </c>
    </row>
    <row r="6868" spans="31:32">
      <c r="AE6868" s="417" t="s">
        <v>19558</v>
      </c>
      <c r="AF6868" s="416" t="s">
        <v>19559</v>
      </c>
    </row>
    <row r="6869" spans="31:32">
      <c r="AE6869" s="417" t="s">
        <v>19560</v>
      </c>
      <c r="AF6869" s="416" t="s">
        <v>19561</v>
      </c>
    </row>
    <row r="6870" spans="31:32">
      <c r="AE6870" s="417" t="s">
        <v>19562</v>
      </c>
      <c r="AF6870" s="416" t="s">
        <v>19563</v>
      </c>
    </row>
    <row r="6871" spans="31:32">
      <c r="AE6871" s="417" t="s">
        <v>19564</v>
      </c>
      <c r="AF6871" s="416" t="s">
        <v>19565</v>
      </c>
    </row>
    <row r="6872" spans="31:32">
      <c r="AE6872" s="417" t="s">
        <v>19566</v>
      </c>
      <c r="AF6872" s="416" t="s">
        <v>19567</v>
      </c>
    </row>
    <row r="6873" spans="31:32">
      <c r="AE6873" s="417" t="s">
        <v>19568</v>
      </c>
      <c r="AF6873" s="416" t="s">
        <v>19569</v>
      </c>
    </row>
    <row r="6874" spans="31:32">
      <c r="AE6874" s="417" t="s">
        <v>19570</v>
      </c>
      <c r="AF6874" s="416" t="s">
        <v>19571</v>
      </c>
    </row>
    <row r="6875" spans="31:32">
      <c r="AE6875" s="417" t="s">
        <v>19572</v>
      </c>
      <c r="AF6875" s="416" t="s">
        <v>19573</v>
      </c>
    </row>
    <row r="6876" spans="31:32">
      <c r="AE6876" s="417" t="s">
        <v>19574</v>
      </c>
      <c r="AF6876" s="416" t="s">
        <v>19575</v>
      </c>
    </row>
    <row r="6877" spans="31:32">
      <c r="AE6877" s="417" t="s">
        <v>19576</v>
      </c>
      <c r="AF6877" s="416" t="s">
        <v>19577</v>
      </c>
    </row>
    <row r="6878" spans="31:32">
      <c r="AE6878" s="417" t="s">
        <v>19578</v>
      </c>
      <c r="AF6878" s="416" t="s">
        <v>19579</v>
      </c>
    </row>
    <row r="6879" spans="31:32">
      <c r="AE6879" s="417" t="s">
        <v>19580</v>
      </c>
      <c r="AF6879" s="416" t="s">
        <v>19581</v>
      </c>
    </row>
    <row r="6880" spans="31:32">
      <c r="AE6880" s="417" t="s">
        <v>19582</v>
      </c>
      <c r="AF6880" s="416" t="s">
        <v>19583</v>
      </c>
    </row>
    <row r="6881" spans="31:32">
      <c r="AE6881" s="417" t="s">
        <v>19584</v>
      </c>
      <c r="AF6881" s="416" t="s">
        <v>19585</v>
      </c>
    </row>
    <row r="6882" spans="31:32">
      <c r="AE6882" s="417" t="s">
        <v>19586</v>
      </c>
      <c r="AF6882" s="416" t="s">
        <v>19587</v>
      </c>
    </row>
    <row r="6883" spans="31:32">
      <c r="AE6883" s="417" t="s">
        <v>19588</v>
      </c>
      <c r="AF6883" s="416" t="s">
        <v>19589</v>
      </c>
    </row>
    <row r="6884" spans="31:32">
      <c r="AE6884" s="417" t="s">
        <v>19590</v>
      </c>
      <c r="AF6884" s="416" t="s">
        <v>19591</v>
      </c>
    </row>
    <row r="6885" spans="31:32">
      <c r="AE6885" s="417" t="s">
        <v>19592</v>
      </c>
      <c r="AF6885" s="416" t="s">
        <v>19593</v>
      </c>
    </row>
    <row r="6886" spans="31:32">
      <c r="AE6886" s="417" t="s">
        <v>19594</v>
      </c>
      <c r="AF6886" s="416" t="s">
        <v>19595</v>
      </c>
    </row>
    <row r="6887" spans="31:32">
      <c r="AE6887" s="417" t="s">
        <v>19596</v>
      </c>
      <c r="AF6887" s="416" t="s">
        <v>19597</v>
      </c>
    </row>
    <row r="6888" spans="31:32">
      <c r="AE6888" s="417" t="s">
        <v>19598</v>
      </c>
      <c r="AF6888" s="416" t="s">
        <v>19599</v>
      </c>
    </row>
    <row r="6889" spans="31:32">
      <c r="AE6889" s="417" t="s">
        <v>19600</v>
      </c>
      <c r="AF6889" s="416" t="s">
        <v>19601</v>
      </c>
    </row>
    <row r="6890" spans="31:32">
      <c r="AE6890" s="417" t="s">
        <v>19602</v>
      </c>
      <c r="AF6890" s="416" t="s">
        <v>19603</v>
      </c>
    </row>
    <row r="6891" spans="31:32">
      <c r="AE6891" s="417" t="s">
        <v>19604</v>
      </c>
      <c r="AF6891" s="416" t="s">
        <v>19605</v>
      </c>
    </row>
    <row r="6892" spans="31:32">
      <c r="AE6892" s="417" t="s">
        <v>19606</v>
      </c>
      <c r="AF6892" s="416" t="s">
        <v>19607</v>
      </c>
    </row>
    <row r="6893" spans="31:32">
      <c r="AE6893" s="417" t="s">
        <v>19608</v>
      </c>
      <c r="AF6893" s="416" t="s">
        <v>19609</v>
      </c>
    </row>
    <row r="6894" spans="31:32">
      <c r="AE6894" s="417" t="s">
        <v>19610</v>
      </c>
      <c r="AF6894" s="416" t="s">
        <v>19611</v>
      </c>
    </row>
    <row r="6895" spans="31:32">
      <c r="AE6895" s="417" t="s">
        <v>19612</v>
      </c>
      <c r="AF6895" s="416" t="s">
        <v>19613</v>
      </c>
    </row>
    <row r="6896" spans="31:32">
      <c r="AE6896" s="417" t="s">
        <v>19614</v>
      </c>
      <c r="AF6896" s="416" t="s">
        <v>19615</v>
      </c>
    </row>
    <row r="6897" spans="31:32">
      <c r="AE6897" s="417" t="s">
        <v>19616</v>
      </c>
      <c r="AF6897" s="416" t="s">
        <v>19617</v>
      </c>
    </row>
    <row r="6898" spans="31:32">
      <c r="AE6898" s="417" t="s">
        <v>19618</v>
      </c>
      <c r="AF6898" s="416" t="s">
        <v>19619</v>
      </c>
    </row>
    <row r="6899" spans="31:32">
      <c r="AE6899" s="417" t="s">
        <v>19620</v>
      </c>
      <c r="AF6899" s="416" t="s">
        <v>19621</v>
      </c>
    </row>
    <row r="6900" spans="31:32">
      <c r="AE6900" s="417" t="s">
        <v>19622</v>
      </c>
      <c r="AF6900" s="416" t="s">
        <v>19623</v>
      </c>
    </row>
    <row r="6901" spans="31:32">
      <c r="AE6901" s="417" t="s">
        <v>19624</v>
      </c>
      <c r="AF6901" s="416" t="s">
        <v>19625</v>
      </c>
    </row>
    <row r="6902" spans="31:32">
      <c r="AE6902" s="417" t="s">
        <v>19626</v>
      </c>
      <c r="AF6902" s="416" t="s">
        <v>19627</v>
      </c>
    </row>
    <row r="6903" spans="31:32">
      <c r="AE6903" s="417" t="s">
        <v>19628</v>
      </c>
      <c r="AF6903" s="416" t="s">
        <v>19629</v>
      </c>
    </row>
    <row r="6904" spans="31:32">
      <c r="AE6904" s="417" t="s">
        <v>19630</v>
      </c>
      <c r="AF6904" s="416" t="s">
        <v>19631</v>
      </c>
    </row>
    <row r="6905" spans="31:32">
      <c r="AE6905" s="417" t="s">
        <v>19632</v>
      </c>
      <c r="AF6905" s="416" t="s">
        <v>19633</v>
      </c>
    </row>
    <row r="6906" spans="31:32">
      <c r="AE6906" s="417" t="s">
        <v>19634</v>
      </c>
      <c r="AF6906" s="416" t="s">
        <v>19635</v>
      </c>
    </row>
    <row r="6907" spans="31:32">
      <c r="AE6907" s="417" t="s">
        <v>19636</v>
      </c>
      <c r="AF6907" s="416" t="s">
        <v>19637</v>
      </c>
    </row>
    <row r="6908" spans="31:32">
      <c r="AE6908" s="417" t="s">
        <v>19638</v>
      </c>
      <c r="AF6908" s="416" t="s">
        <v>19639</v>
      </c>
    </row>
    <row r="6909" spans="31:32">
      <c r="AE6909" s="417" t="s">
        <v>19640</v>
      </c>
      <c r="AF6909" s="416" t="s">
        <v>19641</v>
      </c>
    </row>
    <row r="6910" spans="31:32">
      <c r="AE6910" s="417" t="s">
        <v>19642</v>
      </c>
      <c r="AF6910" s="416" t="s">
        <v>19643</v>
      </c>
    </row>
    <row r="6911" spans="31:32">
      <c r="AE6911" s="417" t="s">
        <v>19644</v>
      </c>
      <c r="AF6911" s="416" t="s">
        <v>19645</v>
      </c>
    </row>
    <row r="6912" spans="31:32">
      <c r="AE6912" s="417" t="s">
        <v>19646</v>
      </c>
      <c r="AF6912" s="416" t="s">
        <v>19647</v>
      </c>
    </row>
    <row r="6913" spans="31:32">
      <c r="AE6913" s="417" t="s">
        <v>19648</v>
      </c>
      <c r="AF6913" s="416" t="s">
        <v>19649</v>
      </c>
    </row>
    <row r="6914" spans="31:32">
      <c r="AE6914" s="417" t="s">
        <v>19650</v>
      </c>
      <c r="AF6914" s="416" t="s">
        <v>19651</v>
      </c>
    </row>
    <row r="6915" spans="31:32">
      <c r="AE6915" s="417" t="s">
        <v>19652</v>
      </c>
      <c r="AF6915" s="416" t="s">
        <v>19653</v>
      </c>
    </row>
    <row r="6916" spans="31:32">
      <c r="AE6916" s="417" t="s">
        <v>19654</v>
      </c>
      <c r="AF6916" s="416" t="s">
        <v>19655</v>
      </c>
    </row>
    <row r="6917" spans="31:32">
      <c r="AE6917" s="417" t="s">
        <v>19656</v>
      </c>
      <c r="AF6917" s="416" t="s">
        <v>19657</v>
      </c>
    </row>
    <row r="6918" spans="31:32">
      <c r="AE6918" s="417" t="s">
        <v>19658</v>
      </c>
      <c r="AF6918" s="416" t="s">
        <v>19659</v>
      </c>
    </row>
    <row r="6919" spans="31:32">
      <c r="AE6919" s="417" t="s">
        <v>19660</v>
      </c>
      <c r="AF6919" s="416" t="s">
        <v>19661</v>
      </c>
    </row>
    <row r="6920" spans="31:32">
      <c r="AE6920" s="417" t="s">
        <v>19662</v>
      </c>
      <c r="AF6920" s="416" t="s">
        <v>19663</v>
      </c>
    </row>
    <row r="6921" spans="31:32">
      <c r="AE6921" s="417" t="s">
        <v>19664</v>
      </c>
      <c r="AF6921" s="416" t="s">
        <v>19665</v>
      </c>
    </row>
    <row r="6922" spans="31:32">
      <c r="AE6922" s="417" t="s">
        <v>19666</v>
      </c>
      <c r="AF6922" s="416" t="s">
        <v>19667</v>
      </c>
    </row>
    <row r="6923" spans="31:32">
      <c r="AE6923" s="417" t="s">
        <v>19668</v>
      </c>
      <c r="AF6923" s="416" t="s">
        <v>19669</v>
      </c>
    </row>
    <row r="6924" spans="31:32">
      <c r="AE6924" s="417" t="s">
        <v>19670</v>
      </c>
      <c r="AF6924" s="416" t="s">
        <v>19671</v>
      </c>
    </row>
    <row r="6925" spans="31:32">
      <c r="AE6925" s="417" t="s">
        <v>19672</v>
      </c>
      <c r="AF6925" s="416" t="s">
        <v>19673</v>
      </c>
    </row>
    <row r="6926" spans="31:32">
      <c r="AE6926" s="417" t="s">
        <v>19674</v>
      </c>
      <c r="AF6926" s="416" t="s">
        <v>19675</v>
      </c>
    </row>
    <row r="6927" spans="31:32">
      <c r="AE6927" s="417" t="s">
        <v>19676</v>
      </c>
      <c r="AF6927" s="416" t="s">
        <v>19677</v>
      </c>
    </row>
    <row r="6928" spans="31:32">
      <c r="AE6928" s="417" t="s">
        <v>19678</v>
      </c>
      <c r="AF6928" s="416" t="s">
        <v>19679</v>
      </c>
    </row>
    <row r="6929" spans="31:32">
      <c r="AE6929" s="417" t="s">
        <v>19680</v>
      </c>
      <c r="AF6929" s="416" t="s">
        <v>19681</v>
      </c>
    </row>
    <row r="6930" spans="31:32">
      <c r="AE6930" s="417" t="s">
        <v>19682</v>
      </c>
      <c r="AF6930" s="416" t="s">
        <v>19683</v>
      </c>
    </row>
    <row r="6931" spans="31:32">
      <c r="AE6931" s="417" t="s">
        <v>19684</v>
      </c>
      <c r="AF6931" s="416" t="s">
        <v>19685</v>
      </c>
    </row>
    <row r="6932" spans="31:32">
      <c r="AE6932" s="417" t="s">
        <v>19686</v>
      </c>
      <c r="AF6932" s="416" t="s">
        <v>19687</v>
      </c>
    </row>
    <row r="6933" spans="31:32">
      <c r="AE6933" s="417" t="s">
        <v>19688</v>
      </c>
      <c r="AF6933" s="416" t="s">
        <v>19689</v>
      </c>
    </row>
    <row r="6934" spans="31:32">
      <c r="AE6934" s="417" t="s">
        <v>19690</v>
      </c>
      <c r="AF6934" s="416" t="s">
        <v>19691</v>
      </c>
    </row>
    <row r="6935" spans="31:32">
      <c r="AE6935" s="417" t="s">
        <v>19692</v>
      </c>
      <c r="AF6935" s="416" t="s">
        <v>19693</v>
      </c>
    </row>
    <row r="6936" spans="31:32">
      <c r="AE6936" s="417" t="s">
        <v>19694</v>
      </c>
      <c r="AF6936" s="416" t="s">
        <v>19695</v>
      </c>
    </row>
    <row r="6937" spans="31:32">
      <c r="AE6937" s="417" t="s">
        <v>19696</v>
      </c>
      <c r="AF6937" s="416" t="s">
        <v>19697</v>
      </c>
    </row>
    <row r="6938" spans="31:32">
      <c r="AE6938" s="417" t="s">
        <v>19698</v>
      </c>
      <c r="AF6938" s="416" t="s">
        <v>19699</v>
      </c>
    </row>
    <row r="6939" spans="31:32">
      <c r="AE6939" s="417" t="s">
        <v>19700</v>
      </c>
      <c r="AF6939" s="416" t="s">
        <v>19701</v>
      </c>
    </row>
    <row r="6940" spans="31:32">
      <c r="AE6940" s="417" t="s">
        <v>19702</v>
      </c>
      <c r="AF6940" s="416" t="s">
        <v>19703</v>
      </c>
    </row>
    <row r="6941" spans="31:32">
      <c r="AE6941" s="417" t="s">
        <v>19704</v>
      </c>
      <c r="AF6941" s="416" t="s">
        <v>19705</v>
      </c>
    </row>
    <row r="6942" spans="31:32">
      <c r="AE6942" s="417" t="s">
        <v>19706</v>
      </c>
      <c r="AF6942" s="416" t="s">
        <v>19707</v>
      </c>
    </row>
    <row r="6943" spans="31:32">
      <c r="AE6943" s="417" t="s">
        <v>19708</v>
      </c>
      <c r="AF6943" s="416" t="s">
        <v>19709</v>
      </c>
    </row>
    <row r="6944" spans="31:32">
      <c r="AE6944" s="417" t="s">
        <v>19710</v>
      </c>
      <c r="AF6944" s="416" t="s">
        <v>19711</v>
      </c>
    </row>
    <row r="6945" spans="31:32">
      <c r="AE6945" s="417" t="s">
        <v>19712</v>
      </c>
      <c r="AF6945" s="416" t="s">
        <v>19713</v>
      </c>
    </row>
    <row r="6946" spans="31:32">
      <c r="AE6946" s="417" t="s">
        <v>19714</v>
      </c>
      <c r="AF6946" s="416" t="s">
        <v>19715</v>
      </c>
    </row>
    <row r="6947" spans="31:32">
      <c r="AE6947" s="417" t="s">
        <v>19716</v>
      </c>
      <c r="AF6947" s="416" t="s">
        <v>19717</v>
      </c>
    </row>
    <row r="6948" spans="31:32">
      <c r="AE6948" s="417" t="s">
        <v>19718</v>
      </c>
      <c r="AF6948" s="416" t="s">
        <v>19719</v>
      </c>
    </row>
    <row r="6949" spans="31:32">
      <c r="AE6949" s="417" t="s">
        <v>19720</v>
      </c>
      <c r="AF6949" s="416" t="s">
        <v>19721</v>
      </c>
    </row>
    <row r="6950" spans="31:32">
      <c r="AE6950" s="417" t="s">
        <v>19722</v>
      </c>
      <c r="AF6950" s="416" t="s">
        <v>19723</v>
      </c>
    </row>
    <row r="6951" spans="31:32">
      <c r="AE6951" s="417" t="s">
        <v>19724</v>
      </c>
      <c r="AF6951" s="416" t="s">
        <v>19725</v>
      </c>
    </row>
    <row r="6952" spans="31:32">
      <c r="AE6952" s="417" t="s">
        <v>19726</v>
      </c>
      <c r="AF6952" s="416" t="s">
        <v>19727</v>
      </c>
    </row>
    <row r="6953" spans="31:32">
      <c r="AE6953" s="417" t="s">
        <v>19728</v>
      </c>
      <c r="AF6953" s="416" t="s">
        <v>19729</v>
      </c>
    </row>
    <row r="6954" spans="31:32">
      <c r="AE6954" s="417" t="s">
        <v>19730</v>
      </c>
      <c r="AF6954" s="416" t="s">
        <v>19731</v>
      </c>
    </row>
    <row r="6955" spans="31:32">
      <c r="AE6955" s="417" t="s">
        <v>19732</v>
      </c>
      <c r="AF6955" s="416" t="s">
        <v>19733</v>
      </c>
    </row>
    <row r="6956" spans="31:32">
      <c r="AE6956" s="417" t="s">
        <v>19734</v>
      </c>
      <c r="AF6956" s="416" t="s">
        <v>19735</v>
      </c>
    </row>
    <row r="6957" spans="31:32">
      <c r="AE6957" s="417" t="s">
        <v>19736</v>
      </c>
      <c r="AF6957" s="416" t="s">
        <v>19737</v>
      </c>
    </row>
    <row r="6958" spans="31:32">
      <c r="AE6958" s="417" t="s">
        <v>19738</v>
      </c>
      <c r="AF6958" s="416" t="s">
        <v>19739</v>
      </c>
    </row>
    <row r="6959" spans="31:32">
      <c r="AE6959" s="417" t="s">
        <v>19740</v>
      </c>
      <c r="AF6959" s="416" t="s">
        <v>19741</v>
      </c>
    </row>
    <row r="6960" spans="31:32">
      <c r="AE6960" s="417" t="s">
        <v>19742</v>
      </c>
      <c r="AF6960" s="416" t="s">
        <v>19743</v>
      </c>
    </row>
    <row r="6961" spans="31:32">
      <c r="AE6961" s="417" t="s">
        <v>19744</v>
      </c>
      <c r="AF6961" s="416" t="s">
        <v>19745</v>
      </c>
    </row>
    <row r="6962" spans="31:32">
      <c r="AE6962" s="417" t="s">
        <v>19746</v>
      </c>
      <c r="AF6962" s="416" t="s">
        <v>19747</v>
      </c>
    </row>
    <row r="6963" spans="31:32">
      <c r="AE6963" s="417" t="s">
        <v>19748</v>
      </c>
      <c r="AF6963" s="416" t="s">
        <v>19749</v>
      </c>
    </row>
    <row r="6964" spans="31:32">
      <c r="AE6964" s="417" t="s">
        <v>19750</v>
      </c>
      <c r="AF6964" s="416" t="s">
        <v>19751</v>
      </c>
    </row>
    <row r="6965" spans="31:32">
      <c r="AE6965" s="417" t="s">
        <v>19752</v>
      </c>
      <c r="AF6965" s="416" t="s">
        <v>19753</v>
      </c>
    </row>
    <row r="6966" spans="31:32">
      <c r="AE6966" s="417" t="s">
        <v>19754</v>
      </c>
      <c r="AF6966" s="416" t="s">
        <v>19755</v>
      </c>
    </row>
    <row r="6967" spans="31:32">
      <c r="AE6967" s="417" t="s">
        <v>19756</v>
      </c>
      <c r="AF6967" s="416" t="s">
        <v>19757</v>
      </c>
    </row>
    <row r="6968" spans="31:32">
      <c r="AE6968" s="417" t="s">
        <v>19758</v>
      </c>
      <c r="AF6968" s="416" t="s">
        <v>19759</v>
      </c>
    </row>
    <row r="6969" spans="31:32">
      <c r="AE6969" s="417" t="s">
        <v>19760</v>
      </c>
      <c r="AF6969" s="416" t="s">
        <v>19761</v>
      </c>
    </row>
    <row r="6970" spans="31:32">
      <c r="AE6970" s="417" t="s">
        <v>19762</v>
      </c>
      <c r="AF6970" s="416" t="s">
        <v>19763</v>
      </c>
    </row>
    <row r="6971" spans="31:32">
      <c r="AE6971" s="417" t="s">
        <v>19764</v>
      </c>
      <c r="AF6971" s="416" t="s">
        <v>19765</v>
      </c>
    </row>
    <row r="6972" spans="31:32">
      <c r="AE6972" s="417" t="s">
        <v>19766</v>
      </c>
      <c r="AF6972" s="416" t="s">
        <v>19767</v>
      </c>
    </row>
    <row r="6973" spans="31:32">
      <c r="AE6973" s="417" t="s">
        <v>19768</v>
      </c>
      <c r="AF6973" s="416" t="s">
        <v>19769</v>
      </c>
    </row>
    <row r="6974" spans="31:32">
      <c r="AE6974" s="417" t="s">
        <v>19770</v>
      </c>
      <c r="AF6974" s="416" t="s">
        <v>19771</v>
      </c>
    </row>
    <row r="6975" spans="31:32">
      <c r="AE6975" s="417" t="s">
        <v>19772</v>
      </c>
      <c r="AF6975" s="416" t="s">
        <v>19773</v>
      </c>
    </row>
    <row r="6976" spans="31:32">
      <c r="AE6976" s="417" t="s">
        <v>19774</v>
      </c>
      <c r="AF6976" s="416" t="s">
        <v>19775</v>
      </c>
    </row>
    <row r="6977" spans="31:32">
      <c r="AE6977" s="417" t="s">
        <v>19776</v>
      </c>
      <c r="AF6977" s="416" t="s">
        <v>19777</v>
      </c>
    </row>
    <row r="6978" spans="31:32">
      <c r="AE6978" s="417" t="s">
        <v>19778</v>
      </c>
      <c r="AF6978" s="416" t="s">
        <v>19779</v>
      </c>
    </row>
    <row r="6979" spans="31:32">
      <c r="AE6979" s="417" t="s">
        <v>19780</v>
      </c>
      <c r="AF6979" s="416" t="s">
        <v>19781</v>
      </c>
    </row>
    <row r="6980" spans="31:32">
      <c r="AE6980" s="417" t="s">
        <v>19782</v>
      </c>
      <c r="AF6980" s="416" t="s">
        <v>19783</v>
      </c>
    </row>
    <row r="6981" spans="31:32">
      <c r="AE6981" s="417" t="s">
        <v>19784</v>
      </c>
      <c r="AF6981" s="416" t="s">
        <v>19785</v>
      </c>
    </row>
    <row r="6982" spans="31:32">
      <c r="AE6982" s="417" t="s">
        <v>19786</v>
      </c>
      <c r="AF6982" s="416" t="s">
        <v>19787</v>
      </c>
    </row>
    <row r="6983" spans="31:32">
      <c r="AE6983" s="417" t="s">
        <v>19788</v>
      </c>
      <c r="AF6983" s="416" t="s">
        <v>19789</v>
      </c>
    </row>
    <row r="6984" spans="31:32">
      <c r="AE6984" s="417" t="s">
        <v>19790</v>
      </c>
      <c r="AF6984" s="416" t="s">
        <v>19791</v>
      </c>
    </row>
    <row r="6985" spans="31:32">
      <c r="AE6985" s="417" t="s">
        <v>19792</v>
      </c>
      <c r="AF6985" s="416" t="s">
        <v>19793</v>
      </c>
    </row>
    <row r="6986" spans="31:32">
      <c r="AE6986" s="417" t="s">
        <v>19794</v>
      </c>
      <c r="AF6986" s="416" t="s">
        <v>19795</v>
      </c>
    </row>
    <row r="6987" spans="31:32">
      <c r="AE6987" s="417" t="s">
        <v>19796</v>
      </c>
      <c r="AF6987" s="416" t="s">
        <v>19797</v>
      </c>
    </row>
    <row r="6988" spans="31:32">
      <c r="AE6988" s="417" t="s">
        <v>19798</v>
      </c>
      <c r="AF6988" s="416" t="s">
        <v>19799</v>
      </c>
    </row>
    <row r="6989" spans="31:32">
      <c r="AE6989" s="417" t="s">
        <v>19800</v>
      </c>
      <c r="AF6989" s="416" t="s">
        <v>19801</v>
      </c>
    </row>
    <row r="6990" spans="31:32">
      <c r="AE6990" s="417" t="s">
        <v>19802</v>
      </c>
      <c r="AF6990" s="416" t="s">
        <v>19803</v>
      </c>
    </row>
    <row r="6991" spans="31:32">
      <c r="AE6991" s="417" t="s">
        <v>19804</v>
      </c>
      <c r="AF6991" s="416" t="s">
        <v>19805</v>
      </c>
    </row>
    <row r="6992" spans="31:32">
      <c r="AE6992" s="417" t="s">
        <v>19806</v>
      </c>
      <c r="AF6992" s="416" t="s">
        <v>19807</v>
      </c>
    </row>
    <row r="6993" spans="31:32">
      <c r="AE6993" s="417" t="s">
        <v>19808</v>
      </c>
      <c r="AF6993" s="416" t="s">
        <v>19809</v>
      </c>
    </row>
    <row r="6994" spans="31:32">
      <c r="AE6994" s="417" t="s">
        <v>19810</v>
      </c>
      <c r="AF6994" s="416" t="s">
        <v>19811</v>
      </c>
    </row>
    <row r="6995" spans="31:32">
      <c r="AE6995" s="417" t="s">
        <v>19812</v>
      </c>
      <c r="AF6995" s="416" t="s">
        <v>19813</v>
      </c>
    </row>
    <row r="6996" spans="31:32">
      <c r="AE6996" s="417" t="s">
        <v>19814</v>
      </c>
      <c r="AF6996" s="416" t="s">
        <v>19815</v>
      </c>
    </row>
    <row r="6997" spans="31:32">
      <c r="AE6997" s="417" t="s">
        <v>19816</v>
      </c>
      <c r="AF6997" s="416" t="s">
        <v>19817</v>
      </c>
    </row>
    <row r="6998" spans="31:32">
      <c r="AE6998" s="417" t="s">
        <v>19818</v>
      </c>
      <c r="AF6998" s="416" t="s">
        <v>19819</v>
      </c>
    </row>
    <row r="6999" spans="31:32">
      <c r="AE6999" s="417" t="s">
        <v>19820</v>
      </c>
      <c r="AF6999" s="416" t="s">
        <v>19821</v>
      </c>
    </row>
    <row r="7000" spans="31:32">
      <c r="AE7000" s="417" t="s">
        <v>19822</v>
      </c>
      <c r="AF7000" s="416" t="s">
        <v>19823</v>
      </c>
    </row>
    <row r="7001" spans="31:32">
      <c r="AE7001" s="417" t="s">
        <v>19824</v>
      </c>
      <c r="AF7001" s="416" t="s">
        <v>19825</v>
      </c>
    </row>
    <row r="7002" spans="31:32">
      <c r="AE7002" s="417" t="s">
        <v>19826</v>
      </c>
      <c r="AF7002" s="416" t="s">
        <v>19827</v>
      </c>
    </row>
    <row r="7003" spans="31:32">
      <c r="AE7003" s="417" t="s">
        <v>19828</v>
      </c>
      <c r="AF7003" s="416" t="s">
        <v>19829</v>
      </c>
    </row>
    <row r="7004" spans="31:32">
      <c r="AE7004" s="417" t="s">
        <v>19830</v>
      </c>
      <c r="AF7004" s="416" t="s">
        <v>19831</v>
      </c>
    </row>
    <row r="7005" spans="31:32">
      <c r="AE7005" s="417" t="s">
        <v>19832</v>
      </c>
      <c r="AF7005" s="416" t="s">
        <v>19833</v>
      </c>
    </row>
    <row r="7006" spans="31:32">
      <c r="AE7006" s="417" t="s">
        <v>19834</v>
      </c>
      <c r="AF7006" s="416" t="s">
        <v>19835</v>
      </c>
    </row>
    <row r="7007" spans="31:32">
      <c r="AE7007" s="417" t="s">
        <v>19836</v>
      </c>
      <c r="AF7007" s="416" t="s">
        <v>19837</v>
      </c>
    </row>
    <row r="7008" spans="31:32">
      <c r="AE7008" s="417" t="s">
        <v>19838</v>
      </c>
      <c r="AF7008" s="416" t="s">
        <v>19839</v>
      </c>
    </row>
    <row r="7009" spans="31:32">
      <c r="AE7009" s="417" t="s">
        <v>19840</v>
      </c>
      <c r="AF7009" s="416" t="s">
        <v>19841</v>
      </c>
    </row>
    <row r="7010" spans="31:32">
      <c r="AE7010" s="417" t="s">
        <v>19842</v>
      </c>
      <c r="AF7010" s="416" t="s">
        <v>19843</v>
      </c>
    </row>
    <row r="7011" spans="31:32">
      <c r="AE7011" s="417" t="s">
        <v>19844</v>
      </c>
      <c r="AF7011" s="416" t="s">
        <v>19845</v>
      </c>
    </row>
    <row r="7012" spans="31:32">
      <c r="AE7012" s="417" t="s">
        <v>19846</v>
      </c>
      <c r="AF7012" s="416" t="s">
        <v>19847</v>
      </c>
    </row>
    <row r="7013" spans="31:32">
      <c r="AE7013" s="417" t="s">
        <v>19848</v>
      </c>
      <c r="AF7013" s="416" t="s">
        <v>19849</v>
      </c>
    </row>
    <row r="7014" spans="31:32">
      <c r="AE7014" s="417" t="s">
        <v>19850</v>
      </c>
      <c r="AF7014" s="416" t="s">
        <v>19851</v>
      </c>
    </row>
    <row r="7015" spans="31:32">
      <c r="AE7015" s="417" t="s">
        <v>19852</v>
      </c>
      <c r="AF7015" s="416" t="s">
        <v>19853</v>
      </c>
    </row>
    <row r="7016" spans="31:32">
      <c r="AE7016" s="417" t="s">
        <v>19854</v>
      </c>
      <c r="AF7016" s="416" t="s">
        <v>19855</v>
      </c>
    </row>
    <row r="7017" spans="31:32">
      <c r="AE7017" s="417" t="s">
        <v>19856</v>
      </c>
      <c r="AF7017" s="416" t="s">
        <v>19857</v>
      </c>
    </row>
    <row r="7018" spans="31:32">
      <c r="AE7018" s="417" t="s">
        <v>19858</v>
      </c>
      <c r="AF7018" s="416" t="s">
        <v>19859</v>
      </c>
    </row>
    <row r="7019" spans="31:32">
      <c r="AE7019" s="417" t="s">
        <v>19860</v>
      </c>
      <c r="AF7019" s="416" t="s">
        <v>19861</v>
      </c>
    </row>
    <row r="7020" spans="31:32">
      <c r="AE7020" s="417" t="s">
        <v>19862</v>
      </c>
      <c r="AF7020" s="416" t="s">
        <v>19863</v>
      </c>
    </row>
    <row r="7021" spans="31:32">
      <c r="AE7021" s="417" t="s">
        <v>19864</v>
      </c>
      <c r="AF7021" s="416" t="s">
        <v>19865</v>
      </c>
    </row>
    <row r="7022" spans="31:32">
      <c r="AE7022" s="417" t="s">
        <v>19866</v>
      </c>
      <c r="AF7022" s="416" t="s">
        <v>19867</v>
      </c>
    </row>
    <row r="7023" spans="31:32">
      <c r="AE7023" s="417" t="s">
        <v>19868</v>
      </c>
      <c r="AF7023" s="416" t="s">
        <v>19869</v>
      </c>
    </row>
    <row r="7024" spans="31:32">
      <c r="AE7024" s="417" t="s">
        <v>19870</v>
      </c>
      <c r="AF7024" s="416" t="s">
        <v>19871</v>
      </c>
    </row>
    <row r="7025" spans="31:32">
      <c r="AE7025" s="417" t="s">
        <v>19872</v>
      </c>
      <c r="AF7025" s="416" t="s">
        <v>19873</v>
      </c>
    </row>
    <row r="7026" spans="31:32">
      <c r="AE7026" s="417" t="s">
        <v>19874</v>
      </c>
      <c r="AF7026" s="416" t="s">
        <v>19875</v>
      </c>
    </row>
    <row r="7027" spans="31:32">
      <c r="AE7027" s="417" t="s">
        <v>19876</v>
      </c>
      <c r="AF7027" s="416" t="s">
        <v>19877</v>
      </c>
    </row>
    <row r="7028" spans="31:32">
      <c r="AE7028" s="417" t="s">
        <v>19878</v>
      </c>
      <c r="AF7028" s="416" t="s">
        <v>19879</v>
      </c>
    </row>
    <row r="7029" spans="31:32">
      <c r="AE7029" s="417" t="s">
        <v>19880</v>
      </c>
      <c r="AF7029" s="416" t="s">
        <v>19881</v>
      </c>
    </row>
    <row r="7030" spans="31:32">
      <c r="AE7030" s="417" t="s">
        <v>19882</v>
      </c>
      <c r="AF7030" s="416" t="s">
        <v>19883</v>
      </c>
    </row>
    <row r="7031" spans="31:32">
      <c r="AE7031" s="417" t="s">
        <v>19884</v>
      </c>
      <c r="AF7031" s="416" t="s">
        <v>19885</v>
      </c>
    </row>
    <row r="7032" spans="31:32">
      <c r="AE7032" s="417" t="s">
        <v>19886</v>
      </c>
      <c r="AF7032" s="416" t="s">
        <v>19887</v>
      </c>
    </row>
    <row r="7033" spans="31:32">
      <c r="AE7033" s="417" t="s">
        <v>19888</v>
      </c>
      <c r="AF7033" s="416" t="s">
        <v>19889</v>
      </c>
    </row>
    <row r="7034" spans="31:32">
      <c r="AE7034" s="417" t="s">
        <v>19890</v>
      </c>
      <c r="AF7034" s="416" t="s">
        <v>19891</v>
      </c>
    </row>
    <row r="7035" spans="31:32">
      <c r="AE7035" s="417" t="s">
        <v>19892</v>
      </c>
      <c r="AF7035" s="416" t="s">
        <v>19893</v>
      </c>
    </row>
    <row r="7036" spans="31:32">
      <c r="AE7036" s="417" t="s">
        <v>19894</v>
      </c>
      <c r="AF7036" s="416" t="s">
        <v>19895</v>
      </c>
    </row>
    <row r="7037" spans="31:32">
      <c r="AE7037" s="417" t="s">
        <v>19896</v>
      </c>
      <c r="AF7037" s="416" t="s">
        <v>19897</v>
      </c>
    </row>
    <row r="7038" spans="31:32">
      <c r="AE7038" s="417" t="s">
        <v>19898</v>
      </c>
      <c r="AF7038" s="416" t="s">
        <v>19899</v>
      </c>
    </row>
    <row r="7039" spans="31:32">
      <c r="AE7039" s="417" t="s">
        <v>19900</v>
      </c>
      <c r="AF7039" s="416" t="s">
        <v>19901</v>
      </c>
    </row>
    <row r="7040" spans="31:32">
      <c r="AE7040" s="417" t="s">
        <v>19902</v>
      </c>
      <c r="AF7040" s="416" t="s">
        <v>19903</v>
      </c>
    </row>
    <row r="7041" spans="31:32">
      <c r="AE7041" s="417" t="s">
        <v>19904</v>
      </c>
      <c r="AF7041" s="416" t="s">
        <v>19905</v>
      </c>
    </row>
    <row r="7042" spans="31:32">
      <c r="AE7042" s="417" t="s">
        <v>19906</v>
      </c>
      <c r="AF7042" s="416" t="s">
        <v>19907</v>
      </c>
    </row>
    <row r="7043" spans="31:32">
      <c r="AE7043" s="417" t="s">
        <v>19908</v>
      </c>
      <c r="AF7043" s="416" t="s">
        <v>19909</v>
      </c>
    </row>
    <row r="7044" spans="31:32">
      <c r="AE7044" s="417" t="s">
        <v>19910</v>
      </c>
      <c r="AF7044" s="416" t="s">
        <v>19911</v>
      </c>
    </row>
    <row r="7045" spans="31:32">
      <c r="AE7045" s="417" t="s">
        <v>19912</v>
      </c>
      <c r="AF7045" s="416" t="s">
        <v>19913</v>
      </c>
    </row>
    <row r="7046" spans="31:32">
      <c r="AE7046" s="417" t="s">
        <v>19914</v>
      </c>
      <c r="AF7046" s="416" t="s">
        <v>19915</v>
      </c>
    </row>
    <row r="7047" spans="31:32">
      <c r="AE7047" s="417" t="s">
        <v>19916</v>
      </c>
      <c r="AF7047" s="416" t="s">
        <v>19917</v>
      </c>
    </row>
    <row r="7048" spans="31:32">
      <c r="AE7048" s="417" t="s">
        <v>19918</v>
      </c>
      <c r="AF7048" s="416" t="s">
        <v>19919</v>
      </c>
    </row>
    <row r="7049" spans="31:32">
      <c r="AE7049" s="417" t="s">
        <v>19920</v>
      </c>
      <c r="AF7049" s="416" t="s">
        <v>19921</v>
      </c>
    </row>
    <row r="7050" spans="31:32">
      <c r="AE7050" s="417" t="s">
        <v>19922</v>
      </c>
      <c r="AF7050" s="416" t="s">
        <v>19923</v>
      </c>
    </row>
    <row r="7051" spans="31:32">
      <c r="AE7051" s="417" t="s">
        <v>19924</v>
      </c>
      <c r="AF7051" s="416" t="s">
        <v>19925</v>
      </c>
    </row>
    <row r="7052" spans="31:32">
      <c r="AE7052" s="417" t="s">
        <v>19926</v>
      </c>
      <c r="AF7052" s="416" t="s">
        <v>19927</v>
      </c>
    </row>
    <row r="7053" spans="31:32">
      <c r="AE7053" s="417" t="s">
        <v>19928</v>
      </c>
      <c r="AF7053" s="416" t="s">
        <v>19929</v>
      </c>
    </row>
    <row r="7054" spans="31:32">
      <c r="AE7054" s="417" t="s">
        <v>19930</v>
      </c>
      <c r="AF7054" s="416" t="s">
        <v>19931</v>
      </c>
    </row>
    <row r="7055" spans="31:32">
      <c r="AE7055" s="417" t="s">
        <v>19932</v>
      </c>
      <c r="AF7055" s="416" t="s">
        <v>19933</v>
      </c>
    </row>
    <row r="7056" spans="31:32">
      <c r="AE7056" s="417" t="s">
        <v>19934</v>
      </c>
      <c r="AF7056" s="416" t="s">
        <v>19935</v>
      </c>
    </row>
    <row r="7057" spans="31:32">
      <c r="AE7057" s="417" t="s">
        <v>19936</v>
      </c>
      <c r="AF7057" s="416" t="s">
        <v>19937</v>
      </c>
    </row>
    <row r="7058" spans="31:32">
      <c r="AE7058" s="417" t="s">
        <v>19938</v>
      </c>
      <c r="AF7058" s="416" t="s">
        <v>19939</v>
      </c>
    </row>
    <row r="7059" spans="31:32">
      <c r="AE7059" s="417" t="s">
        <v>19940</v>
      </c>
      <c r="AF7059" s="416" t="s">
        <v>19941</v>
      </c>
    </row>
    <row r="7060" spans="31:32">
      <c r="AE7060" s="417" t="s">
        <v>19942</v>
      </c>
      <c r="AF7060" s="416" t="s">
        <v>19943</v>
      </c>
    </row>
    <row r="7061" spans="31:32">
      <c r="AE7061" s="417" t="s">
        <v>19944</v>
      </c>
      <c r="AF7061" s="416" t="s">
        <v>19945</v>
      </c>
    </row>
    <row r="7062" spans="31:32">
      <c r="AE7062" s="417" t="s">
        <v>19946</v>
      </c>
      <c r="AF7062" s="416" t="s">
        <v>19947</v>
      </c>
    </row>
    <row r="7063" spans="31:32">
      <c r="AE7063" s="417" t="s">
        <v>19948</v>
      </c>
      <c r="AF7063" s="416" t="s">
        <v>19949</v>
      </c>
    </row>
    <row r="7064" spans="31:32">
      <c r="AE7064" s="417" t="s">
        <v>19950</v>
      </c>
      <c r="AF7064" s="416" t="s">
        <v>19951</v>
      </c>
    </row>
    <row r="7065" spans="31:32">
      <c r="AE7065" s="417" t="s">
        <v>19952</v>
      </c>
      <c r="AF7065" s="416" t="s">
        <v>19953</v>
      </c>
    </row>
    <row r="7066" spans="31:32">
      <c r="AE7066" s="417" t="s">
        <v>19954</v>
      </c>
      <c r="AF7066" s="416" t="s">
        <v>19955</v>
      </c>
    </row>
    <row r="7067" spans="31:32">
      <c r="AE7067" s="417" t="s">
        <v>19956</v>
      </c>
      <c r="AF7067" s="416" t="s">
        <v>19957</v>
      </c>
    </row>
    <row r="7068" spans="31:32">
      <c r="AE7068" s="417" t="s">
        <v>19958</v>
      </c>
      <c r="AF7068" s="416" t="s">
        <v>19959</v>
      </c>
    </row>
    <row r="7069" spans="31:32">
      <c r="AE7069" s="417" t="s">
        <v>19960</v>
      </c>
      <c r="AF7069" s="416" t="s">
        <v>19961</v>
      </c>
    </row>
    <row r="7070" spans="31:32">
      <c r="AE7070" s="417" t="s">
        <v>19962</v>
      </c>
      <c r="AF7070" s="416" t="s">
        <v>19963</v>
      </c>
    </row>
    <row r="7071" spans="31:32">
      <c r="AE7071" s="417" t="s">
        <v>19964</v>
      </c>
      <c r="AF7071" s="416" t="s">
        <v>19965</v>
      </c>
    </row>
    <row r="7072" spans="31:32">
      <c r="AE7072" s="417" t="s">
        <v>19966</v>
      </c>
      <c r="AF7072" s="416" t="s">
        <v>19967</v>
      </c>
    </row>
    <row r="7073" spans="31:32">
      <c r="AE7073" s="417" t="s">
        <v>19968</v>
      </c>
      <c r="AF7073" s="416" t="s">
        <v>19969</v>
      </c>
    </row>
    <row r="7074" spans="31:32">
      <c r="AE7074" s="417" t="s">
        <v>19970</v>
      </c>
      <c r="AF7074" s="416" t="s">
        <v>19971</v>
      </c>
    </row>
    <row r="7075" spans="31:32">
      <c r="AE7075" s="417" t="s">
        <v>19972</v>
      </c>
      <c r="AF7075" s="416" t="s">
        <v>19973</v>
      </c>
    </row>
    <row r="7076" spans="31:32">
      <c r="AE7076" s="417" t="s">
        <v>19974</v>
      </c>
      <c r="AF7076" s="416" t="s">
        <v>19975</v>
      </c>
    </row>
    <row r="7077" spans="31:32">
      <c r="AE7077" s="417" t="s">
        <v>19976</v>
      </c>
      <c r="AF7077" s="416" t="s">
        <v>19977</v>
      </c>
    </row>
    <row r="7078" spans="31:32">
      <c r="AE7078" s="417" t="s">
        <v>19978</v>
      </c>
      <c r="AF7078" s="416" t="s">
        <v>19979</v>
      </c>
    </row>
    <row r="7079" spans="31:32">
      <c r="AE7079" s="417" t="s">
        <v>19980</v>
      </c>
      <c r="AF7079" s="416" t="s">
        <v>19981</v>
      </c>
    </row>
    <row r="7080" spans="31:32">
      <c r="AE7080" s="417" t="s">
        <v>19982</v>
      </c>
      <c r="AF7080" s="416" t="s">
        <v>19983</v>
      </c>
    </row>
    <row r="7081" spans="31:32">
      <c r="AE7081" s="417" t="s">
        <v>19984</v>
      </c>
      <c r="AF7081" s="416" t="s">
        <v>19985</v>
      </c>
    </row>
    <row r="7082" spans="31:32">
      <c r="AE7082" s="417" t="s">
        <v>19986</v>
      </c>
      <c r="AF7082" s="416" t="s">
        <v>19987</v>
      </c>
    </row>
    <row r="7083" spans="31:32">
      <c r="AE7083" s="417" t="s">
        <v>19988</v>
      </c>
      <c r="AF7083" s="416" t="s">
        <v>19989</v>
      </c>
    </row>
    <row r="7084" spans="31:32">
      <c r="AE7084" s="417" t="s">
        <v>19990</v>
      </c>
      <c r="AF7084" s="416" t="s">
        <v>19991</v>
      </c>
    </row>
    <row r="7085" spans="31:32">
      <c r="AE7085" s="417" t="s">
        <v>19992</v>
      </c>
      <c r="AF7085" s="416" t="s">
        <v>19993</v>
      </c>
    </row>
    <row r="7086" spans="31:32">
      <c r="AE7086" s="417" t="s">
        <v>19994</v>
      </c>
      <c r="AF7086" s="416" t="s">
        <v>19995</v>
      </c>
    </row>
    <row r="7087" spans="31:32">
      <c r="AE7087" s="417" t="s">
        <v>19996</v>
      </c>
      <c r="AF7087" s="416" t="s">
        <v>19997</v>
      </c>
    </row>
    <row r="7088" spans="31:32">
      <c r="AE7088" s="417" t="s">
        <v>19998</v>
      </c>
      <c r="AF7088" s="416" t="s">
        <v>19999</v>
      </c>
    </row>
    <row r="7089" spans="31:32">
      <c r="AE7089" s="417" t="s">
        <v>20000</v>
      </c>
      <c r="AF7089" s="416" t="s">
        <v>20001</v>
      </c>
    </row>
    <row r="7090" spans="31:32">
      <c r="AE7090" s="417" t="s">
        <v>20002</v>
      </c>
      <c r="AF7090" s="416" t="s">
        <v>20003</v>
      </c>
    </row>
    <row r="7091" spans="31:32">
      <c r="AE7091" s="417" t="s">
        <v>20004</v>
      </c>
      <c r="AF7091" s="416" t="s">
        <v>20005</v>
      </c>
    </row>
    <row r="7092" spans="31:32">
      <c r="AE7092" s="417" t="s">
        <v>20006</v>
      </c>
      <c r="AF7092" s="416" t="s">
        <v>20007</v>
      </c>
    </row>
    <row r="7093" spans="31:32">
      <c r="AE7093" s="417" t="s">
        <v>20008</v>
      </c>
      <c r="AF7093" s="416" t="s">
        <v>20009</v>
      </c>
    </row>
    <row r="7094" spans="31:32">
      <c r="AE7094" s="417" t="s">
        <v>20010</v>
      </c>
      <c r="AF7094" s="416" t="s">
        <v>20011</v>
      </c>
    </row>
    <row r="7095" spans="31:32">
      <c r="AE7095" s="417" t="s">
        <v>20012</v>
      </c>
      <c r="AF7095" s="416" t="s">
        <v>20013</v>
      </c>
    </row>
    <row r="7096" spans="31:32">
      <c r="AE7096" s="417" t="s">
        <v>20014</v>
      </c>
      <c r="AF7096" s="416" t="s">
        <v>20015</v>
      </c>
    </row>
    <row r="7097" spans="31:32">
      <c r="AE7097" s="417" t="s">
        <v>20016</v>
      </c>
      <c r="AF7097" s="416" t="s">
        <v>20017</v>
      </c>
    </row>
    <row r="7098" spans="31:32">
      <c r="AE7098" s="417" t="s">
        <v>20018</v>
      </c>
      <c r="AF7098" s="416" t="s">
        <v>20019</v>
      </c>
    </row>
    <row r="7099" spans="31:32">
      <c r="AE7099" s="417" t="s">
        <v>20020</v>
      </c>
      <c r="AF7099" s="416" t="s">
        <v>20021</v>
      </c>
    </row>
    <row r="7100" spans="31:32">
      <c r="AE7100" s="417" t="s">
        <v>20022</v>
      </c>
      <c r="AF7100" s="416" t="s">
        <v>20023</v>
      </c>
    </row>
    <row r="7101" spans="31:32">
      <c r="AE7101" s="417" t="s">
        <v>20024</v>
      </c>
      <c r="AF7101" s="416" t="s">
        <v>20025</v>
      </c>
    </row>
    <row r="7102" spans="31:32">
      <c r="AE7102" s="417" t="s">
        <v>20026</v>
      </c>
      <c r="AF7102" s="416" t="s">
        <v>20027</v>
      </c>
    </row>
    <row r="7103" spans="31:32">
      <c r="AE7103" s="417" t="s">
        <v>20028</v>
      </c>
      <c r="AF7103" s="416" t="s">
        <v>20029</v>
      </c>
    </row>
    <row r="7104" spans="31:32">
      <c r="AE7104" s="417" t="s">
        <v>20030</v>
      </c>
      <c r="AF7104" s="416" t="s">
        <v>20031</v>
      </c>
    </row>
    <row r="7105" spans="31:32">
      <c r="AE7105" s="417" t="s">
        <v>20032</v>
      </c>
      <c r="AF7105" s="416" t="s">
        <v>20033</v>
      </c>
    </row>
    <row r="7106" spans="31:32">
      <c r="AE7106" s="417" t="s">
        <v>20034</v>
      </c>
      <c r="AF7106" s="416" t="s">
        <v>20035</v>
      </c>
    </row>
    <row r="7107" spans="31:32">
      <c r="AE7107" s="417" t="s">
        <v>20036</v>
      </c>
      <c r="AF7107" s="416" t="s">
        <v>20037</v>
      </c>
    </row>
    <row r="7108" spans="31:32">
      <c r="AE7108" s="417" t="s">
        <v>20038</v>
      </c>
      <c r="AF7108" s="416" t="s">
        <v>20039</v>
      </c>
    </row>
    <row r="7109" spans="31:32">
      <c r="AE7109" s="417" t="s">
        <v>20040</v>
      </c>
      <c r="AF7109" s="416" t="s">
        <v>20041</v>
      </c>
    </row>
    <row r="7110" spans="31:32">
      <c r="AE7110" s="417" t="s">
        <v>20042</v>
      </c>
      <c r="AF7110" s="416" t="s">
        <v>20043</v>
      </c>
    </row>
    <row r="7111" spans="31:32">
      <c r="AE7111" s="417" t="s">
        <v>20044</v>
      </c>
      <c r="AF7111" s="416" t="s">
        <v>20045</v>
      </c>
    </row>
    <row r="7112" spans="31:32">
      <c r="AE7112" s="417" t="s">
        <v>20046</v>
      </c>
      <c r="AF7112" s="416" t="s">
        <v>20047</v>
      </c>
    </row>
    <row r="7113" spans="31:32">
      <c r="AE7113" s="417" t="s">
        <v>20048</v>
      </c>
      <c r="AF7113" s="416" t="s">
        <v>20049</v>
      </c>
    </row>
    <row r="7114" spans="31:32">
      <c r="AE7114" s="417" t="s">
        <v>20050</v>
      </c>
      <c r="AF7114" s="416" t="s">
        <v>20051</v>
      </c>
    </row>
    <row r="7115" spans="31:32">
      <c r="AE7115" s="417" t="s">
        <v>20052</v>
      </c>
      <c r="AF7115" s="416" t="s">
        <v>20053</v>
      </c>
    </row>
    <row r="7116" spans="31:32">
      <c r="AE7116" s="417" t="s">
        <v>20054</v>
      </c>
      <c r="AF7116" s="416" t="s">
        <v>20055</v>
      </c>
    </row>
    <row r="7117" spans="31:32">
      <c r="AE7117" s="417" t="s">
        <v>20056</v>
      </c>
      <c r="AF7117" s="416" t="s">
        <v>20057</v>
      </c>
    </row>
    <row r="7118" spans="31:32">
      <c r="AE7118" s="417" t="s">
        <v>20058</v>
      </c>
      <c r="AF7118" s="416" t="s">
        <v>20059</v>
      </c>
    </row>
    <row r="7119" spans="31:32">
      <c r="AE7119" s="417" t="s">
        <v>20060</v>
      </c>
      <c r="AF7119" s="416" t="s">
        <v>20061</v>
      </c>
    </row>
    <row r="7120" spans="31:32">
      <c r="AE7120" s="417" t="s">
        <v>20062</v>
      </c>
      <c r="AF7120" s="416" t="s">
        <v>20063</v>
      </c>
    </row>
    <row r="7121" spans="31:32">
      <c r="AE7121" s="417" t="s">
        <v>20064</v>
      </c>
      <c r="AF7121" s="416" t="s">
        <v>20065</v>
      </c>
    </row>
    <row r="7122" spans="31:32">
      <c r="AE7122" s="417" t="s">
        <v>20066</v>
      </c>
      <c r="AF7122" s="416" t="s">
        <v>20067</v>
      </c>
    </row>
    <row r="7123" spans="31:32">
      <c r="AE7123" s="417" t="s">
        <v>20068</v>
      </c>
      <c r="AF7123" s="416" t="s">
        <v>20069</v>
      </c>
    </row>
    <row r="7124" spans="31:32">
      <c r="AE7124" s="417" t="s">
        <v>20070</v>
      </c>
      <c r="AF7124" s="416" t="s">
        <v>20071</v>
      </c>
    </row>
    <row r="7125" spans="31:32">
      <c r="AE7125" s="417" t="s">
        <v>20072</v>
      </c>
      <c r="AF7125" s="416" t="s">
        <v>20073</v>
      </c>
    </row>
    <row r="7126" spans="31:32">
      <c r="AE7126" s="417" t="s">
        <v>20074</v>
      </c>
      <c r="AF7126" s="416" t="s">
        <v>20075</v>
      </c>
    </row>
    <row r="7127" spans="31:32">
      <c r="AE7127" s="417" t="s">
        <v>20076</v>
      </c>
      <c r="AF7127" s="416" t="s">
        <v>20077</v>
      </c>
    </row>
    <row r="7128" spans="31:32">
      <c r="AE7128" s="417" t="s">
        <v>20078</v>
      </c>
      <c r="AF7128" s="416" t="s">
        <v>20079</v>
      </c>
    </row>
    <row r="7129" spans="31:32">
      <c r="AE7129" s="417" t="s">
        <v>20080</v>
      </c>
      <c r="AF7129" s="416" t="s">
        <v>20081</v>
      </c>
    </row>
    <row r="7130" spans="31:32">
      <c r="AE7130" s="417" t="s">
        <v>20082</v>
      </c>
      <c r="AF7130" s="416" t="s">
        <v>20083</v>
      </c>
    </row>
    <row r="7131" spans="31:32">
      <c r="AE7131" s="417" t="s">
        <v>20084</v>
      </c>
      <c r="AF7131" s="416" t="s">
        <v>20085</v>
      </c>
    </row>
    <row r="7132" spans="31:32">
      <c r="AE7132" s="417" t="s">
        <v>20086</v>
      </c>
      <c r="AF7132" s="416" t="s">
        <v>20087</v>
      </c>
    </row>
    <row r="7133" spans="31:32">
      <c r="AE7133" s="417" t="s">
        <v>20088</v>
      </c>
      <c r="AF7133" s="416" t="s">
        <v>20089</v>
      </c>
    </row>
    <row r="7134" spans="31:32">
      <c r="AE7134" s="417" t="s">
        <v>20090</v>
      </c>
      <c r="AF7134" s="416" t="s">
        <v>20091</v>
      </c>
    </row>
    <row r="7135" spans="31:32">
      <c r="AE7135" s="417" t="s">
        <v>20092</v>
      </c>
      <c r="AF7135" s="416" t="s">
        <v>20093</v>
      </c>
    </row>
    <row r="7136" spans="31:32">
      <c r="AE7136" s="417" t="s">
        <v>20094</v>
      </c>
      <c r="AF7136" s="416" t="s">
        <v>20095</v>
      </c>
    </row>
    <row r="7137" spans="31:32">
      <c r="AE7137" s="417" t="s">
        <v>20096</v>
      </c>
      <c r="AF7137" s="416" t="s">
        <v>20097</v>
      </c>
    </row>
    <row r="7138" spans="31:32">
      <c r="AE7138" s="417" t="s">
        <v>20098</v>
      </c>
      <c r="AF7138" s="416" t="s">
        <v>20099</v>
      </c>
    </row>
    <row r="7139" spans="31:32">
      <c r="AE7139" s="417" t="s">
        <v>20100</v>
      </c>
      <c r="AF7139" s="416" t="s">
        <v>20101</v>
      </c>
    </row>
    <row r="7140" spans="31:32">
      <c r="AE7140" s="417" t="s">
        <v>20102</v>
      </c>
      <c r="AF7140" s="416" t="s">
        <v>20103</v>
      </c>
    </row>
    <row r="7141" spans="31:32">
      <c r="AE7141" s="417" t="s">
        <v>20104</v>
      </c>
      <c r="AF7141" s="416" t="s">
        <v>20105</v>
      </c>
    </row>
    <row r="7142" spans="31:32">
      <c r="AE7142" s="417" t="s">
        <v>20106</v>
      </c>
      <c r="AF7142" s="416" t="s">
        <v>20107</v>
      </c>
    </row>
    <row r="7143" spans="31:32">
      <c r="AE7143" s="417" t="s">
        <v>20108</v>
      </c>
      <c r="AF7143" s="416" t="s">
        <v>20109</v>
      </c>
    </row>
    <row r="7144" spans="31:32">
      <c r="AE7144" s="417" t="s">
        <v>20110</v>
      </c>
      <c r="AF7144" s="416" t="s">
        <v>20111</v>
      </c>
    </row>
    <row r="7145" spans="31:32">
      <c r="AE7145" s="417" t="s">
        <v>20112</v>
      </c>
      <c r="AF7145" s="416" t="s">
        <v>20113</v>
      </c>
    </row>
    <row r="7146" spans="31:32">
      <c r="AE7146" s="417" t="s">
        <v>20114</v>
      </c>
      <c r="AF7146" s="416" t="s">
        <v>20115</v>
      </c>
    </row>
    <row r="7147" spans="31:32">
      <c r="AE7147" s="417" t="s">
        <v>20116</v>
      </c>
      <c r="AF7147" s="416" t="s">
        <v>20117</v>
      </c>
    </row>
    <row r="7148" spans="31:32">
      <c r="AE7148" s="417" t="s">
        <v>20118</v>
      </c>
      <c r="AF7148" s="416" t="s">
        <v>20119</v>
      </c>
    </row>
    <row r="7149" spans="31:32">
      <c r="AE7149" s="417" t="s">
        <v>20120</v>
      </c>
      <c r="AF7149" s="416" t="s">
        <v>20121</v>
      </c>
    </row>
    <row r="7150" spans="31:32">
      <c r="AE7150" s="417" t="s">
        <v>20122</v>
      </c>
      <c r="AF7150" s="416" t="s">
        <v>20123</v>
      </c>
    </row>
    <row r="7151" spans="31:32">
      <c r="AE7151" s="417" t="s">
        <v>20124</v>
      </c>
      <c r="AF7151" s="416" t="s">
        <v>20125</v>
      </c>
    </row>
    <row r="7152" spans="31:32">
      <c r="AE7152" s="417" t="s">
        <v>20126</v>
      </c>
      <c r="AF7152" s="416" t="s">
        <v>20127</v>
      </c>
    </row>
    <row r="7153" spans="31:32">
      <c r="AE7153" s="417" t="s">
        <v>20128</v>
      </c>
      <c r="AF7153" s="416" t="s">
        <v>20129</v>
      </c>
    </row>
    <row r="7154" spans="31:32">
      <c r="AE7154" s="417" t="s">
        <v>20130</v>
      </c>
      <c r="AF7154" s="416" t="s">
        <v>20131</v>
      </c>
    </row>
    <row r="7155" spans="31:32">
      <c r="AE7155" s="417" t="s">
        <v>20132</v>
      </c>
      <c r="AF7155" s="416" t="s">
        <v>20133</v>
      </c>
    </row>
    <row r="7156" spans="31:32">
      <c r="AE7156" s="417" t="s">
        <v>20134</v>
      </c>
      <c r="AF7156" s="416" t="s">
        <v>20135</v>
      </c>
    </row>
    <row r="7157" spans="31:32">
      <c r="AE7157" s="417" t="s">
        <v>20136</v>
      </c>
      <c r="AF7157" s="416" t="s">
        <v>20137</v>
      </c>
    </row>
    <row r="7158" spans="31:32">
      <c r="AE7158" s="417" t="s">
        <v>20138</v>
      </c>
      <c r="AF7158" s="416" t="s">
        <v>20139</v>
      </c>
    </row>
    <row r="7159" spans="31:32">
      <c r="AE7159" s="417" t="s">
        <v>20140</v>
      </c>
      <c r="AF7159" s="416" t="s">
        <v>20141</v>
      </c>
    </row>
    <row r="7160" spans="31:32">
      <c r="AE7160" s="417" t="s">
        <v>20142</v>
      </c>
      <c r="AF7160" s="416" t="s">
        <v>20143</v>
      </c>
    </row>
    <row r="7161" spans="31:32">
      <c r="AE7161" s="417" t="s">
        <v>20144</v>
      </c>
      <c r="AF7161" s="416" t="s">
        <v>20145</v>
      </c>
    </row>
    <row r="7162" spans="31:32">
      <c r="AE7162" s="417" t="s">
        <v>20146</v>
      </c>
      <c r="AF7162" s="416" t="s">
        <v>20147</v>
      </c>
    </row>
    <row r="7163" spans="31:32">
      <c r="AE7163" s="417" t="s">
        <v>20148</v>
      </c>
      <c r="AF7163" s="416" t="s">
        <v>20149</v>
      </c>
    </row>
    <row r="7164" spans="31:32">
      <c r="AE7164" s="417" t="s">
        <v>20150</v>
      </c>
      <c r="AF7164" s="416" t="s">
        <v>20151</v>
      </c>
    </row>
    <row r="7165" spans="31:32">
      <c r="AE7165" s="417" t="s">
        <v>20152</v>
      </c>
      <c r="AF7165" s="416" t="s">
        <v>20153</v>
      </c>
    </row>
    <row r="7166" spans="31:32">
      <c r="AE7166" s="417" t="s">
        <v>20154</v>
      </c>
      <c r="AF7166" s="416" t="s">
        <v>20155</v>
      </c>
    </row>
    <row r="7167" spans="31:32">
      <c r="AE7167" s="417" t="s">
        <v>20156</v>
      </c>
      <c r="AF7167" s="416" t="s">
        <v>20157</v>
      </c>
    </row>
    <row r="7168" spans="31:32">
      <c r="AE7168" s="417" t="s">
        <v>20158</v>
      </c>
      <c r="AF7168" s="416" t="s">
        <v>20159</v>
      </c>
    </row>
    <row r="7169" spans="31:32">
      <c r="AE7169" s="417" t="s">
        <v>20160</v>
      </c>
      <c r="AF7169" s="416" t="s">
        <v>20161</v>
      </c>
    </row>
    <row r="7170" spans="31:32">
      <c r="AE7170" s="417" t="s">
        <v>20162</v>
      </c>
      <c r="AF7170" s="416" t="s">
        <v>20163</v>
      </c>
    </row>
    <row r="7171" spans="31:32">
      <c r="AE7171" s="417" t="s">
        <v>20164</v>
      </c>
      <c r="AF7171" s="416" t="s">
        <v>20165</v>
      </c>
    </row>
    <row r="7172" spans="31:32">
      <c r="AE7172" s="417" t="s">
        <v>20166</v>
      </c>
      <c r="AF7172" s="416" t="s">
        <v>20167</v>
      </c>
    </row>
    <row r="7173" spans="31:32">
      <c r="AE7173" s="417" t="s">
        <v>20168</v>
      </c>
      <c r="AF7173" s="416" t="s">
        <v>20169</v>
      </c>
    </row>
    <row r="7174" spans="31:32">
      <c r="AE7174" s="417" t="s">
        <v>20170</v>
      </c>
      <c r="AF7174" s="416" t="s">
        <v>20171</v>
      </c>
    </row>
    <row r="7175" spans="31:32">
      <c r="AE7175" s="417" t="s">
        <v>20172</v>
      </c>
      <c r="AF7175" s="416" t="s">
        <v>20173</v>
      </c>
    </row>
    <row r="7176" spans="31:32">
      <c r="AE7176" s="417" t="s">
        <v>20174</v>
      </c>
      <c r="AF7176" s="416" t="s">
        <v>20175</v>
      </c>
    </row>
    <row r="7177" spans="31:32">
      <c r="AE7177" s="417" t="s">
        <v>20176</v>
      </c>
      <c r="AF7177" s="416" t="s">
        <v>20177</v>
      </c>
    </row>
    <row r="7178" spans="31:32">
      <c r="AE7178" s="417" t="s">
        <v>20178</v>
      </c>
      <c r="AF7178" s="416" t="s">
        <v>20179</v>
      </c>
    </row>
    <row r="7179" spans="31:32">
      <c r="AE7179" s="417" t="s">
        <v>20180</v>
      </c>
      <c r="AF7179" s="416" t="s">
        <v>20181</v>
      </c>
    </row>
    <row r="7180" spans="31:32">
      <c r="AE7180" s="417" t="s">
        <v>20182</v>
      </c>
      <c r="AF7180" s="416" t="s">
        <v>20183</v>
      </c>
    </row>
    <row r="7181" spans="31:32">
      <c r="AE7181" s="417" t="s">
        <v>20184</v>
      </c>
      <c r="AF7181" s="416" t="s">
        <v>20185</v>
      </c>
    </row>
    <row r="7182" spans="31:32">
      <c r="AE7182" s="417" t="s">
        <v>20186</v>
      </c>
      <c r="AF7182" s="416" t="s">
        <v>20187</v>
      </c>
    </row>
    <row r="7183" spans="31:32">
      <c r="AE7183" s="417" t="s">
        <v>20188</v>
      </c>
      <c r="AF7183" s="416" t="s">
        <v>20189</v>
      </c>
    </row>
    <row r="7184" spans="31:32">
      <c r="AE7184" s="417" t="s">
        <v>20190</v>
      </c>
      <c r="AF7184" s="416" t="s">
        <v>20191</v>
      </c>
    </row>
    <row r="7185" spans="31:32">
      <c r="AE7185" s="417" t="s">
        <v>20192</v>
      </c>
      <c r="AF7185" s="416" t="s">
        <v>20193</v>
      </c>
    </row>
    <row r="7186" spans="31:32">
      <c r="AE7186" s="417" t="s">
        <v>20194</v>
      </c>
      <c r="AF7186" s="416" t="s">
        <v>20195</v>
      </c>
    </row>
    <row r="7187" spans="31:32">
      <c r="AE7187" s="417" t="s">
        <v>20196</v>
      </c>
      <c r="AF7187" s="416" t="s">
        <v>20197</v>
      </c>
    </row>
    <row r="7188" spans="31:32">
      <c r="AE7188" s="417" t="s">
        <v>20198</v>
      </c>
      <c r="AF7188" s="416" t="s">
        <v>20199</v>
      </c>
    </row>
    <row r="7189" spans="31:32">
      <c r="AE7189" s="417" t="s">
        <v>20200</v>
      </c>
      <c r="AF7189" s="416" t="s">
        <v>20201</v>
      </c>
    </row>
    <row r="7190" spans="31:32">
      <c r="AE7190" s="417" t="s">
        <v>20202</v>
      </c>
      <c r="AF7190" s="416" t="s">
        <v>20203</v>
      </c>
    </row>
    <row r="7191" spans="31:32">
      <c r="AE7191" s="417" t="s">
        <v>20204</v>
      </c>
      <c r="AF7191" s="416" t="s">
        <v>20205</v>
      </c>
    </row>
    <row r="7192" spans="31:32">
      <c r="AE7192" s="417" t="s">
        <v>20206</v>
      </c>
      <c r="AF7192" s="416" t="s">
        <v>20207</v>
      </c>
    </row>
    <row r="7193" spans="31:32">
      <c r="AE7193" s="417" t="s">
        <v>20208</v>
      </c>
      <c r="AF7193" s="416" t="s">
        <v>20209</v>
      </c>
    </row>
    <row r="7194" spans="31:32">
      <c r="AE7194" s="417" t="s">
        <v>20210</v>
      </c>
      <c r="AF7194" s="416" t="s">
        <v>20211</v>
      </c>
    </row>
    <row r="7195" spans="31:32">
      <c r="AE7195" s="417" t="s">
        <v>20212</v>
      </c>
      <c r="AF7195" s="416" t="s">
        <v>20213</v>
      </c>
    </row>
    <row r="7196" spans="31:32">
      <c r="AE7196" s="417" t="s">
        <v>20214</v>
      </c>
      <c r="AF7196" s="416" t="s">
        <v>20215</v>
      </c>
    </row>
    <row r="7197" spans="31:32">
      <c r="AE7197" s="417" t="s">
        <v>20216</v>
      </c>
      <c r="AF7197" s="416" t="s">
        <v>20217</v>
      </c>
    </row>
    <row r="7198" spans="31:32">
      <c r="AE7198" s="417" t="s">
        <v>20218</v>
      </c>
      <c r="AF7198" s="416" t="s">
        <v>20219</v>
      </c>
    </row>
    <row r="7199" spans="31:32">
      <c r="AE7199" s="417" t="s">
        <v>20220</v>
      </c>
      <c r="AF7199" s="416" t="s">
        <v>20221</v>
      </c>
    </row>
    <row r="7200" spans="31:32">
      <c r="AE7200" s="417" t="s">
        <v>20222</v>
      </c>
      <c r="AF7200" s="416" t="s">
        <v>20223</v>
      </c>
    </row>
    <row r="7201" spans="31:32">
      <c r="AE7201" s="417" t="s">
        <v>20224</v>
      </c>
      <c r="AF7201" s="416" t="s">
        <v>20225</v>
      </c>
    </row>
    <row r="7202" spans="31:32">
      <c r="AE7202" s="417" t="s">
        <v>20226</v>
      </c>
      <c r="AF7202" s="416" t="s">
        <v>20227</v>
      </c>
    </row>
    <row r="7203" spans="31:32">
      <c r="AE7203" s="417" t="s">
        <v>20228</v>
      </c>
      <c r="AF7203" s="416" t="s">
        <v>20229</v>
      </c>
    </row>
    <row r="7204" spans="31:32">
      <c r="AE7204" s="417" t="s">
        <v>20230</v>
      </c>
      <c r="AF7204" s="416" t="s">
        <v>20231</v>
      </c>
    </row>
    <row r="7205" spans="31:32">
      <c r="AE7205" s="417" t="s">
        <v>20232</v>
      </c>
      <c r="AF7205" s="416" t="s">
        <v>20233</v>
      </c>
    </row>
    <row r="7206" spans="31:32">
      <c r="AE7206" s="417" t="s">
        <v>20234</v>
      </c>
      <c r="AF7206" s="416" t="s">
        <v>20235</v>
      </c>
    </row>
    <row r="7207" spans="31:32">
      <c r="AE7207" s="417" t="s">
        <v>20236</v>
      </c>
      <c r="AF7207" s="416" t="s">
        <v>20237</v>
      </c>
    </row>
    <row r="7208" spans="31:32">
      <c r="AE7208" s="417" t="s">
        <v>20238</v>
      </c>
      <c r="AF7208" s="416" t="s">
        <v>20239</v>
      </c>
    </row>
    <row r="7209" spans="31:32">
      <c r="AE7209" s="417" t="s">
        <v>20240</v>
      </c>
      <c r="AF7209" s="416" t="s">
        <v>20241</v>
      </c>
    </row>
    <row r="7210" spans="31:32">
      <c r="AE7210" s="417" t="s">
        <v>20242</v>
      </c>
      <c r="AF7210" s="416" t="s">
        <v>20243</v>
      </c>
    </row>
    <row r="7211" spans="31:32">
      <c r="AE7211" s="417" t="s">
        <v>20244</v>
      </c>
      <c r="AF7211" s="416" t="s">
        <v>20245</v>
      </c>
    </row>
    <row r="7212" spans="31:32">
      <c r="AE7212" s="417" t="s">
        <v>20246</v>
      </c>
      <c r="AF7212" s="416" t="s">
        <v>20247</v>
      </c>
    </row>
    <row r="7213" spans="31:32">
      <c r="AE7213" s="417" t="s">
        <v>20248</v>
      </c>
      <c r="AF7213" s="416" t="s">
        <v>20249</v>
      </c>
    </row>
    <row r="7214" spans="31:32">
      <c r="AE7214" s="417" t="s">
        <v>20250</v>
      </c>
      <c r="AF7214" s="416" t="s">
        <v>20251</v>
      </c>
    </row>
    <row r="7215" spans="31:32">
      <c r="AE7215" s="417" t="s">
        <v>20252</v>
      </c>
      <c r="AF7215" s="416" t="s">
        <v>20253</v>
      </c>
    </row>
    <row r="7216" spans="31:32">
      <c r="AE7216" s="417" t="s">
        <v>20254</v>
      </c>
      <c r="AF7216" s="416" t="s">
        <v>20255</v>
      </c>
    </row>
    <row r="7217" spans="31:32">
      <c r="AE7217" s="417" t="s">
        <v>20256</v>
      </c>
      <c r="AF7217" s="416" t="s">
        <v>20257</v>
      </c>
    </row>
    <row r="7218" spans="31:32">
      <c r="AE7218" s="417" t="s">
        <v>20258</v>
      </c>
      <c r="AF7218" s="416" t="s">
        <v>20259</v>
      </c>
    </row>
    <row r="7219" spans="31:32">
      <c r="AE7219" s="417" t="s">
        <v>20260</v>
      </c>
      <c r="AF7219" s="416" t="s">
        <v>20261</v>
      </c>
    </row>
    <row r="7220" spans="31:32">
      <c r="AE7220" s="417" t="s">
        <v>20262</v>
      </c>
      <c r="AF7220" s="416" t="s">
        <v>20263</v>
      </c>
    </row>
    <row r="7221" spans="31:32">
      <c r="AE7221" s="417" t="s">
        <v>20264</v>
      </c>
      <c r="AF7221" s="416" t="s">
        <v>20265</v>
      </c>
    </row>
    <row r="7222" spans="31:32">
      <c r="AE7222" s="417" t="s">
        <v>20266</v>
      </c>
      <c r="AF7222" s="416" t="s">
        <v>20267</v>
      </c>
    </row>
    <row r="7223" spans="31:32">
      <c r="AE7223" s="417" t="s">
        <v>20268</v>
      </c>
      <c r="AF7223" s="416" t="s">
        <v>20269</v>
      </c>
    </row>
    <row r="7224" spans="31:32">
      <c r="AE7224" s="417" t="s">
        <v>20270</v>
      </c>
      <c r="AF7224" s="416" t="s">
        <v>20271</v>
      </c>
    </row>
    <row r="7225" spans="31:32">
      <c r="AE7225" s="417" t="s">
        <v>20272</v>
      </c>
      <c r="AF7225" s="416" t="s">
        <v>20273</v>
      </c>
    </row>
    <row r="7226" spans="31:32">
      <c r="AE7226" s="417" t="s">
        <v>20274</v>
      </c>
      <c r="AF7226" s="416" t="s">
        <v>20275</v>
      </c>
    </row>
    <row r="7227" spans="31:32">
      <c r="AE7227" s="417" t="s">
        <v>20276</v>
      </c>
      <c r="AF7227" s="416" t="s">
        <v>20277</v>
      </c>
    </row>
    <row r="7228" spans="31:32">
      <c r="AE7228" s="417" t="s">
        <v>20278</v>
      </c>
      <c r="AF7228" s="416" t="s">
        <v>20279</v>
      </c>
    </row>
    <row r="7229" spans="31:32">
      <c r="AE7229" s="417" t="s">
        <v>20280</v>
      </c>
      <c r="AF7229" s="416" t="s">
        <v>20281</v>
      </c>
    </row>
    <row r="7230" spans="31:32">
      <c r="AE7230" s="417" t="s">
        <v>20282</v>
      </c>
      <c r="AF7230" s="416" t="s">
        <v>20283</v>
      </c>
    </row>
    <row r="7231" spans="31:32">
      <c r="AE7231" s="417" t="s">
        <v>20284</v>
      </c>
      <c r="AF7231" s="416" t="s">
        <v>20285</v>
      </c>
    </row>
    <row r="7232" spans="31:32">
      <c r="AE7232" s="417" t="s">
        <v>20286</v>
      </c>
      <c r="AF7232" s="416" t="s">
        <v>20287</v>
      </c>
    </row>
    <row r="7233" spans="31:32">
      <c r="AE7233" s="417" t="s">
        <v>20288</v>
      </c>
      <c r="AF7233" s="416" t="s">
        <v>20289</v>
      </c>
    </row>
    <row r="7234" spans="31:32">
      <c r="AE7234" s="417" t="s">
        <v>20290</v>
      </c>
      <c r="AF7234" s="416" t="s">
        <v>20291</v>
      </c>
    </row>
    <row r="7235" spans="31:32">
      <c r="AE7235" s="417" t="s">
        <v>20292</v>
      </c>
      <c r="AF7235" s="416" t="s">
        <v>20293</v>
      </c>
    </row>
    <row r="7236" spans="31:32">
      <c r="AE7236" s="417" t="s">
        <v>20294</v>
      </c>
      <c r="AF7236" s="416" t="s">
        <v>20295</v>
      </c>
    </row>
    <row r="7237" spans="31:32">
      <c r="AE7237" s="417" t="s">
        <v>20296</v>
      </c>
      <c r="AF7237" s="416" t="s">
        <v>20297</v>
      </c>
    </row>
    <row r="7238" spans="31:32">
      <c r="AE7238" s="417" t="s">
        <v>20298</v>
      </c>
      <c r="AF7238" s="416" t="s">
        <v>20299</v>
      </c>
    </row>
    <row r="7239" spans="31:32">
      <c r="AE7239" s="417" t="s">
        <v>20300</v>
      </c>
      <c r="AF7239" s="416" t="s">
        <v>20301</v>
      </c>
    </row>
    <row r="7240" spans="31:32">
      <c r="AE7240" s="417" t="s">
        <v>20302</v>
      </c>
      <c r="AF7240" s="416" t="s">
        <v>20303</v>
      </c>
    </row>
    <row r="7241" spans="31:32">
      <c r="AE7241" s="417" t="s">
        <v>20304</v>
      </c>
      <c r="AF7241" s="416" t="s">
        <v>20305</v>
      </c>
    </row>
    <row r="7242" spans="31:32">
      <c r="AE7242" s="417" t="s">
        <v>20306</v>
      </c>
      <c r="AF7242" s="416" t="s">
        <v>20307</v>
      </c>
    </row>
    <row r="7243" spans="31:32">
      <c r="AE7243" s="417" t="s">
        <v>20308</v>
      </c>
      <c r="AF7243" s="416" t="s">
        <v>20309</v>
      </c>
    </row>
    <row r="7244" spans="31:32">
      <c r="AE7244" s="417" t="s">
        <v>20310</v>
      </c>
      <c r="AF7244" s="416" t="s">
        <v>20311</v>
      </c>
    </row>
    <row r="7245" spans="31:32">
      <c r="AE7245" s="417" t="s">
        <v>20312</v>
      </c>
      <c r="AF7245" s="416" t="s">
        <v>20313</v>
      </c>
    </row>
    <row r="7246" spans="31:32">
      <c r="AE7246" s="417" t="s">
        <v>20314</v>
      </c>
      <c r="AF7246" s="416" t="s">
        <v>20315</v>
      </c>
    </row>
    <row r="7247" spans="31:32">
      <c r="AE7247" s="417" t="s">
        <v>20316</v>
      </c>
      <c r="AF7247" s="416" t="s">
        <v>20317</v>
      </c>
    </row>
    <row r="7248" spans="31:32">
      <c r="AE7248" s="417" t="s">
        <v>20318</v>
      </c>
      <c r="AF7248" s="416" t="s">
        <v>20319</v>
      </c>
    </row>
    <row r="7249" spans="31:32">
      <c r="AE7249" s="417" t="s">
        <v>20320</v>
      </c>
      <c r="AF7249" s="416" t="s">
        <v>20321</v>
      </c>
    </row>
    <row r="7250" spans="31:32">
      <c r="AE7250" s="417" t="s">
        <v>20322</v>
      </c>
      <c r="AF7250" s="416" t="s">
        <v>20323</v>
      </c>
    </row>
    <row r="7251" spans="31:32">
      <c r="AE7251" s="417" t="s">
        <v>20324</v>
      </c>
      <c r="AF7251" s="416" t="s">
        <v>20325</v>
      </c>
    </row>
    <row r="7252" spans="31:32">
      <c r="AE7252" s="417" t="s">
        <v>20326</v>
      </c>
      <c r="AF7252" s="416" t="s">
        <v>20327</v>
      </c>
    </row>
    <row r="7253" spans="31:32">
      <c r="AE7253" s="417" t="s">
        <v>20328</v>
      </c>
      <c r="AF7253" s="416" t="s">
        <v>20329</v>
      </c>
    </row>
    <row r="7254" spans="31:32">
      <c r="AE7254" s="417" t="s">
        <v>20330</v>
      </c>
      <c r="AF7254" s="416" t="s">
        <v>20331</v>
      </c>
    </row>
    <row r="7255" spans="31:32">
      <c r="AE7255" s="417" t="s">
        <v>20332</v>
      </c>
      <c r="AF7255" s="416" t="s">
        <v>20333</v>
      </c>
    </row>
    <row r="7256" spans="31:32">
      <c r="AE7256" s="417" t="s">
        <v>20334</v>
      </c>
      <c r="AF7256" s="416" t="s">
        <v>20335</v>
      </c>
    </row>
    <row r="7257" spans="31:32">
      <c r="AE7257" s="417" t="s">
        <v>20336</v>
      </c>
      <c r="AF7257" s="416" t="s">
        <v>20337</v>
      </c>
    </row>
    <row r="7258" spans="31:32">
      <c r="AE7258" s="417" t="s">
        <v>20338</v>
      </c>
      <c r="AF7258" s="416" t="s">
        <v>20339</v>
      </c>
    </row>
    <row r="7259" spans="31:32">
      <c r="AE7259" s="417" t="s">
        <v>20340</v>
      </c>
      <c r="AF7259" s="416" t="s">
        <v>20341</v>
      </c>
    </row>
    <row r="7260" spans="31:32">
      <c r="AE7260" s="417" t="s">
        <v>20342</v>
      </c>
      <c r="AF7260" s="416" t="s">
        <v>20343</v>
      </c>
    </row>
    <row r="7261" spans="31:32">
      <c r="AE7261" s="417" t="s">
        <v>20344</v>
      </c>
      <c r="AF7261" s="416" t="s">
        <v>20345</v>
      </c>
    </row>
    <row r="7262" spans="31:32">
      <c r="AE7262" s="417" t="s">
        <v>20346</v>
      </c>
      <c r="AF7262" s="416" t="s">
        <v>20347</v>
      </c>
    </row>
    <row r="7263" spans="31:32">
      <c r="AE7263" s="417" t="s">
        <v>20348</v>
      </c>
      <c r="AF7263" s="416" t="s">
        <v>20349</v>
      </c>
    </row>
    <row r="7264" spans="31:32">
      <c r="AE7264" s="417" t="s">
        <v>20350</v>
      </c>
      <c r="AF7264" s="416" t="s">
        <v>20351</v>
      </c>
    </row>
    <row r="7265" spans="31:32">
      <c r="AE7265" s="417" t="s">
        <v>20352</v>
      </c>
      <c r="AF7265" s="416" t="s">
        <v>20353</v>
      </c>
    </row>
    <row r="7266" spans="31:32">
      <c r="AE7266" s="417" t="s">
        <v>20354</v>
      </c>
      <c r="AF7266" s="416" t="s">
        <v>20355</v>
      </c>
    </row>
    <row r="7267" spans="31:32">
      <c r="AE7267" s="417" t="s">
        <v>20356</v>
      </c>
      <c r="AF7267" s="416" t="s">
        <v>20357</v>
      </c>
    </row>
    <row r="7268" spans="31:32">
      <c r="AE7268" s="417" t="s">
        <v>20358</v>
      </c>
      <c r="AF7268" s="416" t="s">
        <v>20359</v>
      </c>
    </row>
    <row r="7269" spans="31:32">
      <c r="AE7269" s="417" t="s">
        <v>20360</v>
      </c>
      <c r="AF7269" s="416" t="s">
        <v>20361</v>
      </c>
    </row>
    <row r="7270" spans="31:32">
      <c r="AE7270" s="417" t="s">
        <v>20362</v>
      </c>
      <c r="AF7270" s="416" t="s">
        <v>20363</v>
      </c>
    </row>
    <row r="7271" spans="31:32">
      <c r="AE7271" s="417" t="s">
        <v>20364</v>
      </c>
      <c r="AF7271" s="416" t="s">
        <v>20365</v>
      </c>
    </row>
    <row r="7272" spans="31:32">
      <c r="AE7272" s="417" t="s">
        <v>20366</v>
      </c>
      <c r="AF7272" s="416" t="s">
        <v>20367</v>
      </c>
    </row>
    <row r="7273" spans="31:32">
      <c r="AE7273" s="417" t="s">
        <v>20368</v>
      </c>
      <c r="AF7273" s="416" t="s">
        <v>20369</v>
      </c>
    </row>
    <row r="7274" spans="31:32">
      <c r="AE7274" s="417" t="s">
        <v>20370</v>
      </c>
      <c r="AF7274" s="416" t="s">
        <v>20371</v>
      </c>
    </row>
    <row r="7275" spans="31:32">
      <c r="AE7275" s="417" t="s">
        <v>20372</v>
      </c>
      <c r="AF7275" s="416" t="s">
        <v>20373</v>
      </c>
    </row>
    <row r="7276" spans="31:32">
      <c r="AE7276" s="417" t="s">
        <v>20374</v>
      </c>
      <c r="AF7276" s="416" t="s">
        <v>20375</v>
      </c>
    </row>
    <row r="7277" spans="31:32">
      <c r="AE7277" s="417" t="s">
        <v>20376</v>
      </c>
      <c r="AF7277" s="416" t="s">
        <v>20377</v>
      </c>
    </row>
    <row r="7278" spans="31:32">
      <c r="AE7278" s="417" t="s">
        <v>20378</v>
      </c>
      <c r="AF7278" s="416" t="s">
        <v>20379</v>
      </c>
    </row>
    <row r="7279" spans="31:32">
      <c r="AE7279" s="417" t="s">
        <v>20380</v>
      </c>
      <c r="AF7279" s="416" t="s">
        <v>20381</v>
      </c>
    </row>
    <row r="7280" spans="31:32">
      <c r="AE7280" s="417" t="s">
        <v>20382</v>
      </c>
      <c r="AF7280" s="416" t="s">
        <v>20383</v>
      </c>
    </row>
    <row r="7281" spans="31:32">
      <c r="AE7281" s="417" t="s">
        <v>20384</v>
      </c>
      <c r="AF7281" s="416" t="s">
        <v>20385</v>
      </c>
    </row>
    <row r="7282" spans="31:32">
      <c r="AE7282" s="417" t="s">
        <v>20386</v>
      </c>
      <c r="AF7282" s="416" t="s">
        <v>20387</v>
      </c>
    </row>
    <row r="7283" spans="31:32">
      <c r="AE7283" s="417" t="s">
        <v>20388</v>
      </c>
      <c r="AF7283" s="416" t="s">
        <v>20389</v>
      </c>
    </row>
    <row r="7284" spans="31:32">
      <c r="AE7284" s="417" t="s">
        <v>20390</v>
      </c>
      <c r="AF7284" s="416" t="s">
        <v>20391</v>
      </c>
    </row>
    <row r="7285" spans="31:32">
      <c r="AE7285" s="417" t="s">
        <v>20392</v>
      </c>
      <c r="AF7285" s="416" t="s">
        <v>20393</v>
      </c>
    </row>
    <row r="7286" spans="31:32">
      <c r="AE7286" s="417" t="s">
        <v>20394</v>
      </c>
      <c r="AF7286" s="416" t="s">
        <v>20395</v>
      </c>
    </row>
    <row r="7287" spans="31:32">
      <c r="AE7287" s="417" t="s">
        <v>20396</v>
      </c>
      <c r="AF7287" s="416" t="s">
        <v>20397</v>
      </c>
    </row>
    <row r="7288" spans="31:32">
      <c r="AE7288" s="417" t="s">
        <v>20398</v>
      </c>
      <c r="AF7288" s="416" t="s">
        <v>20399</v>
      </c>
    </row>
    <row r="7289" spans="31:32">
      <c r="AE7289" s="417" t="s">
        <v>20400</v>
      </c>
      <c r="AF7289" s="416" t="s">
        <v>20401</v>
      </c>
    </row>
    <row r="7290" spans="31:32">
      <c r="AE7290" s="417" t="s">
        <v>20402</v>
      </c>
      <c r="AF7290" s="416" t="s">
        <v>20403</v>
      </c>
    </row>
    <row r="7291" spans="31:32">
      <c r="AE7291" s="417" t="s">
        <v>20404</v>
      </c>
      <c r="AF7291" s="416" t="s">
        <v>20405</v>
      </c>
    </row>
    <row r="7292" spans="31:32">
      <c r="AE7292" s="417" t="s">
        <v>20406</v>
      </c>
      <c r="AF7292" s="416" t="s">
        <v>20407</v>
      </c>
    </row>
    <row r="7293" spans="31:32">
      <c r="AE7293" s="417" t="s">
        <v>20408</v>
      </c>
      <c r="AF7293" s="416" t="s">
        <v>20409</v>
      </c>
    </row>
    <row r="7294" spans="31:32">
      <c r="AE7294" s="417" t="s">
        <v>20410</v>
      </c>
      <c r="AF7294" s="416" t="s">
        <v>20411</v>
      </c>
    </row>
    <row r="7295" spans="31:32">
      <c r="AE7295" s="417" t="s">
        <v>20412</v>
      </c>
      <c r="AF7295" s="416" t="s">
        <v>20413</v>
      </c>
    </row>
    <row r="7296" spans="31:32">
      <c r="AE7296" s="417" t="s">
        <v>20414</v>
      </c>
      <c r="AF7296" s="416" t="s">
        <v>20415</v>
      </c>
    </row>
    <row r="7297" spans="31:32">
      <c r="AE7297" s="417" t="s">
        <v>20416</v>
      </c>
      <c r="AF7297" s="416" t="s">
        <v>20417</v>
      </c>
    </row>
    <row r="7298" spans="31:32">
      <c r="AE7298" s="417" t="s">
        <v>20418</v>
      </c>
      <c r="AF7298" s="416" t="s">
        <v>20419</v>
      </c>
    </row>
    <row r="7299" spans="31:32">
      <c r="AE7299" s="417" t="s">
        <v>20420</v>
      </c>
      <c r="AF7299" s="416" t="s">
        <v>20421</v>
      </c>
    </row>
    <row r="7300" spans="31:32">
      <c r="AE7300" s="417" t="s">
        <v>20422</v>
      </c>
      <c r="AF7300" s="416" t="s">
        <v>20423</v>
      </c>
    </row>
    <row r="7301" spans="31:32">
      <c r="AE7301" s="417" t="s">
        <v>20424</v>
      </c>
      <c r="AF7301" s="416" t="s">
        <v>20425</v>
      </c>
    </row>
    <row r="7302" spans="31:32">
      <c r="AE7302" s="417" t="s">
        <v>20426</v>
      </c>
      <c r="AF7302" s="416" t="s">
        <v>20427</v>
      </c>
    </row>
    <row r="7303" spans="31:32">
      <c r="AE7303" s="417" t="s">
        <v>20428</v>
      </c>
      <c r="AF7303" s="416" t="s">
        <v>20429</v>
      </c>
    </row>
    <row r="7304" spans="31:32">
      <c r="AE7304" s="417" t="s">
        <v>20430</v>
      </c>
      <c r="AF7304" s="416" t="s">
        <v>20431</v>
      </c>
    </row>
    <row r="7305" spans="31:32">
      <c r="AE7305" s="417" t="s">
        <v>20432</v>
      </c>
      <c r="AF7305" s="416" t="s">
        <v>20433</v>
      </c>
    </row>
    <row r="7306" spans="31:32">
      <c r="AE7306" s="417" t="s">
        <v>20434</v>
      </c>
      <c r="AF7306" s="416" t="s">
        <v>20435</v>
      </c>
    </row>
    <row r="7307" spans="31:32">
      <c r="AE7307" s="417" t="s">
        <v>20436</v>
      </c>
      <c r="AF7307" s="416" t="s">
        <v>20437</v>
      </c>
    </row>
    <row r="7308" spans="31:32">
      <c r="AE7308" s="417" t="s">
        <v>20438</v>
      </c>
      <c r="AF7308" s="416" t="s">
        <v>20439</v>
      </c>
    </row>
    <row r="7309" spans="31:32">
      <c r="AE7309" s="417" t="s">
        <v>20440</v>
      </c>
      <c r="AF7309" s="416" t="s">
        <v>20441</v>
      </c>
    </row>
    <row r="7310" spans="31:32">
      <c r="AE7310" s="417" t="s">
        <v>20442</v>
      </c>
      <c r="AF7310" s="416" t="s">
        <v>20443</v>
      </c>
    </row>
    <row r="7311" spans="31:32">
      <c r="AE7311" s="417" t="s">
        <v>20444</v>
      </c>
      <c r="AF7311" s="416" t="s">
        <v>19783</v>
      </c>
    </row>
    <row r="7312" spans="31:32">
      <c r="AE7312" s="417" t="s">
        <v>20445</v>
      </c>
      <c r="AF7312" s="416" t="s">
        <v>20446</v>
      </c>
    </row>
    <row r="7313" spans="31:32">
      <c r="AE7313" s="417" t="s">
        <v>20447</v>
      </c>
      <c r="AF7313" s="416" t="s">
        <v>20448</v>
      </c>
    </row>
    <row r="7314" spans="31:32">
      <c r="AE7314" s="417" t="s">
        <v>20449</v>
      </c>
      <c r="AF7314" s="416" t="s">
        <v>20450</v>
      </c>
    </row>
    <row r="7315" spans="31:32">
      <c r="AE7315" s="417" t="s">
        <v>20451</v>
      </c>
      <c r="AF7315" s="416" t="s">
        <v>20452</v>
      </c>
    </row>
    <row r="7316" spans="31:32">
      <c r="AE7316" s="417" t="s">
        <v>20453</v>
      </c>
      <c r="AF7316" s="416" t="s">
        <v>20454</v>
      </c>
    </row>
    <row r="7317" spans="31:32">
      <c r="AE7317" s="417" t="s">
        <v>20455</v>
      </c>
      <c r="AF7317" s="416" t="s">
        <v>20456</v>
      </c>
    </row>
    <row r="7318" spans="31:32">
      <c r="AE7318" s="417" t="s">
        <v>20457</v>
      </c>
      <c r="AF7318" s="416" t="s">
        <v>20458</v>
      </c>
    </row>
    <row r="7319" spans="31:32">
      <c r="AE7319" s="417" t="s">
        <v>20459</v>
      </c>
      <c r="AF7319" s="416" t="s">
        <v>20460</v>
      </c>
    </row>
    <row r="7320" spans="31:32">
      <c r="AE7320" s="417" t="s">
        <v>20461</v>
      </c>
      <c r="AF7320" s="416" t="s">
        <v>20462</v>
      </c>
    </row>
    <row r="7321" spans="31:32">
      <c r="AE7321" s="417" t="s">
        <v>20463</v>
      </c>
      <c r="AF7321" s="416" t="s">
        <v>20464</v>
      </c>
    </row>
    <row r="7322" spans="31:32">
      <c r="AE7322" s="417" t="s">
        <v>20465</v>
      </c>
      <c r="AF7322" s="416" t="s">
        <v>20466</v>
      </c>
    </row>
    <row r="7323" spans="31:32">
      <c r="AE7323" s="417" t="s">
        <v>20467</v>
      </c>
      <c r="AF7323" s="416" t="s">
        <v>20468</v>
      </c>
    </row>
    <row r="7324" spans="31:32">
      <c r="AE7324" s="417" t="s">
        <v>20469</v>
      </c>
      <c r="AF7324" s="416" t="s">
        <v>20470</v>
      </c>
    </row>
    <row r="7325" spans="31:32">
      <c r="AE7325" s="417" t="s">
        <v>20471</v>
      </c>
      <c r="AF7325" s="416" t="s">
        <v>20472</v>
      </c>
    </row>
    <row r="7326" spans="31:32">
      <c r="AE7326" s="417" t="s">
        <v>20473</v>
      </c>
      <c r="AF7326" s="416" t="s">
        <v>20474</v>
      </c>
    </row>
    <row r="7327" spans="31:32">
      <c r="AE7327" s="417" t="s">
        <v>20475</v>
      </c>
      <c r="AF7327" s="416" t="s">
        <v>20476</v>
      </c>
    </row>
    <row r="7328" spans="31:32">
      <c r="AE7328" s="417" t="s">
        <v>20477</v>
      </c>
      <c r="AF7328" s="416" t="s">
        <v>20478</v>
      </c>
    </row>
    <row r="7329" spans="31:32">
      <c r="AE7329" s="417" t="s">
        <v>20479</v>
      </c>
      <c r="AF7329" s="416" t="s">
        <v>20480</v>
      </c>
    </row>
    <row r="7330" spans="31:32">
      <c r="AE7330" s="417" t="s">
        <v>20481</v>
      </c>
      <c r="AF7330" s="416" t="s">
        <v>20482</v>
      </c>
    </row>
    <row r="7331" spans="31:32">
      <c r="AE7331" s="417" t="s">
        <v>20483</v>
      </c>
      <c r="AF7331" s="416" t="s">
        <v>20484</v>
      </c>
    </row>
    <row r="7332" spans="31:32">
      <c r="AE7332" s="417" t="s">
        <v>20485</v>
      </c>
      <c r="AF7332" s="416" t="s">
        <v>20486</v>
      </c>
    </row>
    <row r="7333" spans="31:32">
      <c r="AE7333" s="417" t="s">
        <v>20487</v>
      </c>
      <c r="AF7333" s="416" t="s">
        <v>20488</v>
      </c>
    </row>
    <row r="7334" spans="31:32">
      <c r="AE7334" s="417" t="s">
        <v>20489</v>
      </c>
      <c r="AF7334" s="416" t="s">
        <v>20490</v>
      </c>
    </row>
    <row r="7335" spans="31:32">
      <c r="AE7335" s="417" t="s">
        <v>20491</v>
      </c>
      <c r="AF7335" s="416" t="s">
        <v>20492</v>
      </c>
    </row>
    <row r="7336" spans="31:32">
      <c r="AE7336" s="417" t="s">
        <v>20493</v>
      </c>
      <c r="AF7336" s="416" t="s">
        <v>20494</v>
      </c>
    </row>
    <row r="7337" spans="31:32">
      <c r="AE7337" s="417" t="s">
        <v>20495</v>
      </c>
      <c r="AF7337" s="416" t="s">
        <v>20496</v>
      </c>
    </row>
    <row r="7338" spans="31:32">
      <c r="AE7338" s="417" t="s">
        <v>20497</v>
      </c>
      <c r="AF7338" s="416" t="s">
        <v>20498</v>
      </c>
    </row>
    <row r="7339" spans="31:32">
      <c r="AE7339" s="417" t="s">
        <v>20499</v>
      </c>
      <c r="AF7339" s="416" t="s">
        <v>20500</v>
      </c>
    </row>
    <row r="7340" spans="31:32">
      <c r="AE7340" s="417" t="s">
        <v>20501</v>
      </c>
      <c r="AF7340" s="416" t="s">
        <v>20502</v>
      </c>
    </row>
    <row r="7341" spans="31:32">
      <c r="AE7341" s="417" t="s">
        <v>20503</v>
      </c>
      <c r="AF7341" s="416" t="s">
        <v>20504</v>
      </c>
    </row>
    <row r="7342" spans="31:32">
      <c r="AE7342" s="417" t="s">
        <v>20505</v>
      </c>
      <c r="AF7342" s="416" t="s">
        <v>20506</v>
      </c>
    </row>
    <row r="7343" spans="31:32">
      <c r="AE7343" s="417" t="s">
        <v>20507</v>
      </c>
      <c r="AF7343" s="416" t="s">
        <v>20508</v>
      </c>
    </row>
    <row r="7344" spans="31:32">
      <c r="AE7344" s="417" t="s">
        <v>20509</v>
      </c>
      <c r="AF7344" s="416" t="s">
        <v>20510</v>
      </c>
    </row>
    <row r="7345" spans="31:32">
      <c r="AE7345" s="417" t="s">
        <v>20511</v>
      </c>
      <c r="AF7345" s="416" t="s">
        <v>20512</v>
      </c>
    </row>
    <row r="7346" spans="31:32">
      <c r="AE7346" s="417" t="s">
        <v>20513</v>
      </c>
      <c r="AF7346" s="416" t="s">
        <v>20514</v>
      </c>
    </row>
    <row r="7347" spans="31:32">
      <c r="AE7347" s="417" t="s">
        <v>20515</v>
      </c>
      <c r="AF7347" s="416" t="s">
        <v>20516</v>
      </c>
    </row>
    <row r="7348" spans="31:32">
      <c r="AE7348" s="417" t="s">
        <v>20517</v>
      </c>
      <c r="AF7348" s="416" t="s">
        <v>20518</v>
      </c>
    </row>
    <row r="7349" spans="31:32">
      <c r="AE7349" s="417" t="s">
        <v>20519</v>
      </c>
      <c r="AF7349" s="416" t="s">
        <v>20520</v>
      </c>
    </row>
    <row r="7350" spans="31:32">
      <c r="AE7350" s="417" t="s">
        <v>20521</v>
      </c>
      <c r="AF7350" s="416" t="s">
        <v>20522</v>
      </c>
    </row>
    <row r="7351" spans="31:32">
      <c r="AE7351" s="417" t="s">
        <v>20523</v>
      </c>
      <c r="AF7351" s="416" t="s">
        <v>20524</v>
      </c>
    </row>
    <row r="7352" spans="31:32">
      <c r="AE7352" s="417" t="s">
        <v>20525</v>
      </c>
      <c r="AF7352" s="416" t="s">
        <v>20526</v>
      </c>
    </row>
    <row r="7353" spans="31:32">
      <c r="AE7353" s="417" t="s">
        <v>20527</v>
      </c>
      <c r="AF7353" s="416" t="s">
        <v>20528</v>
      </c>
    </row>
    <row r="7354" spans="31:32">
      <c r="AE7354" s="417" t="s">
        <v>20529</v>
      </c>
      <c r="AF7354" s="416" t="s">
        <v>20530</v>
      </c>
    </row>
    <row r="7355" spans="31:32">
      <c r="AE7355" s="417" t="s">
        <v>20531</v>
      </c>
      <c r="AF7355" s="416" t="s">
        <v>20532</v>
      </c>
    </row>
    <row r="7356" spans="31:32">
      <c r="AE7356" s="417" t="s">
        <v>20533</v>
      </c>
      <c r="AF7356" s="416" t="s">
        <v>20534</v>
      </c>
    </row>
    <row r="7357" spans="31:32">
      <c r="AE7357" s="417" t="s">
        <v>20535</v>
      </c>
      <c r="AF7357" s="416" t="s">
        <v>20536</v>
      </c>
    </row>
    <row r="7358" spans="31:32">
      <c r="AE7358" s="417" t="s">
        <v>20537</v>
      </c>
      <c r="AF7358" s="416" t="s">
        <v>20538</v>
      </c>
    </row>
    <row r="7359" spans="31:32">
      <c r="AE7359" s="417" t="s">
        <v>20539</v>
      </c>
      <c r="AF7359" s="416" t="s">
        <v>20540</v>
      </c>
    </row>
    <row r="7360" spans="31:32">
      <c r="AE7360" s="417" t="s">
        <v>20541</v>
      </c>
      <c r="AF7360" s="416" t="s">
        <v>20542</v>
      </c>
    </row>
    <row r="7361" spans="31:32">
      <c r="AE7361" s="417" t="s">
        <v>20543</v>
      </c>
      <c r="AF7361" s="416" t="s">
        <v>20544</v>
      </c>
    </row>
    <row r="7362" spans="31:32">
      <c r="AE7362" s="417" t="s">
        <v>20545</v>
      </c>
      <c r="AF7362" s="416" t="s">
        <v>20546</v>
      </c>
    </row>
    <row r="7363" spans="31:32">
      <c r="AE7363" s="417" t="s">
        <v>20547</v>
      </c>
      <c r="AF7363" s="416" t="s">
        <v>20548</v>
      </c>
    </row>
    <row r="7364" spans="31:32">
      <c r="AE7364" s="417" t="s">
        <v>20549</v>
      </c>
      <c r="AF7364" s="416" t="s">
        <v>20550</v>
      </c>
    </row>
    <row r="7365" spans="31:32">
      <c r="AE7365" s="417" t="s">
        <v>20551</v>
      </c>
      <c r="AF7365" s="416" t="s">
        <v>20552</v>
      </c>
    </row>
    <row r="7366" spans="31:32">
      <c r="AE7366" s="417" t="s">
        <v>20553</v>
      </c>
      <c r="AF7366" s="416" t="s">
        <v>20554</v>
      </c>
    </row>
    <row r="7367" spans="31:32">
      <c r="AE7367" s="417" t="s">
        <v>20555</v>
      </c>
      <c r="AF7367" s="416" t="s">
        <v>20556</v>
      </c>
    </row>
    <row r="7368" spans="31:32">
      <c r="AE7368" s="417" t="s">
        <v>20557</v>
      </c>
      <c r="AF7368" s="416" t="s">
        <v>20558</v>
      </c>
    </row>
    <row r="7369" spans="31:32">
      <c r="AE7369" s="417" t="s">
        <v>20559</v>
      </c>
      <c r="AF7369" s="416" t="s">
        <v>20560</v>
      </c>
    </row>
    <row r="7370" spans="31:32">
      <c r="AE7370" s="417" t="s">
        <v>20561</v>
      </c>
      <c r="AF7370" s="416" t="s">
        <v>20562</v>
      </c>
    </row>
    <row r="7371" spans="31:32">
      <c r="AE7371" s="417" t="s">
        <v>20563</v>
      </c>
      <c r="AF7371" s="416" t="s">
        <v>20564</v>
      </c>
    </row>
    <row r="7372" spans="31:32">
      <c r="AE7372" s="417" t="s">
        <v>20565</v>
      </c>
      <c r="AF7372" s="416" t="s">
        <v>20566</v>
      </c>
    </row>
    <row r="7373" spans="31:32">
      <c r="AE7373" s="417" t="s">
        <v>20567</v>
      </c>
      <c r="AF7373" s="416" t="s">
        <v>20568</v>
      </c>
    </row>
    <row r="7374" spans="31:32">
      <c r="AE7374" s="417" t="s">
        <v>20569</v>
      </c>
      <c r="AF7374" s="416" t="s">
        <v>20570</v>
      </c>
    </row>
    <row r="7375" spans="31:32">
      <c r="AE7375" s="417" t="s">
        <v>20571</v>
      </c>
      <c r="AF7375" s="416" t="s">
        <v>19227</v>
      </c>
    </row>
    <row r="7376" spans="31:32">
      <c r="AE7376" s="417" t="s">
        <v>20572</v>
      </c>
      <c r="AF7376" s="416" t="s">
        <v>20573</v>
      </c>
    </row>
    <row r="7377" spans="31:32">
      <c r="AE7377" s="417" t="s">
        <v>20574</v>
      </c>
      <c r="AF7377" s="416" t="s">
        <v>20575</v>
      </c>
    </row>
    <row r="7378" spans="31:32">
      <c r="AE7378" s="417" t="s">
        <v>20576</v>
      </c>
      <c r="AF7378" s="416" t="s">
        <v>20577</v>
      </c>
    </row>
    <row r="7379" spans="31:32">
      <c r="AE7379" s="417" t="s">
        <v>20578</v>
      </c>
      <c r="AF7379" s="416" t="s">
        <v>20579</v>
      </c>
    </row>
    <row r="7380" spans="31:32">
      <c r="AE7380" s="417" t="s">
        <v>20580</v>
      </c>
      <c r="AF7380" s="416" t="s">
        <v>20581</v>
      </c>
    </row>
    <row r="7381" spans="31:32">
      <c r="AE7381" s="417" t="s">
        <v>20582</v>
      </c>
      <c r="AF7381" s="416" t="s">
        <v>20583</v>
      </c>
    </row>
    <row r="7382" spans="31:32">
      <c r="AE7382" s="417" t="s">
        <v>20584</v>
      </c>
      <c r="AF7382" s="416" t="s">
        <v>20585</v>
      </c>
    </row>
    <row r="7383" spans="31:32">
      <c r="AE7383" s="417" t="s">
        <v>20586</v>
      </c>
      <c r="AF7383" s="416" t="s">
        <v>20587</v>
      </c>
    </row>
    <row r="7384" spans="31:32">
      <c r="AE7384" s="417" t="s">
        <v>20588</v>
      </c>
      <c r="AF7384" s="416" t="s">
        <v>20589</v>
      </c>
    </row>
    <row r="7385" spans="31:32">
      <c r="AE7385" s="417" t="s">
        <v>20590</v>
      </c>
      <c r="AF7385" s="416" t="s">
        <v>20591</v>
      </c>
    </row>
    <row r="7386" spans="31:32">
      <c r="AE7386" s="417" t="s">
        <v>20592</v>
      </c>
      <c r="AF7386" s="416" t="s">
        <v>20593</v>
      </c>
    </row>
    <row r="7387" spans="31:32">
      <c r="AE7387" s="417" t="s">
        <v>20594</v>
      </c>
      <c r="AF7387" s="416" t="s">
        <v>20595</v>
      </c>
    </row>
    <row r="7388" spans="31:32">
      <c r="AE7388" s="417" t="s">
        <v>20596</v>
      </c>
      <c r="AF7388" s="416" t="s">
        <v>20597</v>
      </c>
    </row>
    <row r="7389" spans="31:32">
      <c r="AE7389" s="417" t="s">
        <v>20598</v>
      </c>
      <c r="AF7389" s="416" t="s">
        <v>20599</v>
      </c>
    </row>
    <row r="7390" spans="31:32">
      <c r="AE7390" s="417" t="s">
        <v>20600</v>
      </c>
      <c r="AF7390" s="416" t="s">
        <v>20601</v>
      </c>
    </row>
    <row r="7391" spans="31:32">
      <c r="AE7391" s="417" t="s">
        <v>20602</v>
      </c>
      <c r="AF7391" s="416" t="s">
        <v>20603</v>
      </c>
    </row>
    <row r="7392" spans="31:32">
      <c r="AE7392" s="417" t="s">
        <v>20604</v>
      </c>
      <c r="AF7392" s="416" t="s">
        <v>20605</v>
      </c>
    </row>
    <row r="7393" spans="31:32">
      <c r="AE7393" s="417" t="s">
        <v>20606</v>
      </c>
      <c r="AF7393" s="416" t="s">
        <v>20607</v>
      </c>
    </row>
    <row r="7394" spans="31:32">
      <c r="AE7394" s="417" t="s">
        <v>20608</v>
      </c>
      <c r="AF7394" s="416" t="s">
        <v>20609</v>
      </c>
    </row>
    <row r="7395" spans="31:32">
      <c r="AE7395" s="417" t="s">
        <v>20610</v>
      </c>
      <c r="AF7395" s="416" t="s">
        <v>20611</v>
      </c>
    </row>
    <row r="7396" spans="31:32">
      <c r="AE7396" s="417" t="s">
        <v>20612</v>
      </c>
      <c r="AF7396" s="416" t="s">
        <v>20613</v>
      </c>
    </row>
    <row r="7397" spans="31:32">
      <c r="AE7397" s="417" t="s">
        <v>20614</v>
      </c>
      <c r="AF7397" s="416" t="s">
        <v>20615</v>
      </c>
    </row>
    <row r="7398" spans="31:32">
      <c r="AE7398" s="417" t="s">
        <v>20616</v>
      </c>
      <c r="AF7398" s="416" t="s">
        <v>20617</v>
      </c>
    </row>
    <row r="7399" spans="31:32">
      <c r="AE7399" s="417" t="s">
        <v>20618</v>
      </c>
      <c r="AF7399" s="416" t="s">
        <v>20619</v>
      </c>
    </row>
    <row r="7400" spans="31:32">
      <c r="AE7400" s="417" t="s">
        <v>20620</v>
      </c>
      <c r="AF7400" s="416" t="s">
        <v>20621</v>
      </c>
    </row>
    <row r="7401" spans="31:32">
      <c r="AE7401" s="417" t="s">
        <v>20622</v>
      </c>
      <c r="AF7401" s="416" t="s">
        <v>20623</v>
      </c>
    </row>
    <row r="7402" spans="31:32">
      <c r="AE7402" s="417" t="s">
        <v>20624</v>
      </c>
      <c r="AF7402" s="416" t="s">
        <v>20625</v>
      </c>
    </row>
    <row r="7403" spans="31:32">
      <c r="AE7403" s="417" t="s">
        <v>20626</v>
      </c>
      <c r="AF7403" s="416" t="s">
        <v>20627</v>
      </c>
    </row>
    <row r="7404" spans="31:32">
      <c r="AE7404" s="417" t="s">
        <v>20628</v>
      </c>
      <c r="AF7404" s="416" t="s">
        <v>20629</v>
      </c>
    </row>
    <row r="7405" spans="31:32">
      <c r="AE7405" s="417" t="s">
        <v>20630</v>
      </c>
      <c r="AF7405" s="416" t="s">
        <v>20631</v>
      </c>
    </row>
    <row r="7406" spans="31:32">
      <c r="AE7406" s="417" t="s">
        <v>20632</v>
      </c>
      <c r="AF7406" s="416" t="s">
        <v>20633</v>
      </c>
    </row>
    <row r="7407" spans="31:32">
      <c r="AE7407" s="417" t="s">
        <v>20634</v>
      </c>
      <c r="AF7407" s="416" t="s">
        <v>20635</v>
      </c>
    </row>
    <row r="7408" spans="31:32">
      <c r="AE7408" s="417" t="s">
        <v>20636</v>
      </c>
      <c r="AF7408" s="416" t="s">
        <v>20637</v>
      </c>
    </row>
    <row r="7409" spans="31:32">
      <c r="AE7409" s="417" t="s">
        <v>20638</v>
      </c>
      <c r="AF7409" s="416" t="s">
        <v>20639</v>
      </c>
    </row>
    <row r="7410" spans="31:32">
      <c r="AE7410" s="417" t="s">
        <v>20640</v>
      </c>
      <c r="AF7410" s="416" t="s">
        <v>20641</v>
      </c>
    </row>
    <row r="7411" spans="31:32">
      <c r="AE7411" s="417" t="s">
        <v>20642</v>
      </c>
      <c r="AF7411" s="416" t="s">
        <v>20643</v>
      </c>
    </row>
    <row r="7412" spans="31:32">
      <c r="AE7412" s="417" t="s">
        <v>20644</v>
      </c>
      <c r="AF7412" s="416" t="s">
        <v>20645</v>
      </c>
    </row>
    <row r="7413" spans="31:32">
      <c r="AE7413" s="417" t="s">
        <v>20646</v>
      </c>
      <c r="AF7413" s="416" t="s">
        <v>20647</v>
      </c>
    </row>
    <row r="7414" spans="31:32">
      <c r="AE7414" s="417" t="s">
        <v>20648</v>
      </c>
      <c r="AF7414" s="416" t="s">
        <v>20649</v>
      </c>
    </row>
    <row r="7415" spans="31:32">
      <c r="AE7415" s="417" t="s">
        <v>20650</v>
      </c>
      <c r="AF7415" s="416" t="s">
        <v>20651</v>
      </c>
    </row>
    <row r="7416" spans="31:32">
      <c r="AE7416" s="417" t="s">
        <v>20652</v>
      </c>
      <c r="AF7416" s="416" t="s">
        <v>20653</v>
      </c>
    </row>
    <row r="7417" spans="31:32">
      <c r="AE7417" s="417" t="s">
        <v>20654</v>
      </c>
      <c r="AF7417" s="416" t="s">
        <v>20655</v>
      </c>
    </row>
    <row r="7418" spans="31:32">
      <c r="AE7418" s="417" t="s">
        <v>20656</v>
      </c>
      <c r="AF7418" s="416" t="s">
        <v>20657</v>
      </c>
    </row>
    <row r="7419" spans="31:32">
      <c r="AE7419" s="417" t="s">
        <v>20658</v>
      </c>
      <c r="AF7419" s="416" t="s">
        <v>20659</v>
      </c>
    </row>
    <row r="7420" spans="31:32">
      <c r="AE7420" s="417" t="s">
        <v>20660</v>
      </c>
      <c r="AF7420" s="416" t="s">
        <v>20661</v>
      </c>
    </row>
    <row r="7421" spans="31:32">
      <c r="AE7421" s="417" t="s">
        <v>20662</v>
      </c>
      <c r="AF7421" s="416" t="s">
        <v>20663</v>
      </c>
    </row>
    <row r="7422" spans="31:32">
      <c r="AE7422" s="417" t="s">
        <v>20664</v>
      </c>
      <c r="AF7422" s="416" t="s">
        <v>20665</v>
      </c>
    </row>
    <row r="7423" spans="31:32">
      <c r="AE7423" s="417" t="s">
        <v>20666</v>
      </c>
      <c r="AF7423" s="416" t="s">
        <v>20667</v>
      </c>
    </row>
    <row r="7424" spans="31:32">
      <c r="AE7424" s="417" t="s">
        <v>20668</v>
      </c>
      <c r="AF7424" s="416" t="s">
        <v>20669</v>
      </c>
    </row>
    <row r="7425" spans="31:32">
      <c r="AE7425" s="417" t="s">
        <v>20670</v>
      </c>
      <c r="AF7425" s="416" t="s">
        <v>20671</v>
      </c>
    </row>
    <row r="7426" spans="31:32">
      <c r="AE7426" s="417" t="s">
        <v>20672</v>
      </c>
      <c r="AF7426" s="416" t="s">
        <v>20673</v>
      </c>
    </row>
    <row r="7427" spans="31:32">
      <c r="AE7427" s="417" t="s">
        <v>20674</v>
      </c>
      <c r="AF7427" s="416" t="s">
        <v>20675</v>
      </c>
    </row>
    <row r="7428" spans="31:32">
      <c r="AE7428" s="417" t="s">
        <v>20676</v>
      </c>
      <c r="AF7428" s="416" t="s">
        <v>20675</v>
      </c>
    </row>
    <row r="7429" spans="31:32">
      <c r="AE7429" s="417" t="s">
        <v>20677</v>
      </c>
      <c r="AF7429" s="416" t="s">
        <v>20678</v>
      </c>
    </row>
    <row r="7430" spans="31:32">
      <c r="AE7430" s="417" t="s">
        <v>20679</v>
      </c>
      <c r="AF7430" s="416" t="s">
        <v>20680</v>
      </c>
    </row>
    <row r="7431" spans="31:32">
      <c r="AE7431" s="417" t="s">
        <v>20681</v>
      </c>
      <c r="AF7431" s="416" t="s">
        <v>20682</v>
      </c>
    </row>
    <row r="7432" spans="31:32">
      <c r="AE7432" s="417" t="s">
        <v>20683</v>
      </c>
      <c r="AF7432" s="416" t="s">
        <v>20684</v>
      </c>
    </row>
    <row r="7433" spans="31:32">
      <c r="AE7433" s="417" t="s">
        <v>20685</v>
      </c>
      <c r="AF7433" s="416" t="s">
        <v>20686</v>
      </c>
    </row>
    <row r="7434" spans="31:32">
      <c r="AE7434" s="417" t="s">
        <v>20687</v>
      </c>
      <c r="AF7434" s="416" t="s">
        <v>20688</v>
      </c>
    </row>
    <row r="7435" spans="31:32">
      <c r="AE7435" s="417" t="s">
        <v>20689</v>
      </c>
      <c r="AF7435" s="416" t="s">
        <v>20690</v>
      </c>
    </row>
    <row r="7436" spans="31:32">
      <c r="AE7436" s="417" t="s">
        <v>20691</v>
      </c>
      <c r="AF7436" s="416" t="s">
        <v>20692</v>
      </c>
    </row>
    <row r="7437" spans="31:32">
      <c r="AE7437" s="417" t="s">
        <v>20693</v>
      </c>
      <c r="AF7437" s="416" t="s">
        <v>20694</v>
      </c>
    </row>
    <row r="7438" spans="31:32">
      <c r="AE7438" s="417" t="s">
        <v>20695</v>
      </c>
      <c r="AF7438" s="416" t="s">
        <v>20696</v>
      </c>
    </row>
    <row r="7439" spans="31:32">
      <c r="AE7439" s="417" t="s">
        <v>20697</v>
      </c>
      <c r="AF7439" s="416" t="s">
        <v>20698</v>
      </c>
    </row>
    <row r="7440" spans="31:32">
      <c r="AE7440" s="417" t="s">
        <v>20699</v>
      </c>
      <c r="AF7440" s="416" t="s">
        <v>20700</v>
      </c>
    </row>
    <row r="7441" spans="31:32">
      <c r="AE7441" s="417" t="s">
        <v>20701</v>
      </c>
      <c r="AF7441" s="416" t="s">
        <v>20702</v>
      </c>
    </row>
    <row r="7442" spans="31:32">
      <c r="AE7442" s="417" t="s">
        <v>20703</v>
      </c>
      <c r="AF7442" s="416" t="s">
        <v>20704</v>
      </c>
    </row>
    <row r="7443" spans="31:32">
      <c r="AE7443" s="417" t="s">
        <v>20705</v>
      </c>
      <c r="AF7443" s="416" t="s">
        <v>20706</v>
      </c>
    </row>
    <row r="7444" spans="31:32">
      <c r="AE7444" s="417" t="s">
        <v>20707</v>
      </c>
      <c r="AF7444" s="416" t="s">
        <v>20708</v>
      </c>
    </row>
    <row r="7445" spans="31:32">
      <c r="AE7445" s="417" t="s">
        <v>20709</v>
      </c>
      <c r="AF7445" s="416" t="s">
        <v>20710</v>
      </c>
    </row>
    <row r="7446" spans="31:32">
      <c r="AE7446" s="417" t="s">
        <v>20711</v>
      </c>
      <c r="AF7446" s="416" t="s">
        <v>20712</v>
      </c>
    </row>
    <row r="7447" spans="31:32">
      <c r="AE7447" s="417" t="s">
        <v>20713</v>
      </c>
      <c r="AF7447" s="416" t="s">
        <v>20714</v>
      </c>
    </row>
    <row r="7448" spans="31:32">
      <c r="AE7448" s="417" t="s">
        <v>20715</v>
      </c>
      <c r="AF7448" s="416" t="s">
        <v>20716</v>
      </c>
    </row>
    <row r="7449" spans="31:32">
      <c r="AE7449" s="417" t="s">
        <v>20717</v>
      </c>
      <c r="AF7449" s="416" t="s">
        <v>20718</v>
      </c>
    </row>
    <row r="7450" spans="31:32">
      <c r="AE7450" s="417" t="s">
        <v>20719</v>
      </c>
      <c r="AF7450" s="416" t="s">
        <v>20720</v>
      </c>
    </row>
    <row r="7451" spans="31:32">
      <c r="AE7451" s="417" t="s">
        <v>20721</v>
      </c>
      <c r="AF7451" s="416" t="s">
        <v>20722</v>
      </c>
    </row>
    <row r="7452" spans="31:32">
      <c r="AE7452" s="417" t="s">
        <v>20723</v>
      </c>
      <c r="AF7452" s="416" t="s">
        <v>20724</v>
      </c>
    </row>
    <row r="7453" spans="31:32">
      <c r="AE7453" s="417" t="s">
        <v>20725</v>
      </c>
      <c r="AF7453" s="416" t="s">
        <v>20726</v>
      </c>
    </row>
    <row r="7454" spans="31:32">
      <c r="AE7454" s="417" t="s">
        <v>20727</v>
      </c>
      <c r="AF7454" s="416" t="s">
        <v>20728</v>
      </c>
    </row>
    <row r="7455" spans="31:32">
      <c r="AE7455" s="417" t="s">
        <v>20729</v>
      </c>
      <c r="AF7455" s="416" t="s">
        <v>20730</v>
      </c>
    </row>
    <row r="7456" spans="31:32">
      <c r="AE7456" s="417" t="s">
        <v>20731</v>
      </c>
      <c r="AF7456" s="416" t="s">
        <v>20732</v>
      </c>
    </row>
    <row r="7457" spans="31:32">
      <c r="AE7457" s="417" t="s">
        <v>20733</v>
      </c>
      <c r="AF7457" s="416" t="s">
        <v>20734</v>
      </c>
    </row>
    <row r="7458" spans="31:32">
      <c r="AE7458" s="417" t="s">
        <v>20735</v>
      </c>
      <c r="AF7458" s="416" t="s">
        <v>20736</v>
      </c>
    </row>
    <row r="7459" spans="31:32">
      <c r="AE7459" s="417" t="s">
        <v>20737</v>
      </c>
      <c r="AF7459" s="416" t="s">
        <v>20738</v>
      </c>
    </row>
    <row r="7460" spans="31:32">
      <c r="AE7460" s="417" t="s">
        <v>20739</v>
      </c>
      <c r="AF7460" s="416" t="s">
        <v>20740</v>
      </c>
    </row>
    <row r="7461" spans="31:32">
      <c r="AE7461" s="417" t="s">
        <v>20741</v>
      </c>
      <c r="AF7461" s="416" t="s">
        <v>20742</v>
      </c>
    </row>
    <row r="7462" spans="31:32">
      <c r="AE7462" s="417" t="s">
        <v>20743</v>
      </c>
      <c r="AF7462" s="416" t="s">
        <v>20744</v>
      </c>
    </row>
    <row r="7463" spans="31:32">
      <c r="AE7463" s="417" t="s">
        <v>20745</v>
      </c>
      <c r="AF7463" s="416" t="s">
        <v>20746</v>
      </c>
    </row>
    <row r="7464" spans="31:32">
      <c r="AE7464" s="417" t="s">
        <v>20747</v>
      </c>
      <c r="AF7464" s="416" t="s">
        <v>20748</v>
      </c>
    </row>
    <row r="7465" spans="31:32">
      <c r="AE7465" s="417" t="s">
        <v>20749</v>
      </c>
      <c r="AF7465" s="416" t="s">
        <v>20750</v>
      </c>
    </row>
    <row r="7466" spans="31:32">
      <c r="AE7466" s="417" t="s">
        <v>20751</v>
      </c>
      <c r="AF7466" s="416" t="s">
        <v>20752</v>
      </c>
    </row>
    <row r="7467" spans="31:32">
      <c r="AE7467" s="417" t="s">
        <v>20753</v>
      </c>
      <c r="AF7467" s="416" t="s">
        <v>20754</v>
      </c>
    </row>
    <row r="7468" spans="31:32">
      <c r="AE7468" s="417" t="s">
        <v>20755</v>
      </c>
      <c r="AF7468" s="416" t="s">
        <v>20756</v>
      </c>
    </row>
    <row r="7469" spans="31:32">
      <c r="AE7469" s="417" t="s">
        <v>20757</v>
      </c>
      <c r="AF7469" s="416" t="s">
        <v>20758</v>
      </c>
    </row>
    <row r="7470" spans="31:32">
      <c r="AE7470" s="417" t="s">
        <v>20759</v>
      </c>
      <c r="AF7470" s="416" t="s">
        <v>20760</v>
      </c>
    </row>
    <row r="7471" spans="31:32">
      <c r="AE7471" s="417" t="s">
        <v>20761</v>
      </c>
      <c r="AF7471" s="416" t="s">
        <v>20762</v>
      </c>
    </row>
    <row r="7472" spans="31:32">
      <c r="AE7472" s="417" t="s">
        <v>20763</v>
      </c>
      <c r="AF7472" s="416" t="s">
        <v>20764</v>
      </c>
    </row>
    <row r="7473" spans="31:32">
      <c r="AE7473" s="417" t="s">
        <v>20765</v>
      </c>
      <c r="AF7473" s="416" t="s">
        <v>20766</v>
      </c>
    </row>
    <row r="7474" spans="31:32">
      <c r="AE7474" s="417" t="s">
        <v>20767</v>
      </c>
      <c r="AF7474" s="416" t="s">
        <v>20768</v>
      </c>
    </row>
    <row r="7475" spans="31:32">
      <c r="AE7475" s="417" t="s">
        <v>20769</v>
      </c>
      <c r="AF7475" s="416" t="s">
        <v>20770</v>
      </c>
    </row>
    <row r="7476" spans="31:32">
      <c r="AE7476" s="417" t="s">
        <v>20771</v>
      </c>
      <c r="AF7476" s="416" t="s">
        <v>20772</v>
      </c>
    </row>
    <row r="7477" spans="31:32">
      <c r="AE7477" s="417" t="s">
        <v>20773</v>
      </c>
      <c r="AF7477" s="416" t="s">
        <v>20774</v>
      </c>
    </row>
    <row r="7478" spans="31:32">
      <c r="AE7478" s="417" t="s">
        <v>20775</v>
      </c>
      <c r="AF7478" s="416" t="s">
        <v>20776</v>
      </c>
    </row>
    <row r="7479" spans="31:32">
      <c r="AE7479" s="417" t="s">
        <v>20777</v>
      </c>
      <c r="AF7479" s="416" t="s">
        <v>20778</v>
      </c>
    </row>
    <row r="7480" spans="31:32">
      <c r="AE7480" s="417" t="s">
        <v>20779</v>
      </c>
      <c r="AF7480" s="416" t="s">
        <v>20780</v>
      </c>
    </row>
    <row r="7481" spans="31:32">
      <c r="AE7481" s="417" t="s">
        <v>20781</v>
      </c>
      <c r="AF7481" s="416" t="s">
        <v>20782</v>
      </c>
    </row>
    <row r="7482" spans="31:32">
      <c r="AE7482" s="417" t="s">
        <v>20783</v>
      </c>
      <c r="AF7482" s="416" t="s">
        <v>20784</v>
      </c>
    </row>
    <row r="7483" spans="31:32">
      <c r="AE7483" s="417" t="s">
        <v>20785</v>
      </c>
      <c r="AF7483" s="416" t="s">
        <v>20786</v>
      </c>
    </row>
    <row r="7484" spans="31:32">
      <c r="AE7484" s="417" t="s">
        <v>20787</v>
      </c>
      <c r="AF7484" s="416" t="s">
        <v>20788</v>
      </c>
    </row>
    <row r="7485" spans="31:32">
      <c r="AE7485" s="417" t="s">
        <v>20789</v>
      </c>
      <c r="AF7485" s="416" t="s">
        <v>20790</v>
      </c>
    </row>
    <row r="7486" spans="31:32">
      <c r="AE7486" s="417" t="s">
        <v>20791</v>
      </c>
      <c r="AF7486" s="416" t="s">
        <v>20792</v>
      </c>
    </row>
    <row r="7487" spans="31:32">
      <c r="AE7487" s="417" t="s">
        <v>20793</v>
      </c>
      <c r="AF7487" s="416" t="s">
        <v>20794</v>
      </c>
    </row>
    <row r="7488" spans="31:32">
      <c r="AE7488" s="417" t="s">
        <v>20795</v>
      </c>
      <c r="AF7488" s="416" t="s">
        <v>20796</v>
      </c>
    </row>
    <row r="7489" spans="31:32">
      <c r="AE7489" s="417" t="s">
        <v>20797</v>
      </c>
      <c r="AF7489" s="416" t="s">
        <v>20798</v>
      </c>
    </row>
    <row r="7490" spans="31:32">
      <c r="AE7490" s="417" t="s">
        <v>20799</v>
      </c>
      <c r="AF7490" s="416" t="s">
        <v>20800</v>
      </c>
    </row>
    <row r="7491" spans="31:32">
      <c r="AE7491" s="417" t="s">
        <v>20801</v>
      </c>
      <c r="AF7491" s="416" t="s">
        <v>20802</v>
      </c>
    </row>
    <row r="7492" spans="31:32">
      <c r="AE7492" s="417" t="s">
        <v>20803</v>
      </c>
      <c r="AF7492" s="416" t="s">
        <v>20804</v>
      </c>
    </row>
    <row r="7493" spans="31:32">
      <c r="AE7493" s="417" t="s">
        <v>20805</v>
      </c>
      <c r="AF7493" s="416" t="s">
        <v>20806</v>
      </c>
    </row>
    <row r="7494" spans="31:32">
      <c r="AE7494" s="417" t="s">
        <v>20807</v>
      </c>
      <c r="AF7494" s="416" t="s">
        <v>20808</v>
      </c>
    </row>
    <row r="7495" spans="31:32">
      <c r="AE7495" s="417" t="s">
        <v>20809</v>
      </c>
      <c r="AF7495" s="416" t="s">
        <v>20810</v>
      </c>
    </row>
    <row r="7496" spans="31:32">
      <c r="AE7496" s="417" t="s">
        <v>20811</v>
      </c>
      <c r="AF7496" s="416" t="s">
        <v>20812</v>
      </c>
    </row>
    <row r="7497" spans="31:32">
      <c r="AE7497" s="417" t="s">
        <v>20813</v>
      </c>
      <c r="AF7497" s="416" t="s">
        <v>20814</v>
      </c>
    </row>
    <row r="7498" spans="31:32">
      <c r="AE7498" s="417" t="s">
        <v>20815</v>
      </c>
      <c r="AF7498" s="416" t="s">
        <v>20816</v>
      </c>
    </row>
    <row r="7499" spans="31:32">
      <c r="AE7499" s="417" t="s">
        <v>20817</v>
      </c>
      <c r="AF7499" s="416" t="s">
        <v>20818</v>
      </c>
    </row>
    <row r="7500" spans="31:32">
      <c r="AE7500" s="417" t="s">
        <v>20819</v>
      </c>
      <c r="AF7500" s="416" t="s">
        <v>20820</v>
      </c>
    </row>
    <row r="7501" spans="31:32">
      <c r="AE7501" s="417" t="s">
        <v>20821</v>
      </c>
      <c r="AF7501" s="416" t="s">
        <v>20822</v>
      </c>
    </row>
    <row r="7502" spans="31:32">
      <c r="AE7502" s="417" t="s">
        <v>20823</v>
      </c>
      <c r="AF7502" s="416" t="s">
        <v>20824</v>
      </c>
    </row>
    <row r="7503" spans="31:32">
      <c r="AE7503" s="417" t="s">
        <v>20825</v>
      </c>
      <c r="AF7503" s="416" t="s">
        <v>20826</v>
      </c>
    </row>
    <row r="7504" spans="31:32">
      <c r="AE7504" s="417" t="s">
        <v>20827</v>
      </c>
      <c r="AF7504" s="416" t="s">
        <v>20828</v>
      </c>
    </row>
    <row r="7505" spans="31:32">
      <c r="AE7505" s="417" t="s">
        <v>20829</v>
      </c>
      <c r="AF7505" s="416" t="s">
        <v>20830</v>
      </c>
    </row>
    <row r="7506" spans="31:32">
      <c r="AE7506" s="417" t="s">
        <v>20831</v>
      </c>
      <c r="AF7506" s="416" t="s">
        <v>20832</v>
      </c>
    </row>
    <row r="7507" spans="31:32">
      <c r="AE7507" s="417" t="s">
        <v>20833</v>
      </c>
      <c r="AF7507" s="416" t="s">
        <v>20834</v>
      </c>
    </row>
    <row r="7508" spans="31:32">
      <c r="AE7508" s="417" t="s">
        <v>20835</v>
      </c>
      <c r="AF7508" s="416" t="s">
        <v>20836</v>
      </c>
    </row>
    <row r="7509" spans="31:32">
      <c r="AE7509" s="417" t="s">
        <v>20837</v>
      </c>
      <c r="AF7509" s="416" t="s">
        <v>20838</v>
      </c>
    </row>
    <row r="7510" spans="31:32">
      <c r="AE7510" s="417" t="s">
        <v>20839</v>
      </c>
      <c r="AF7510" s="416" t="s">
        <v>20840</v>
      </c>
    </row>
    <row r="7511" spans="31:32">
      <c r="AE7511" s="417" t="s">
        <v>20841</v>
      </c>
      <c r="AF7511" s="416" t="s">
        <v>20842</v>
      </c>
    </row>
    <row r="7512" spans="31:32">
      <c r="AE7512" s="417" t="s">
        <v>20843</v>
      </c>
      <c r="AF7512" s="416" t="s">
        <v>20844</v>
      </c>
    </row>
    <row r="7513" spans="31:32">
      <c r="AE7513" s="417" t="s">
        <v>20845</v>
      </c>
      <c r="AF7513" s="416" t="s">
        <v>20846</v>
      </c>
    </row>
    <row r="7514" spans="31:32">
      <c r="AE7514" s="417" t="s">
        <v>20847</v>
      </c>
      <c r="AF7514" s="416" t="s">
        <v>20848</v>
      </c>
    </row>
    <row r="7515" spans="31:32">
      <c r="AE7515" s="417" t="s">
        <v>20849</v>
      </c>
      <c r="AF7515" s="416" t="s">
        <v>20850</v>
      </c>
    </row>
    <row r="7516" spans="31:32">
      <c r="AE7516" s="417" t="s">
        <v>20851</v>
      </c>
      <c r="AF7516" s="416" t="s">
        <v>20852</v>
      </c>
    </row>
    <row r="7517" spans="31:32">
      <c r="AE7517" s="417" t="s">
        <v>20853</v>
      </c>
      <c r="AF7517" s="416" t="s">
        <v>20854</v>
      </c>
    </row>
    <row r="7518" spans="31:32">
      <c r="AE7518" s="417" t="s">
        <v>20855</v>
      </c>
      <c r="AF7518" s="416" t="s">
        <v>20856</v>
      </c>
    </row>
    <row r="7519" spans="31:32">
      <c r="AE7519" s="417" t="s">
        <v>20857</v>
      </c>
      <c r="AF7519" s="416" t="s">
        <v>20858</v>
      </c>
    </row>
    <row r="7520" spans="31:32">
      <c r="AE7520" s="417" t="s">
        <v>20859</v>
      </c>
      <c r="AF7520" s="416" t="s">
        <v>20860</v>
      </c>
    </row>
    <row r="7521" spans="31:32">
      <c r="AE7521" s="417" t="s">
        <v>20861</v>
      </c>
      <c r="AF7521" s="416" t="s">
        <v>20862</v>
      </c>
    </row>
    <row r="7522" spans="31:32">
      <c r="AE7522" s="417" t="s">
        <v>20863</v>
      </c>
      <c r="AF7522" s="416" t="s">
        <v>20864</v>
      </c>
    </row>
    <row r="7523" spans="31:32">
      <c r="AE7523" s="417" t="s">
        <v>20865</v>
      </c>
      <c r="AF7523" s="416" t="s">
        <v>20866</v>
      </c>
    </row>
    <row r="7524" spans="31:32">
      <c r="AE7524" s="417" t="s">
        <v>20867</v>
      </c>
      <c r="AF7524" s="416" t="s">
        <v>20868</v>
      </c>
    </row>
    <row r="7525" spans="31:32">
      <c r="AE7525" s="417" t="s">
        <v>20869</v>
      </c>
      <c r="AF7525" s="416" t="s">
        <v>20870</v>
      </c>
    </row>
    <row r="7526" spans="31:32">
      <c r="AE7526" s="417" t="s">
        <v>20871</v>
      </c>
      <c r="AF7526" s="416" t="s">
        <v>20872</v>
      </c>
    </row>
    <row r="7527" spans="31:32">
      <c r="AE7527" s="417" t="s">
        <v>20873</v>
      </c>
      <c r="AF7527" s="416" t="s">
        <v>20874</v>
      </c>
    </row>
    <row r="7528" spans="31:32">
      <c r="AE7528" s="417" t="s">
        <v>20875</v>
      </c>
      <c r="AF7528" s="416" t="s">
        <v>20876</v>
      </c>
    </row>
    <row r="7529" spans="31:32">
      <c r="AE7529" s="417" t="s">
        <v>20877</v>
      </c>
      <c r="AF7529" s="416" t="s">
        <v>20878</v>
      </c>
    </row>
    <row r="7530" spans="31:32">
      <c r="AE7530" s="417" t="s">
        <v>20879</v>
      </c>
      <c r="AF7530" s="416" t="s">
        <v>20880</v>
      </c>
    </row>
    <row r="7531" spans="31:32">
      <c r="AE7531" s="417" t="s">
        <v>20881</v>
      </c>
      <c r="AF7531" s="416" t="s">
        <v>20882</v>
      </c>
    </row>
    <row r="7532" spans="31:32">
      <c r="AE7532" s="417" t="s">
        <v>20883</v>
      </c>
      <c r="AF7532" s="416" t="s">
        <v>20884</v>
      </c>
    </row>
    <row r="7533" spans="31:32">
      <c r="AE7533" s="417" t="s">
        <v>20885</v>
      </c>
      <c r="AF7533" s="416" t="s">
        <v>20886</v>
      </c>
    </row>
    <row r="7534" spans="31:32">
      <c r="AE7534" s="417" t="s">
        <v>20887</v>
      </c>
      <c r="AF7534" s="416" t="s">
        <v>20888</v>
      </c>
    </row>
    <row r="7535" spans="31:32">
      <c r="AE7535" s="417" t="s">
        <v>20889</v>
      </c>
      <c r="AF7535" s="416" t="s">
        <v>20890</v>
      </c>
    </row>
    <row r="7536" spans="31:32">
      <c r="AE7536" s="417" t="s">
        <v>20891</v>
      </c>
      <c r="AF7536" s="416" t="s">
        <v>20892</v>
      </c>
    </row>
    <row r="7537" spans="31:32">
      <c r="AE7537" s="417" t="s">
        <v>20893</v>
      </c>
      <c r="AF7537" s="416" t="s">
        <v>20894</v>
      </c>
    </row>
    <row r="7538" spans="31:32">
      <c r="AE7538" s="417" t="s">
        <v>20895</v>
      </c>
      <c r="AF7538" s="416" t="s">
        <v>20896</v>
      </c>
    </row>
    <row r="7539" spans="31:32">
      <c r="AE7539" s="417" t="s">
        <v>20897</v>
      </c>
      <c r="AF7539" s="416" t="s">
        <v>20898</v>
      </c>
    </row>
    <row r="7540" spans="31:32">
      <c r="AE7540" s="417" t="s">
        <v>20899</v>
      </c>
      <c r="AF7540" s="416" t="s">
        <v>20900</v>
      </c>
    </row>
    <row r="7541" spans="31:32">
      <c r="AE7541" s="417" t="s">
        <v>20901</v>
      </c>
      <c r="AF7541" s="416" t="s">
        <v>20902</v>
      </c>
    </row>
    <row r="7542" spans="31:32">
      <c r="AE7542" s="417" t="s">
        <v>20903</v>
      </c>
      <c r="AF7542" s="416" t="s">
        <v>20904</v>
      </c>
    </row>
    <row r="7543" spans="31:32">
      <c r="AE7543" s="417" t="s">
        <v>20905</v>
      </c>
      <c r="AF7543" s="416" t="s">
        <v>20906</v>
      </c>
    </row>
    <row r="7544" spans="31:32">
      <c r="AE7544" s="417" t="s">
        <v>20907</v>
      </c>
      <c r="AF7544" s="416" t="s">
        <v>20908</v>
      </c>
    </row>
    <row r="7545" spans="31:32">
      <c r="AE7545" s="417" t="s">
        <v>20909</v>
      </c>
      <c r="AF7545" s="416" t="s">
        <v>20910</v>
      </c>
    </row>
    <row r="7546" spans="31:32">
      <c r="AE7546" s="417" t="s">
        <v>20911</v>
      </c>
      <c r="AF7546" s="416" t="s">
        <v>20912</v>
      </c>
    </row>
    <row r="7547" spans="31:32">
      <c r="AE7547" s="417" t="s">
        <v>20913</v>
      </c>
      <c r="AF7547" s="416" t="s">
        <v>20914</v>
      </c>
    </row>
    <row r="7548" spans="31:32">
      <c r="AE7548" s="417" t="s">
        <v>20915</v>
      </c>
      <c r="AF7548" s="416" t="s">
        <v>20916</v>
      </c>
    </row>
    <row r="7549" spans="31:32">
      <c r="AE7549" s="417" t="s">
        <v>20917</v>
      </c>
      <c r="AF7549" s="416" t="s">
        <v>20918</v>
      </c>
    </row>
    <row r="7550" spans="31:32">
      <c r="AE7550" s="417" t="s">
        <v>20919</v>
      </c>
      <c r="AF7550" s="416" t="s">
        <v>20920</v>
      </c>
    </row>
    <row r="7551" spans="31:32">
      <c r="AE7551" s="417" t="s">
        <v>20921</v>
      </c>
      <c r="AF7551" s="416" t="s">
        <v>20922</v>
      </c>
    </row>
    <row r="7552" spans="31:32">
      <c r="AE7552" s="417" t="s">
        <v>20923</v>
      </c>
      <c r="AF7552" s="416" t="s">
        <v>20924</v>
      </c>
    </row>
    <row r="7553" spans="31:32">
      <c r="AE7553" s="417" t="s">
        <v>20925</v>
      </c>
      <c r="AF7553" s="416" t="s">
        <v>20926</v>
      </c>
    </row>
    <row r="7554" spans="31:32">
      <c r="AE7554" s="417" t="s">
        <v>20927</v>
      </c>
      <c r="AF7554" s="416" t="s">
        <v>20928</v>
      </c>
    </row>
    <row r="7555" spans="31:32">
      <c r="AE7555" s="417" t="s">
        <v>20929</v>
      </c>
      <c r="AF7555" s="416" t="s">
        <v>20930</v>
      </c>
    </row>
    <row r="7556" spans="31:32">
      <c r="AE7556" s="417" t="s">
        <v>20931</v>
      </c>
      <c r="AF7556" s="416" t="s">
        <v>20932</v>
      </c>
    </row>
    <row r="7557" spans="31:32">
      <c r="AE7557" s="417" t="s">
        <v>20933</v>
      </c>
      <c r="AF7557" s="416" t="s">
        <v>20934</v>
      </c>
    </row>
    <row r="7558" spans="31:32">
      <c r="AE7558" s="417" t="s">
        <v>20935</v>
      </c>
      <c r="AF7558" s="416" t="s">
        <v>20936</v>
      </c>
    </row>
    <row r="7559" spans="31:32">
      <c r="AE7559" s="417" t="s">
        <v>20937</v>
      </c>
      <c r="AF7559" s="416" t="s">
        <v>20938</v>
      </c>
    </row>
    <row r="7560" spans="31:32">
      <c r="AE7560" s="417" t="s">
        <v>20939</v>
      </c>
      <c r="AF7560" s="416" t="s">
        <v>20940</v>
      </c>
    </row>
    <row r="7561" spans="31:32">
      <c r="AE7561" s="417" t="s">
        <v>20941</v>
      </c>
      <c r="AF7561" s="416" t="s">
        <v>20942</v>
      </c>
    </row>
    <row r="7562" spans="31:32">
      <c r="AE7562" s="417" t="s">
        <v>20943</v>
      </c>
      <c r="AF7562" s="416" t="s">
        <v>20944</v>
      </c>
    </row>
    <row r="7563" spans="31:32">
      <c r="AE7563" s="417" t="s">
        <v>20945</v>
      </c>
      <c r="AF7563" s="416" t="s">
        <v>20946</v>
      </c>
    </row>
    <row r="7564" spans="31:32">
      <c r="AE7564" s="417" t="s">
        <v>20947</v>
      </c>
      <c r="AF7564" s="416" t="s">
        <v>20948</v>
      </c>
    </row>
    <row r="7565" spans="31:32">
      <c r="AE7565" s="417" t="s">
        <v>20949</v>
      </c>
      <c r="AF7565" s="416" t="s">
        <v>20950</v>
      </c>
    </row>
    <row r="7566" spans="31:32">
      <c r="AE7566" s="417" t="s">
        <v>20951</v>
      </c>
      <c r="AF7566" s="416" t="s">
        <v>20952</v>
      </c>
    </row>
    <row r="7567" spans="31:32">
      <c r="AE7567" s="417" t="s">
        <v>20953</v>
      </c>
      <c r="AF7567" s="416" t="s">
        <v>20954</v>
      </c>
    </row>
    <row r="7568" spans="31:32">
      <c r="AE7568" s="417" t="s">
        <v>20955</v>
      </c>
      <c r="AF7568" s="416" t="s">
        <v>20956</v>
      </c>
    </row>
    <row r="7569" spans="31:32">
      <c r="AE7569" s="417" t="s">
        <v>20957</v>
      </c>
      <c r="AF7569" s="416" t="s">
        <v>20958</v>
      </c>
    </row>
    <row r="7570" spans="31:32">
      <c r="AE7570" s="417" t="s">
        <v>20959</v>
      </c>
      <c r="AF7570" s="416" t="s">
        <v>20960</v>
      </c>
    </row>
    <row r="7571" spans="31:32">
      <c r="AE7571" s="417" t="s">
        <v>20961</v>
      </c>
      <c r="AF7571" s="416" t="s">
        <v>20962</v>
      </c>
    </row>
    <row r="7572" spans="31:32">
      <c r="AE7572" s="417" t="s">
        <v>20963</v>
      </c>
      <c r="AF7572" s="416" t="s">
        <v>20964</v>
      </c>
    </row>
    <row r="7573" spans="31:32">
      <c r="AE7573" s="417" t="s">
        <v>20965</v>
      </c>
      <c r="AF7573" s="416" t="s">
        <v>20966</v>
      </c>
    </row>
    <row r="7574" spans="31:32">
      <c r="AE7574" s="417" t="s">
        <v>20967</v>
      </c>
      <c r="AF7574" s="416" t="s">
        <v>20968</v>
      </c>
    </row>
    <row r="7575" spans="31:32">
      <c r="AE7575" s="417" t="s">
        <v>20969</v>
      </c>
      <c r="AF7575" s="416" t="s">
        <v>20970</v>
      </c>
    </row>
    <row r="7576" spans="31:32">
      <c r="AE7576" s="417" t="s">
        <v>20971</v>
      </c>
      <c r="AF7576" s="416" t="s">
        <v>20972</v>
      </c>
    </row>
    <row r="7577" spans="31:32">
      <c r="AE7577" s="417" t="s">
        <v>20973</v>
      </c>
      <c r="AF7577" s="416" t="s">
        <v>20974</v>
      </c>
    </row>
    <row r="7578" spans="31:32">
      <c r="AE7578" s="417" t="s">
        <v>20975</v>
      </c>
      <c r="AF7578" s="416" t="s">
        <v>20976</v>
      </c>
    </row>
    <row r="7579" spans="31:32">
      <c r="AE7579" s="417" t="s">
        <v>20977</v>
      </c>
      <c r="AF7579" s="416" t="s">
        <v>20978</v>
      </c>
    </row>
    <row r="7580" spans="31:32">
      <c r="AE7580" s="417" t="s">
        <v>20979</v>
      </c>
      <c r="AF7580" s="416" t="s">
        <v>20980</v>
      </c>
    </row>
    <row r="7581" spans="31:32">
      <c r="AE7581" s="417" t="s">
        <v>20981</v>
      </c>
      <c r="AF7581" s="416" t="s">
        <v>20982</v>
      </c>
    </row>
    <row r="7582" spans="31:32">
      <c r="AE7582" s="417" t="s">
        <v>20983</v>
      </c>
      <c r="AF7582" s="416" t="s">
        <v>20984</v>
      </c>
    </row>
    <row r="7583" spans="31:32">
      <c r="AE7583" s="417" t="s">
        <v>20985</v>
      </c>
      <c r="AF7583" s="416" t="s">
        <v>20986</v>
      </c>
    </row>
    <row r="7584" spans="31:32">
      <c r="AE7584" s="417" t="s">
        <v>20987</v>
      </c>
      <c r="AF7584" s="416" t="s">
        <v>20988</v>
      </c>
    </row>
    <row r="7585" spans="31:32">
      <c r="AE7585" s="417" t="s">
        <v>20989</v>
      </c>
      <c r="AF7585" s="416" t="s">
        <v>20990</v>
      </c>
    </row>
    <row r="7586" spans="31:32">
      <c r="AE7586" s="417" t="s">
        <v>20991</v>
      </c>
      <c r="AF7586" s="416" t="s">
        <v>20992</v>
      </c>
    </row>
    <row r="7587" spans="31:32">
      <c r="AE7587" s="417" t="s">
        <v>20993</v>
      </c>
      <c r="AF7587" s="416" t="s">
        <v>20994</v>
      </c>
    </row>
    <row r="7588" spans="31:32">
      <c r="AE7588" s="417" t="s">
        <v>20995</v>
      </c>
      <c r="AF7588" s="416" t="s">
        <v>20996</v>
      </c>
    </row>
    <row r="7589" spans="31:32">
      <c r="AE7589" s="417" t="s">
        <v>20997</v>
      </c>
      <c r="AF7589" s="416" t="s">
        <v>20998</v>
      </c>
    </row>
    <row r="7590" spans="31:32">
      <c r="AE7590" s="417" t="s">
        <v>20999</v>
      </c>
      <c r="AF7590" s="416" t="s">
        <v>21000</v>
      </c>
    </row>
    <row r="7591" spans="31:32">
      <c r="AE7591" s="417" t="s">
        <v>21001</v>
      </c>
      <c r="AF7591" s="416" t="s">
        <v>21002</v>
      </c>
    </row>
    <row r="7592" spans="31:32">
      <c r="AE7592" s="417" t="s">
        <v>21003</v>
      </c>
      <c r="AF7592" s="416" t="s">
        <v>21004</v>
      </c>
    </row>
    <row r="7593" spans="31:32">
      <c r="AE7593" s="417" t="s">
        <v>21005</v>
      </c>
      <c r="AF7593" s="416" t="s">
        <v>21006</v>
      </c>
    </row>
    <row r="7594" spans="31:32">
      <c r="AE7594" s="417" t="s">
        <v>21007</v>
      </c>
      <c r="AF7594" s="416" t="s">
        <v>21008</v>
      </c>
    </row>
    <row r="7595" spans="31:32">
      <c r="AE7595" s="417" t="s">
        <v>21009</v>
      </c>
      <c r="AF7595" s="416" t="s">
        <v>21010</v>
      </c>
    </row>
    <row r="7596" spans="31:32">
      <c r="AE7596" s="417" t="s">
        <v>21011</v>
      </c>
      <c r="AF7596" s="416" t="s">
        <v>21012</v>
      </c>
    </row>
    <row r="7597" spans="31:32">
      <c r="AE7597" s="417" t="s">
        <v>21013</v>
      </c>
      <c r="AF7597" s="416" t="s">
        <v>21014</v>
      </c>
    </row>
    <row r="7598" spans="31:32">
      <c r="AE7598" s="417" t="s">
        <v>21015</v>
      </c>
      <c r="AF7598" s="416" t="s">
        <v>21016</v>
      </c>
    </row>
    <row r="7599" spans="31:32">
      <c r="AE7599" s="417" t="s">
        <v>21017</v>
      </c>
      <c r="AF7599" s="416" t="s">
        <v>21018</v>
      </c>
    </row>
    <row r="7600" spans="31:32">
      <c r="AE7600" s="417" t="s">
        <v>21019</v>
      </c>
      <c r="AF7600" s="416" t="s">
        <v>21020</v>
      </c>
    </row>
    <row r="7601" spans="31:32">
      <c r="AE7601" s="417" t="s">
        <v>21021</v>
      </c>
      <c r="AF7601" s="416" t="s">
        <v>21022</v>
      </c>
    </row>
    <row r="7602" spans="31:32">
      <c r="AE7602" s="417" t="s">
        <v>21023</v>
      </c>
      <c r="AF7602" s="416" t="s">
        <v>21024</v>
      </c>
    </row>
    <row r="7603" spans="31:32">
      <c r="AE7603" s="417" t="s">
        <v>21025</v>
      </c>
      <c r="AF7603" s="416" t="s">
        <v>21026</v>
      </c>
    </row>
    <row r="7604" spans="31:32">
      <c r="AE7604" s="417" t="s">
        <v>21027</v>
      </c>
      <c r="AF7604" s="416" t="s">
        <v>21028</v>
      </c>
    </row>
    <row r="7605" spans="31:32">
      <c r="AE7605" s="417" t="s">
        <v>21029</v>
      </c>
      <c r="AF7605" s="416" t="s">
        <v>21030</v>
      </c>
    </row>
    <row r="7606" spans="31:32">
      <c r="AE7606" s="417" t="s">
        <v>21031</v>
      </c>
      <c r="AF7606" s="416" t="s">
        <v>21032</v>
      </c>
    </row>
    <row r="7607" spans="31:32">
      <c r="AE7607" s="417" t="s">
        <v>21033</v>
      </c>
      <c r="AF7607" s="416" t="s">
        <v>21034</v>
      </c>
    </row>
    <row r="7608" spans="31:32">
      <c r="AE7608" s="417" t="s">
        <v>21035</v>
      </c>
      <c r="AF7608" s="416" t="s">
        <v>21036</v>
      </c>
    </row>
    <row r="7609" spans="31:32">
      <c r="AE7609" s="417" t="s">
        <v>21037</v>
      </c>
      <c r="AF7609" s="416" t="s">
        <v>21038</v>
      </c>
    </row>
    <row r="7610" spans="31:32">
      <c r="AE7610" s="417" t="s">
        <v>21039</v>
      </c>
      <c r="AF7610" s="416" t="s">
        <v>21040</v>
      </c>
    </row>
    <row r="7611" spans="31:32">
      <c r="AE7611" s="417" t="s">
        <v>21041</v>
      </c>
      <c r="AF7611" s="416" t="s">
        <v>21042</v>
      </c>
    </row>
    <row r="7612" spans="31:32">
      <c r="AE7612" s="417" t="s">
        <v>21043</v>
      </c>
      <c r="AF7612" s="416" t="s">
        <v>21044</v>
      </c>
    </row>
    <row r="7613" spans="31:32">
      <c r="AE7613" s="417" t="s">
        <v>21045</v>
      </c>
      <c r="AF7613" s="416" t="s">
        <v>21046</v>
      </c>
    </row>
    <row r="7614" spans="31:32">
      <c r="AE7614" s="417" t="s">
        <v>21047</v>
      </c>
      <c r="AF7614" s="416" t="s">
        <v>21048</v>
      </c>
    </row>
    <row r="7615" spans="31:32">
      <c r="AE7615" s="417" t="s">
        <v>21049</v>
      </c>
      <c r="AF7615" s="416" t="s">
        <v>21050</v>
      </c>
    </row>
    <row r="7616" spans="31:32">
      <c r="AE7616" s="417" t="s">
        <v>21051</v>
      </c>
      <c r="AF7616" s="416" t="s">
        <v>21052</v>
      </c>
    </row>
    <row r="7617" spans="31:32">
      <c r="AE7617" s="417" t="s">
        <v>21053</v>
      </c>
      <c r="AF7617" s="416" t="s">
        <v>21054</v>
      </c>
    </row>
    <row r="7618" spans="31:32">
      <c r="AE7618" s="417" t="s">
        <v>21055</v>
      </c>
      <c r="AF7618" s="416" t="s">
        <v>21056</v>
      </c>
    </row>
    <row r="7619" spans="31:32">
      <c r="AE7619" s="417" t="s">
        <v>21057</v>
      </c>
      <c r="AF7619" s="416" t="s">
        <v>21058</v>
      </c>
    </row>
    <row r="7620" spans="31:32">
      <c r="AE7620" s="417" t="s">
        <v>21059</v>
      </c>
      <c r="AF7620" s="416" t="s">
        <v>21060</v>
      </c>
    </row>
    <row r="7621" spans="31:32">
      <c r="AE7621" s="417" t="s">
        <v>21061</v>
      </c>
      <c r="AF7621" s="416" t="s">
        <v>21062</v>
      </c>
    </row>
    <row r="7622" spans="31:32">
      <c r="AE7622" s="417" t="s">
        <v>21063</v>
      </c>
      <c r="AF7622" s="416" t="s">
        <v>21064</v>
      </c>
    </row>
    <row r="7623" spans="31:32">
      <c r="AE7623" s="417" t="s">
        <v>21065</v>
      </c>
      <c r="AF7623" s="416" t="s">
        <v>21066</v>
      </c>
    </row>
    <row r="7624" spans="31:32">
      <c r="AE7624" s="417" t="s">
        <v>21067</v>
      </c>
      <c r="AF7624" s="416" t="s">
        <v>21068</v>
      </c>
    </row>
    <row r="7625" spans="31:32">
      <c r="AE7625" s="417" t="s">
        <v>21069</v>
      </c>
      <c r="AF7625" s="416" t="s">
        <v>21070</v>
      </c>
    </row>
    <row r="7626" spans="31:32">
      <c r="AE7626" s="417" t="s">
        <v>21071</v>
      </c>
      <c r="AF7626" s="416" t="s">
        <v>21072</v>
      </c>
    </row>
    <row r="7627" spans="31:32">
      <c r="AE7627" s="417" t="s">
        <v>21073</v>
      </c>
      <c r="AF7627" s="416" t="s">
        <v>21074</v>
      </c>
    </row>
    <row r="7628" spans="31:32">
      <c r="AE7628" s="417" t="s">
        <v>21075</v>
      </c>
      <c r="AF7628" s="416" t="s">
        <v>21076</v>
      </c>
    </row>
    <row r="7629" spans="31:32">
      <c r="AE7629" s="417" t="s">
        <v>21077</v>
      </c>
      <c r="AF7629" s="416" t="s">
        <v>21078</v>
      </c>
    </row>
    <row r="7630" spans="31:32">
      <c r="AE7630" s="417" t="s">
        <v>21079</v>
      </c>
      <c r="AF7630" s="416" t="s">
        <v>21080</v>
      </c>
    </row>
    <row r="7631" spans="31:32">
      <c r="AE7631" s="417" t="s">
        <v>21081</v>
      </c>
      <c r="AF7631" s="416" t="s">
        <v>21082</v>
      </c>
    </row>
    <row r="7632" spans="31:32">
      <c r="AE7632" s="417" t="s">
        <v>21083</v>
      </c>
      <c r="AF7632" s="416" t="s">
        <v>21084</v>
      </c>
    </row>
    <row r="7633" spans="31:32">
      <c r="AE7633" s="417" t="s">
        <v>21085</v>
      </c>
      <c r="AF7633" s="416" t="s">
        <v>21086</v>
      </c>
    </row>
    <row r="7634" spans="31:32">
      <c r="AE7634" s="417" t="s">
        <v>21087</v>
      </c>
      <c r="AF7634" s="416" t="s">
        <v>21088</v>
      </c>
    </row>
    <row r="7635" spans="31:32">
      <c r="AE7635" s="417" t="s">
        <v>21089</v>
      </c>
      <c r="AF7635" s="416" t="s">
        <v>21090</v>
      </c>
    </row>
    <row r="7636" spans="31:32">
      <c r="AE7636" s="417" t="s">
        <v>21091</v>
      </c>
      <c r="AF7636" s="416" t="s">
        <v>21092</v>
      </c>
    </row>
    <row r="7637" spans="31:32">
      <c r="AE7637" s="417" t="s">
        <v>21093</v>
      </c>
      <c r="AF7637" s="416" t="s">
        <v>21094</v>
      </c>
    </row>
    <row r="7638" spans="31:32">
      <c r="AE7638" s="417" t="s">
        <v>21095</v>
      </c>
      <c r="AF7638" s="416" t="s">
        <v>21096</v>
      </c>
    </row>
    <row r="7639" spans="31:32">
      <c r="AE7639" s="417" t="s">
        <v>21097</v>
      </c>
      <c r="AF7639" s="416" t="s">
        <v>21098</v>
      </c>
    </row>
    <row r="7640" spans="31:32">
      <c r="AE7640" s="417" t="s">
        <v>21099</v>
      </c>
      <c r="AF7640" s="416" t="s">
        <v>21100</v>
      </c>
    </row>
    <row r="7641" spans="31:32">
      <c r="AE7641" s="417" t="s">
        <v>21101</v>
      </c>
      <c r="AF7641" s="416" t="s">
        <v>21102</v>
      </c>
    </row>
    <row r="7642" spans="31:32">
      <c r="AE7642" s="417" t="s">
        <v>21103</v>
      </c>
      <c r="AF7642" s="416" t="s">
        <v>21104</v>
      </c>
    </row>
    <row r="7643" spans="31:32">
      <c r="AE7643" s="417" t="s">
        <v>21105</v>
      </c>
      <c r="AF7643" s="416" t="s">
        <v>21106</v>
      </c>
    </row>
    <row r="7644" spans="31:32">
      <c r="AE7644" s="417" t="s">
        <v>21107</v>
      </c>
      <c r="AF7644" s="416" t="s">
        <v>21108</v>
      </c>
    </row>
    <row r="7645" spans="31:32">
      <c r="AE7645" s="417" t="s">
        <v>21109</v>
      </c>
      <c r="AF7645" s="416" t="s">
        <v>21110</v>
      </c>
    </row>
    <row r="7646" spans="31:32">
      <c r="AE7646" s="417" t="s">
        <v>21111</v>
      </c>
      <c r="AF7646" s="416" t="s">
        <v>21112</v>
      </c>
    </row>
    <row r="7647" spans="31:32">
      <c r="AE7647" s="417" t="s">
        <v>21113</v>
      </c>
      <c r="AF7647" s="416" t="s">
        <v>21114</v>
      </c>
    </row>
    <row r="7648" spans="31:32">
      <c r="AE7648" s="417" t="s">
        <v>21115</v>
      </c>
      <c r="AF7648" s="416" t="s">
        <v>21116</v>
      </c>
    </row>
    <row r="7649" spans="31:32">
      <c r="AE7649" s="417" t="s">
        <v>21117</v>
      </c>
      <c r="AF7649" s="416" t="s">
        <v>21118</v>
      </c>
    </row>
    <row r="7650" spans="31:32">
      <c r="AE7650" s="417" t="s">
        <v>21119</v>
      </c>
      <c r="AF7650" s="416" t="s">
        <v>21120</v>
      </c>
    </row>
    <row r="7651" spans="31:32">
      <c r="AE7651" s="417" t="s">
        <v>21121</v>
      </c>
      <c r="AF7651" s="416" t="s">
        <v>21122</v>
      </c>
    </row>
    <row r="7652" spans="31:32">
      <c r="AE7652" s="417" t="s">
        <v>21123</v>
      </c>
      <c r="AF7652" s="416" t="s">
        <v>21124</v>
      </c>
    </row>
    <row r="7653" spans="31:32">
      <c r="AE7653" s="417" t="s">
        <v>21125</v>
      </c>
      <c r="AF7653" s="416" t="s">
        <v>21126</v>
      </c>
    </row>
    <row r="7654" spans="31:32">
      <c r="AE7654" s="417" t="s">
        <v>21127</v>
      </c>
      <c r="AF7654" s="416" t="s">
        <v>21128</v>
      </c>
    </row>
    <row r="7655" spans="31:32">
      <c r="AE7655" s="417" t="s">
        <v>21129</v>
      </c>
      <c r="AF7655" s="416" t="s">
        <v>21130</v>
      </c>
    </row>
    <row r="7656" spans="31:32">
      <c r="AE7656" s="417" t="s">
        <v>21131</v>
      </c>
      <c r="AF7656" s="416" t="s">
        <v>21132</v>
      </c>
    </row>
    <row r="7657" spans="31:32">
      <c r="AE7657" s="417" t="s">
        <v>21133</v>
      </c>
      <c r="AF7657" s="416" t="s">
        <v>21134</v>
      </c>
    </row>
    <row r="7658" spans="31:32">
      <c r="AE7658" s="417" t="s">
        <v>21135</v>
      </c>
      <c r="AF7658" s="416" t="s">
        <v>21136</v>
      </c>
    </row>
    <row r="7659" spans="31:32">
      <c r="AE7659" s="417" t="s">
        <v>21137</v>
      </c>
      <c r="AF7659" s="416" t="s">
        <v>21138</v>
      </c>
    </row>
    <row r="7660" spans="31:32">
      <c r="AE7660" s="417" t="s">
        <v>21139</v>
      </c>
      <c r="AF7660" s="416" t="s">
        <v>21140</v>
      </c>
    </row>
    <row r="7661" spans="31:32">
      <c r="AE7661" s="417" t="s">
        <v>21141</v>
      </c>
      <c r="AF7661" s="416" t="s">
        <v>21142</v>
      </c>
    </row>
    <row r="7662" spans="31:32">
      <c r="AE7662" s="417" t="s">
        <v>21143</v>
      </c>
      <c r="AF7662" s="416" t="s">
        <v>21144</v>
      </c>
    </row>
    <row r="7663" spans="31:32">
      <c r="AE7663" s="417" t="s">
        <v>21145</v>
      </c>
      <c r="AF7663" s="416" t="s">
        <v>21146</v>
      </c>
    </row>
    <row r="7664" spans="31:32">
      <c r="AE7664" s="417" t="s">
        <v>21147</v>
      </c>
      <c r="AF7664" s="416" t="s">
        <v>21148</v>
      </c>
    </row>
    <row r="7665" spans="31:32">
      <c r="AE7665" s="417" t="s">
        <v>21149</v>
      </c>
      <c r="AF7665" s="416" t="s">
        <v>21150</v>
      </c>
    </row>
    <row r="7666" spans="31:32">
      <c r="AE7666" s="417" t="s">
        <v>21151</v>
      </c>
      <c r="AF7666" s="416" t="s">
        <v>21152</v>
      </c>
    </row>
    <row r="7667" spans="31:32">
      <c r="AE7667" s="417" t="s">
        <v>21153</v>
      </c>
      <c r="AF7667" s="416" t="s">
        <v>21154</v>
      </c>
    </row>
    <row r="7668" spans="31:32">
      <c r="AE7668" s="417" t="s">
        <v>21155</v>
      </c>
      <c r="AF7668" s="416" t="s">
        <v>21156</v>
      </c>
    </row>
    <row r="7669" spans="31:32">
      <c r="AE7669" s="417" t="s">
        <v>21157</v>
      </c>
      <c r="AF7669" s="416" t="s">
        <v>21158</v>
      </c>
    </row>
    <row r="7670" spans="31:32">
      <c r="AE7670" s="417" t="s">
        <v>21159</v>
      </c>
      <c r="AF7670" s="416" t="s">
        <v>21160</v>
      </c>
    </row>
    <row r="7671" spans="31:32">
      <c r="AE7671" s="417" t="s">
        <v>21161</v>
      </c>
      <c r="AF7671" s="416" t="s">
        <v>21162</v>
      </c>
    </row>
    <row r="7672" spans="31:32">
      <c r="AE7672" s="417" t="s">
        <v>21163</v>
      </c>
      <c r="AF7672" s="416" t="s">
        <v>21164</v>
      </c>
    </row>
    <row r="7673" spans="31:32">
      <c r="AE7673" s="417" t="s">
        <v>21165</v>
      </c>
      <c r="AF7673" s="416" t="s">
        <v>21166</v>
      </c>
    </row>
    <row r="7674" spans="31:32">
      <c r="AE7674" s="417" t="s">
        <v>21167</v>
      </c>
      <c r="AF7674" s="416" t="s">
        <v>21168</v>
      </c>
    </row>
    <row r="7675" spans="31:32">
      <c r="AE7675" s="417" t="s">
        <v>21169</v>
      </c>
      <c r="AF7675" s="416" t="s">
        <v>21170</v>
      </c>
    </row>
    <row r="7676" spans="31:32">
      <c r="AE7676" s="417" t="s">
        <v>21171</v>
      </c>
      <c r="AF7676" s="416" t="s">
        <v>21172</v>
      </c>
    </row>
    <row r="7677" spans="31:32">
      <c r="AE7677" s="417" t="s">
        <v>21173</v>
      </c>
      <c r="AF7677" s="416" t="s">
        <v>21174</v>
      </c>
    </row>
    <row r="7678" spans="31:32">
      <c r="AE7678" s="417" t="s">
        <v>21175</v>
      </c>
      <c r="AF7678" s="416" t="s">
        <v>21176</v>
      </c>
    </row>
    <row r="7679" spans="31:32">
      <c r="AE7679" s="417" t="s">
        <v>21177</v>
      </c>
      <c r="AF7679" s="416" t="s">
        <v>21178</v>
      </c>
    </row>
    <row r="7680" spans="31:32">
      <c r="AE7680" s="417" t="s">
        <v>21179</v>
      </c>
      <c r="AF7680" s="416" t="s">
        <v>21180</v>
      </c>
    </row>
    <row r="7681" spans="31:32">
      <c r="AE7681" s="417" t="s">
        <v>21181</v>
      </c>
      <c r="AF7681" s="416" t="s">
        <v>21182</v>
      </c>
    </row>
    <row r="7682" spans="31:32">
      <c r="AE7682" s="417" t="s">
        <v>21183</v>
      </c>
      <c r="AF7682" s="416" t="s">
        <v>21184</v>
      </c>
    </row>
    <row r="7683" spans="31:32">
      <c r="AE7683" s="417" t="s">
        <v>21185</v>
      </c>
      <c r="AF7683" s="416" t="s">
        <v>21186</v>
      </c>
    </row>
    <row r="7684" spans="31:32">
      <c r="AE7684" s="417" t="s">
        <v>21187</v>
      </c>
      <c r="AF7684" s="416" t="s">
        <v>21188</v>
      </c>
    </row>
    <row r="7685" spans="31:32">
      <c r="AE7685" s="417" t="s">
        <v>21189</v>
      </c>
      <c r="AF7685" s="416" t="s">
        <v>21190</v>
      </c>
    </row>
    <row r="7686" spans="31:32">
      <c r="AE7686" s="417" t="s">
        <v>21191</v>
      </c>
      <c r="AF7686" s="416" t="s">
        <v>21192</v>
      </c>
    </row>
    <row r="7687" spans="31:32">
      <c r="AE7687" s="417" t="s">
        <v>21193</v>
      </c>
      <c r="AF7687" s="416" t="s">
        <v>21194</v>
      </c>
    </row>
    <row r="7688" spans="31:32">
      <c r="AE7688" s="417" t="s">
        <v>21195</v>
      </c>
      <c r="AF7688" s="416" t="s">
        <v>21196</v>
      </c>
    </row>
    <row r="7689" spans="31:32">
      <c r="AE7689" s="417" t="s">
        <v>21197</v>
      </c>
      <c r="AF7689" s="416" t="s">
        <v>21198</v>
      </c>
    </row>
    <row r="7690" spans="31:32">
      <c r="AE7690" s="417" t="s">
        <v>21199</v>
      </c>
      <c r="AF7690" s="416" t="s">
        <v>21200</v>
      </c>
    </row>
    <row r="7691" spans="31:32">
      <c r="AE7691" s="417" t="s">
        <v>21201</v>
      </c>
      <c r="AF7691" s="416" t="s">
        <v>21202</v>
      </c>
    </row>
    <row r="7692" spans="31:32">
      <c r="AE7692" s="417" t="s">
        <v>21203</v>
      </c>
      <c r="AF7692" s="416" t="s">
        <v>21204</v>
      </c>
    </row>
    <row r="7693" spans="31:32">
      <c r="AE7693" s="417" t="s">
        <v>21205</v>
      </c>
      <c r="AF7693" s="416" t="s">
        <v>21206</v>
      </c>
    </row>
    <row r="7694" spans="31:32">
      <c r="AE7694" s="417" t="s">
        <v>21207</v>
      </c>
      <c r="AF7694" s="416" t="s">
        <v>21208</v>
      </c>
    </row>
    <row r="7695" spans="31:32">
      <c r="AE7695" s="417" t="s">
        <v>21209</v>
      </c>
      <c r="AF7695" s="416" t="s">
        <v>21210</v>
      </c>
    </row>
    <row r="7696" spans="31:32">
      <c r="AE7696" s="417" t="s">
        <v>21211</v>
      </c>
      <c r="AF7696" s="416" t="s">
        <v>21212</v>
      </c>
    </row>
    <row r="7697" spans="31:32">
      <c r="AE7697" s="417" t="s">
        <v>21213</v>
      </c>
      <c r="AF7697" s="416" t="s">
        <v>21214</v>
      </c>
    </row>
    <row r="7698" spans="31:32">
      <c r="AE7698" s="417" t="s">
        <v>21215</v>
      </c>
      <c r="AF7698" s="416" t="s">
        <v>21216</v>
      </c>
    </row>
    <row r="7699" spans="31:32">
      <c r="AE7699" s="417" t="s">
        <v>21217</v>
      </c>
      <c r="AF7699" s="416" t="s">
        <v>21218</v>
      </c>
    </row>
    <row r="7700" spans="31:32">
      <c r="AE7700" s="417" t="s">
        <v>21219</v>
      </c>
      <c r="AF7700" s="416" t="s">
        <v>21220</v>
      </c>
    </row>
    <row r="7701" spans="31:32">
      <c r="AE7701" s="417" t="s">
        <v>21221</v>
      </c>
      <c r="AF7701" s="416" t="s">
        <v>21222</v>
      </c>
    </row>
    <row r="7702" spans="31:32">
      <c r="AE7702" s="417" t="s">
        <v>21223</v>
      </c>
      <c r="AF7702" s="416" t="s">
        <v>21224</v>
      </c>
    </row>
    <row r="7703" spans="31:32">
      <c r="AE7703" s="417" t="s">
        <v>21225</v>
      </c>
      <c r="AF7703" s="416" t="s">
        <v>21226</v>
      </c>
    </row>
    <row r="7704" spans="31:32">
      <c r="AE7704" s="417" t="s">
        <v>21227</v>
      </c>
      <c r="AF7704" s="416" t="s">
        <v>21228</v>
      </c>
    </row>
    <row r="7705" spans="31:32">
      <c r="AE7705" s="417" t="s">
        <v>21229</v>
      </c>
      <c r="AF7705" s="416" t="s">
        <v>21230</v>
      </c>
    </row>
    <row r="7706" spans="31:32">
      <c r="AE7706" s="417" t="s">
        <v>21231</v>
      </c>
      <c r="AF7706" s="416" t="s">
        <v>21232</v>
      </c>
    </row>
    <row r="7707" spans="31:32">
      <c r="AE7707" s="417" t="s">
        <v>21233</v>
      </c>
      <c r="AF7707" s="416" t="s">
        <v>21234</v>
      </c>
    </row>
    <row r="7708" spans="31:32">
      <c r="AE7708" s="417" t="s">
        <v>21235</v>
      </c>
      <c r="AF7708" s="416" t="s">
        <v>21236</v>
      </c>
    </row>
    <row r="7709" spans="31:32">
      <c r="AE7709" s="417" t="s">
        <v>21237</v>
      </c>
      <c r="AF7709" s="416" t="s">
        <v>21238</v>
      </c>
    </row>
    <row r="7710" spans="31:32">
      <c r="AE7710" s="417" t="s">
        <v>21239</v>
      </c>
      <c r="AF7710" s="416" t="s">
        <v>21240</v>
      </c>
    </row>
    <row r="7711" spans="31:32">
      <c r="AE7711" s="417" t="s">
        <v>21241</v>
      </c>
      <c r="AF7711" s="416" t="s">
        <v>21242</v>
      </c>
    </row>
    <row r="7712" spans="31:32">
      <c r="AE7712" s="417" t="s">
        <v>21243</v>
      </c>
      <c r="AF7712" s="416" t="s">
        <v>21244</v>
      </c>
    </row>
    <row r="7713" spans="31:32">
      <c r="AE7713" s="417" t="s">
        <v>21245</v>
      </c>
      <c r="AF7713" s="416" t="s">
        <v>21246</v>
      </c>
    </row>
    <row r="7714" spans="31:32">
      <c r="AE7714" s="417" t="s">
        <v>21247</v>
      </c>
      <c r="AF7714" s="416" t="s">
        <v>21248</v>
      </c>
    </row>
    <row r="7715" spans="31:32">
      <c r="AE7715" s="417" t="s">
        <v>21249</v>
      </c>
      <c r="AF7715" s="416" t="s">
        <v>21250</v>
      </c>
    </row>
    <row r="7716" spans="31:32">
      <c r="AE7716" s="417" t="s">
        <v>21251</v>
      </c>
      <c r="AF7716" s="416" t="s">
        <v>21252</v>
      </c>
    </row>
    <row r="7717" spans="31:32">
      <c r="AE7717" s="417" t="s">
        <v>21253</v>
      </c>
      <c r="AF7717" s="416" t="s">
        <v>21254</v>
      </c>
    </row>
    <row r="7718" spans="31:32">
      <c r="AE7718" s="417" t="s">
        <v>21255</v>
      </c>
      <c r="AF7718" s="416" t="s">
        <v>21256</v>
      </c>
    </row>
    <row r="7719" spans="31:32">
      <c r="AE7719" s="417" t="s">
        <v>21257</v>
      </c>
      <c r="AF7719" s="416" t="s">
        <v>21258</v>
      </c>
    </row>
    <row r="7720" spans="31:32">
      <c r="AE7720" s="417" t="s">
        <v>21259</v>
      </c>
      <c r="AF7720" s="416" t="s">
        <v>21260</v>
      </c>
    </row>
    <row r="7721" spans="31:32">
      <c r="AE7721" s="417" t="s">
        <v>21261</v>
      </c>
      <c r="AF7721" s="416" t="s">
        <v>21262</v>
      </c>
    </row>
    <row r="7722" spans="31:32">
      <c r="AE7722" s="417" t="s">
        <v>21263</v>
      </c>
      <c r="AF7722" s="416" t="s">
        <v>21264</v>
      </c>
    </row>
    <row r="7723" spans="31:32">
      <c r="AE7723" s="417" t="s">
        <v>21265</v>
      </c>
      <c r="AF7723" s="416" t="s">
        <v>21266</v>
      </c>
    </row>
    <row r="7724" spans="31:32">
      <c r="AE7724" s="417" t="s">
        <v>21267</v>
      </c>
      <c r="AF7724" s="416" t="s">
        <v>21268</v>
      </c>
    </row>
    <row r="7725" spans="31:32">
      <c r="AE7725" s="417" t="s">
        <v>21269</v>
      </c>
      <c r="AF7725" s="416" t="s">
        <v>21270</v>
      </c>
    </row>
    <row r="7726" spans="31:32">
      <c r="AE7726" s="417" t="s">
        <v>21271</v>
      </c>
      <c r="AF7726" s="416" t="s">
        <v>21272</v>
      </c>
    </row>
    <row r="7727" spans="31:32">
      <c r="AE7727" s="417" t="s">
        <v>21273</v>
      </c>
      <c r="AF7727" s="416" t="s">
        <v>21274</v>
      </c>
    </row>
    <row r="7728" spans="31:32">
      <c r="AE7728" s="417" t="s">
        <v>21275</v>
      </c>
      <c r="AF7728" s="416" t="s">
        <v>21276</v>
      </c>
    </row>
    <row r="7729" spans="31:32">
      <c r="AE7729" s="417" t="s">
        <v>21277</v>
      </c>
      <c r="AF7729" s="416" t="s">
        <v>21278</v>
      </c>
    </row>
    <row r="7730" spans="31:32">
      <c r="AE7730" s="417" t="s">
        <v>21279</v>
      </c>
      <c r="AF7730" s="416" t="s">
        <v>21280</v>
      </c>
    </row>
    <row r="7731" spans="31:32">
      <c r="AE7731" s="417" t="s">
        <v>21281</v>
      </c>
      <c r="AF7731" s="416" t="s">
        <v>21282</v>
      </c>
    </row>
    <row r="7732" spans="31:32">
      <c r="AE7732" s="417" t="s">
        <v>21283</v>
      </c>
      <c r="AF7732" s="416" t="s">
        <v>21284</v>
      </c>
    </row>
    <row r="7733" spans="31:32">
      <c r="AE7733" s="417" t="s">
        <v>21285</v>
      </c>
      <c r="AF7733" s="416" t="s">
        <v>21286</v>
      </c>
    </row>
    <row r="7734" spans="31:32">
      <c r="AE7734" s="417" t="s">
        <v>21287</v>
      </c>
      <c r="AF7734" s="416" t="s">
        <v>21288</v>
      </c>
    </row>
    <row r="7735" spans="31:32">
      <c r="AE7735" s="417" t="s">
        <v>21289</v>
      </c>
      <c r="AF7735" s="416" t="s">
        <v>21290</v>
      </c>
    </row>
    <row r="7736" spans="31:32">
      <c r="AE7736" s="417" t="s">
        <v>21291</v>
      </c>
      <c r="AF7736" s="416" t="s">
        <v>21292</v>
      </c>
    </row>
    <row r="7737" spans="31:32">
      <c r="AE7737" s="417" t="s">
        <v>21293</v>
      </c>
      <c r="AF7737" s="416" t="s">
        <v>21294</v>
      </c>
    </row>
    <row r="7738" spans="31:32">
      <c r="AE7738" s="417" t="s">
        <v>21295</v>
      </c>
      <c r="AF7738" s="416" t="s">
        <v>21296</v>
      </c>
    </row>
    <row r="7739" spans="31:32">
      <c r="AE7739" s="417" t="s">
        <v>21297</v>
      </c>
      <c r="AF7739" s="416" t="s">
        <v>21298</v>
      </c>
    </row>
    <row r="7740" spans="31:32">
      <c r="AE7740" s="417" t="s">
        <v>21299</v>
      </c>
      <c r="AF7740" s="416" t="s">
        <v>21300</v>
      </c>
    </row>
    <row r="7741" spans="31:32">
      <c r="AE7741" s="417" t="s">
        <v>21301</v>
      </c>
      <c r="AF7741" s="416" t="s">
        <v>21302</v>
      </c>
    </row>
    <row r="7742" spans="31:32">
      <c r="AE7742" s="417" t="s">
        <v>21303</v>
      </c>
      <c r="AF7742" s="416" t="s">
        <v>21304</v>
      </c>
    </row>
    <row r="7743" spans="31:32">
      <c r="AE7743" s="417" t="s">
        <v>21305</v>
      </c>
      <c r="AF7743" s="416" t="s">
        <v>21306</v>
      </c>
    </row>
    <row r="7744" spans="31:32">
      <c r="AE7744" s="417" t="s">
        <v>21307</v>
      </c>
      <c r="AF7744" s="416" t="s">
        <v>21308</v>
      </c>
    </row>
    <row r="7745" spans="31:32">
      <c r="AE7745" s="417" t="s">
        <v>21309</v>
      </c>
      <c r="AF7745" s="416" t="s">
        <v>21310</v>
      </c>
    </row>
    <row r="7746" spans="31:32">
      <c r="AE7746" s="417" t="s">
        <v>21311</v>
      </c>
      <c r="AF7746" s="416" t="s">
        <v>21312</v>
      </c>
    </row>
    <row r="7747" spans="31:32">
      <c r="AE7747" s="417" t="s">
        <v>21313</v>
      </c>
      <c r="AF7747" s="416" t="s">
        <v>21314</v>
      </c>
    </row>
    <row r="7748" spans="31:32">
      <c r="AE7748" s="417" t="s">
        <v>21315</v>
      </c>
      <c r="AF7748" s="416" t="s">
        <v>21316</v>
      </c>
    </row>
    <row r="7749" spans="31:32">
      <c r="AE7749" s="417" t="s">
        <v>21317</v>
      </c>
      <c r="AF7749" s="416" t="s">
        <v>21318</v>
      </c>
    </row>
    <row r="7750" spans="31:32">
      <c r="AE7750" s="417" t="s">
        <v>21319</v>
      </c>
      <c r="AF7750" s="416" t="s">
        <v>21320</v>
      </c>
    </row>
    <row r="7751" spans="31:32">
      <c r="AE7751" s="417" t="s">
        <v>21321</v>
      </c>
      <c r="AF7751" s="416" t="s">
        <v>21322</v>
      </c>
    </row>
    <row r="7752" spans="31:32">
      <c r="AE7752" s="417" t="s">
        <v>21323</v>
      </c>
      <c r="AF7752" s="416" t="s">
        <v>21324</v>
      </c>
    </row>
    <row r="7753" spans="31:32">
      <c r="AE7753" s="417" t="s">
        <v>21325</v>
      </c>
      <c r="AF7753" s="416" t="s">
        <v>21326</v>
      </c>
    </row>
    <row r="7754" spans="31:32">
      <c r="AE7754" s="417" t="s">
        <v>21327</v>
      </c>
      <c r="AF7754" s="416" t="s">
        <v>21328</v>
      </c>
    </row>
    <row r="7755" spans="31:32">
      <c r="AE7755" s="417" t="s">
        <v>21329</v>
      </c>
      <c r="AF7755" s="416" t="s">
        <v>21330</v>
      </c>
    </row>
    <row r="7756" spans="31:32">
      <c r="AE7756" s="417" t="s">
        <v>21331</v>
      </c>
      <c r="AF7756" s="416" t="s">
        <v>21332</v>
      </c>
    </row>
    <row r="7757" spans="31:32">
      <c r="AE7757" s="417" t="s">
        <v>21333</v>
      </c>
      <c r="AF7757" s="416" t="s">
        <v>21334</v>
      </c>
    </row>
    <row r="7758" spans="31:32">
      <c r="AE7758" s="417" t="s">
        <v>21335</v>
      </c>
      <c r="AF7758" s="416" t="s">
        <v>21336</v>
      </c>
    </row>
    <row r="7759" spans="31:32">
      <c r="AE7759" s="417" t="s">
        <v>21337</v>
      </c>
      <c r="AF7759" s="416" t="s">
        <v>21338</v>
      </c>
    </row>
    <row r="7760" spans="31:32">
      <c r="AE7760" s="417" t="s">
        <v>21339</v>
      </c>
      <c r="AF7760" s="416" t="s">
        <v>21340</v>
      </c>
    </row>
    <row r="7761" spans="31:32">
      <c r="AE7761" s="417" t="s">
        <v>21341</v>
      </c>
      <c r="AF7761" s="416" t="s">
        <v>21342</v>
      </c>
    </row>
    <row r="7762" spans="31:32">
      <c r="AE7762" s="417" t="s">
        <v>21343</v>
      </c>
      <c r="AF7762" s="416" t="s">
        <v>21344</v>
      </c>
    </row>
    <row r="7763" spans="31:32">
      <c r="AE7763" s="417" t="s">
        <v>21345</v>
      </c>
      <c r="AF7763" s="416" t="s">
        <v>21346</v>
      </c>
    </row>
    <row r="7764" spans="31:32">
      <c r="AE7764" s="417" t="s">
        <v>21347</v>
      </c>
      <c r="AF7764" s="416" t="s">
        <v>21348</v>
      </c>
    </row>
    <row r="7765" spans="31:32">
      <c r="AE7765" s="417" t="s">
        <v>21349</v>
      </c>
      <c r="AF7765" s="416" t="s">
        <v>21350</v>
      </c>
    </row>
    <row r="7766" spans="31:32">
      <c r="AE7766" s="417" t="s">
        <v>21351</v>
      </c>
      <c r="AF7766" s="416" t="s">
        <v>21352</v>
      </c>
    </row>
    <row r="7767" spans="31:32">
      <c r="AE7767" s="417" t="s">
        <v>21353</v>
      </c>
      <c r="AF7767" s="416" t="s">
        <v>21354</v>
      </c>
    </row>
    <row r="7768" spans="31:32">
      <c r="AE7768" s="417" t="s">
        <v>21355</v>
      </c>
      <c r="AF7768" s="416" t="s">
        <v>21356</v>
      </c>
    </row>
    <row r="7769" spans="31:32">
      <c r="AE7769" s="417" t="s">
        <v>21357</v>
      </c>
      <c r="AF7769" s="416" t="s">
        <v>21358</v>
      </c>
    </row>
    <row r="7770" spans="31:32">
      <c r="AE7770" s="417" t="s">
        <v>21359</v>
      </c>
      <c r="AF7770" s="416" t="s">
        <v>21360</v>
      </c>
    </row>
    <row r="7771" spans="31:32">
      <c r="AE7771" s="417" t="s">
        <v>21361</v>
      </c>
      <c r="AF7771" s="416" t="s">
        <v>21362</v>
      </c>
    </row>
    <row r="7772" spans="31:32">
      <c r="AE7772" s="417" t="s">
        <v>21363</v>
      </c>
      <c r="AF7772" s="416" t="s">
        <v>21364</v>
      </c>
    </row>
    <row r="7773" spans="31:32">
      <c r="AE7773" s="417" t="s">
        <v>21365</v>
      </c>
      <c r="AF7773" s="416" t="s">
        <v>21366</v>
      </c>
    </row>
    <row r="7774" spans="31:32">
      <c r="AE7774" s="417" t="s">
        <v>21367</v>
      </c>
      <c r="AF7774" s="416" t="s">
        <v>21368</v>
      </c>
    </row>
    <row r="7775" spans="31:32">
      <c r="AE7775" s="417" t="s">
        <v>21369</v>
      </c>
      <c r="AF7775" s="416" t="s">
        <v>21370</v>
      </c>
    </row>
    <row r="7776" spans="31:32">
      <c r="AE7776" s="417" t="s">
        <v>21371</v>
      </c>
      <c r="AF7776" s="416" t="s">
        <v>21372</v>
      </c>
    </row>
    <row r="7777" spans="31:32">
      <c r="AE7777" s="417" t="s">
        <v>21373</v>
      </c>
      <c r="AF7777" s="416" t="s">
        <v>21374</v>
      </c>
    </row>
    <row r="7778" spans="31:32">
      <c r="AE7778" s="417" t="s">
        <v>21375</v>
      </c>
      <c r="AF7778" s="416" t="s">
        <v>21376</v>
      </c>
    </row>
    <row r="7779" spans="31:32">
      <c r="AE7779" s="417" t="s">
        <v>21377</v>
      </c>
      <c r="AF7779" s="416" t="s">
        <v>21378</v>
      </c>
    </row>
    <row r="7780" spans="31:32">
      <c r="AE7780" s="417" t="s">
        <v>21379</v>
      </c>
      <c r="AF7780" s="416" t="s">
        <v>21380</v>
      </c>
    </row>
    <row r="7781" spans="31:32">
      <c r="AE7781" s="417" t="s">
        <v>21381</v>
      </c>
      <c r="AF7781" s="416" t="s">
        <v>21382</v>
      </c>
    </row>
    <row r="7782" spans="31:32">
      <c r="AE7782" s="417" t="s">
        <v>21383</v>
      </c>
      <c r="AF7782" s="416" t="s">
        <v>21384</v>
      </c>
    </row>
    <row r="7783" spans="31:32">
      <c r="AE7783" s="417" t="s">
        <v>21385</v>
      </c>
      <c r="AF7783" s="416" t="s">
        <v>21386</v>
      </c>
    </row>
    <row r="7784" spans="31:32">
      <c r="AE7784" s="417" t="s">
        <v>21387</v>
      </c>
      <c r="AF7784" s="416" t="s">
        <v>21388</v>
      </c>
    </row>
    <row r="7785" spans="31:32">
      <c r="AE7785" s="417" t="s">
        <v>21389</v>
      </c>
      <c r="AF7785" s="416" t="s">
        <v>21390</v>
      </c>
    </row>
    <row r="7786" spans="31:32">
      <c r="AE7786" s="417" t="s">
        <v>21391</v>
      </c>
      <c r="AF7786" s="416" t="s">
        <v>21392</v>
      </c>
    </row>
    <row r="7787" spans="31:32">
      <c r="AE7787" s="417" t="s">
        <v>21393</v>
      </c>
      <c r="AF7787" s="416" t="s">
        <v>21394</v>
      </c>
    </row>
    <row r="7788" spans="31:32">
      <c r="AE7788" s="417" t="s">
        <v>21395</v>
      </c>
      <c r="AF7788" s="416" t="s">
        <v>21396</v>
      </c>
    </row>
    <row r="7789" spans="31:32">
      <c r="AE7789" s="417" t="s">
        <v>21397</v>
      </c>
      <c r="AF7789" s="416" t="s">
        <v>21398</v>
      </c>
    </row>
    <row r="7790" spans="31:32">
      <c r="AE7790" s="417" t="s">
        <v>21399</v>
      </c>
      <c r="AF7790" s="416" t="s">
        <v>21400</v>
      </c>
    </row>
    <row r="7791" spans="31:32">
      <c r="AE7791" s="417" t="s">
        <v>21401</v>
      </c>
      <c r="AF7791" s="416" t="s">
        <v>21402</v>
      </c>
    </row>
    <row r="7792" spans="31:32">
      <c r="AE7792" s="417" t="s">
        <v>21403</v>
      </c>
      <c r="AF7792" s="416" t="s">
        <v>21404</v>
      </c>
    </row>
    <row r="7793" spans="31:32">
      <c r="AE7793" s="417" t="s">
        <v>21405</v>
      </c>
      <c r="AF7793" s="416" t="s">
        <v>21406</v>
      </c>
    </row>
    <row r="7794" spans="31:32">
      <c r="AE7794" s="417" t="s">
        <v>21407</v>
      </c>
      <c r="AF7794" s="416" t="s">
        <v>21408</v>
      </c>
    </row>
    <row r="7795" spans="31:32">
      <c r="AE7795" s="417" t="s">
        <v>21409</v>
      </c>
      <c r="AF7795" s="416" t="s">
        <v>21410</v>
      </c>
    </row>
    <row r="7796" spans="31:32">
      <c r="AE7796" s="417" t="s">
        <v>21411</v>
      </c>
      <c r="AF7796" s="416" t="s">
        <v>21412</v>
      </c>
    </row>
    <row r="7797" spans="31:32">
      <c r="AE7797" s="417" t="s">
        <v>21413</v>
      </c>
      <c r="AF7797" s="416" t="s">
        <v>21414</v>
      </c>
    </row>
    <row r="7798" spans="31:32">
      <c r="AE7798" s="417" t="s">
        <v>21415</v>
      </c>
      <c r="AF7798" s="416" t="s">
        <v>21416</v>
      </c>
    </row>
    <row r="7799" spans="31:32">
      <c r="AE7799" s="417" t="s">
        <v>21417</v>
      </c>
      <c r="AF7799" s="416" t="s">
        <v>21418</v>
      </c>
    </row>
    <row r="7800" spans="31:32">
      <c r="AE7800" s="417" t="s">
        <v>21419</v>
      </c>
      <c r="AF7800" s="416" t="s">
        <v>21420</v>
      </c>
    </row>
    <row r="7801" spans="31:32">
      <c r="AE7801" s="417" t="s">
        <v>21421</v>
      </c>
      <c r="AF7801" s="416" t="s">
        <v>21422</v>
      </c>
    </row>
    <row r="7802" spans="31:32">
      <c r="AE7802" s="417" t="s">
        <v>21423</v>
      </c>
      <c r="AF7802" s="416" t="s">
        <v>21424</v>
      </c>
    </row>
    <row r="7803" spans="31:32">
      <c r="AE7803" s="417" t="s">
        <v>21425</v>
      </c>
      <c r="AF7803" s="416" t="s">
        <v>21426</v>
      </c>
    </row>
    <row r="7804" spans="31:32">
      <c r="AE7804" s="417" t="s">
        <v>21427</v>
      </c>
      <c r="AF7804" s="416" t="s">
        <v>21428</v>
      </c>
    </row>
    <row r="7805" spans="31:32">
      <c r="AE7805" s="417" t="s">
        <v>21429</v>
      </c>
      <c r="AF7805" s="416" t="s">
        <v>21430</v>
      </c>
    </row>
    <row r="7806" spans="31:32">
      <c r="AE7806" s="417" t="s">
        <v>21431</v>
      </c>
      <c r="AF7806" s="416" t="s">
        <v>21432</v>
      </c>
    </row>
    <row r="7807" spans="31:32">
      <c r="AE7807" s="417" t="s">
        <v>21433</v>
      </c>
      <c r="AF7807" s="416" t="s">
        <v>21434</v>
      </c>
    </row>
    <row r="7808" spans="31:32">
      <c r="AE7808" s="417" t="s">
        <v>21435</v>
      </c>
      <c r="AF7808" s="416" t="s">
        <v>21436</v>
      </c>
    </row>
    <row r="7809" spans="31:32">
      <c r="AE7809" s="417" t="s">
        <v>21437</v>
      </c>
      <c r="AF7809" s="416" t="s">
        <v>21438</v>
      </c>
    </row>
    <row r="7810" spans="31:32">
      <c r="AE7810" s="417" t="s">
        <v>21439</v>
      </c>
      <c r="AF7810" s="416" t="s">
        <v>21440</v>
      </c>
    </row>
    <row r="7811" spans="31:32">
      <c r="AE7811" s="417" t="s">
        <v>21441</v>
      </c>
      <c r="AF7811" s="416" t="s">
        <v>21442</v>
      </c>
    </row>
    <row r="7812" spans="31:32">
      <c r="AE7812" s="417" t="s">
        <v>21443</v>
      </c>
      <c r="AF7812" s="416" t="s">
        <v>21444</v>
      </c>
    </row>
    <row r="7813" spans="31:32">
      <c r="AE7813" s="417" t="s">
        <v>21445</v>
      </c>
      <c r="AF7813" s="416" t="s">
        <v>21446</v>
      </c>
    </row>
    <row r="7814" spans="31:32">
      <c r="AE7814" s="417" t="s">
        <v>21447</v>
      </c>
      <c r="AF7814" s="416" t="s">
        <v>21448</v>
      </c>
    </row>
    <row r="7815" spans="31:32">
      <c r="AE7815" s="417" t="s">
        <v>21449</v>
      </c>
      <c r="AF7815" s="416" t="s">
        <v>21450</v>
      </c>
    </row>
    <row r="7816" spans="31:32">
      <c r="AE7816" s="417" t="s">
        <v>21451</v>
      </c>
      <c r="AF7816" s="416" t="s">
        <v>21452</v>
      </c>
    </row>
    <row r="7817" spans="31:32">
      <c r="AE7817" s="417" t="s">
        <v>21453</v>
      </c>
      <c r="AF7817" s="416" t="s">
        <v>21454</v>
      </c>
    </row>
    <row r="7818" spans="31:32">
      <c r="AE7818" s="417" t="s">
        <v>21455</v>
      </c>
      <c r="AF7818" s="416" t="s">
        <v>21456</v>
      </c>
    </row>
    <row r="7819" spans="31:32">
      <c r="AE7819" s="417" t="s">
        <v>21457</v>
      </c>
      <c r="AF7819" s="416" t="s">
        <v>21458</v>
      </c>
    </row>
    <row r="7820" spans="31:32">
      <c r="AE7820" s="417" t="s">
        <v>21459</v>
      </c>
      <c r="AF7820" s="416" t="s">
        <v>21460</v>
      </c>
    </row>
    <row r="7821" spans="31:32">
      <c r="AE7821" s="417" t="s">
        <v>21461</v>
      </c>
      <c r="AF7821" s="416" t="s">
        <v>21462</v>
      </c>
    </row>
    <row r="7822" spans="31:32">
      <c r="AE7822" s="417" t="s">
        <v>21463</v>
      </c>
      <c r="AF7822" s="416" t="s">
        <v>21464</v>
      </c>
    </row>
    <row r="7823" spans="31:32">
      <c r="AE7823" s="417" t="s">
        <v>21465</v>
      </c>
      <c r="AF7823" s="416" t="s">
        <v>21466</v>
      </c>
    </row>
    <row r="7824" spans="31:32">
      <c r="AE7824" s="417" t="s">
        <v>21467</v>
      </c>
      <c r="AF7824" s="416" t="s">
        <v>21468</v>
      </c>
    </row>
    <row r="7825" spans="31:32">
      <c r="AE7825" s="417" t="s">
        <v>21469</v>
      </c>
      <c r="AF7825" s="416" t="s">
        <v>21470</v>
      </c>
    </row>
    <row r="7826" spans="31:32">
      <c r="AE7826" s="417" t="s">
        <v>21471</v>
      </c>
      <c r="AF7826" s="416" t="s">
        <v>21472</v>
      </c>
    </row>
    <row r="7827" spans="31:32">
      <c r="AE7827" s="417" t="s">
        <v>21473</v>
      </c>
      <c r="AF7827" s="416" t="s">
        <v>21474</v>
      </c>
    </row>
    <row r="7828" spans="31:32">
      <c r="AE7828" s="417" t="s">
        <v>21475</v>
      </c>
      <c r="AF7828" s="416" t="s">
        <v>21476</v>
      </c>
    </row>
    <row r="7829" spans="31:32">
      <c r="AE7829" s="417" t="s">
        <v>21477</v>
      </c>
      <c r="AF7829" s="416" t="s">
        <v>21478</v>
      </c>
    </row>
    <row r="7830" spans="31:32">
      <c r="AE7830" s="417" t="s">
        <v>21479</v>
      </c>
      <c r="AF7830" s="416" t="s">
        <v>21480</v>
      </c>
    </row>
    <row r="7831" spans="31:32">
      <c r="AE7831" s="417" t="s">
        <v>21481</v>
      </c>
      <c r="AF7831" s="416" t="s">
        <v>21482</v>
      </c>
    </row>
    <row r="7832" spans="31:32">
      <c r="AE7832" s="417" t="s">
        <v>21483</v>
      </c>
      <c r="AF7832" s="416" t="s">
        <v>21484</v>
      </c>
    </row>
    <row r="7833" spans="31:32">
      <c r="AE7833" s="417" t="s">
        <v>21485</v>
      </c>
      <c r="AF7833" s="416" t="s">
        <v>21486</v>
      </c>
    </row>
    <row r="7834" spans="31:32">
      <c r="AE7834" s="417" t="s">
        <v>21487</v>
      </c>
      <c r="AF7834" s="416" t="s">
        <v>21488</v>
      </c>
    </row>
    <row r="7835" spans="31:32">
      <c r="AE7835" s="417" t="s">
        <v>21489</v>
      </c>
      <c r="AF7835" s="416" t="s">
        <v>21490</v>
      </c>
    </row>
    <row r="7836" spans="31:32">
      <c r="AE7836" s="417" t="s">
        <v>21491</v>
      </c>
      <c r="AF7836" s="416" t="s">
        <v>21492</v>
      </c>
    </row>
    <row r="7837" spans="31:32">
      <c r="AE7837" s="417" t="s">
        <v>21493</v>
      </c>
      <c r="AF7837" s="416" t="s">
        <v>21494</v>
      </c>
    </row>
    <row r="7838" spans="31:32">
      <c r="AE7838" s="417" t="s">
        <v>21495</v>
      </c>
      <c r="AF7838" s="416" t="s">
        <v>21496</v>
      </c>
    </row>
    <row r="7839" spans="31:32">
      <c r="AE7839" s="417" t="s">
        <v>21497</v>
      </c>
      <c r="AF7839" s="416" t="s">
        <v>21498</v>
      </c>
    </row>
    <row r="7840" spans="31:32">
      <c r="AE7840" s="417" t="s">
        <v>21499</v>
      </c>
      <c r="AF7840" s="416" t="s">
        <v>21500</v>
      </c>
    </row>
    <row r="7841" spans="31:32">
      <c r="AE7841" s="417" t="s">
        <v>21501</v>
      </c>
      <c r="AF7841" s="416" t="s">
        <v>21502</v>
      </c>
    </row>
    <row r="7842" spans="31:32">
      <c r="AE7842" s="417" t="s">
        <v>21503</v>
      </c>
      <c r="AF7842" s="416" t="s">
        <v>21504</v>
      </c>
    </row>
    <row r="7843" spans="31:32">
      <c r="AE7843" s="417" t="s">
        <v>21505</v>
      </c>
      <c r="AF7843" s="416" t="s">
        <v>21506</v>
      </c>
    </row>
    <row r="7844" spans="31:32">
      <c r="AE7844" s="417" t="s">
        <v>21507</v>
      </c>
      <c r="AF7844" s="416" t="s">
        <v>21508</v>
      </c>
    </row>
    <row r="7845" spans="31:32">
      <c r="AE7845" s="417" t="s">
        <v>21509</v>
      </c>
      <c r="AF7845" s="416" t="s">
        <v>21510</v>
      </c>
    </row>
    <row r="7846" spans="31:32">
      <c r="AE7846" s="417" t="s">
        <v>21511</v>
      </c>
      <c r="AF7846" s="416" t="s">
        <v>21512</v>
      </c>
    </row>
    <row r="7847" spans="31:32">
      <c r="AE7847" s="417" t="s">
        <v>21513</v>
      </c>
      <c r="AF7847" s="416" t="s">
        <v>21514</v>
      </c>
    </row>
    <row r="7848" spans="31:32">
      <c r="AE7848" s="417" t="s">
        <v>21515</v>
      </c>
      <c r="AF7848" s="416" t="s">
        <v>21516</v>
      </c>
    </row>
    <row r="7849" spans="31:32">
      <c r="AE7849" s="417" t="s">
        <v>21517</v>
      </c>
      <c r="AF7849" s="416" t="s">
        <v>21518</v>
      </c>
    </row>
    <row r="7850" spans="31:32">
      <c r="AE7850" s="417" t="s">
        <v>21519</v>
      </c>
      <c r="AF7850" s="416" t="s">
        <v>21520</v>
      </c>
    </row>
    <row r="7851" spans="31:32">
      <c r="AE7851" s="417" t="s">
        <v>21521</v>
      </c>
      <c r="AF7851" s="416" t="s">
        <v>21522</v>
      </c>
    </row>
    <row r="7852" spans="31:32">
      <c r="AE7852" s="417" t="s">
        <v>21523</v>
      </c>
      <c r="AF7852" s="416" t="s">
        <v>21524</v>
      </c>
    </row>
    <row r="7853" spans="31:32">
      <c r="AE7853" s="417" t="s">
        <v>21525</v>
      </c>
      <c r="AF7853" s="416" t="s">
        <v>21526</v>
      </c>
    </row>
    <row r="7854" spans="31:32">
      <c r="AE7854" s="417" t="s">
        <v>21527</v>
      </c>
      <c r="AF7854" s="416" t="s">
        <v>21528</v>
      </c>
    </row>
    <row r="7855" spans="31:32">
      <c r="AE7855" s="417" t="s">
        <v>21529</v>
      </c>
      <c r="AF7855" s="416" t="s">
        <v>21530</v>
      </c>
    </row>
    <row r="7856" spans="31:32">
      <c r="AE7856" s="417" t="s">
        <v>21531</v>
      </c>
      <c r="AF7856" s="416" t="s">
        <v>21532</v>
      </c>
    </row>
    <row r="7857" spans="31:32">
      <c r="AE7857" s="417" t="s">
        <v>21533</v>
      </c>
      <c r="AF7857" s="416" t="s">
        <v>21534</v>
      </c>
    </row>
    <row r="7858" spans="31:32">
      <c r="AE7858" s="417" t="s">
        <v>21535</v>
      </c>
      <c r="AF7858" s="416" t="s">
        <v>21536</v>
      </c>
    </row>
    <row r="7859" spans="31:32">
      <c r="AE7859" s="417" t="s">
        <v>21537</v>
      </c>
      <c r="AF7859" s="416" t="s">
        <v>21538</v>
      </c>
    </row>
    <row r="7860" spans="31:32">
      <c r="AE7860" s="417" t="s">
        <v>21539</v>
      </c>
      <c r="AF7860" s="416" t="s">
        <v>21540</v>
      </c>
    </row>
    <row r="7861" spans="31:32">
      <c r="AE7861" s="417" t="s">
        <v>21541</v>
      </c>
      <c r="AF7861" s="416" t="s">
        <v>21542</v>
      </c>
    </row>
    <row r="7862" spans="31:32">
      <c r="AE7862" s="417" t="s">
        <v>21543</v>
      </c>
      <c r="AF7862" s="416" t="s">
        <v>21544</v>
      </c>
    </row>
    <row r="7863" spans="31:32">
      <c r="AE7863" s="417" t="s">
        <v>21545</v>
      </c>
      <c r="AF7863" s="416" t="s">
        <v>21546</v>
      </c>
    </row>
    <row r="7864" spans="31:32">
      <c r="AE7864" s="417" t="s">
        <v>21547</v>
      </c>
      <c r="AF7864" s="416" t="s">
        <v>21548</v>
      </c>
    </row>
    <row r="7865" spans="31:32">
      <c r="AE7865" s="417" t="s">
        <v>21549</v>
      </c>
      <c r="AF7865" s="416" t="s">
        <v>21550</v>
      </c>
    </row>
    <row r="7866" spans="31:32">
      <c r="AE7866" s="417" t="s">
        <v>21551</v>
      </c>
      <c r="AF7866" s="416" t="s">
        <v>21552</v>
      </c>
    </row>
    <row r="7867" spans="31:32">
      <c r="AE7867" s="417" t="s">
        <v>21553</v>
      </c>
      <c r="AF7867" s="416" t="s">
        <v>21554</v>
      </c>
    </row>
    <row r="7868" spans="31:32">
      <c r="AE7868" s="417" t="s">
        <v>21555</v>
      </c>
      <c r="AF7868" s="416" t="s">
        <v>21556</v>
      </c>
    </row>
    <row r="7869" spans="31:32">
      <c r="AE7869" s="417" t="s">
        <v>21557</v>
      </c>
      <c r="AF7869" s="416" t="s">
        <v>21558</v>
      </c>
    </row>
    <row r="7870" spans="31:32">
      <c r="AE7870" s="417" t="s">
        <v>21559</v>
      </c>
      <c r="AF7870" s="416" t="s">
        <v>21560</v>
      </c>
    </row>
    <row r="7871" spans="31:32">
      <c r="AE7871" s="417" t="s">
        <v>21561</v>
      </c>
      <c r="AF7871" s="416" t="s">
        <v>21562</v>
      </c>
    </row>
    <row r="7872" spans="31:32">
      <c r="AE7872" s="417" t="s">
        <v>21563</v>
      </c>
      <c r="AF7872" s="416" t="s">
        <v>21564</v>
      </c>
    </row>
    <row r="7873" spans="31:32">
      <c r="AE7873" s="417" t="s">
        <v>21565</v>
      </c>
      <c r="AF7873" s="416" t="s">
        <v>21566</v>
      </c>
    </row>
    <row r="7874" spans="31:32">
      <c r="AE7874" s="417" t="s">
        <v>21567</v>
      </c>
      <c r="AF7874" s="416" t="s">
        <v>21568</v>
      </c>
    </row>
    <row r="7875" spans="31:32">
      <c r="AE7875" s="417" t="s">
        <v>21569</v>
      </c>
      <c r="AF7875" s="416" t="s">
        <v>21570</v>
      </c>
    </row>
    <row r="7876" spans="31:32">
      <c r="AE7876" s="417" t="s">
        <v>21571</v>
      </c>
      <c r="AF7876" s="416" t="s">
        <v>21572</v>
      </c>
    </row>
    <row r="7877" spans="31:32">
      <c r="AE7877" s="417" t="s">
        <v>21573</v>
      </c>
      <c r="AF7877" s="416" t="s">
        <v>21574</v>
      </c>
    </row>
    <row r="7878" spans="31:32">
      <c r="AE7878" s="417" t="s">
        <v>21575</v>
      </c>
      <c r="AF7878" s="416" t="s">
        <v>21576</v>
      </c>
    </row>
    <row r="7879" spans="31:32">
      <c r="AE7879" s="417" t="s">
        <v>21577</v>
      </c>
      <c r="AF7879" s="416" t="s">
        <v>21578</v>
      </c>
    </row>
    <row r="7880" spans="31:32">
      <c r="AE7880" s="417" t="s">
        <v>21579</v>
      </c>
      <c r="AF7880" s="416" t="s">
        <v>21580</v>
      </c>
    </row>
    <row r="7881" spans="31:32">
      <c r="AE7881" s="417" t="s">
        <v>21581</v>
      </c>
      <c r="AF7881" s="416" t="s">
        <v>21582</v>
      </c>
    </row>
    <row r="7882" spans="31:32">
      <c r="AE7882" s="417" t="s">
        <v>21583</v>
      </c>
      <c r="AF7882" s="416" t="s">
        <v>21584</v>
      </c>
    </row>
    <row r="7883" spans="31:32">
      <c r="AE7883" s="417" t="s">
        <v>21585</v>
      </c>
      <c r="AF7883" s="416" t="s">
        <v>21586</v>
      </c>
    </row>
    <row r="7884" spans="31:32">
      <c r="AE7884" s="417" t="s">
        <v>21587</v>
      </c>
      <c r="AF7884" s="416" t="s">
        <v>21588</v>
      </c>
    </row>
    <row r="7885" spans="31:32">
      <c r="AE7885" s="417" t="s">
        <v>21589</v>
      </c>
      <c r="AF7885" s="416" t="s">
        <v>21590</v>
      </c>
    </row>
    <row r="7886" spans="31:32">
      <c r="AE7886" s="417" t="s">
        <v>21591</v>
      </c>
      <c r="AF7886" s="416" t="s">
        <v>21592</v>
      </c>
    </row>
    <row r="7887" spans="31:32">
      <c r="AE7887" s="417" t="s">
        <v>21593</v>
      </c>
      <c r="AF7887" s="416" t="s">
        <v>21594</v>
      </c>
    </row>
    <row r="7888" spans="31:32">
      <c r="AE7888" s="417" t="s">
        <v>21595</v>
      </c>
      <c r="AF7888" s="416" t="s">
        <v>21596</v>
      </c>
    </row>
    <row r="7889" spans="31:32">
      <c r="AE7889" s="417" t="s">
        <v>21597</v>
      </c>
      <c r="AF7889" s="416" t="s">
        <v>21598</v>
      </c>
    </row>
    <row r="7890" spans="31:32">
      <c r="AE7890" s="417" t="s">
        <v>21599</v>
      </c>
      <c r="AF7890" s="416" t="s">
        <v>21600</v>
      </c>
    </row>
    <row r="7891" spans="31:32">
      <c r="AE7891" s="417" t="s">
        <v>21601</v>
      </c>
      <c r="AF7891" s="416" t="s">
        <v>21602</v>
      </c>
    </row>
    <row r="7892" spans="31:32">
      <c r="AE7892" s="417" t="s">
        <v>21603</v>
      </c>
      <c r="AF7892" s="416" t="s">
        <v>21604</v>
      </c>
    </row>
    <row r="7893" spans="31:32">
      <c r="AE7893" s="417" t="s">
        <v>21605</v>
      </c>
      <c r="AF7893" s="416" t="s">
        <v>21606</v>
      </c>
    </row>
    <row r="7894" spans="31:32">
      <c r="AE7894" s="417" t="s">
        <v>21607</v>
      </c>
      <c r="AF7894" s="416" t="s">
        <v>21608</v>
      </c>
    </row>
    <row r="7895" spans="31:32">
      <c r="AE7895" s="417" t="s">
        <v>21609</v>
      </c>
      <c r="AF7895" s="416" t="s">
        <v>21610</v>
      </c>
    </row>
    <row r="7896" spans="31:32">
      <c r="AE7896" s="417" t="s">
        <v>21611</v>
      </c>
      <c r="AF7896" s="416" t="s">
        <v>21612</v>
      </c>
    </row>
    <row r="7897" spans="31:32">
      <c r="AE7897" s="417" t="s">
        <v>21613</v>
      </c>
      <c r="AF7897" s="416" t="s">
        <v>21614</v>
      </c>
    </row>
    <row r="7898" spans="31:32">
      <c r="AE7898" s="417" t="s">
        <v>21615</v>
      </c>
      <c r="AF7898" s="416" t="s">
        <v>21616</v>
      </c>
    </row>
    <row r="7899" spans="31:32">
      <c r="AE7899" s="417" t="s">
        <v>21617</v>
      </c>
      <c r="AF7899" s="416" t="s">
        <v>21618</v>
      </c>
    </row>
    <row r="7900" spans="31:32">
      <c r="AE7900" s="417" t="s">
        <v>21619</v>
      </c>
      <c r="AF7900" s="416" t="s">
        <v>21620</v>
      </c>
    </row>
    <row r="7901" spans="31:32">
      <c r="AE7901" s="417" t="s">
        <v>21621</v>
      </c>
      <c r="AF7901" s="416" t="s">
        <v>21622</v>
      </c>
    </row>
    <row r="7902" spans="31:32">
      <c r="AE7902" s="417" t="s">
        <v>21623</v>
      </c>
      <c r="AF7902" s="416" t="s">
        <v>21624</v>
      </c>
    </row>
    <row r="7903" spans="31:32">
      <c r="AE7903" s="417" t="s">
        <v>21625</v>
      </c>
      <c r="AF7903" s="416" t="s">
        <v>21626</v>
      </c>
    </row>
    <row r="7904" spans="31:32">
      <c r="AE7904" s="417" t="s">
        <v>21627</v>
      </c>
      <c r="AF7904" s="416" t="s">
        <v>21628</v>
      </c>
    </row>
    <row r="7905" spans="31:32">
      <c r="AE7905" s="417" t="s">
        <v>21629</v>
      </c>
      <c r="AF7905" s="416" t="s">
        <v>21630</v>
      </c>
    </row>
    <row r="7906" spans="31:32">
      <c r="AE7906" s="417" t="s">
        <v>21631</v>
      </c>
      <c r="AF7906" s="416" t="s">
        <v>21632</v>
      </c>
    </row>
    <row r="7907" spans="31:32">
      <c r="AE7907" s="417" t="s">
        <v>21633</v>
      </c>
      <c r="AF7907" s="416" t="s">
        <v>21634</v>
      </c>
    </row>
    <row r="7908" spans="31:32">
      <c r="AE7908" s="417" t="s">
        <v>21635</v>
      </c>
      <c r="AF7908" s="416" t="s">
        <v>21636</v>
      </c>
    </row>
    <row r="7909" spans="31:32">
      <c r="AE7909" s="417" t="s">
        <v>21637</v>
      </c>
      <c r="AF7909" s="416" t="s">
        <v>21638</v>
      </c>
    </row>
    <row r="7910" spans="31:32">
      <c r="AE7910" s="417" t="s">
        <v>21639</v>
      </c>
      <c r="AF7910" s="416" t="s">
        <v>21640</v>
      </c>
    </row>
    <row r="7911" spans="31:32">
      <c r="AE7911" s="417" t="s">
        <v>21641</v>
      </c>
      <c r="AF7911" s="416" t="s">
        <v>21642</v>
      </c>
    </row>
    <row r="7912" spans="31:32">
      <c r="AE7912" s="417" t="s">
        <v>21643</v>
      </c>
      <c r="AF7912" s="416" t="s">
        <v>21644</v>
      </c>
    </row>
    <row r="7913" spans="31:32">
      <c r="AE7913" s="417" t="s">
        <v>21645</v>
      </c>
      <c r="AF7913" s="416" t="s">
        <v>21646</v>
      </c>
    </row>
    <row r="7914" spans="31:32">
      <c r="AE7914" s="417" t="s">
        <v>21647</v>
      </c>
      <c r="AF7914" s="416" t="s">
        <v>21648</v>
      </c>
    </row>
    <row r="7915" spans="31:32">
      <c r="AE7915" s="417" t="s">
        <v>21649</v>
      </c>
      <c r="AF7915" s="416" t="s">
        <v>21650</v>
      </c>
    </row>
    <row r="7916" spans="31:32">
      <c r="AE7916" s="417" t="s">
        <v>21651</v>
      </c>
      <c r="AF7916" s="416" t="s">
        <v>21652</v>
      </c>
    </row>
    <row r="7917" spans="31:32">
      <c r="AE7917" s="417" t="s">
        <v>21653</v>
      </c>
      <c r="AF7917" s="416" t="s">
        <v>21654</v>
      </c>
    </row>
    <row r="7918" spans="31:32">
      <c r="AE7918" s="417" t="s">
        <v>21655</v>
      </c>
      <c r="AF7918" s="416" t="s">
        <v>21656</v>
      </c>
    </row>
    <row r="7919" spans="31:32">
      <c r="AE7919" s="417" t="s">
        <v>21657</v>
      </c>
      <c r="AF7919" s="416" t="s">
        <v>21658</v>
      </c>
    </row>
    <row r="7920" spans="31:32">
      <c r="AE7920" s="417" t="s">
        <v>21659</v>
      </c>
      <c r="AF7920" s="416" t="s">
        <v>21660</v>
      </c>
    </row>
    <row r="7921" spans="31:32">
      <c r="AE7921" s="417" t="s">
        <v>21661</v>
      </c>
      <c r="AF7921" s="416" t="s">
        <v>21662</v>
      </c>
    </row>
    <row r="7922" spans="31:32">
      <c r="AE7922" s="417" t="s">
        <v>21663</v>
      </c>
      <c r="AF7922" s="416" t="s">
        <v>21664</v>
      </c>
    </row>
    <row r="7923" spans="31:32">
      <c r="AE7923" s="417" t="s">
        <v>21665</v>
      </c>
      <c r="AF7923" s="416" t="s">
        <v>21666</v>
      </c>
    </row>
    <row r="7924" spans="31:32">
      <c r="AE7924" s="417" t="s">
        <v>21667</v>
      </c>
      <c r="AF7924" s="416" t="s">
        <v>21668</v>
      </c>
    </row>
    <row r="7925" spans="31:32">
      <c r="AE7925" s="417" t="s">
        <v>21669</v>
      </c>
      <c r="AF7925" s="416" t="s">
        <v>21670</v>
      </c>
    </row>
    <row r="7926" spans="31:32">
      <c r="AE7926" s="417" t="s">
        <v>21671</v>
      </c>
      <c r="AF7926" s="416" t="s">
        <v>21672</v>
      </c>
    </row>
    <row r="7927" spans="31:32">
      <c r="AE7927" s="417" t="s">
        <v>21673</v>
      </c>
      <c r="AF7927" s="416" t="s">
        <v>21674</v>
      </c>
    </row>
    <row r="7928" spans="31:32">
      <c r="AE7928" s="417" t="s">
        <v>21675</v>
      </c>
      <c r="AF7928" s="416" t="s">
        <v>21676</v>
      </c>
    </row>
    <row r="7929" spans="31:32">
      <c r="AE7929" s="417" t="s">
        <v>21677</v>
      </c>
      <c r="AF7929" s="416" t="s">
        <v>21678</v>
      </c>
    </row>
    <row r="7930" spans="31:32">
      <c r="AE7930" s="417" t="s">
        <v>21679</v>
      </c>
      <c r="AF7930" s="416" t="s">
        <v>21680</v>
      </c>
    </row>
    <row r="7931" spans="31:32">
      <c r="AE7931" s="417" t="s">
        <v>21681</v>
      </c>
      <c r="AF7931" s="416" t="s">
        <v>21682</v>
      </c>
    </row>
    <row r="7932" spans="31:32">
      <c r="AE7932" s="417" t="s">
        <v>21683</v>
      </c>
      <c r="AF7932" s="416" t="s">
        <v>21684</v>
      </c>
    </row>
    <row r="7933" spans="31:32">
      <c r="AE7933" s="417" t="s">
        <v>21685</v>
      </c>
      <c r="AF7933" s="416" t="s">
        <v>21686</v>
      </c>
    </row>
    <row r="7934" spans="31:32">
      <c r="AE7934" s="417" t="s">
        <v>21687</v>
      </c>
      <c r="AF7934" s="416" t="s">
        <v>21688</v>
      </c>
    </row>
    <row r="7935" spans="31:32">
      <c r="AE7935" s="417" t="s">
        <v>21689</v>
      </c>
      <c r="AF7935" s="416" t="s">
        <v>21690</v>
      </c>
    </row>
    <row r="7936" spans="31:32">
      <c r="AE7936" s="417" t="s">
        <v>21691</v>
      </c>
      <c r="AF7936" s="416" t="s">
        <v>21692</v>
      </c>
    </row>
    <row r="7937" spans="31:32">
      <c r="AE7937" s="417" t="s">
        <v>21693</v>
      </c>
      <c r="AF7937" s="416" t="s">
        <v>21694</v>
      </c>
    </row>
    <row r="7938" spans="31:32">
      <c r="AE7938" s="417" t="s">
        <v>21695</v>
      </c>
      <c r="AF7938" s="416" t="s">
        <v>21696</v>
      </c>
    </row>
    <row r="7939" spans="31:32">
      <c r="AE7939" s="417" t="s">
        <v>21697</v>
      </c>
      <c r="AF7939" s="416" t="s">
        <v>21698</v>
      </c>
    </row>
    <row r="7940" spans="31:32">
      <c r="AE7940" s="417" t="s">
        <v>21699</v>
      </c>
      <c r="AF7940" s="416" t="s">
        <v>21700</v>
      </c>
    </row>
    <row r="7941" spans="31:32">
      <c r="AE7941" s="417" t="s">
        <v>21701</v>
      </c>
      <c r="AF7941" s="416" t="s">
        <v>21702</v>
      </c>
    </row>
    <row r="7942" spans="31:32">
      <c r="AE7942" s="417" t="s">
        <v>21703</v>
      </c>
      <c r="AF7942" s="416" t="s">
        <v>21704</v>
      </c>
    </row>
    <row r="7943" spans="31:32">
      <c r="AE7943" s="417" t="s">
        <v>21705</v>
      </c>
      <c r="AF7943" s="416" t="s">
        <v>21706</v>
      </c>
    </row>
    <row r="7944" spans="31:32">
      <c r="AE7944" s="417" t="s">
        <v>21707</v>
      </c>
      <c r="AF7944" s="416" t="s">
        <v>21708</v>
      </c>
    </row>
    <row r="7945" spans="31:32">
      <c r="AE7945" s="417" t="s">
        <v>21709</v>
      </c>
      <c r="AF7945" s="416" t="s">
        <v>21710</v>
      </c>
    </row>
    <row r="7946" spans="31:32">
      <c r="AE7946" s="417" t="s">
        <v>21711</v>
      </c>
      <c r="AF7946" s="416" t="s">
        <v>21712</v>
      </c>
    </row>
    <row r="7947" spans="31:32">
      <c r="AE7947" s="417" t="s">
        <v>21713</v>
      </c>
      <c r="AF7947" s="416" t="s">
        <v>21714</v>
      </c>
    </row>
    <row r="7948" spans="31:32">
      <c r="AE7948" s="417" t="s">
        <v>21715</v>
      </c>
      <c r="AF7948" s="416" t="s">
        <v>21716</v>
      </c>
    </row>
    <row r="7949" spans="31:32">
      <c r="AE7949" s="417" t="s">
        <v>21717</v>
      </c>
      <c r="AF7949" s="416" t="s">
        <v>21718</v>
      </c>
    </row>
    <row r="7950" spans="31:32">
      <c r="AE7950" s="417" t="s">
        <v>21719</v>
      </c>
      <c r="AF7950" s="416" t="s">
        <v>21720</v>
      </c>
    </row>
    <row r="7951" spans="31:32">
      <c r="AE7951" s="417" t="s">
        <v>21721</v>
      </c>
      <c r="AF7951" s="416" t="s">
        <v>21722</v>
      </c>
    </row>
    <row r="7952" spans="31:32">
      <c r="AE7952" s="417" t="s">
        <v>21723</v>
      </c>
      <c r="AF7952" s="416" t="s">
        <v>21724</v>
      </c>
    </row>
    <row r="7953" spans="31:32">
      <c r="AE7953" s="417" t="s">
        <v>21725</v>
      </c>
      <c r="AF7953" s="416" t="s">
        <v>21726</v>
      </c>
    </row>
    <row r="7954" spans="31:32">
      <c r="AE7954" s="417" t="s">
        <v>21727</v>
      </c>
      <c r="AF7954" s="416" t="s">
        <v>21728</v>
      </c>
    </row>
    <row r="7955" spans="31:32">
      <c r="AE7955" s="417" t="s">
        <v>21729</v>
      </c>
      <c r="AF7955" s="416" t="s">
        <v>21730</v>
      </c>
    </row>
    <row r="7956" spans="31:32">
      <c r="AE7956" s="417" t="s">
        <v>21731</v>
      </c>
      <c r="AF7956" s="416" t="s">
        <v>21732</v>
      </c>
    </row>
    <row r="7957" spans="31:32">
      <c r="AE7957" s="417" t="s">
        <v>21733</v>
      </c>
      <c r="AF7957" s="416" t="s">
        <v>21734</v>
      </c>
    </row>
    <row r="7958" spans="31:32">
      <c r="AE7958" s="417" t="s">
        <v>21735</v>
      </c>
      <c r="AF7958" s="416" t="s">
        <v>21736</v>
      </c>
    </row>
    <row r="7959" spans="31:32">
      <c r="AE7959" s="417" t="s">
        <v>21737</v>
      </c>
      <c r="AF7959" s="416" t="s">
        <v>21738</v>
      </c>
    </row>
    <row r="7960" spans="31:32">
      <c r="AE7960" s="417" t="s">
        <v>21739</v>
      </c>
      <c r="AF7960" s="416" t="s">
        <v>21740</v>
      </c>
    </row>
    <row r="7961" spans="31:32">
      <c r="AE7961" s="417" t="s">
        <v>21741</v>
      </c>
      <c r="AF7961" s="416" t="s">
        <v>21742</v>
      </c>
    </row>
    <row r="7962" spans="31:32">
      <c r="AE7962" s="417" t="s">
        <v>21743</v>
      </c>
      <c r="AF7962" s="416" t="s">
        <v>21744</v>
      </c>
    </row>
    <row r="7963" spans="31:32">
      <c r="AE7963" s="417" t="s">
        <v>21745</v>
      </c>
      <c r="AF7963" s="416" t="s">
        <v>21746</v>
      </c>
    </row>
    <row r="7964" spans="31:32">
      <c r="AE7964" s="417" t="s">
        <v>21747</v>
      </c>
      <c r="AF7964" s="416" t="s">
        <v>21748</v>
      </c>
    </row>
    <row r="7965" spans="31:32">
      <c r="AE7965" s="417" t="s">
        <v>21749</v>
      </c>
      <c r="AF7965" s="416" t="s">
        <v>21750</v>
      </c>
    </row>
    <row r="7966" spans="31:32">
      <c r="AE7966" s="417" t="s">
        <v>21751</v>
      </c>
      <c r="AF7966" s="416" t="s">
        <v>21752</v>
      </c>
    </row>
    <row r="7967" spans="31:32">
      <c r="AE7967" s="417" t="s">
        <v>21753</v>
      </c>
      <c r="AF7967" s="416" t="s">
        <v>21754</v>
      </c>
    </row>
    <row r="7968" spans="31:32">
      <c r="AE7968" s="417" t="s">
        <v>21755</v>
      </c>
      <c r="AF7968" s="416" t="s">
        <v>21756</v>
      </c>
    </row>
    <row r="7969" spans="31:32">
      <c r="AE7969" s="417" t="s">
        <v>21757</v>
      </c>
      <c r="AF7969" s="416" t="s">
        <v>21758</v>
      </c>
    </row>
    <row r="7970" spans="31:32">
      <c r="AE7970" s="417" t="s">
        <v>21759</v>
      </c>
      <c r="AF7970" s="416" t="s">
        <v>21760</v>
      </c>
    </row>
    <row r="7971" spans="31:32">
      <c r="AE7971" s="417" t="s">
        <v>21761</v>
      </c>
      <c r="AF7971" s="416" t="s">
        <v>21762</v>
      </c>
    </row>
    <row r="7972" spans="31:32">
      <c r="AE7972" s="417" t="s">
        <v>21763</v>
      </c>
      <c r="AF7972" s="416" t="s">
        <v>21764</v>
      </c>
    </row>
    <row r="7973" spans="31:32">
      <c r="AE7973" s="417" t="s">
        <v>21765</v>
      </c>
      <c r="AF7973" s="416" t="s">
        <v>21766</v>
      </c>
    </row>
    <row r="7974" spans="31:32">
      <c r="AE7974" s="417" t="s">
        <v>21767</v>
      </c>
      <c r="AF7974" s="416" t="s">
        <v>21768</v>
      </c>
    </row>
    <row r="7975" spans="31:32">
      <c r="AE7975" s="417" t="s">
        <v>21769</v>
      </c>
      <c r="AF7975" s="416" t="s">
        <v>21770</v>
      </c>
    </row>
    <row r="7976" spans="31:32">
      <c r="AE7976" s="417" t="s">
        <v>21771</v>
      </c>
      <c r="AF7976" s="416" t="s">
        <v>21772</v>
      </c>
    </row>
    <row r="7977" spans="31:32">
      <c r="AE7977" s="417" t="s">
        <v>21773</v>
      </c>
      <c r="AF7977" s="416" t="s">
        <v>21774</v>
      </c>
    </row>
    <row r="7978" spans="31:32">
      <c r="AE7978" s="417" t="s">
        <v>21775</v>
      </c>
      <c r="AF7978" s="416" t="s">
        <v>21776</v>
      </c>
    </row>
    <row r="7979" spans="31:32">
      <c r="AE7979" s="417" t="s">
        <v>21777</v>
      </c>
      <c r="AF7979" s="416" t="s">
        <v>21778</v>
      </c>
    </row>
    <row r="7980" spans="31:32">
      <c r="AE7980" s="417" t="s">
        <v>21779</v>
      </c>
      <c r="AF7980" s="416" t="s">
        <v>21780</v>
      </c>
    </row>
    <row r="7981" spans="31:32">
      <c r="AE7981" s="417" t="s">
        <v>21781</v>
      </c>
      <c r="AF7981" s="416" t="s">
        <v>21782</v>
      </c>
    </row>
    <row r="7982" spans="31:32">
      <c r="AE7982" s="417" t="s">
        <v>21783</v>
      </c>
      <c r="AF7982" s="416" t="s">
        <v>21784</v>
      </c>
    </row>
    <row r="7983" spans="31:32">
      <c r="AE7983" s="417" t="s">
        <v>21785</v>
      </c>
      <c r="AF7983" s="416" t="s">
        <v>21786</v>
      </c>
    </row>
    <row r="7984" spans="31:32">
      <c r="AE7984" s="417" t="s">
        <v>21787</v>
      </c>
      <c r="AF7984" s="416" t="s">
        <v>21788</v>
      </c>
    </row>
    <row r="7985" spans="31:32">
      <c r="AE7985" s="417" t="s">
        <v>21789</v>
      </c>
      <c r="AF7985" s="416" t="s">
        <v>21790</v>
      </c>
    </row>
    <row r="7986" spans="31:32">
      <c r="AE7986" s="417" t="s">
        <v>21791</v>
      </c>
      <c r="AF7986" s="416" t="s">
        <v>21792</v>
      </c>
    </row>
    <row r="7987" spans="31:32">
      <c r="AE7987" s="417" t="s">
        <v>21793</v>
      </c>
      <c r="AF7987" s="416" t="s">
        <v>21794</v>
      </c>
    </row>
    <row r="7988" spans="31:32">
      <c r="AE7988" s="417" t="s">
        <v>21795</v>
      </c>
      <c r="AF7988" s="416" t="s">
        <v>21796</v>
      </c>
    </row>
    <row r="7989" spans="31:32">
      <c r="AE7989" s="417" t="s">
        <v>21797</v>
      </c>
      <c r="AF7989" s="416" t="s">
        <v>21798</v>
      </c>
    </row>
    <row r="7990" spans="31:32">
      <c r="AE7990" s="417" t="s">
        <v>21799</v>
      </c>
      <c r="AF7990" s="416" t="s">
        <v>21800</v>
      </c>
    </row>
    <row r="7991" spans="31:32">
      <c r="AE7991" s="417" t="s">
        <v>21801</v>
      </c>
      <c r="AF7991" s="416" t="s">
        <v>21802</v>
      </c>
    </row>
    <row r="7992" spans="31:32">
      <c r="AE7992" s="417" t="s">
        <v>21803</v>
      </c>
      <c r="AF7992" s="416" t="s">
        <v>21804</v>
      </c>
    </row>
    <row r="7993" spans="31:32">
      <c r="AE7993" s="417" t="s">
        <v>21805</v>
      </c>
      <c r="AF7993" s="416" t="s">
        <v>21806</v>
      </c>
    </row>
    <row r="7994" spans="31:32">
      <c r="AE7994" s="417" t="s">
        <v>21807</v>
      </c>
      <c r="AF7994" s="416" t="s">
        <v>21808</v>
      </c>
    </row>
    <row r="7995" spans="31:32">
      <c r="AE7995" s="417" t="s">
        <v>21809</v>
      </c>
      <c r="AF7995" s="416" t="s">
        <v>21810</v>
      </c>
    </row>
    <row r="7996" spans="31:32">
      <c r="AE7996" s="417" t="s">
        <v>21811</v>
      </c>
      <c r="AF7996" s="416" t="s">
        <v>21812</v>
      </c>
    </row>
    <row r="7997" spans="31:32">
      <c r="AE7997" s="417" t="s">
        <v>21813</v>
      </c>
      <c r="AF7997" s="416" t="s">
        <v>21814</v>
      </c>
    </row>
    <row r="7998" spans="31:32">
      <c r="AE7998" s="417" t="s">
        <v>21815</v>
      </c>
      <c r="AF7998" s="416" t="s">
        <v>21816</v>
      </c>
    </row>
    <row r="7999" spans="31:32">
      <c r="AE7999" s="417" t="s">
        <v>21817</v>
      </c>
      <c r="AF7999" s="416" t="s">
        <v>21818</v>
      </c>
    </row>
    <row r="8000" spans="31:32">
      <c r="AE8000" s="417" t="s">
        <v>21819</v>
      </c>
      <c r="AF8000" s="416" t="s">
        <v>21820</v>
      </c>
    </row>
    <row r="8001" spans="31:32">
      <c r="AE8001" s="417" t="s">
        <v>21821</v>
      </c>
      <c r="AF8001" s="416" t="s">
        <v>21822</v>
      </c>
    </row>
    <row r="8002" spans="31:32">
      <c r="AE8002" s="417" t="s">
        <v>21823</v>
      </c>
      <c r="AF8002" s="416" t="s">
        <v>21824</v>
      </c>
    </row>
    <row r="8003" spans="31:32">
      <c r="AE8003" s="417" t="s">
        <v>21825</v>
      </c>
      <c r="AF8003" s="416" t="s">
        <v>21826</v>
      </c>
    </row>
    <row r="8004" spans="31:32">
      <c r="AE8004" s="417" t="s">
        <v>21827</v>
      </c>
      <c r="AF8004" s="416" t="s">
        <v>21828</v>
      </c>
    </row>
    <row r="8005" spans="31:32">
      <c r="AE8005" s="417" t="s">
        <v>21829</v>
      </c>
      <c r="AF8005" s="416" t="s">
        <v>21830</v>
      </c>
    </row>
    <row r="8006" spans="31:32">
      <c r="AE8006" s="417" t="s">
        <v>21831</v>
      </c>
      <c r="AF8006" s="416" t="s">
        <v>21832</v>
      </c>
    </row>
    <row r="8007" spans="31:32">
      <c r="AE8007" s="417" t="s">
        <v>21833</v>
      </c>
      <c r="AF8007" s="416" t="s">
        <v>21834</v>
      </c>
    </row>
    <row r="8008" spans="31:32">
      <c r="AE8008" s="417" t="s">
        <v>21835</v>
      </c>
      <c r="AF8008" s="416" t="s">
        <v>21836</v>
      </c>
    </row>
    <row r="8009" spans="31:32">
      <c r="AE8009" s="417" t="s">
        <v>21837</v>
      </c>
      <c r="AF8009" s="416" t="s">
        <v>21838</v>
      </c>
    </row>
    <row r="8010" spans="31:32">
      <c r="AE8010" s="417" t="s">
        <v>21839</v>
      </c>
      <c r="AF8010" s="416" t="s">
        <v>21840</v>
      </c>
    </row>
    <row r="8011" spans="31:32">
      <c r="AE8011" s="417" t="s">
        <v>21841</v>
      </c>
      <c r="AF8011" s="416" t="s">
        <v>21842</v>
      </c>
    </row>
    <row r="8012" spans="31:32">
      <c r="AE8012" s="417" t="s">
        <v>21843</v>
      </c>
      <c r="AF8012" s="416" t="s">
        <v>21844</v>
      </c>
    </row>
    <row r="8013" spans="31:32">
      <c r="AE8013" s="417" t="s">
        <v>21845</v>
      </c>
      <c r="AF8013" s="416" t="s">
        <v>21846</v>
      </c>
    </row>
    <row r="8014" spans="31:32">
      <c r="AE8014" s="417" t="s">
        <v>21847</v>
      </c>
      <c r="AF8014" s="416" t="s">
        <v>21848</v>
      </c>
    </row>
    <row r="8015" spans="31:32">
      <c r="AE8015" s="417" t="s">
        <v>21849</v>
      </c>
      <c r="AF8015" s="416" t="s">
        <v>21850</v>
      </c>
    </row>
    <row r="8016" spans="31:32">
      <c r="AE8016" s="417" t="s">
        <v>21851</v>
      </c>
      <c r="AF8016" s="416" t="s">
        <v>21852</v>
      </c>
    </row>
    <row r="8017" spans="31:32">
      <c r="AE8017" s="417" t="s">
        <v>21853</v>
      </c>
      <c r="AF8017" s="416" t="s">
        <v>21854</v>
      </c>
    </row>
    <row r="8018" spans="31:32">
      <c r="AE8018" s="417" t="s">
        <v>21855</v>
      </c>
      <c r="AF8018" s="416" t="s">
        <v>21856</v>
      </c>
    </row>
    <row r="8019" spans="31:32">
      <c r="AE8019" s="417" t="s">
        <v>21857</v>
      </c>
      <c r="AF8019" s="416" t="s">
        <v>21858</v>
      </c>
    </row>
    <row r="8020" spans="31:32">
      <c r="AE8020" s="417" t="s">
        <v>21859</v>
      </c>
      <c r="AF8020" s="416" t="s">
        <v>21860</v>
      </c>
    </row>
    <row r="8021" spans="31:32">
      <c r="AE8021" s="417" t="s">
        <v>21861</v>
      </c>
      <c r="AF8021" s="416" t="s">
        <v>21862</v>
      </c>
    </row>
    <row r="8022" spans="31:32">
      <c r="AE8022" s="417" t="s">
        <v>21863</v>
      </c>
      <c r="AF8022" s="416" t="s">
        <v>21864</v>
      </c>
    </row>
    <row r="8023" spans="31:32">
      <c r="AE8023" s="417" t="s">
        <v>21865</v>
      </c>
      <c r="AF8023" s="416" t="s">
        <v>21866</v>
      </c>
    </row>
    <row r="8024" spans="31:32">
      <c r="AE8024" s="417" t="s">
        <v>21867</v>
      </c>
      <c r="AF8024" s="416" t="s">
        <v>21868</v>
      </c>
    </row>
    <row r="8025" spans="31:32">
      <c r="AE8025" s="417" t="s">
        <v>21869</v>
      </c>
      <c r="AF8025" s="416" t="s">
        <v>21870</v>
      </c>
    </row>
    <row r="8026" spans="31:32">
      <c r="AE8026" s="417" t="s">
        <v>21871</v>
      </c>
      <c r="AF8026" s="416" t="s">
        <v>21872</v>
      </c>
    </row>
    <row r="8027" spans="31:32">
      <c r="AE8027" s="417" t="s">
        <v>21873</v>
      </c>
      <c r="AF8027" s="416" t="s">
        <v>21874</v>
      </c>
    </row>
    <row r="8028" spans="31:32">
      <c r="AE8028" s="417" t="s">
        <v>21875</v>
      </c>
      <c r="AF8028" s="416" t="s">
        <v>21876</v>
      </c>
    </row>
    <row r="8029" spans="31:32">
      <c r="AE8029" s="417" t="s">
        <v>21877</v>
      </c>
      <c r="AF8029" s="416" t="s">
        <v>21878</v>
      </c>
    </row>
    <row r="8030" spans="31:32">
      <c r="AE8030" s="417" t="s">
        <v>21879</v>
      </c>
      <c r="AF8030" s="416" t="s">
        <v>21880</v>
      </c>
    </row>
    <row r="8031" spans="31:32">
      <c r="AE8031" s="417" t="s">
        <v>21881</v>
      </c>
      <c r="AF8031" s="416" t="s">
        <v>21882</v>
      </c>
    </row>
    <row r="8032" spans="31:32">
      <c r="AE8032" s="417" t="s">
        <v>21883</v>
      </c>
      <c r="AF8032" s="416" t="s">
        <v>21884</v>
      </c>
    </row>
    <row r="8033" spans="31:32">
      <c r="AE8033" s="417" t="s">
        <v>21885</v>
      </c>
      <c r="AF8033" s="416" t="s">
        <v>21886</v>
      </c>
    </row>
    <row r="8034" spans="31:32">
      <c r="AE8034" s="417" t="s">
        <v>21887</v>
      </c>
      <c r="AF8034" s="416" t="s">
        <v>21888</v>
      </c>
    </row>
    <row r="8035" spans="31:32">
      <c r="AE8035" s="417" t="s">
        <v>21889</v>
      </c>
      <c r="AF8035" s="416" t="s">
        <v>21890</v>
      </c>
    </row>
    <row r="8036" spans="31:32">
      <c r="AE8036" s="417" t="s">
        <v>21891</v>
      </c>
      <c r="AF8036" s="416" t="s">
        <v>21892</v>
      </c>
    </row>
    <row r="8037" spans="31:32">
      <c r="AE8037" s="417" t="s">
        <v>21893</v>
      </c>
      <c r="AF8037" s="416" t="s">
        <v>21894</v>
      </c>
    </row>
    <row r="8038" spans="31:32">
      <c r="AE8038" s="417" t="s">
        <v>21895</v>
      </c>
      <c r="AF8038" s="416" t="s">
        <v>21896</v>
      </c>
    </row>
    <row r="8039" spans="31:32">
      <c r="AE8039" s="417" t="s">
        <v>21897</v>
      </c>
      <c r="AF8039" s="416" t="s">
        <v>21898</v>
      </c>
    </row>
    <row r="8040" spans="31:32">
      <c r="AE8040" s="417" t="s">
        <v>21899</v>
      </c>
      <c r="AF8040" s="416" t="s">
        <v>21900</v>
      </c>
    </row>
    <row r="8041" spans="31:32">
      <c r="AE8041" s="417" t="s">
        <v>21901</v>
      </c>
      <c r="AF8041" s="416" t="s">
        <v>21902</v>
      </c>
    </row>
    <row r="8042" spans="31:32">
      <c r="AE8042" s="417" t="s">
        <v>21903</v>
      </c>
      <c r="AF8042" s="416" t="s">
        <v>21904</v>
      </c>
    </row>
    <row r="8043" spans="31:32">
      <c r="AE8043" s="417" t="s">
        <v>21905</v>
      </c>
      <c r="AF8043" s="416" t="s">
        <v>21906</v>
      </c>
    </row>
    <row r="8044" spans="31:32">
      <c r="AE8044" s="417" t="s">
        <v>21907</v>
      </c>
      <c r="AF8044" s="416" t="s">
        <v>21908</v>
      </c>
    </row>
    <row r="8045" spans="31:32">
      <c r="AE8045" s="417" t="s">
        <v>21909</v>
      </c>
      <c r="AF8045" s="416" t="s">
        <v>21910</v>
      </c>
    </row>
    <row r="8046" spans="31:32">
      <c r="AE8046" s="417" t="s">
        <v>21911</v>
      </c>
      <c r="AF8046" s="416" t="s">
        <v>21912</v>
      </c>
    </row>
    <row r="8047" spans="31:32">
      <c r="AE8047" s="417" t="s">
        <v>21913</v>
      </c>
      <c r="AF8047" s="416" t="s">
        <v>21914</v>
      </c>
    </row>
    <row r="8048" spans="31:32">
      <c r="AE8048" s="417" t="s">
        <v>21915</v>
      </c>
      <c r="AF8048" s="416" t="s">
        <v>21916</v>
      </c>
    </row>
    <row r="8049" spans="31:32">
      <c r="AE8049" s="417" t="s">
        <v>21917</v>
      </c>
      <c r="AF8049" s="416" t="s">
        <v>21918</v>
      </c>
    </row>
    <row r="8050" spans="31:32">
      <c r="AE8050" s="417" t="s">
        <v>21919</v>
      </c>
      <c r="AF8050" s="416" t="s">
        <v>21920</v>
      </c>
    </row>
    <row r="8051" spans="31:32">
      <c r="AE8051" s="417" t="s">
        <v>21921</v>
      </c>
      <c r="AF8051" s="416" t="s">
        <v>21922</v>
      </c>
    </row>
    <row r="8052" spans="31:32">
      <c r="AE8052" s="417" t="s">
        <v>21923</v>
      </c>
      <c r="AF8052" s="416" t="s">
        <v>21924</v>
      </c>
    </row>
    <row r="8053" spans="31:32">
      <c r="AE8053" s="417" t="s">
        <v>21925</v>
      </c>
      <c r="AF8053" s="416" t="s">
        <v>21926</v>
      </c>
    </row>
    <row r="8054" spans="31:32">
      <c r="AE8054" s="417" t="s">
        <v>21927</v>
      </c>
      <c r="AF8054" s="416" t="s">
        <v>21928</v>
      </c>
    </row>
    <row r="8055" spans="31:32">
      <c r="AE8055" s="417" t="s">
        <v>21929</v>
      </c>
      <c r="AF8055" s="416" t="s">
        <v>21930</v>
      </c>
    </row>
    <row r="8056" spans="31:32">
      <c r="AE8056" s="417" t="s">
        <v>21931</v>
      </c>
      <c r="AF8056" s="416" t="s">
        <v>21932</v>
      </c>
    </row>
    <row r="8057" spans="31:32">
      <c r="AE8057" s="417" t="s">
        <v>21933</v>
      </c>
      <c r="AF8057" s="416" t="s">
        <v>21934</v>
      </c>
    </row>
    <row r="8058" spans="31:32">
      <c r="AE8058" s="417" t="s">
        <v>21935</v>
      </c>
      <c r="AF8058" s="416" t="s">
        <v>21936</v>
      </c>
    </row>
    <row r="8059" spans="31:32">
      <c r="AE8059" s="417" t="s">
        <v>21937</v>
      </c>
      <c r="AF8059" s="416" t="s">
        <v>21938</v>
      </c>
    </row>
    <row r="8060" spans="31:32">
      <c r="AE8060" s="417" t="s">
        <v>21939</v>
      </c>
      <c r="AF8060" s="416" t="s">
        <v>21940</v>
      </c>
    </row>
    <row r="8061" spans="31:32">
      <c r="AE8061" s="417" t="s">
        <v>21941</v>
      </c>
      <c r="AF8061" s="416" t="s">
        <v>21942</v>
      </c>
    </row>
    <row r="8062" spans="31:32">
      <c r="AE8062" s="417" t="s">
        <v>21943</v>
      </c>
      <c r="AF8062" s="416" t="s">
        <v>21944</v>
      </c>
    </row>
    <row r="8063" spans="31:32">
      <c r="AE8063" s="417" t="s">
        <v>21945</v>
      </c>
      <c r="AF8063" s="416" t="s">
        <v>21946</v>
      </c>
    </row>
    <row r="8064" spans="31:32">
      <c r="AE8064" s="417" t="s">
        <v>21947</v>
      </c>
      <c r="AF8064" s="416" t="s">
        <v>21948</v>
      </c>
    </row>
    <row r="8065" spans="31:32">
      <c r="AE8065" s="417" t="s">
        <v>21949</v>
      </c>
      <c r="AF8065" s="416" t="s">
        <v>21950</v>
      </c>
    </row>
    <row r="8066" spans="31:32">
      <c r="AE8066" s="417" t="s">
        <v>21951</v>
      </c>
      <c r="AF8066" s="416" t="s">
        <v>21952</v>
      </c>
    </row>
    <row r="8067" spans="31:32">
      <c r="AE8067" s="417" t="s">
        <v>21953</v>
      </c>
      <c r="AF8067" s="416" t="s">
        <v>21954</v>
      </c>
    </row>
    <row r="8068" spans="31:32">
      <c r="AE8068" s="417" t="s">
        <v>21955</v>
      </c>
      <c r="AF8068" s="416" t="s">
        <v>21956</v>
      </c>
    </row>
    <row r="8069" spans="31:32">
      <c r="AE8069" s="417" t="s">
        <v>21957</v>
      </c>
      <c r="AF8069" s="416" t="s">
        <v>21958</v>
      </c>
    </row>
    <row r="8070" spans="31:32">
      <c r="AE8070" s="417" t="s">
        <v>21959</v>
      </c>
      <c r="AF8070" s="416" t="s">
        <v>21960</v>
      </c>
    </row>
    <row r="8071" spans="31:32">
      <c r="AE8071" s="417" t="s">
        <v>21961</v>
      </c>
      <c r="AF8071" s="416" t="s">
        <v>21962</v>
      </c>
    </row>
    <row r="8072" spans="31:32">
      <c r="AE8072" s="417" t="s">
        <v>21963</v>
      </c>
      <c r="AF8072" s="416" t="s">
        <v>21964</v>
      </c>
    </row>
    <row r="8073" spans="31:32">
      <c r="AE8073" s="417" t="s">
        <v>21965</v>
      </c>
      <c r="AF8073" s="416" t="s">
        <v>21966</v>
      </c>
    </row>
    <row r="8074" spans="31:32">
      <c r="AE8074" s="417" t="s">
        <v>21967</v>
      </c>
      <c r="AF8074" s="416" t="s">
        <v>21968</v>
      </c>
    </row>
    <row r="8075" spans="31:32">
      <c r="AE8075" s="417" t="s">
        <v>21969</v>
      </c>
      <c r="AF8075" s="416" t="s">
        <v>21970</v>
      </c>
    </row>
    <row r="8076" spans="31:32">
      <c r="AE8076" s="417" t="s">
        <v>21971</v>
      </c>
      <c r="AF8076" s="416" t="s">
        <v>21972</v>
      </c>
    </row>
    <row r="8077" spans="31:32">
      <c r="AE8077" s="417" t="s">
        <v>21973</v>
      </c>
      <c r="AF8077" s="416" t="s">
        <v>21974</v>
      </c>
    </row>
    <row r="8078" spans="31:32">
      <c r="AE8078" s="417" t="s">
        <v>21975</v>
      </c>
      <c r="AF8078" s="416" t="s">
        <v>21976</v>
      </c>
    </row>
    <row r="8079" spans="31:32">
      <c r="AE8079" s="417" t="s">
        <v>21977</v>
      </c>
      <c r="AF8079" s="416" t="s">
        <v>21978</v>
      </c>
    </row>
    <row r="8080" spans="31:32">
      <c r="AE8080" s="417" t="s">
        <v>21979</v>
      </c>
      <c r="AF8080" s="416" t="s">
        <v>21980</v>
      </c>
    </row>
    <row r="8081" spans="31:32">
      <c r="AE8081" s="417" t="s">
        <v>21981</v>
      </c>
      <c r="AF8081" s="416" t="s">
        <v>21982</v>
      </c>
    </row>
    <row r="8082" spans="31:32">
      <c r="AE8082" s="417" t="s">
        <v>21983</v>
      </c>
      <c r="AF8082" s="416" t="s">
        <v>21984</v>
      </c>
    </row>
    <row r="8083" spans="31:32">
      <c r="AE8083" s="417" t="s">
        <v>21985</v>
      </c>
      <c r="AF8083" s="416" t="s">
        <v>21986</v>
      </c>
    </row>
    <row r="8084" spans="31:32">
      <c r="AE8084" s="417" t="s">
        <v>21987</v>
      </c>
      <c r="AF8084" s="416" t="s">
        <v>21988</v>
      </c>
    </row>
    <row r="8085" spans="31:32">
      <c r="AE8085" s="417" t="s">
        <v>21989</v>
      </c>
      <c r="AF8085" s="416" t="s">
        <v>21990</v>
      </c>
    </row>
    <row r="8086" spans="31:32">
      <c r="AE8086" s="417" t="s">
        <v>21991</v>
      </c>
      <c r="AF8086" s="416" t="s">
        <v>21992</v>
      </c>
    </row>
    <row r="8087" spans="31:32">
      <c r="AE8087" s="417" t="s">
        <v>21993</v>
      </c>
      <c r="AF8087" s="416" t="s">
        <v>21994</v>
      </c>
    </row>
    <row r="8088" spans="31:32">
      <c r="AE8088" s="417" t="s">
        <v>21995</v>
      </c>
      <c r="AF8088" s="416" t="s">
        <v>21996</v>
      </c>
    </row>
    <row r="8089" spans="31:32">
      <c r="AE8089" s="417" t="s">
        <v>21997</v>
      </c>
      <c r="AF8089" s="416" t="s">
        <v>21998</v>
      </c>
    </row>
    <row r="8090" spans="31:32">
      <c r="AE8090" s="417" t="s">
        <v>21999</v>
      </c>
      <c r="AF8090" s="416" t="s">
        <v>22000</v>
      </c>
    </row>
    <row r="8091" spans="31:32">
      <c r="AE8091" s="417" t="s">
        <v>22001</v>
      </c>
      <c r="AF8091" s="416" t="s">
        <v>22002</v>
      </c>
    </row>
    <row r="8092" spans="31:32">
      <c r="AE8092" s="417" t="s">
        <v>22003</v>
      </c>
      <c r="AF8092" s="416" t="s">
        <v>22004</v>
      </c>
    </row>
    <row r="8093" spans="31:32">
      <c r="AE8093" s="417" t="s">
        <v>22005</v>
      </c>
      <c r="AF8093" s="416" t="s">
        <v>22006</v>
      </c>
    </row>
    <row r="8094" spans="31:32">
      <c r="AE8094" s="417" t="s">
        <v>22007</v>
      </c>
      <c r="AF8094" s="416" t="s">
        <v>22008</v>
      </c>
    </row>
    <row r="8095" spans="31:32">
      <c r="AE8095" s="417" t="s">
        <v>22009</v>
      </c>
      <c r="AF8095" s="416" t="s">
        <v>22010</v>
      </c>
    </row>
    <row r="8096" spans="31:32">
      <c r="AE8096" s="417" t="s">
        <v>22011</v>
      </c>
      <c r="AF8096" s="416" t="s">
        <v>22012</v>
      </c>
    </row>
    <row r="8097" spans="31:32">
      <c r="AE8097" s="417" t="s">
        <v>22013</v>
      </c>
      <c r="AF8097" s="416" t="s">
        <v>22014</v>
      </c>
    </row>
    <row r="8098" spans="31:32">
      <c r="AE8098" s="417" t="s">
        <v>22015</v>
      </c>
      <c r="AF8098" s="416" t="s">
        <v>22016</v>
      </c>
    </row>
    <row r="8099" spans="31:32">
      <c r="AE8099" s="417" t="s">
        <v>22017</v>
      </c>
      <c r="AF8099" s="416" t="s">
        <v>22018</v>
      </c>
    </row>
    <row r="8100" spans="31:32">
      <c r="AE8100" s="417" t="s">
        <v>22019</v>
      </c>
      <c r="AF8100" s="416" t="s">
        <v>22020</v>
      </c>
    </row>
    <row r="8101" spans="31:32">
      <c r="AE8101" s="417" t="s">
        <v>22021</v>
      </c>
      <c r="AF8101" s="416" t="s">
        <v>22022</v>
      </c>
    </row>
    <row r="8102" spans="31:32">
      <c r="AE8102" s="417" t="s">
        <v>22023</v>
      </c>
      <c r="AF8102" s="416" t="s">
        <v>22024</v>
      </c>
    </row>
    <row r="8103" spans="31:32">
      <c r="AE8103" s="417" t="s">
        <v>22025</v>
      </c>
      <c r="AF8103" s="416" t="s">
        <v>22026</v>
      </c>
    </row>
    <row r="8104" spans="31:32">
      <c r="AE8104" s="417" t="s">
        <v>22027</v>
      </c>
      <c r="AF8104" s="416" t="s">
        <v>22028</v>
      </c>
    </row>
    <row r="8105" spans="31:32">
      <c r="AE8105" s="417" t="s">
        <v>22029</v>
      </c>
      <c r="AF8105" s="416" t="s">
        <v>22030</v>
      </c>
    </row>
    <row r="8106" spans="31:32">
      <c r="AE8106" s="417" t="s">
        <v>22031</v>
      </c>
      <c r="AF8106" s="416" t="s">
        <v>22032</v>
      </c>
    </row>
    <row r="8107" spans="31:32">
      <c r="AE8107" s="417" t="s">
        <v>22033</v>
      </c>
      <c r="AF8107" s="416" t="s">
        <v>22034</v>
      </c>
    </row>
    <row r="8108" spans="31:32">
      <c r="AE8108" s="417" t="s">
        <v>22035</v>
      </c>
      <c r="AF8108" s="416" t="s">
        <v>22036</v>
      </c>
    </row>
    <row r="8109" spans="31:32">
      <c r="AE8109" s="417" t="s">
        <v>22037</v>
      </c>
      <c r="AF8109" s="416" t="s">
        <v>22038</v>
      </c>
    </row>
    <row r="8110" spans="31:32">
      <c r="AE8110" s="417" t="s">
        <v>22039</v>
      </c>
      <c r="AF8110" s="416" t="s">
        <v>22040</v>
      </c>
    </row>
    <row r="8111" spans="31:32">
      <c r="AE8111" s="417" t="s">
        <v>22041</v>
      </c>
      <c r="AF8111" s="416" t="s">
        <v>22042</v>
      </c>
    </row>
    <row r="8112" spans="31:32">
      <c r="AE8112" s="417" t="s">
        <v>22043</v>
      </c>
      <c r="AF8112" s="416" t="s">
        <v>22044</v>
      </c>
    </row>
    <row r="8113" spans="31:32">
      <c r="AE8113" s="417" t="s">
        <v>22045</v>
      </c>
      <c r="AF8113" s="416" t="s">
        <v>22046</v>
      </c>
    </row>
    <row r="8114" spans="31:32">
      <c r="AE8114" s="417" t="s">
        <v>22047</v>
      </c>
      <c r="AF8114" s="416" t="s">
        <v>22048</v>
      </c>
    </row>
    <row r="8115" spans="31:32">
      <c r="AE8115" s="417" t="s">
        <v>22049</v>
      </c>
      <c r="AF8115" s="416" t="s">
        <v>22050</v>
      </c>
    </row>
    <row r="8116" spans="31:32">
      <c r="AE8116" s="417" t="s">
        <v>22051</v>
      </c>
      <c r="AF8116" s="416" t="s">
        <v>22052</v>
      </c>
    </row>
    <row r="8117" spans="31:32">
      <c r="AE8117" s="417" t="s">
        <v>22053</v>
      </c>
      <c r="AF8117" s="416" t="s">
        <v>22054</v>
      </c>
    </row>
    <row r="8118" spans="31:32">
      <c r="AE8118" s="417" t="s">
        <v>22055</v>
      </c>
      <c r="AF8118" s="416" t="s">
        <v>22056</v>
      </c>
    </row>
    <row r="8119" spans="31:32">
      <c r="AE8119" s="417" t="s">
        <v>22057</v>
      </c>
      <c r="AF8119" s="416" t="s">
        <v>22058</v>
      </c>
    </row>
    <row r="8120" spans="31:32">
      <c r="AE8120" s="417" t="s">
        <v>22059</v>
      </c>
      <c r="AF8120" s="416" t="s">
        <v>22060</v>
      </c>
    </row>
    <row r="8121" spans="31:32">
      <c r="AE8121" s="417" t="s">
        <v>22061</v>
      </c>
      <c r="AF8121" s="416" t="s">
        <v>22062</v>
      </c>
    </row>
    <row r="8122" spans="31:32">
      <c r="AE8122" s="417" t="s">
        <v>22063</v>
      </c>
      <c r="AF8122" s="416" t="s">
        <v>22064</v>
      </c>
    </row>
    <row r="8123" spans="31:32">
      <c r="AE8123" s="417" t="s">
        <v>22065</v>
      </c>
      <c r="AF8123" s="416" t="s">
        <v>22066</v>
      </c>
    </row>
    <row r="8124" spans="31:32">
      <c r="AE8124" s="417" t="s">
        <v>22067</v>
      </c>
      <c r="AF8124" s="416" t="s">
        <v>22068</v>
      </c>
    </row>
    <row r="8125" spans="31:32">
      <c r="AE8125" s="417" t="s">
        <v>22069</v>
      </c>
      <c r="AF8125" s="416" t="s">
        <v>22070</v>
      </c>
    </row>
    <row r="8126" spans="31:32">
      <c r="AE8126" s="417" t="s">
        <v>22071</v>
      </c>
      <c r="AF8126" s="416" t="s">
        <v>22072</v>
      </c>
    </row>
    <row r="8127" spans="31:32">
      <c r="AE8127" s="417" t="s">
        <v>22073</v>
      </c>
      <c r="AF8127" s="416" t="s">
        <v>22074</v>
      </c>
    </row>
    <row r="8128" spans="31:32">
      <c r="AE8128" s="417" t="s">
        <v>22075</v>
      </c>
      <c r="AF8128" s="416" t="s">
        <v>22076</v>
      </c>
    </row>
    <row r="8129" spans="31:32">
      <c r="AE8129" s="417" t="s">
        <v>22077</v>
      </c>
      <c r="AF8129" s="416" t="s">
        <v>22078</v>
      </c>
    </row>
    <row r="8130" spans="31:32">
      <c r="AE8130" s="417" t="s">
        <v>22079</v>
      </c>
      <c r="AF8130" s="416" t="s">
        <v>22080</v>
      </c>
    </row>
    <row r="8131" spans="31:32">
      <c r="AE8131" s="417" t="s">
        <v>22081</v>
      </c>
      <c r="AF8131" s="416" t="s">
        <v>22082</v>
      </c>
    </row>
    <row r="8132" spans="31:32">
      <c r="AE8132" s="417" t="s">
        <v>22083</v>
      </c>
      <c r="AF8132" s="416" t="s">
        <v>22084</v>
      </c>
    </row>
    <row r="8133" spans="31:32">
      <c r="AE8133" s="417" t="s">
        <v>22085</v>
      </c>
      <c r="AF8133" s="416" t="s">
        <v>22086</v>
      </c>
    </row>
    <row r="8134" spans="31:32">
      <c r="AE8134" s="417" t="s">
        <v>22087</v>
      </c>
      <c r="AF8134" s="416" t="s">
        <v>22088</v>
      </c>
    </row>
    <row r="8135" spans="31:32">
      <c r="AE8135" s="417" t="s">
        <v>22089</v>
      </c>
      <c r="AF8135" s="416" t="s">
        <v>22090</v>
      </c>
    </row>
    <row r="8136" spans="31:32">
      <c r="AE8136" s="417" t="s">
        <v>22091</v>
      </c>
      <c r="AF8136" s="416" t="s">
        <v>22092</v>
      </c>
    </row>
    <row r="8137" spans="31:32">
      <c r="AE8137" s="417" t="s">
        <v>22093</v>
      </c>
      <c r="AF8137" s="416" t="s">
        <v>22094</v>
      </c>
    </row>
    <row r="8138" spans="31:32">
      <c r="AE8138" s="417" t="s">
        <v>22095</v>
      </c>
      <c r="AF8138" s="416" t="s">
        <v>22096</v>
      </c>
    </row>
    <row r="8139" spans="31:32">
      <c r="AE8139" s="417" t="s">
        <v>22097</v>
      </c>
      <c r="AF8139" s="416" t="s">
        <v>22098</v>
      </c>
    </row>
    <row r="8140" spans="31:32">
      <c r="AE8140" s="417" t="s">
        <v>22099</v>
      </c>
      <c r="AF8140" s="416" t="s">
        <v>22100</v>
      </c>
    </row>
    <row r="8141" spans="31:32">
      <c r="AE8141" s="417" t="s">
        <v>22101</v>
      </c>
      <c r="AF8141" s="416" t="s">
        <v>22102</v>
      </c>
    </row>
    <row r="8142" spans="31:32">
      <c r="AE8142" s="417" t="s">
        <v>22103</v>
      </c>
      <c r="AF8142" s="416" t="s">
        <v>22104</v>
      </c>
    </row>
    <row r="8143" spans="31:32">
      <c r="AE8143" s="417" t="s">
        <v>22105</v>
      </c>
      <c r="AF8143" s="416" t="s">
        <v>22106</v>
      </c>
    </row>
    <row r="8144" spans="31:32">
      <c r="AE8144" s="417" t="s">
        <v>22107</v>
      </c>
      <c r="AF8144" s="416" t="s">
        <v>22108</v>
      </c>
    </row>
    <row r="8145" spans="31:32">
      <c r="AE8145" s="417" t="s">
        <v>22109</v>
      </c>
      <c r="AF8145" s="416" t="s">
        <v>22110</v>
      </c>
    </row>
    <row r="8146" spans="31:32">
      <c r="AE8146" s="417" t="s">
        <v>22111</v>
      </c>
      <c r="AF8146" s="416" t="s">
        <v>22112</v>
      </c>
    </row>
    <row r="8147" spans="31:32">
      <c r="AE8147" s="417" t="s">
        <v>22113</v>
      </c>
      <c r="AF8147" s="416" t="s">
        <v>22114</v>
      </c>
    </row>
    <row r="8148" spans="31:32">
      <c r="AE8148" s="417" t="s">
        <v>22115</v>
      </c>
      <c r="AF8148" s="416" t="s">
        <v>22116</v>
      </c>
    </row>
    <row r="8149" spans="31:32">
      <c r="AE8149" s="417" t="s">
        <v>22117</v>
      </c>
      <c r="AF8149" s="416" t="s">
        <v>22118</v>
      </c>
    </row>
    <row r="8150" spans="31:32">
      <c r="AE8150" s="417" t="s">
        <v>22119</v>
      </c>
      <c r="AF8150" s="416" t="s">
        <v>22120</v>
      </c>
    </row>
    <row r="8151" spans="31:32">
      <c r="AE8151" s="417" t="s">
        <v>22121</v>
      </c>
      <c r="AF8151" s="416" t="s">
        <v>22122</v>
      </c>
    </row>
    <row r="8152" spans="31:32">
      <c r="AE8152" s="417" t="s">
        <v>22123</v>
      </c>
      <c r="AF8152" s="416" t="s">
        <v>22124</v>
      </c>
    </row>
    <row r="8153" spans="31:32">
      <c r="AE8153" s="417" t="s">
        <v>22125</v>
      </c>
      <c r="AF8153" s="416" t="s">
        <v>22126</v>
      </c>
    </row>
    <row r="8154" spans="31:32">
      <c r="AE8154" s="417" t="s">
        <v>22127</v>
      </c>
      <c r="AF8154" s="416" t="s">
        <v>22128</v>
      </c>
    </row>
    <row r="8155" spans="31:32">
      <c r="AE8155" s="417" t="s">
        <v>22129</v>
      </c>
      <c r="AF8155" s="416" t="s">
        <v>22130</v>
      </c>
    </row>
    <row r="8156" spans="31:32">
      <c r="AE8156" s="417" t="s">
        <v>22131</v>
      </c>
      <c r="AF8156" s="416" t="s">
        <v>22132</v>
      </c>
    </row>
    <row r="8157" spans="31:32">
      <c r="AE8157" s="417" t="s">
        <v>22133</v>
      </c>
      <c r="AF8157" s="416" t="s">
        <v>22134</v>
      </c>
    </row>
    <row r="8158" spans="31:32">
      <c r="AE8158" s="417" t="s">
        <v>22135</v>
      </c>
      <c r="AF8158" s="416" t="s">
        <v>22136</v>
      </c>
    </row>
    <row r="8159" spans="31:32">
      <c r="AE8159" s="417" t="s">
        <v>22137</v>
      </c>
      <c r="AF8159" s="416" t="s">
        <v>22138</v>
      </c>
    </row>
    <row r="8160" spans="31:32">
      <c r="AE8160" s="417" t="s">
        <v>22139</v>
      </c>
      <c r="AF8160" s="416" t="s">
        <v>22140</v>
      </c>
    </row>
    <row r="8161" spans="31:32">
      <c r="AE8161" s="417" t="s">
        <v>22141</v>
      </c>
      <c r="AF8161" s="416" t="s">
        <v>22142</v>
      </c>
    </row>
    <row r="8162" spans="31:32">
      <c r="AE8162" s="417" t="s">
        <v>22143</v>
      </c>
      <c r="AF8162" s="416" t="s">
        <v>22144</v>
      </c>
    </row>
    <row r="8163" spans="31:32">
      <c r="AE8163" s="417" t="s">
        <v>22145</v>
      </c>
      <c r="AF8163" s="416" t="s">
        <v>22146</v>
      </c>
    </row>
    <row r="8164" spans="31:32">
      <c r="AE8164" s="417" t="s">
        <v>22147</v>
      </c>
      <c r="AF8164" s="416" t="s">
        <v>22148</v>
      </c>
    </row>
    <row r="8165" spans="31:32">
      <c r="AE8165" s="417" t="s">
        <v>22149</v>
      </c>
      <c r="AF8165" s="416" t="s">
        <v>22150</v>
      </c>
    </row>
    <row r="8166" spans="31:32">
      <c r="AE8166" s="417" t="s">
        <v>22151</v>
      </c>
      <c r="AF8166" s="416" t="s">
        <v>22152</v>
      </c>
    </row>
    <row r="8167" spans="31:32">
      <c r="AE8167" s="417" t="s">
        <v>22153</v>
      </c>
      <c r="AF8167" s="416" t="s">
        <v>22154</v>
      </c>
    </row>
    <row r="8168" spans="31:32">
      <c r="AE8168" s="417" t="s">
        <v>22155</v>
      </c>
      <c r="AF8168" s="416" t="s">
        <v>22156</v>
      </c>
    </row>
    <row r="8169" spans="31:32">
      <c r="AE8169" s="417" t="s">
        <v>22157</v>
      </c>
      <c r="AF8169" s="416" t="s">
        <v>22158</v>
      </c>
    </row>
    <row r="8170" spans="31:32">
      <c r="AE8170" s="417" t="s">
        <v>22159</v>
      </c>
      <c r="AF8170" s="416" t="s">
        <v>22160</v>
      </c>
    </row>
    <row r="8171" spans="31:32">
      <c r="AE8171" s="417" t="s">
        <v>22161</v>
      </c>
      <c r="AF8171" s="416" t="s">
        <v>22162</v>
      </c>
    </row>
    <row r="8172" spans="31:32">
      <c r="AE8172" s="417" t="s">
        <v>22163</v>
      </c>
      <c r="AF8172" s="416" t="s">
        <v>22164</v>
      </c>
    </row>
    <row r="8173" spans="31:32">
      <c r="AE8173" s="417" t="s">
        <v>22165</v>
      </c>
      <c r="AF8173" s="416" t="s">
        <v>22166</v>
      </c>
    </row>
    <row r="8174" spans="31:32">
      <c r="AE8174" s="417" t="s">
        <v>22167</v>
      </c>
      <c r="AF8174" s="416" t="s">
        <v>22168</v>
      </c>
    </row>
    <row r="8175" spans="31:32">
      <c r="AE8175" s="417" t="s">
        <v>22169</v>
      </c>
      <c r="AF8175" s="416" t="s">
        <v>22170</v>
      </c>
    </row>
    <row r="8176" spans="31:32">
      <c r="AE8176" s="417" t="s">
        <v>22171</v>
      </c>
      <c r="AF8176" s="416" t="s">
        <v>22172</v>
      </c>
    </row>
    <row r="8177" spans="31:32">
      <c r="AE8177" s="417" t="s">
        <v>22173</v>
      </c>
      <c r="AF8177" s="416" t="s">
        <v>22174</v>
      </c>
    </row>
    <row r="8178" spans="31:32">
      <c r="AE8178" s="417" t="s">
        <v>22175</v>
      </c>
      <c r="AF8178" s="416" t="s">
        <v>22176</v>
      </c>
    </row>
    <row r="8179" spans="31:32">
      <c r="AE8179" s="417" t="s">
        <v>22177</v>
      </c>
      <c r="AF8179" s="416" t="s">
        <v>22178</v>
      </c>
    </row>
    <row r="8180" spans="31:32">
      <c r="AE8180" s="417" t="s">
        <v>22179</v>
      </c>
      <c r="AF8180" s="416" t="s">
        <v>22180</v>
      </c>
    </row>
    <row r="8181" spans="31:32">
      <c r="AE8181" s="417" t="s">
        <v>22181</v>
      </c>
      <c r="AF8181" s="416" t="s">
        <v>22182</v>
      </c>
    </row>
    <row r="8182" spans="31:32">
      <c r="AE8182" s="417" t="s">
        <v>22183</v>
      </c>
      <c r="AF8182" s="416" t="s">
        <v>22184</v>
      </c>
    </row>
    <row r="8183" spans="31:32">
      <c r="AE8183" s="417" t="s">
        <v>22185</v>
      </c>
      <c r="AF8183" s="416" t="s">
        <v>22186</v>
      </c>
    </row>
    <row r="8184" spans="31:32">
      <c r="AE8184" s="417" t="s">
        <v>22187</v>
      </c>
      <c r="AF8184" s="416" t="s">
        <v>22188</v>
      </c>
    </row>
    <row r="8185" spans="31:32">
      <c r="AE8185" s="417" t="s">
        <v>22189</v>
      </c>
      <c r="AF8185" s="416" t="s">
        <v>22190</v>
      </c>
    </row>
    <row r="8186" spans="31:32">
      <c r="AE8186" s="417" t="s">
        <v>22191</v>
      </c>
      <c r="AF8186" s="416" t="s">
        <v>22192</v>
      </c>
    </row>
    <row r="8187" spans="31:32">
      <c r="AE8187" s="417" t="s">
        <v>22193</v>
      </c>
      <c r="AF8187" s="416" t="s">
        <v>22194</v>
      </c>
    </row>
    <row r="8188" spans="31:32">
      <c r="AE8188" s="417" t="s">
        <v>22195</v>
      </c>
      <c r="AF8188" s="416" t="s">
        <v>22196</v>
      </c>
    </row>
    <row r="8189" spans="31:32">
      <c r="AE8189" s="417" t="s">
        <v>22197</v>
      </c>
      <c r="AF8189" s="416" t="s">
        <v>22198</v>
      </c>
    </row>
    <row r="8190" spans="31:32">
      <c r="AE8190" s="417" t="s">
        <v>22199</v>
      </c>
      <c r="AF8190" s="416" t="s">
        <v>22200</v>
      </c>
    </row>
    <row r="8191" spans="31:32">
      <c r="AE8191" s="417" t="s">
        <v>22201</v>
      </c>
      <c r="AF8191" s="416" t="s">
        <v>22202</v>
      </c>
    </row>
    <row r="8192" spans="31:32">
      <c r="AE8192" s="417" t="s">
        <v>22203</v>
      </c>
      <c r="AF8192" s="416" t="s">
        <v>22204</v>
      </c>
    </row>
    <row r="8193" spans="31:32">
      <c r="AE8193" s="417" t="s">
        <v>22205</v>
      </c>
      <c r="AF8193" s="416" t="s">
        <v>22206</v>
      </c>
    </row>
    <row r="8194" spans="31:32">
      <c r="AE8194" s="417" t="s">
        <v>22207</v>
      </c>
      <c r="AF8194" s="416" t="s">
        <v>22208</v>
      </c>
    </row>
    <row r="8195" spans="31:32">
      <c r="AE8195" s="417" t="s">
        <v>22209</v>
      </c>
      <c r="AF8195" s="416" t="s">
        <v>22210</v>
      </c>
    </row>
    <row r="8196" spans="31:32">
      <c r="AE8196" s="417" t="s">
        <v>22211</v>
      </c>
      <c r="AF8196" s="416" t="s">
        <v>22212</v>
      </c>
    </row>
    <row r="8197" spans="31:32">
      <c r="AE8197" s="417" t="s">
        <v>22213</v>
      </c>
      <c r="AF8197" s="416" t="s">
        <v>22214</v>
      </c>
    </row>
    <row r="8198" spans="31:32">
      <c r="AE8198" s="417" t="s">
        <v>22215</v>
      </c>
      <c r="AF8198" s="416" t="s">
        <v>22216</v>
      </c>
    </row>
    <row r="8199" spans="31:32">
      <c r="AE8199" s="417" t="s">
        <v>22217</v>
      </c>
      <c r="AF8199" s="416" t="s">
        <v>22218</v>
      </c>
    </row>
    <row r="8200" spans="31:32">
      <c r="AE8200" s="417" t="s">
        <v>22219</v>
      </c>
      <c r="AF8200" s="416" t="s">
        <v>22220</v>
      </c>
    </row>
    <row r="8201" spans="31:32">
      <c r="AE8201" s="417" t="s">
        <v>22221</v>
      </c>
      <c r="AF8201" s="416" t="s">
        <v>22222</v>
      </c>
    </row>
    <row r="8202" spans="31:32">
      <c r="AE8202" s="417" t="s">
        <v>22223</v>
      </c>
      <c r="AF8202" s="416" t="s">
        <v>22224</v>
      </c>
    </row>
    <row r="8203" spans="31:32">
      <c r="AE8203" s="417" t="s">
        <v>22225</v>
      </c>
      <c r="AF8203" s="416" t="s">
        <v>22226</v>
      </c>
    </row>
    <row r="8204" spans="31:32">
      <c r="AE8204" s="417" t="s">
        <v>22227</v>
      </c>
      <c r="AF8204" s="416" t="s">
        <v>22228</v>
      </c>
    </row>
    <row r="8205" spans="31:32">
      <c r="AE8205" s="417" t="s">
        <v>22229</v>
      </c>
      <c r="AF8205" s="416" t="s">
        <v>22230</v>
      </c>
    </row>
    <row r="8206" spans="31:32">
      <c r="AE8206" s="417" t="s">
        <v>22231</v>
      </c>
      <c r="AF8206" s="416" t="s">
        <v>22232</v>
      </c>
    </row>
    <row r="8207" spans="31:32">
      <c r="AE8207" s="417" t="s">
        <v>22233</v>
      </c>
      <c r="AF8207" s="416" t="s">
        <v>22234</v>
      </c>
    </row>
    <row r="8208" spans="31:32">
      <c r="AE8208" s="417" t="s">
        <v>22235</v>
      </c>
      <c r="AF8208" s="416" t="s">
        <v>22236</v>
      </c>
    </row>
    <row r="8209" spans="31:32">
      <c r="AE8209" s="417" t="s">
        <v>22237</v>
      </c>
      <c r="AF8209" s="416" t="s">
        <v>22238</v>
      </c>
    </row>
    <row r="8210" spans="31:32">
      <c r="AE8210" s="417" t="s">
        <v>22239</v>
      </c>
      <c r="AF8210" s="416" t="s">
        <v>22240</v>
      </c>
    </row>
    <row r="8211" spans="31:32">
      <c r="AE8211" s="417" t="s">
        <v>22241</v>
      </c>
      <c r="AF8211" s="416" t="s">
        <v>22242</v>
      </c>
    </row>
    <row r="8212" spans="31:32">
      <c r="AE8212" s="417" t="s">
        <v>22243</v>
      </c>
      <c r="AF8212" s="416" t="s">
        <v>22244</v>
      </c>
    </row>
    <row r="8213" spans="31:32">
      <c r="AE8213" s="417" t="s">
        <v>22245</v>
      </c>
      <c r="AF8213" s="416" t="s">
        <v>22246</v>
      </c>
    </row>
    <row r="8214" spans="31:32">
      <c r="AE8214" s="417" t="s">
        <v>22247</v>
      </c>
      <c r="AF8214" s="416" t="s">
        <v>22248</v>
      </c>
    </row>
    <row r="8215" spans="31:32">
      <c r="AE8215" s="417" t="s">
        <v>22249</v>
      </c>
      <c r="AF8215" s="416" t="s">
        <v>22250</v>
      </c>
    </row>
    <row r="8216" spans="31:32">
      <c r="AE8216" s="417" t="s">
        <v>22251</v>
      </c>
      <c r="AF8216" s="416" t="s">
        <v>22252</v>
      </c>
    </row>
    <row r="8217" spans="31:32">
      <c r="AE8217" s="417" t="s">
        <v>22253</v>
      </c>
      <c r="AF8217" s="416" t="s">
        <v>22254</v>
      </c>
    </row>
    <row r="8218" spans="31:32">
      <c r="AE8218" s="417" t="s">
        <v>22255</v>
      </c>
      <c r="AF8218" s="416" t="s">
        <v>22256</v>
      </c>
    </row>
    <row r="8219" spans="31:32">
      <c r="AE8219" s="417" t="s">
        <v>22257</v>
      </c>
      <c r="AF8219" s="416" t="s">
        <v>22258</v>
      </c>
    </row>
    <row r="8220" spans="31:32">
      <c r="AE8220" s="417" t="s">
        <v>22259</v>
      </c>
      <c r="AF8220" s="416" t="s">
        <v>22260</v>
      </c>
    </row>
    <row r="8221" spans="31:32">
      <c r="AE8221" s="417" t="s">
        <v>22261</v>
      </c>
      <c r="AF8221" s="416" t="s">
        <v>22262</v>
      </c>
    </row>
    <row r="8222" spans="31:32">
      <c r="AE8222" s="417" t="s">
        <v>22263</v>
      </c>
      <c r="AF8222" s="416" t="s">
        <v>22264</v>
      </c>
    </row>
    <row r="8223" spans="31:32">
      <c r="AE8223" s="417" t="s">
        <v>22265</v>
      </c>
      <c r="AF8223" s="416" t="s">
        <v>22266</v>
      </c>
    </row>
    <row r="8224" spans="31:32">
      <c r="AE8224" s="417" t="s">
        <v>22267</v>
      </c>
      <c r="AF8224" s="416" t="s">
        <v>22268</v>
      </c>
    </row>
    <row r="8225" spans="31:32">
      <c r="AE8225" s="417" t="s">
        <v>22269</v>
      </c>
      <c r="AF8225" s="416" t="s">
        <v>22270</v>
      </c>
    </row>
    <row r="8226" spans="31:32">
      <c r="AE8226" s="417" t="s">
        <v>22271</v>
      </c>
      <c r="AF8226" s="416" t="s">
        <v>22272</v>
      </c>
    </row>
    <row r="8227" spans="31:32">
      <c r="AE8227" s="417" t="s">
        <v>22273</v>
      </c>
      <c r="AF8227" s="416" t="s">
        <v>22274</v>
      </c>
    </row>
    <row r="8228" spans="31:32">
      <c r="AE8228" s="417" t="s">
        <v>22275</v>
      </c>
      <c r="AF8228" s="416" t="s">
        <v>22276</v>
      </c>
    </row>
    <row r="8229" spans="31:32">
      <c r="AE8229" s="417" t="s">
        <v>22277</v>
      </c>
      <c r="AF8229" s="416" t="s">
        <v>22278</v>
      </c>
    </row>
    <row r="8230" spans="31:32">
      <c r="AE8230" s="417" t="s">
        <v>22279</v>
      </c>
      <c r="AF8230" s="416" t="s">
        <v>22280</v>
      </c>
    </row>
    <row r="8231" spans="31:32">
      <c r="AE8231" s="417" t="s">
        <v>22281</v>
      </c>
      <c r="AF8231" s="416" t="s">
        <v>22282</v>
      </c>
    </row>
    <row r="8232" spans="31:32">
      <c r="AE8232" s="417" t="s">
        <v>22283</v>
      </c>
      <c r="AF8232" s="416" t="s">
        <v>22284</v>
      </c>
    </row>
    <row r="8233" spans="31:32">
      <c r="AE8233" s="417" t="s">
        <v>22285</v>
      </c>
      <c r="AF8233" s="416" t="s">
        <v>22286</v>
      </c>
    </row>
    <row r="8234" spans="31:32">
      <c r="AE8234" s="417" t="s">
        <v>22287</v>
      </c>
      <c r="AF8234" s="416" t="s">
        <v>22288</v>
      </c>
    </row>
    <row r="8235" spans="31:32">
      <c r="AE8235" s="417" t="s">
        <v>22289</v>
      </c>
      <c r="AF8235" s="416" t="s">
        <v>22290</v>
      </c>
    </row>
    <row r="8236" spans="31:32">
      <c r="AE8236" s="417" t="s">
        <v>22291</v>
      </c>
      <c r="AF8236" s="416" t="s">
        <v>22292</v>
      </c>
    </row>
    <row r="8237" spans="31:32">
      <c r="AE8237" s="417" t="s">
        <v>22293</v>
      </c>
      <c r="AF8237" s="416" t="s">
        <v>22294</v>
      </c>
    </row>
    <row r="8238" spans="31:32">
      <c r="AE8238" s="417" t="s">
        <v>22295</v>
      </c>
      <c r="AF8238" s="416" t="s">
        <v>22296</v>
      </c>
    </row>
    <row r="8239" spans="31:32">
      <c r="AE8239" s="417" t="s">
        <v>22297</v>
      </c>
      <c r="AF8239" s="416" t="s">
        <v>22298</v>
      </c>
    </row>
    <row r="8240" spans="31:32">
      <c r="AE8240" s="417" t="s">
        <v>22299</v>
      </c>
      <c r="AF8240" s="416" t="s">
        <v>22300</v>
      </c>
    </row>
    <row r="8241" spans="31:32">
      <c r="AE8241" s="417" t="s">
        <v>22301</v>
      </c>
      <c r="AF8241" s="416" t="s">
        <v>22302</v>
      </c>
    </row>
    <row r="8242" spans="31:32">
      <c r="AE8242" s="417" t="s">
        <v>22303</v>
      </c>
      <c r="AF8242" s="416" t="s">
        <v>22304</v>
      </c>
    </row>
    <row r="8243" spans="31:32">
      <c r="AE8243" s="417" t="s">
        <v>22305</v>
      </c>
      <c r="AF8243" s="416" t="s">
        <v>22306</v>
      </c>
    </row>
    <row r="8244" spans="31:32">
      <c r="AE8244" s="417" t="s">
        <v>22307</v>
      </c>
      <c r="AF8244" s="416" t="s">
        <v>22308</v>
      </c>
    </row>
    <row r="8245" spans="31:32">
      <c r="AE8245" s="417" t="s">
        <v>22309</v>
      </c>
      <c r="AF8245" s="416" t="s">
        <v>22310</v>
      </c>
    </row>
    <row r="8246" spans="31:32">
      <c r="AE8246" s="417" t="s">
        <v>22311</v>
      </c>
      <c r="AF8246" s="416" t="s">
        <v>22312</v>
      </c>
    </row>
    <row r="8247" spans="31:32">
      <c r="AE8247" s="417" t="s">
        <v>22313</v>
      </c>
      <c r="AF8247" s="416" t="s">
        <v>22314</v>
      </c>
    </row>
    <row r="8248" spans="31:32">
      <c r="AE8248" s="417" t="s">
        <v>22315</v>
      </c>
      <c r="AF8248" s="416" t="s">
        <v>22316</v>
      </c>
    </row>
    <row r="8249" spans="31:32">
      <c r="AE8249" s="417" t="s">
        <v>22317</v>
      </c>
      <c r="AF8249" s="416" t="s">
        <v>22318</v>
      </c>
    </row>
    <row r="8250" spans="31:32">
      <c r="AE8250" s="417" t="s">
        <v>22319</v>
      </c>
      <c r="AF8250" s="416" t="s">
        <v>22320</v>
      </c>
    </row>
    <row r="8251" spans="31:32">
      <c r="AE8251" s="417" t="s">
        <v>22321</v>
      </c>
      <c r="AF8251" s="416" t="s">
        <v>22322</v>
      </c>
    </row>
    <row r="8252" spans="31:32">
      <c r="AE8252" s="417" t="s">
        <v>22323</v>
      </c>
      <c r="AF8252" s="416" t="s">
        <v>22324</v>
      </c>
    </row>
    <row r="8253" spans="31:32">
      <c r="AE8253" s="417" t="s">
        <v>22325</v>
      </c>
      <c r="AF8253" s="416" t="s">
        <v>22326</v>
      </c>
    </row>
    <row r="8254" spans="31:32">
      <c r="AE8254" s="417" t="s">
        <v>22327</v>
      </c>
      <c r="AF8254" s="416" t="s">
        <v>22328</v>
      </c>
    </row>
    <row r="8255" spans="31:32">
      <c r="AE8255" s="417" t="s">
        <v>22329</v>
      </c>
      <c r="AF8255" s="416" t="s">
        <v>22330</v>
      </c>
    </row>
    <row r="8256" spans="31:32">
      <c r="AE8256" s="417" t="s">
        <v>22331</v>
      </c>
      <c r="AF8256" s="416" t="s">
        <v>22332</v>
      </c>
    </row>
    <row r="8257" spans="31:32">
      <c r="AE8257" s="417" t="s">
        <v>22333</v>
      </c>
      <c r="AF8257" s="416" t="s">
        <v>22334</v>
      </c>
    </row>
    <row r="8258" spans="31:32">
      <c r="AE8258" s="417" t="s">
        <v>22335</v>
      </c>
      <c r="AF8258" s="416" t="s">
        <v>22336</v>
      </c>
    </row>
    <row r="8259" spans="31:32">
      <c r="AE8259" s="417" t="s">
        <v>22337</v>
      </c>
      <c r="AF8259" s="416" t="s">
        <v>22338</v>
      </c>
    </row>
    <row r="8260" spans="31:32">
      <c r="AE8260" s="417" t="s">
        <v>22339</v>
      </c>
      <c r="AF8260" s="416" t="s">
        <v>22340</v>
      </c>
    </row>
    <row r="8261" spans="31:32">
      <c r="AE8261" s="417" t="s">
        <v>22341</v>
      </c>
      <c r="AF8261" s="416" t="s">
        <v>22342</v>
      </c>
    </row>
    <row r="8262" spans="31:32">
      <c r="AE8262" s="417" t="s">
        <v>22343</v>
      </c>
      <c r="AF8262" s="416" t="s">
        <v>22344</v>
      </c>
    </row>
    <row r="8263" spans="31:32">
      <c r="AE8263" s="417" t="s">
        <v>22345</v>
      </c>
      <c r="AF8263" s="416" t="s">
        <v>22346</v>
      </c>
    </row>
    <row r="8264" spans="31:32">
      <c r="AE8264" s="417" t="s">
        <v>22347</v>
      </c>
      <c r="AF8264" s="416" t="s">
        <v>22348</v>
      </c>
    </row>
    <row r="8265" spans="31:32">
      <c r="AE8265" s="417" t="s">
        <v>22349</v>
      </c>
      <c r="AF8265" s="416" t="s">
        <v>22350</v>
      </c>
    </row>
    <row r="8266" spans="31:32">
      <c r="AE8266" s="417" t="s">
        <v>22351</v>
      </c>
      <c r="AF8266" s="416" t="s">
        <v>22352</v>
      </c>
    </row>
    <row r="8267" spans="31:32">
      <c r="AE8267" s="417" t="s">
        <v>22353</v>
      </c>
      <c r="AF8267" s="416" t="s">
        <v>22354</v>
      </c>
    </row>
    <row r="8268" spans="31:32">
      <c r="AE8268" s="417" t="s">
        <v>22355</v>
      </c>
      <c r="AF8268" s="416" t="s">
        <v>22356</v>
      </c>
    </row>
    <row r="8269" spans="31:32">
      <c r="AE8269" s="417" t="s">
        <v>22357</v>
      </c>
      <c r="AF8269" s="416" t="s">
        <v>22358</v>
      </c>
    </row>
    <row r="8270" spans="31:32">
      <c r="AE8270" s="417" t="s">
        <v>22359</v>
      </c>
      <c r="AF8270" s="416" t="s">
        <v>22360</v>
      </c>
    </row>
    <row r="8271" spans="31:32">
      <c r="AE8271" s="417" t="s">
        <v>22361</v>
      </c>
      <c r="AF8271" s="416" t="s">
        <v>22362</v>
      </c>
    </row>
    <row r="8272" spans="31:32">
      <c r="AE8272" s="417" t="s">
        <v>22363</v>
      </c>
      <c r="AF8272" s="416" t="s">
        <v>22364</v>
      </c>
    </row>
    <row r="8273" spans="31:32">
      <c r="AE8273" s="417" t="s">
        <v>22365</v>
      </c>
      <c r="AF8273" s="416" t="s">
        <v>22366</v>
      </c>
    </row>
    <row r="8274" spans="31:32">
      <c r="AE8274" s="417" t="s">
        <v>22367</v>
      </c>
      <c r="AF8274" s="416" t="s">
        <v>22368</v>
      </c>
    </row>
    <row r="8275" spans="31:32">
      <c r="AE8275" s="417" t="s">
        <v>22369</v>
      </c>
      <c r="AF8275" s="416" t="s">
        <v>22370</v>
      </c>
    </row>
    <row r="8276" spans="31:32">
      <c r="AE8276" s="417" t="s">
        <v>22371</v>
      </c>
      <c r="AF8276" s="416" t="s">
        <v>22372</v>
      </c>
    </row>
    <row r="8277" spans="31:32">
      <c r="AE8277" s="417" t="s">
        <v>22373</v>
      </c>
      <c r="AF8277" s="416" t="s">
        <v>22374</v>
      </c>
    </row>
    <row r="8278" spans="31:32">
      <c r="AE8278" s="417" t="s">
        <v>22375</v>
      </c>
      <c r="AF8278" s="416" t="s">
        <v>22376</v>
      </c>
    </row>
    <row r="8279" spans="31:32">
      <c r="AE8279" s="417" t="s">
        <v>22377</v>
      </c>
      <c r="AF8279" s="416" t="s">
        <v>22378</v>
      </c>
    </row>
    <row r="8280" spans="31:32">
      <c r="AE8280" s="417" t="s">
        <v>22379</v>
      </c>
      <c r="AF8280" s="416" t="s">
        <v>22380</v>
      </c>
    </row>
    <row r="8281" spans="31:32">
      <c r="AE8281" s="417" t="s">
        <v>22381</v>
      </c>
      <c r="AF8281" s="416" t="s">
        <v>22382</v>
      </c>
    </row>
    <row r="8282" spans="31:32">
      <c r="AE8282" s="417" t="s">
        <v>22383</v>
      </c>
      <c r="AF8282" s="416" t="s">
        <v>22384</v>
      </c>
    </row>
    <row r="8283" spans="31:32">
      <c r="AE8283" s="417" t="s">
        <v>22385</v>
      </c>
      <c r="AF8283" s="416" t="s">
        <v>22386</v>
      </c>
    </row>
    <row r="8284" spans="31:32">
      <c r="AE8284" s="417" t="s">
        <v>22387</v>
      </c>
      <c r="AF8284" s="416" t="s">
        <v>22388</v>
      </c>
    </row>
    <row r="8285" spans="31:32">
      <c r="AE8285" s="417" t="s">
        <v>22389</v>
      </c>
      <c r="AF8285" s="416" t="s">
        <v>22390</v>
      </c>
    </row>
    <row r="8286" spans="31:32">
      <c r="AE8286" s="417" t="s">
        <v>22391</v>
      </c>
      <c r="AF8286" s="416" t="s">
        <v>22392</v>
      </c>
    </row>
    <row r="8287" spans="31:32">
      <c r="AE8287" s="417" t="s">
        <v>22393</v>
      </c>
      <c r="AF8287" s="416" t="s">
        <v>22394</v>
      </c>
    </row>
    <row r="8288" spans="31:32">
      <c r="AE8288" s="417" t="s">
        <v>22395</v>
      </c>
      <c r="AF8288" s="416" t="s">
        <v>22396</v>
      </c>
    </row>
    <row r="8289" spans="31:32">
      <c r="AE8289" s="417" t="s">
        <v>22397</v>
      </c>
      <c r="AF8289" s="416" t="s">
        <v>22398</v>
      </c>
    </row>
    <row r="8290" spans="31:32">
      <c r="AE8290" s="417" t="s">
        <v>22399</v>
      </c>
      <c r="AF8290" s="416" t="s">
        <v>22400</v>
      </c>
    </row>
    <row r="8291" spans="31:32">
      <c r="AE8291" s="417" t="s">
        <v>22401</v>
      </c>
      <c r="AF8291" s="416" t="s">
        <v>22402</v>
      </c>
    </row>
    <row r="8292" spans="31:32">
      <c r="AE8292" s="417" t="s">
        <v>22403</v>
      </c>
      <c r="AF8292" s="416" t="s">
        <v>22404</v>
      </c>
    </row>
    <row r="8293" spans="31:32">
      <c r="AE8293" s="417" t="s">
        <v>22405</v>
      </c>
      <c r="AF8293" s="416" t="s">
        <v>22406</v>
      </c>
    </row>
    <row r="8294" spans="31:32">
      <c r="AE8294" s="417" t="s">
        <v>22407</v>
      </c>
      <c r="AF8294" s="416" t="s">
        <v>22408</v>
      </c>
    </row>
    <row r="8295" spans="31:32">
      <c r="AE8295" s="417" t="s">
        <v>22409</v>
      </c>
      <c r="AF8295" s="416" t="s">
        <v>22410</v>
      </c>
    </row>
    <row r="8296" spans="31:32">
      <c r="AE8296" s="417" t="s">
        <v>22411</v>
      </c>
      <c r="AF8296" s="416" t="s">
        <v>22412</v>
      </c>
    </row>
    <row r="8297" spans="31:32">
      <c r="AE8297" s="417" t="s">
        <v>22413</v>
      </c>
      <c r="AF8297" s="416" t="s">
        <v>22414</v>
      </c>
    </row>
    <row r="8298" spans="31:32">
      <c r="AE8298" s="417" t="s">
        <v>22415</v>
      </c>
      <c r="AF8298" s="416" t="s">
        <v>22416</v>
      </c>
    </row>
    <row r="8299" spans="31:32">
      <c r="AE8299" s="417" t="s">
        <v>22417</v>
      </c>
      <c r="AF8299" s="416" t="s">
        <v>22418</v>
      </c>
    </row>
    <row r="8300" spans="31:32">
      <c r="AE8300" s="417" t="s">
        <v>22419</v>
      </c>
      <c r="AF8300" s="416" t="s">
        <v>22420</v>
      </c>
    </row>
    <row r="8301" spans="31:32">
      <c r="AE8301" s="417" t="s">
        <v>22421</v>
      </c>
      <c r="AF8301" s="416" t="s">
        <v>22422</v>
      </c>
    </row>
    <row r="8302" spans="31:32">
      <c r="AE8302" s="417" t="s">
        <v>22423</v>
      </c>
      <c r="AF8302" s="416" t="s">
        <v>22424</v>
      </c>
    </row>
    <row r="8303" spans="31:32">
      <c r="AE8303" s="417" t="s">
        <v>22425</v>
      </c>
      <c r="AF8303" s="416" t="s">
        <v>22426</v>
      </c>
    </row>
    <row r="8304" spans="31:32">
      <c r="AE8304" s="417" t="s">
        <v>22427</v>
      </c>
      <c r="AF8304" s="416" t="s">
        <v>22428</v>
      </c>
    </row>
    <row r="8305" spans="31:32">
      <c r="AE8305" s="417" t="s">
        <v>22429</v>
      </c>
      <c r="AF8305" s="416" t="s">
        <v>22430</v>
      </c>
    </row>
    <row r="8306" spans="31:32">
      <c r="AE8306" s="417" t="s">
        <v>22431</v>
      </c>
      <c r="AF8306" s="416" t="s">
        <v>22432</v>
      </c>
    </row>
    <row r="8307" spans="31:32">
      <c r="AE8307" s="417" t="s">
        <v>22433</v>
      </c>
      <c r="AF8307" s="416" t="s">
        <v>22434</v>
      </c>
    </row>
    <row r="8308" spans="31:32">
      <c r="AE8308" s="417" t="s">
        <v>22435</v>
      </c>
      <c r="AF8308" s="416" t="s">
        <v>22436</v>
      </c>
    </row>
    <row r="8309" spans="31:32">
      <c r="AE8309" s="417" t="s">
        <v>22437</v>
      </c>
      <c r="AF8309" s="416" t="s">
        <v>22438</v>
      </c>
    </row>
    <row r="8310" spans="31:32">
      <c r="AE8310" s="417" t="s">
        <v>22439</v>
      </c>
      <c r="AF8310" s="416" t="s">
        <v>22440</v>
      </c>
    </row>
    <row r="8311" spans="31:32">
      <c r="AE8311" s="417" t="s">
        <v>22441</v>
      </c>
      <c r="AF8311" s="416" t="s">
        <v>22442</v>
      </c>
    </row>
    <row r="8312" spans="31:32">
      <c r="AE8312" s="417" t="s">
        <v>22443</v>
      </c>
      <c r="AF8312" s="416" t="s">
        <v>22444</v>
      </c>
    </row>
    <row r="8313" spans="31:32">
      <c r="AE8313" s="417" t="s">
        <v>22445</v>
      </c>
      <c r="AF8313" s="416" t="s">
        <v>22446</v>
      </c>
    </row>
    <row r="8314" spans="31:32">
      <c r="AE8314" s="417" t="s">
        <v>22447</v>
      </c>
      <c r="AF8314" s="416" t="s">
        <v>22448</v>
      </c>
    </row>
    <row r="8315" spans="31:32">
      <c r="AE8315" s="417" t="s">
        <v>22449</v>
      </c>
      <c r="AF8315" s="416" t="s">
        <v>22450</v>
      </c>
    </row>
    <row r="8316" spans="31:32">
      <c r="AE8316" s="417" t="s">
        <v>22451</v>
      </c>
      <c r="AF8316" s="416" t="s">
        <v>22452</v>
      </c>
    </row>
    <row r="8317" spans="31:32">
      <c r="AE8317" s="417" t="s">
        <v>22453</v>
      </c>
      <c r="AF8317" s="416" t="s">
        <v>22454</v>
      </c>
    </row>
    <row r="8318" spans="31:32">
      <c r="AE8318" s="417" t="s">
        <v>22455</v>
      </c>
      <c r="AF8318" s="416" t="s">
        <v>22456</v>
      </c>
    </row>
    <row r="8319" spans="31:32">
      <c r="AE8319" s="417" t="s">
        <v>22457</v>
      </c>
      <c r="AF8319" s="416" t="s">
        <v>22458</v>
      </c>
    </row>
    <row r="8320" spans="31:32">
      <c r="AE8320" s="417" t="s">
        <v>22459</v>
      </c>
      <c r="AF8320" s="416" t="s">
        <v>22460</v>
      </c>
    </row>
    <row r="8321" spans="31:32">
      <c r="AE8321" s="417" t="s">
        <v>22461</v>
      </c>
      <c r="AF8321" s="416" t="s">
        <v>22462</v>
      </c>
    </row>
    <row r="8322" spans="31:32">
      <c r="AE8322" s="417" t="s">
        <v>22463</v>
      </c>
      <c r="AF8322" s="416" t="s">
        <v>22464</v>
      </c>
    </row>
    <row r="8323" spans="31:32">
      <c r="AE8323" s="417" t="s">
        <v>22465</v>
      </c>
      <c r="AF8323" s="416" t="s">
        <v>22466</v>
      </c>
    </row>
    <row r="8324" spans="31:32">
      <c r="AE8324" s="417" t="s">
        <v>22467</v>
      </c>
      <c r="AF8324" s="416" t="s">
        <v>22468</v>
      </c>
    </row>
    <row r="8325" spans="31:32">
      <c r="AE8325" s="417" t="s">
        <v>22469</v>
      </c>
      <c r="AF8325" s="416" t="s">
        <v>22470</v>
      </c>
    </row>
    <row r="8326" spans="31:32">
      <c r="AE8326" s="417" t="s">
        <v>22471</v>
      </c>
      <c r="AF8326" s="416" t="s">
        <v>22472</v>
      </c>
    </row>
    <row r="8327" spans="31:32">
      <c r="AE8327" s="417" t="s">
        <v>22473</v>
      </c>
      <c r="AF8327" s="416" t="s">
        <v>22474</v>
      </c>
    </row>
    <row r="8328" spans="31:32">
      <c r="AE8328" s="417" t="s">
        <v>22475</v>
      </c>
      <c r="AF8328" s="416" t="s">
        <v>22476</v>
      </c>
    </row>
    <row r="8329" spans="31:32">
      <c r="AE8329" s="417" t="s">
        <v>22477</v>
      </c>
      <c r="AF8329" s="416" t="s">
        <v>22478</v>
      </c>
    </row>
    <row r="8330" spans="31:32">
      <c r="AE8330" s="417" t="s">
        <v>22479</v>
      </c>
      <c r="AF8330" s="416" t="s">
        <v>22480</v>
      </c>
    </row>
    <row r="8331" spans="31:32">
      <c r="AE8331" s="417" t="s">
        <v>22481</v>
      </c>
      <c r="AF8331" s="416" t="s">
        <v>22482</v>
      </c>
    </row>
    <row r="8332" spans="31:32">
      <c r="AE8332" s="417" t="s">
        <v>22483</v>
      </c>
      <c r="AF8332" s="416" t="s">
        <v>22484</v>
      </c>
    </row>
    <row r="8333" spans="31:32">
      <c r="AE8333" s="417" t="s">
        <v>22485</v>
      </c>
      <c r="AF8333" s="416" t="s">
        <v>22486</v>
      </c>
    </row>
    <row r="8334" spans="31:32">
      <c r="AE8334" s="417" t="s">
        <v>22487</v>
      </c>
      <c r="AF8334" s="416" t="s">
        <v>22488</v>
      </c>
    </row>
    <row r="8335" spans="31:32">
      <c r="AE8335" s="417" t="s">
        <v>22489</v>
      </c>
      <c r="AF8335" s="416" t="s">
        <v>22490</v>
      </c>
    </row>
    <row r="8336" spans="31:32">
      <c r="AE8336" s="417" t="s">
        <v>22491</v>
      </c>
      <c r="AF8336" s="416" t="s">
        <v>22492</v>
      </c>
    </row>
    <row r="8337" spans="31:32">
      <c r="AE8337" s="417" t="s">
        <v>22493</v>
      </c>
      <c r="AF8337" s="416" t="s">
        <v>22494</v>
      </c>
    </row>
    <row r="8338" spans="31:32">
      <c r="AE8338" s="417" t="s">
        <v>22495</v>
      </c>
      <c r="AF8338" s="416" t="s">
        <v>22496</v>
      </c>
    </row>
    <row r="8339" spans="31:32">
      <c r="AE8339" s="417" t="s">
        <v>22497</v>
      </c>
      <c r="AF8339" s="416" t="s">
        <v>22498</v>
      </c>
    </row>
    <row r="8340" spans="31:32">
      <c r="AE8340" s="417" t="s">
        <v>22499</v>
      </c>
      <c r="AF8340" s="416" t="s">
        <v>22500</v>
      </c>
    </row>
    <row r="8341" spans="31:32">
      <c r="AE8341" s="417" t="s">
        <v>22501</v>
      </c>
      <c r="AF8341" s="416" t="s">
        <v>22502</v>
      </c>
    </row>
    <row r="8342" spans="31:32">
      <c r="AE8342" s="417" t="s">
        <v>22503</v>
      </c>
      <c r="AF8342" s="416" t="s">
        <v>22504</v>
      </c>
    </row>
    <row r="8343" spans="31:32">
      <c r="AE8343" s="417" t="s">
        <v>22505</v>
      </c>
      <c r="AF8343" s="416" t="s">
        <v>22506</v>
      </c>
    </row>
    <row r="8344" spans="31:32">
      <c r="AE8344" s="417" t="s">
        <v>22507</v>
      </c>
      <c r="AF8344" s="416" t="s">
        <v>22508</v>
      </c>
    </row>
    <row r="8345" spans="31:32">
      <c r="AE8345" s="417" t="s">
        <v>22509</v>
      </c>
      <c r="AF8345" s="416" t="s">
        <v>22510</v>
      </c>
    </row>
    <row r="8346" spans="31:32">
      <c r="AE8346" s="417" t="s">
        <v>22511</v>
      </c>
      <c r="AF8346" s="416" t="s">
        <v>22512</v>
      </c>
    </row>
    <row r="8347" spans="31:32">
      <c r="AE8347" s="417" t="s">
        <v>22513</v>
      </c>
      <c r="AF8347" s="416" t="s">
        <v>22514</v>
      </c>
    </row>
    <row r="8348" spans="31:32">
      <c r="AE8348" s="417" t="s">
        <v>22515</v>
      </c>
      <c r="AF8348" s="416" t="s">
        <v>22516</v>
      </c>
    </row>
    <row r="8349" spans="31:32">
      <c r="AE8349" s="417" t="s">
        <v>22517</v>
      </c>
      <c r="AF8349" s="416" t="s">
        <v>22518</v>
      </c>
    </row>
    <row r="8350" spans="31:32">
      <c r="AE8350" s="417" t="s">
        <v>22519</v>
      </c>
      <c r="AF8350" s="416" t="s">
        <v>22520</v>
      </c>
    </row>
    <row r="8351" spans="31:32">
      <c r="AE8351" s="417" t="s">
        <v>22521</v>
      </c>
      <c r="AF8351" s="416" t="s">
        <v>22522</v>
      </c>
    </row>
    <row r="8352" spans="31:32">
      <c r="AE8352" s="417" t="s">
        <v>22523</v>
      </c>
      <c r="AF8352" s="416" t="s">
        <v>22524</v>
      </c>
    </row>
    <row r="8353" spans="31:32">
      <c r="AE8353" s="417" t="s">
        <v>22525</v>
      </c>
      <c r="AF8353" s="416" t="s">
        <v>22526</v>
      </c>
    </row>
    <row r="8354" spans="31:32">
      <c r="AE8354" s="417" t="s">
        <v>22527</v>
      </c>
      <c r="AF8354" s="416" t="s">
        <v>22528</v>
      </c>
    </row>
    <row r="8355" spans="31:32">
      <c r="AE8355" s="417" t="s">
        <v>22529</v>
      </c>
      <c r="AF8355" s="416" t="s">
        <v>22530</v>
      </c>
    </row>
    <row r="8356" spans="31:32">
      <c r="AE8356" s="417" t="s">
        <v>22531</v>
      </c>
      <c r="AF8356" s="416" t="s">
        <v>22532</v>
      </c>
    </row>
    <row r="8357" spans="31:32">
      <c r="AE8357" s="417" t="s">
        <v>22533</v>
      </c>
      <c r="AF8357" s="416" t="s">
        <v>22534</v>
      </c>
    </row>
    <row r="8358" spans="31:32">
      <c r="AE8358" s="417" t="s">
        <v>22535</v>
      </c>
      <c r="AF8358" s="416" t="s">
        <v>22536</v>
      </c>
    </row>
    <row r="8359" spans="31:32">
      <c r="AE8359" s="417" t="s">
        <v>22537</v>
      </c>
      <c r="AF8359" s="416" t="s">
        <v>22538</v>
      </c>
    </row>
    <row r="8360" spans="31:32">
      <c r="AE8360" s="417" t="s">
        <v>22539</v>
      </c>
      <c r="AF8360" s="416" t="s">
        <v>22540</v>
      </c>
    </row>
    <row r="8361" spans="31:32">
      <c r="AE8361" s="417" t="s">
        <v>22541</v>
      </c>
      <c r="AF8361" s="416" t="s">
        <v>22542</v>
      </c>
    </row>
    <row r="8362" spans="31:32">
      <c r="AE8362" s="417" t="s">
        <v>22543</v>
      </c>
      <c r="AF8362" s="416" t="s">
        <v>22544</v>
      </c>
    </row>
    <row r="8363" spans="31:32">
      <c r="AE8363" s="417" t="s">
        <v>22545</v>
      </c>
      <c r="AF8363" s="416" t="s">
        <v>22546</v>
      </c>
    </row>
    <row r="8364" spans="31:32">
      <c r="AE8364" s="417" t="s">
        <v>22547</v>
      </c>
      <c r="AF8364" s="416" t="s">
        <v>22548</v>
      </c>
    </row>
    <row r="8365" spans="31:32">
      <c r="AE8365" s="417" t="s">
        <v>22549</v>
      </c>
      <c r="AF8365" s="416" t="s">
        <v>22550</v>
      </c>
    </row>
    <row r="8366" spans="31:32">
      <c r="AE8366" s="417" t="s">
        <v>22551</v>
      </c>
      <c r="AF8366" s="416" t="s">
        <v>22552</v>
      </c>
    </row>
    <row r="8367" spans="31:32">
      <c r="AE8367" s="417" t="s">
        <v>22553</v>
      </c>
      <c r="AF8367" s="416" t="s">
        <v>22554</v>
      </c>
    </row>
    <row r="8368" spans="31:32">
      <c r="AE8368" s="417" t="s">
        <v>22555</v>
      </c>
      <c r="AF8368" s="416" t="s">
        <v>22556</v>
      </c>
    </row>
    <row r="8369" spans="31:32">
      <c r="AE8369" s="417" t="s">
        <v>22557</v>
      </c>
      <c r="AF8369" s="416" t="s">
        <v>22558</v>
      </c>
    </row>
    <row r="8370" spans="31:32">
      <c r="AE8370" s="417" t="s">
        <v>22559</v>
      </c>
      <c r="AF8370" s="416" t="s">
        <v>22560</v>
      </c>
    </row>
    <row r="8371" spans="31:32">
      <c r="AE8371" s="417" t="s">
        <v>22561</v>
      </c>
      <c r="AF8371" s="416" t="s">
        <v>22562</v>
      </c>
    </row>
    <row r="8372" spans="31:32">
      <c r="AE8372" s="417" t="s">
        <v>22563</v>
      </c>
      <c r="AF8372" s="416" t="s">
        <v>22564</v>
      </c>
    </row>
    <row r="8373" spans="31:32">
      <c r="AE8373" s="417" t="s">
        <v>22565</v>
      </c>
      <c r="AF8373" s="416" t="s">
        <v>22566</v>
      </c>
    </row>
    <row r="8374" spans="31:32">
      <c r="AE8374" s="417" t="s">
        <v>22567</v>
      </c>
      <c r="AF8374" s="416" t="s">
        <v>22568</v>
      </c>
    </row>
    <row r="8375" spans="31:32">
      <c r="AE8375" s="417" t="s">
        <v>22569</v>
      </c>
      <c r="AF8375" s="416" t="s">
        <v>22570</v>
      </c>
    </row>
    <row r="8376" spans="31:32">
      <c r="AE8376" s="417" t="s">
        <v>22571</v>
      </c>
      <c r="AF8376" s="416" t="s">
        <v>22572</v>
      </c>
    </row>
    <row r="8377" spans="31:32">
      <c r="AE8377" s="417" t="s">
        <v>22573</v>
      </c>
      <c r="AF8377" s="416" t="s">
        <v>22574</v>
      </c>
    </row>
    <row r="8378" spans="31:32">
      <c r="AE8378" s="417" t="s">
        <v>22575</v>
      </c>
      <c r="AF8378" s="416" t="s">
        <v>22576</v>
      </c>
    </row>
    <row r="8379" spans="31:32">
      <c r="AE8379" s="417" t="s">
        <v>22577</v>
      </c>
      <c r="AF8379" s="416" t="s">
        <v>22578</v>
      </c>
    </row>
    <row r="8380" spans="31:32">
      <c r="AE8380" s="417" t="s">
        <v>22579</v>
      </c>
      <c r="AF8380" s="416" t="s">
        <v>22580</v>
      </c>
    </row>
    <row r="8381" spans="31:32">
      <c r="AE8381" s="417" t="s">
        <v>22581</v>
      </c>
      <c r="AF8381" s="416" t="s">
        <v>22582</v>
      </c>
    </row>
    <row r="8382" spans="31:32">
      <c r="AE8382" s="417" t="s">
        <v>22583</v>
      </c>
      <c r="AF8382" s="416" t="s">
        <v>22584</v>
      </c>
    </row>
    <row r="8383" spans="31:32">
      <c r="AE8383" s="417" t="s">
        <v>22585</v>
      </c>
      <c r="AF8383" s="416" t="s">
        <v>22586</v>
      </c>
    </row>
    <row r="8384" spans="31:32">
      <c r="AE8384" s="417" t="s">
        <v>22587</v>
      </c>
      <c r="AF8384" s="416" t="s">
        <v>22588</v>
      </c>
    </row>
    <row r="8385" spans="31:32">
      <c r="AE8385" s="417" t="s">
        <v>22589</v>
      </c>
      <c r="AF8385" s="416" t="s">
        <v>22590</v>
      </c>
    </row>
    <row r="8386" spans="31:32">
      <c r="AE8386" s="417" t="s">
        <v>22591</v>
      </c>
      <c r="AF8386" s="416" t="s">
        <v>22592</v>
      </c>
    </row>
    <row r="8387" spans="31:32">
      <c r="AE8387" s="417" t="s">
        <v>22593</v>
      </c>
      <c r="AF8387" s="416" t="s">
        <v>22594</v>
      </c>
    </row>
    <row r="8388" spans="31:32">
      <c r="AE8388" s="417" t="s">
        <v>22595</v>
      </c>
      <c r="AF8388" s="416" t="s">
        <v>22596</v>
      </c>
    </row>
    <row r="8389" spans="31:32">
      <c r="AE8389" s="417" t="s">
        <v>22597</v>
      </c>
      <c r="AF8389" s="416" t="s">
        <v>22598</v>
      </c>
    </row>
    <row r="8390" spans="31:32">
      <c r="AE8390" s="417" t="s">
        <v>22599</v>
      </c>
      <c r="AF8390" s="416" t="s">
        <v>22600</v>
      </c>
    </row>
    <row r="8391" spans="31:32">
      <c r="AE8391" s="417" t="s">
        <v>22601</v>
      </c>
      <c r="AF8391" s="416" t="s">
        <v>22602</v>
      </c>
    </row>
    <row r="8392" spans="31:32">
      <c r="AE8392" s="417" t="s">
        <v>22603</v>
      </c>
      <c r="AF8392" s="416" t="s">
        <v>22604</v>
      </c>
    </row>
    <row r="8393" spans="31:32">
      <c r="AE8393" s="417" t="s">
        <v>22605</v>
      </c>
      <c r="AF8393" s="416" t="s">
        <v>22606</v>
      </c>
    </row>
    <row r="8394" spans="31:32">
      <c r="AE8394" s="417" t="s">
        <v>22607</v>
      </c>
      <c r="AF8394" s="416" t="s">
        <v>22608</v>
      </c>
    </row>
    <row r="8395" spans="31:32">
      <c r="AE8395" s="417" t="s">
        <v>22609</v>
      </c>
      <c r="AF8395" s="416" t="s">
        <v>22610</v>
      </c>
    </row>
    <row r="8396" spans="31:32">
      <c r="AE8396" s="417" t="s">
        <v>22611</v>
      </c>
      <c r="AF8396" s="416" t="s">
        <v>22612</v>
      </c>
    </row>
    <row r="8397" spans="31:32">
      <c r="AE8397" s="417" t="s">
        <v>22613</v>
      </c>
      <c r="AF8397" s="416" t="s">
        <v>22614</v>
      </c>
    </row>
    <row r="8398" spans="31:32">
      <c r="AE8398" s="417" t="s">
        <v>22615</v>
      </c>
      <c r="AF8398" s="416" t="s">
        <v>22616</v>
      </c>
    </row>
    <row r="8399" spans="31:32">
      <c r="AE8399" s="417" t="s">
        <v>22617</v>
      </c>
      <c r="AF8399" s="416" t="s">
        <v>22618</v>
      </c>
    </row>
    <row r="8400" spans="31:32">
      <c r="AE8400" s="417" t="s">
        <v>22619</v>
      </c>
      <c r="AF8400" s="416" t="s">
        <v>22620</v>
      </c>
    </row>
    <row r="8401" spans="31:32">
      <c r="AE8401" s="417" t="s">
        <v>22621</v>
      </c>
      <c r="AF8401" s="416" t="s">
        <v>22622</v>
      </c>
    </row>
    <row r="8402" spans="31:32">
      <c r="AE8402" s="417" t="s">
        <v>22623</v>
      </c>
      <c r="AF8402" s="416" t="s">
        <v>22624</v>
      </c>
    </row>
    <row r="8403" spans="31:32">
      <c r="AE8403" s="417" t="s">
        <v>22625</v>
      </c>
      <c r="AF8403" s="416" t="s">
        <v>22626</v>
      </c>
    </row>
    <row r="8404" spans="31:32">
      <c r="AE8404" s="417" t="s">
        <v>22627</v>
      </c>
      <c r="AF8404" s="416" t="s">
        <v>22628</v>
      </c>
    </row>
    <row r="8405" spans="31:32">
      <c r="AE8405" s="417" t="s">
        <v>22629</v>
      </c>
      <c r="AF8405" s="416" t="s">
        <v>22630</v>
      </c>
    </row>
    <row r="8406" spans="31:32">
      <c r="AE8406" s="417" t="s">
        <v>22631</v>
      </c>
      <c r="AF8406" s="416" t="s">
        <v>22632</v>
      </c>
    </row>
    <row r="8407" spans="31:32">
      <c r="AE8407" s="417" t="s">
        <v>22633</v>
      </c>
      <c r="AF8407" s="416" t="s">
        <v>22634</v>
      </c>
    </row>
    <row r="8408" spans="31:32">
      <c r="AE8408" s="417" t="s">
        <v>22635</v>
      </c>
      <c r="AF8408" s="416" t="s">
        <v>22636</v>
      </c>
    </row>
    <row r="8409" spans="31:32">
      <c r="AE8409" s="417" t="s">
        <v>22637</v>
      </c>
      <c r="AF8409" s="416" t="s">
        <v>22638</v>
      </c>
    </row>
    <row r="8410" spans="31:32">
      <c r="AE8410" s="417" t="s">
        <v>22639</v>
      </c>
      <c r="AF8410" s="416" t="s">
        <v>22640</v>
      </c>
    </row>
    <row r="8411" spans="31:32">
      <c r="AE8411" s="417" t="s">
        <v>22641</v>
      </c>
      <c r="AF8411" s="416" t="s">
        <v>22642</v>
      </c>
    </row>
    <row r="8412" spans="31:32">
      <c r="AE8412" s="417" t="s">
        <v>22643</v>
      </c>
      <c r="AF8412" s="416" t="s">
        <v>22644</v>
      </c>
    </row>
    <row r="8413" spans="31:32">
      <c r="AE8413" s="417" t="s">
        <v>22645</v>
      </c>
      <c r="AF8413" s="416" t="s">
        <v>22646</v>
      </c>
    </row>
    <row r="8414" spans="31:32">
      <c r="AE8414" s="417" t="s">
        <v>22647</v>
      </c>
      <c r="AF8414" s="416" t="s">
        <v>22648</v>
      </c>
    </row>
    <row r="8415" spans="31:32">
      <c r="AE8415" s="417" t="s">
        <v>22649</v>
      </c>
      <c r="AF8415" s="416" t="s">
        <v>22650</v>
      </c>
    </row>
    <row r="8416" spans="31:32">
      <c r="AE8416" s="417" t="s">
        <v>22651</v>
      </c>
      <c r="AF8416" s="416" t="s">
        <v>22652</v>
      </c>
    </row>
    <row r="8417" spans="31:32">
      <c r="AE8417" s="417" t="s">
        <v>22653</v>
      </c>
      <c r="AF8417" s="416" t="s">
        <v>22654</v>
      </c>
    </row>
    <row r="8418" spans="31:32">
      <c r="AE8418" s="417" t="s">
        <v>22655</v>
      </c>
      <c r="AF8418" s="416" t="s">
        <v>22656</v>
      </c>
    </row>
    <row r="8419" spans="31:32">
      <c r="AE8419" s="417" t="s">
        <v>22657</v>
      </c>
      <c r="AF8419" s="416" t="s">
        <v>22658</v>
      </c>
    </row>
    <row r="8420" spans="31:32">
      <c r="AE8420" s="417" t="s">
        <v>22659</v>
      </c>
      <c r="AF8420" s="416" t="s">
        <v>22660</v>
      </c>
    </row>
    <row r="8421" spans="31:32">
      <c r="AE8421" s="417" t="s">
        <v>22661</v>
      </c>
      <c r="AF8421" s="416" t="s">
        <v>22662</v>
      </c>
    </row>
    <row r="8422" spans="31:32">
      <c r="AE8422" s="417" t="s">
        <v>22663</v>
      </c>
      <c r="AF8422" s="416" t="s">
        <v>22664</v>
      </c>
    </row>
    <row r="8423" spans="31:32">
      <c r="AE8423" s="417" t="s">
        <v>22665</v>
      </c>
      <c r="AF8423" s="416" t="s">
        <v>22666</v>
      </c>
    </row>
    <row r="8424" spans="31:32">
      <c r="AE8424" s="417" t="s">
        <v>22667</v>
      </c>
      <c r="AF8424" s="416" t="s">
        <v>22668</v>
      </c>
    </row>
    <row r="8425" spans="31:32">
      <c r="AE8425" s="417" t="s">
        <v>22669</v>
      </c>
      <c r="AF8425" s="416" t="s">
        <v>22670</v>
      </c>
    </row>
    <row r="8426" spans="31:32">
      <c r="AE8426" s="417" t="s">
        <v>22671</v>
      </c>
      <c r="AF8426" s="416" t="s">
        <v>22672</v>
      </c>
    </row>
    <row r="8427" spans="31:32">
      <c r="AE8427" s="417" t="s">
        <v>22673</v>
      </c>
      <c r="AF8427" s="416" t="s">
        <v>22674</v>
      </c>
    </row>
    <row r="8428" spans="31:32">
      <c r="AE8428" s="417" t="s">
        <v>22675</v>
      </c>
      <c r="AF8428" s="416" t="s">
        <v>22676</v>
      </c>
    </row>
    <row r="8429" spans="31:32">
      <c r="AE8429" s="417" t="s">
        <v>22677</v>
      </c>
      <c r="AF8429" s="416" t="s">
        <v>22678</v>
      </c>
    </row>
    <row r="8430" spans="31:32">
      <c r="AE8430" s="417" t="s">
        <v>22679</v>
      </c>
      <c r="AF8430" s="416" t="s">
        <v>22680</v>
      </c>
    </row>
    <row r="8431" spans="31:32">
      <c r="AE8431" s="417" t="s">
        <v>22681</v>
      </c>
      <c r="AF8431" s="416" t="s">
        <v>22682</v>
      </c>
    </row>
    <row r="8432" spans="31:32">
      <c r="AE8432" s="417" t="s">
        <v>22683</v>
      </c>
      <c r="AF8432" s="416" t="s">
        <v>22684</v>
      </c>
    </row>
    <row r="8433" spans="31:32">
      <c r="AE8433" s="417" t="s">
        <v>22685</v>
      </c>
      <c r="AF8433" s="416" t="s">
        <v>22686</v>
      </c>
    </row>
    <row r="8434" spans="31:32">
      <c r="AE8434" s="417" t="s">
        <v>22687</v>
      </c>
      <c r="AF8434" s="416" t="s">
        <v>22688</v>
      </c>
    </row>
    <row r="8435" spans="31:32">
      <c r="AE8435" s="417" t="s">
        <v>22689</v>
      </c>
      <c r="AF8435" s="416" t="s">
        <v>22690</v>
      </c>
    </row>
    <row r="8436" spans="31:32">
      <c r="AE8436" s="417" t="s">
        <v>22691</v>
      </c>
      <c r="AF8436" s="416" t="s">
        <v>22692</v>
      </c>
    </row>
    <row r="8437" spans="31:32">
      <c r="AE8437" s="417" t="s">
        <v>22693</v>
      </c>
      <c r="AF8437" s="416" t="s">
        <v>22694</v>
      </c>
    </row>
    <row r="8438" spans="31:32">
      <c r="AE8438" s="417" t="s">
        <v>22695</v>
      </c>
      <c r="AF8438" s="416" t="s">
        <v>22696</v>
      </c>
    </row>
    <row r="8439" spans="31:32">
      <c r="AE8439" s="417" t="s">
        <v>22697</v>
      </c>
      <c r="AF8439" s="416" t="s">
        <v>22698</v>
      </c>
    </row>
    <row r="8440" spans="31:32">
      <c r="AE8440" s="417" t="s">
        <v>22699</v>
      </c>
      <c r="AF8440" s="416" t="s">
        <v>22700</v>
      </c>
    </row>
    <row r="8441" spans="31:32">
      <c r="AE8441" s="417" t="s">
        <v>22701</v>
      </c>
      <c r="AF8441" s="416" t="s">
        <v>22702</v>
      </c>
    </row>
    <row r="8442" spans="31:32">
      <c r="AE8442" s="417" t="s">
        <v>22703</v>
      </c>
      <c r="AF8442" s="416" t="s">
        <v>22704</v>
      </c>
    </row>
    <row r="8443" spans="31:32">
      <c r="AE8443" s="417" t="s">
        <v>22705</v>
      </c>
      <c r="AF8443" s="416" t="s">
        <v>22706</v>
      </c>
    </row>
    <row r="8444" spans="31:32">
      <c r="AE8444" s="417" t="s">
        <v>22707</v>
      </c>
      <c r="AF8444" s="416" t="s">
        <v>22708</v>
      </c>
    </row>
    <row r="8445" spans="31:32">
      <c r="AE8445" s="417" t="s">
        <v>22709</v>
      </c>
      <c r="AF8445" s="416" t="s">
        <v>22710</v>
      </c>
    </row>
    <row r="8446" spans="31:32">
      <c r="AE8446" s="417" t="s">
        <v>22711</v>
      </c>
      <c r="AF8446" s="416" t="s">
        <v>22712</v>
      </c>
    </row>
    <row r="8447" spans="31:32">
      <c r="AE8447" s="417" t="s">
        <v>22713</v>
      </c>
      <c r="AF8447" s="416" t="s">
        <v>22714</v>
      </c>
    </row>
    <row r="8448" spans="31:32">
      <c r="AE8448" s="417" t="s">
        <v>22715</v>
      </c>
      <c r="AF8448" s="416" t="s">
        <v>22716</v>
      </c>
    </row>
    <row r="8449" spans="31:32">
      <c r="AE8449" s="417" t="s">
        <v>22717</v>
      </c>
      <c r="AF8449" s="416" t="s">
        <v>22718</v>
      </c>
    </row>
    <row r="8450" spans="31:32">
      <c r="AE8450" s="417" t="s">
        <v>22719</v>
      </c>
      <c r="AF8450" s="416" t="s">
        <v>22720</v>
      </c>
    </row>
    <row r="8451" spans="31:32">
      <c r="AE8451" s="417" t="s">
        <v>22721</v>
      </c>
      <c r="AF8451" s="416" t="s">
        <v>22722</v>
      </c>
    </row>
    <row r="8452" spans="31:32">
      <c r="AE8452" s="417" t="s">
        <v>22723</v>
      </c>
      <c r="AF8452" s="416" t="s">
        <v>22724</v>
      </c>
    </row>
    <row r="8453" spans="31:32">
      <c r="AE8453" s="417" t="s">
        <v>22725</v>
      </c>
      <c r="AF8453" s="416" t="s">
        <v>22726</v>
      </c>
    </row>
    <row r="8454" spans="31:32">
      <c r="AE8454" s="417" t="s">
        <v>22727</v>
      </c>
      <c r="AF8454" s="416" t="s">
        <v>22728</v>
      </c>
    </row>
    <row r="8455" spans="31:32">
      <c r="AE8455" s="417" t="s">
        <v>22729</v>
      </c>
      <c r="AF8455" s="416" t="s">
        <v>22730</v>
      </c>
    </row>
    <row r="8456" spans="31:32">
      <c r="AE8456" s="417" t="s">
        <v>22731</v>
      </c>
      <c r="AF8456" s="416" t="s">
        <v>22732</v>
      </c>
    </row>
    <row r="8457" spans="31:32">
      <c r="AE8457" s="417" t="s">
        <v>22733</v>
      </c>
      <c r="AF8457" s="416" t="s">
        <v>22734</v>
      </c>
    </row>
    <row r="8458" spans="31:32">
      <c r="AE8458" s="417" t="s">
        <v>22735</v>
      </c>
      <c r="AF8458" s="416" t="s">
        <v>22736</v>
      </c>
    </row>
    <row r="8459" spans="31:32">
      <c r="AE8459" s="417" t="s">
        <v>22737</v>
      </c>
      <c r="AF8459" s="416" t="s">
        <v>22738</v>
      </c>
    </row>
    <row r="8460" spans="31:32">
      <c r="AE8460" s="417" t="s">
        <v>22739</v>
      </c>
      <c r="AF8460" s="416" t="s">
        <v>22740</v>
      </c>
    </row>
    <row r="8461" spans="31:32">
      <c r="AE8461" s="417" t="s">
        <v>22741</v>
      </c>
      <c r="AF8461" s="416" t="s">
        <v>22742</v>
      </c>
    </row>
    <row r="8462" spans="31:32">
      <c r="AE8462" s="417" t="s">
        <v>22743</v>
      </c>
      <c r="AF8462" s="416" t="s">
        <v>22744</v>
      </c>
    </row>
    <row r="8463" spans="31:32">
      <c r="AE8463" s="417" t="s">
        <v>22745</v>
      </c>
      <c r="AF8463" s="416" t="s">
        <v>22746</v>
      </c>
    </row>
    <row r="8464" spans="31:32">
      <c r="AE8464" s="417" t="s">
        <v>22747</v>
      </c>
      <c r="AF8464" s="416" t="s">
        <v>22748</v>
      </c>
    </row>
    <row r="8465" spans="31:32">
      <c r="AE8465" s="417" t="s">
        <v>22749</v>
      </c>
      <c r="AF8465" s="416" t="s">
        <v>22750</v>
      </c>
    </row>
    <row r="8466" spans="31:32">
      <c r="AE8466" s="417" t="s">
        <v>22751</v>
      </c>
      <c r="AF8466" s="416" t="s">
        <v>22752</v>
      </c>
    </row>
    <row r="8467" spans="31:32">
      <c r="AE8467" s="417" t="s">
        <v>22753</v>
      </c>
      <c r="AF8467" s="416" t="s">
        <v>22754</v>
      </c>
    </row>
    <row r="8468" spans="31:32">
      <c r="AE8468" s="417" t="s">
        <v>22755</v>
      </c>
      <c r="AF8468" s="416" t="s">
        <v>22756</v>
      </c>
    </row>
    <row r="8469" spans="31:32">
      <c r="AE8469" s="417" t="s">
        <v>22757</v>
      </c>
      <c r="AF8469" s="416" t="s">
        <v>22758</v>
      </c>
    </row>
    <row r="8470" spans="31:32">
      <c r="AE8470" s="417" t="s">
        <v>22759</v>
      </c>
      <c r="AF8470" s="416" t="s">
        <v>22760</v>
      </c>
    </row>
    <row r="8471" spans="31:32">
      <c r="AE8471" s="417" t="s">
        <v>22761</v>
      </c>
      <c r="AF8471" s="416" t="s">
        <v>22762</v>
      </c>
    </row>
    <row r="8472" spans="31:32">
      <c r="AE8472" s="417" t="s">
        <v>22763</v>
      </c>
      <c r="AF8472" s="416" t="s">
        <v>22764</v>
      </c>
    </row>
    <row r="8473" spans="31:32">
      <c r="AE8473" s="417" t="s">
        <v>22765</v>
      </c>
      <c r="AF8473" s="416" t="s">
        <v>22766</v>
      </c>
    </row>
    <row r="8474" spans="31:32">
      <c r="AE8474" s="417" t="s">
        <v>22767</v>
      </c>
      <c r="AF8474" s="416" t="s">
        <v>22768</v>
      </c>
    </row>
    <row r="8475" spans="31:32">
      <c r="AE8475" s="417" t="s">
        <v>22769</v>
      </c>
      <c r="AF8475" s="416" t="s">
        <v>22770</v>
      </c>
    </row>
    <row r="8476" spans="31:32">
      <c r="AE8476" s="417" t="s">
        <v>22771</v>
      </c>
      <c r="AF8476" s="416" t="s">
        <v>22772</v>
      </c>
    </row>
    <row r="8477" spans="31:32">
      <c r="AE8477" s="417" t="s">
        <v>22773</v>
      </c>
      <c r="AF8477" s="416" t="s">
        <v>22774</v>
      </c>
    </row>
    <row r="8478" spans="31:32">
      <c r="AE8478" s="417" t="s">
        <v>22775</v>
      </c>
      <c r="AF8478" s="416" t="s">
        <v>22776</v>
      </c>
    </row>
    <row r="8479" spans="31:32">
      <c r="AE8479" s="417" t="s">
        <v>22777</v>
      </c>
      <c r="AF8479" s="416" t="s">
        <v>22778</v>
      </c>
    </row>
    <row r="8480" spans="31:32">
      <c r="AE8480" s="417" t="s">
        <v>22779</v>
      </c>
      <c r="AF8480" s="416" t="s">
        <v>22780</v>
      </c>
    </row>
    <row r="8481" spans="31:32">
      <c r="AE8481" s="417" t="s">
        <v>22781</v>
      </c>
      <c r="AF8481" s="416" t="s">
        <v>22782</v>
      </c>
    </row>
    <row r="8482" spans="31:32">
      <c r="AE8482" s="417" t="s">
        <v>22783</v>
      </c>
      <c r="AF8482" s="416" t="s">
        <v>22784</v>
      </c>
    </row>
    <row r="8483" spans="31:32">
      <c r="AE8483" s="417" t="s">
        <v>22785</v>
      </c>
      <c r="AF8483" s="416" t="s">
        <v>22786</v>
      </c>
    </row>
    <row r="8484" spans="31:32">
      <c r="AE8484" s="417" t="s">
        <v>22787</v>
      </c>
      <c r="AF8484" s="416" t="s">
        <v>22788</v>
      </c>
    </row>
    <row r="8485" spans="31:32">
      <c r="AE8485" s="417" t="s">
        <v>22789</v>
      </c>
      <c r="AF8485" s="416" t="s">
        <v>22790</v>
      </c>
    </row>
    <row r="8486" spans="31:32">
      <c r="AE8486" s="417" t="s">
        <v>22791</v>
      </c>
      <c r="AF8486" s="416" t="s">
        <v>22792</v>
      </c>
    </row>
    <row r="8487" spans="31:32">
      <c r="AE8487" s="417" t="s">
        <v>22793</v>
      </c>
      <c r="AF8487" s="416" t="s">
        <v>22794</v>
      </c>
    </row>
    <row r="8488" spans="31:32">
      <c r="AE8488" s="417" t="s">
        <v>22795</v>
      </c>
      <c r="AF8488" s="416" t="s">
        <v>22796</v>
      </c>
    </row>
    <row r="8489" spans="31:32">
      <c r="AE8489" s="417" t="s">
        <v>22797</v>
      </c>
      <c r="AF8489" s="416" t="s">
        <v>22798</v>
      </c>
    </row>
    <row r="8490" spans="31:32">
      <c r="AE8490" s="417" t="s">
        <v>22799</v>
      </c>
      <c r="AF8490" s="416" t="s">
        <v>22800</v>
      </c>
    </row>
    <row r="8491" spans="31:32">
      <c r="AE8491" s="417" t="s">
        <v>22801</v>
      </c>
      <c r="AF8491" s="416" t="s">
        <v>22802</v>
      </c>
    </row>
    <row r="8492" spans="31:32">
      <c r="AE8492" s="417" t="s">
        <v>22803</v>
      </c>
      <c r="AF8492" s="416" t="s">
        <v>22804</v>
      </c>
    </row>
    <row r="8493" spans="31:32">
      <c r="AE8493" s="417" t="s">
        <v>22805</v>
      </c>
      <c r="AF8493" s="416" t="s">
        <v>22806</v>
      </c>
    </row>
    <row r="8494" spans="31:32">
      <c r="AE8494" s="417" t="s">
        <v>22807</v>
      </c>
      <c r="AF8494" s="416" t="s">
        <v>22808</v>
      </c>
    </row>
    <row r="8495" spans="31:32">
      <c r="AE8495" s="417" t="s">
        <v>22809</v>
      </c>
      <c r="AF8495" s="416" t="s">
        <v>22810</v>
      </c>
    </row>
    <row r="8496" spans="31:32">
      <c r="AE8496" s="417" t="s">
        <v>22811</v>
      </c>
      <c r="AF8496" s="416" t="s">
        <v>22812</v>
      </c>
    </row>
    <row r="8497" spans="31:32">
      <c r="AE8497" s="417" t="s">
        <v>22813</v>
      </c>
      <c r="AF8497" s="416" t="s">
        <v>22814</v>
      </c>
    </row>
    <row r="8498" spans="31:32">
      <c r="AE8498" s="417" t="s">
        <v>22815</v>
      </c>
      <c r="AF8498" s="416" t="s">
        <v>22816</v>
      </c>
    </row>
    <row r="8499" spans="31:32">
      <c r="AE8499" s="417" t="s">
        <v>22817</v>
      </c>
      <c r="AF8499" s="416" t="s">
        <v>22818</v>
      </c>
    </row>
    <row r="8500" spans="31:32">
      <c r="AE8500" s="417" t="s">
        <v>22819</v>
      </c>
      <c r="AF8500" s="416" t="s">
        <v>22820</v>
      </c>
    </row>
    <row r="8501" spans="31:32">
      <c r="AE8501" s="417" t="s">
        <v>22821</v>
      </c>
      <c r="AF8501" s="416" t="s">
        <v>22822</v>
      </c>
    </row>
    <row r="8502" spans="31:32">
      <c r="AE8502" s="417" t="s">
        <v>22823</v>
      </c>
      <c r="AF8502" s="416" t="s">
        <v>22824</v>
      </c>
    </row>
    <row r="8503" spans="31:32">
      <c r="AE8503" s="417" t="s">
        <v>22825</v>
      </c>
      <c r="AF8503" s="416" t="s">
        <v>22826</v>
      </c>
    </row>
    <row r="8504" spans="31:32">
      <c r="AE8504" s="417" t="s">
        <v>22827</v>
      </c>
      <c r="AF8504" s="416" t="s">
        <v>22828</v>
      </c>
    </row>
    <row r="8505" spans="31:32">
      <c r="AE8505" s="417" t="s">
        <v>22829</v>
      </c>
      <c r="AF8505" s="416" t="s">
        <v>22830</v>
      </c>
    </row>
    <row r="8506" spans="31:32">
      <c r="AE8506" s="417" t="s">
        <v>22831</v>
      </c>
      <c r="AF8506" s="416" t="s">
        <v>22832</v>
      </c>
    </row>
    <row r="8507" spans="31:32">
      <c r="AE8507" s="417" t="s">
        <v>22833</v>
      </c>
      <c r="AF8507" s="416" t="s">
        <v>22834</v>
      </c>
    </row>
    <row r="8508" spans="31:32">
      <c r="AE8508" s="417" t="s">
        <v>22835</v>
      </c>
      <c r="AF8508" s="416" t="s">
        <v>22836</v>
      </c>
    </row>
    <row r="8509" spans="31:32">
      <c r="AE8509" s="417" t="s">
        <v>22837</v>
      </c>
      <c r="AF8509" s="416" t="s">
        <v>22838</v>
      </c>
    </row>
    <row r="8510" spans="31:32">
      <c r="AE8510" s="417" t="s">
        <v>22839</v>
      </c>
      <c r="AF8510" s="416" t="s">
        <v>22840</v>
      </c>
    </row>
    <row r="8511" spans="31:32">
      <c r="AE8511" s="417" t="s">
        <v>22841</v>
      </c>
      <c r="AF8511" s="416" t="s">
        <v>22842</v>
      </c>
    </row>
    <row r="8512" spans="31:32">
      <c r="AE8512" s="417" t="s">
        <v>22843</v>
      </c>
      <c r="AF8512" s="416" t="s">
        <v>22844</v>
      </c>
    </row>
    <row r="8513" spans="31:32">
      <c r="AE8513" s="417" t="s">
        <v>22845</v>
      </c>
      <c r="AF8513" s="416" t="s">
        <v>22846</v>
      </c>
    </row>
    <row r="8514" spans="31:32">
      <c r="AE8514" s="417" t="s">
        <v>22847</v>
      </c>
      <c r="AF8514" s="416" t="s">
        <v>22848</v>
      </c>
    </row>
    <row r="8515" spans="31:32">
      <c r="AE8515" s="417" t="s">
        <v>22849</v>
      </c>
      <c r="AF8515" s="416" t="s">
        <v>22850</v>
      </c>
    </row>
    <row r="8516" spans="31:32">
      <c r="AE8516" s="417" t="s">
        <v>22851</v>
      </c>
      <c r="AF8516" s="416" t="s">
        <v>22852</v>
      </c>
    </row>
    <row r="8517" spans="31:32">
      <c r="AE8517" s="417" t="s">
        <v>22853</v>
      </c>
      <c r="AF8517" s="416" t="s">
        <v>22854</v>
      </c>
    </row>
    <row r="8518" spans="31:32">
      <c r="AE8518" s="417" t="s">
        <v>22855</v>
      </c>
      <c r="AF8518" s="416" t="s">
        <v>22856</v>
      </c>
    </row>
    <row r="8519" spans="31:32">
      <c r="AE8519" s="417" t="s">
        <v>22857</v>
      </c>
      <c r="AF8519" s="416" t="s">
        <v>22858</v>
      </c>
    </row>
    <row r="8520" spans="31:32">
      <c r="AE8520" s="417" t="s">
        <v>22859</v>
      </c>
      <c r="AF8520" s="416" t="s">
        <v>22860</v>
      </c>
    </row>
    <row r="8521" spans="31:32">
      <c r="AE8521" s="417" t="s">
        <v>22861</v>
      </c>
      <c r="AF8521" s="416" t="s">
        <v>22862</v>
      </c>
    </row>
    <row r="8522" spans="31:32">
      <c r="AE8522" s="417" t="s">
        <v>22863</v>
      </c>
      <c r="AF8522" s="416" t="s">
        <v>22864</v>
      </c>
    </row>
    <row r="8523" spans="31:32">
      <c r="AE8523" s="417" t="s">
        <v>22865</v>
      </c>
      <c r="AF8523" s="416" t="s">
        <v>22866</v>
      </c>
    </row>
    <row r="8524" spans="31:32">
      <c r="AE8524" s="417" t="s">
        <v>22867</v>
      </c>
      <c r="AF8524" s="416" t="s">
        <v>22868</v>
      </c>
    </row>
    <row r="8525" spans="31:32">
      <c r="AE8525" s="417" t="s">
        <v>22869</v>
      </c>
      <c r="AF8525" s="416" t="s">
        <v>22870</v>
      </c>
    </row>
    <row r="8526" spans="31:32">
      <c r="AE8526" s="417" t="s">
        <v>22871</v>
      </c>
      <c r="AF8526" s="416" t="s">
        <v>22872</v>
      </c>
    </row>
    <row r="8527" spans="31:32">
      <c r="AE8527" s="417" t="s">
        <v>22873</v>
      </c>
      <c r="AF8527" s="416" t="s">
        <v>22874</v>
      </c>
    </row>
    <row r="8528" spans="31:32">
      <c r="AE8528" s="417" t="s">
        <v>22875</v>
      </c>
      <c r="AF8528" s="416" t="s">
        <v>22876</v>
      </c>
    </row>
    <row r="8529" spans="31:32">
      <c r="AE8529" s="417" t="s">
        <v>22877</v>
      </c>
      <c r="AF8529" s="416" t="s">
        <v>22878</v>
      </c>
    </row>
    <row r="8530" spans="31:32">
      <c r="AE8530" s="417" t="s">
        <v>22879</v>
      </c>
      <c r="AF8530" s="416" t="s">
        <v>22880</v>
      </c>
    </row>
    <row r="8531" spans="31:32">
      <c r="AE8531" s="417" t="s">
        <v>22881</v>
      </c>
      <c r="AF8531" s="416" t="s">
        <v>22882</v>
      </c>
    </row>
    <row r="8532" spans="31:32">
      <c r="AE8532" s="417" t="s">
        <v>22883</v>
      </c>
      <c r="AF8532" s="416" t="s">
        <v>22884</v>
      </c>
    </row>
    <row r="8533" spans="31:32">
      <c r="AE8533" s="417" t="s">
        <v>22885</v>
      </c>
      <c r="AF8533" s="416" t="s">
        <v>22886</v>
      </c>
    </row>
    <row r="8534" spans="31:32">
      <c r="AE8534" s="417" t="s">
        <v>22887</v>
      </c>
      <c r="AF8534" s="416" t="s">
        <v>22888</v>
      </c>
    </row>
    <row r="8535" spans="31:32">
      <c r="AE8535" s="417" t="s">
        <v>22889</v>
      </c>
      <c r="AF8535" s="416" t="s">
        <v>22890</v>
      </c>
    </row>
    <row r="8536" spans="31:32">
      <c r="AE8536" s="417" t="s">
        <v>22891</v>
      </c>
      <c r="AF8536" s="416" t="s">
        <v>22892</v>
      </c>
    </row>
    <row r="8537" spans="31:32">
      <c r="AE8537" s="417" t="s">
        <v>22893</v>
      </c>
      <c r="AF8537" s="416" t="s">
        <v>22894</v>
      </c>
    </row>
    <row r="8538" spans="31:32">
      <c r="AE8538" s="417" t="s">
        <v>22895</v>
      </c>
      <c r="AF8538" s="416" t="s">
        <v>22896</v>
      </c>
    </row>
    <row r="8539" spans="31:32">
      <c r="AE8539" s="417" t="s">
        <v>22897</v>
      </c>
      <c r="AF8539" s="416" t="s">
        <v>22898</v>
      </c>
    </row>
    <row r="8540" spans="31:32">
      <c r="AE8540" s="417" t="s">
        <v>22899</v>
      </c>
      <c r="AF8540" s="416" t="s">
        <v>22900</v>
      </c>
    </row>
    <row r="8541" spans="31:32">
      <c r="AE8541" s="417" t="s">
        <v>22901</v>
      </c>
      <c r="AF8541" s="416" t="s">
        <v>22902</v>
      </c>
    </row>
    <row r="8542" spans="31:32">
      <c r="AE8542" s="417" t="s">
        <v>22903</v>
      </c>
      <c r="AF8542" s="416" t="s">
        <v>22904</v>
      </c>
    </row>
    <row r="8543" spans="31:32">
      <c r="AE8543" s="417" t="s">
        <v>22905</v>
      </c>
      <c r="AF8543" s="416" t="s">
        <v>22906</v>
      </c>
    </row>
    <row r="8544" spans="31:32">
      <c r="AE8544" s="417" t="s">
        <v>22907</v>
      </c>
      <c r="AF8544" s="416" t="s">
        <v>22908</v>
      </c>
    </row>
    <row r="8545" spans="31:32">
      <c r="AE8545" s="417" t="s">
        <v>22909</v>
      </c>
      <c r="AF8545" s="416" t="s">
        <v>22910</v>
      </c>
    </row>
    <row r="8546" spans="31:32">
      <c r="AE8546" s="417" t="s">
        <v>22911</v>
      </c>
      <c r="AF8546" s="416" t="s">
        <v>22912</v>
      </c>
    </row>
    <row r="8547" spans="31:32">
      <c r="AE8547" s="417" t="s">
        <v>22913</v>
      </c>
      <c r="AF8547" s="416" t="s">
        <v>22914</v>
      </c>
    </row>
    <row r="8548" spans="31:32">
      <c r="AE8548" s="417" t="s">
        <v>22915</v>
      </c>
      <c r="AF8548" s="416" t="s">
        <v>22916</v>
      </c>
    </row>
    <row r="8549" spans="31:32">
      <c r="AE8549" s="417" t="s">
        <v>22917</v>
      </c>
      <c r="AF8549" s="416" t="s">
        <v>22918</v>
      </c>
    </row>
    <row r="8550" spans="31:32">
      <c r="AE8550" s="417" t="s">
        <v>22919</v>
      </c>
      <c r="AF8550" s="416" t="s">
        <v>22920</v>
      </c>
    </row>
    <row r="8551" spans="31:32">
      <c r="AE8551" s="417" t="s">
        <v>22921</v>
      </c>
      <c r="AF8551" s="416" t="s">
        <v>22922</v>
      </c>
    </row>
    <row r="8552" spans="31:32">
      <c r="AE8552" s="417" t="s">
        <v>22923</v>
      </c>
      <c r="AF8552" s="416" t="s">
        <v>22924</v>
      </c>
    </row>
    <row r="8553" spans="31:32">
      <c r="AE8553" s="417" t="s">
        <v>22925</v>
      </c>
      <c r="AF8553" s="416" t="s">
        <v>22926</v>
      </c>
    </row>
    <row r="8554" spans="31:32">
      <c r="AE8554" s="417" t="s">
        <v>22927</v>
      </c>
      <c r="AF8554" s="416" t="s">
        <v>22928</v>
      </c>
    </row>
    <row r="8555" spans="31:32">
      <c r="AE8555" s="417" t="s">
        <v>22929</v>
      </c>
      <c r="AF8555" s="416" t="s">
        <v>22930</v>
      </c>
    </row>
    <row r="8556" spans="31:32">
      <c r="AE8556" s="417" t="s">
        <v>22931</v>
      </c>
      <c r="AF8556" s="416" t="s">
        <v>22932</v>
      </c>
    </row>
    <row r="8557" spans="31:32">
      <c r="AE8557" s="417" t="s">
        <v>22933</v>
      </c>
      <c r="AF8557" s="416" t="s">
        <v>22934</v>
      </c>
    </row>
    <row r="8558" spans="31:32">
      <c r="AE8558" s="417" t="s">
        <v>22935</v>
      </c>
      <c r="AF8558" s="416" t="s">
        <v>22936</v>
      </c>
    </row>
    <row r="8559" spans="31:32">
      <c r="AE8559" s="417" t="s">
        <v>22937</v>
      </c>
      <c r="AF8559" s="416" t="s">
        <v>22938</v>
      </c>
    </row>
    <row r="8560" spans="31:32">
      <c r="AE8560" s="417" t="s">
        <v>22939</v>
      </c>
      <c r="AF8560" s="416" t="s">
        <v>22940</v>
      </c>
    </row>
    <row r="8561" spans="31:32">
      <c r="AE8561" s="417" t="s">
        <v>22941</v>
      </c>
      <c r="AF8561" s="416" t="s">
        <v>22942</v>
      </c>
    </row>
    <row r="8562" spans="31:32">
      <c r="AE8562" s="417" t="s">
        <v>22943</v>
      </c>
      <c r="AF8562" s="416" t="s">
        <v>22944</v>
      </c>
    </row>
    <row r="8563" spans="31:32">
      <c r="AE8563" s="417" t="s">
        <v>22945</v>
      </c>
      <c r="AF8563" s="416" t="s">
        <v>22946</v>
      </c>
    </row>
    <row r="8564" spans="31:32">
      <c r="AE8564" s="417" t="s">
        <v>22947</v>
      </c>
      <c r="AF8564" s="416" t="s">
        <v>22948</v>
      </c>
    </row>
    <row r="8565" spans="31:32">
      <c r="AE8565" s="417" t="s">
        <v>22949</v>
      </c>
      <c r="AF8565" s="416" t="s">
        <v>22950</v>
      </c>
    </row>
    <row r="8566" spans="31:32">
      <c r="AE8566" s="417" t="s">
        <v>22951</v>
      </c>
      <c r="AF8566" s="416" t="s">
        <v>22952</v>
      </c>
    </row>
    <row r="8567" spans="31:32">
      <c r="AE8567" s="417" t="s">
        <v>22953</v>
      </c>
      <c r="AF8567" s="416" t="s">
        <v>22954</v>
      </c>
    </row>
    <row r="8568" spans="31:32">
      <c r="AE8568" s="417" t="s">
        <v>22955</v>
      </c>
      <c r="AF8568" s="416" t="s">
        <v>22956</v>
      </c>
    </row>
    <row r="8569" spans="31:32">
      <c r="AE8569" s="417" t="s">
        <v>22957</v>
      </c>
      <c r="AF8569" s="416" t="s">
        <v>22958</v>
      </c>
    </row>
    <row r="8570" spans="31:32">
      <c r="AE8570" s="417" t="s">
        <v>22959</v>
      </c>
      <c r="AF8570" s="416" t="s">
        <v>22960</v>
      </c>
    </row>
    <row r="8571" spans="31:32">
      <c r="AE8571" s="417" t="s">
        <v>22961</v>
      </c>
      <c r="AF8571" s="416" t="s">
        <v>22962</v>
      </c>
    </row>
    <row r="8572" spans="31:32">
      <c r="AE8572" s="417" t="s">
        <v>22963</v>
      </c>
      <c r="AF8572" s="416" t="s">
        <v>22964</v>
      </c>
    </row>
    <row r="8573" spans="31:32">
      <c r="AE8573" s="417" t="s">
        <v>22965</v>
      </c>
      <c r="AF8573" s="416" t="s">
        <v>22966</v>
      </c>
    </row>
    <row r="8574" spans="31:32">
      <c r="AE8574" s="417" t="s">
        <v>22967</v>
      </c>
      <c r="AF8574" s="416" t="s">
        <v>22968</v>
      </c>
    </row>
    <row r="8575" spans="31:32">
      <c r="AE8575" s="417" t="s">
        <v>22969</v>
      </c>
      <c r="AF8575" s="416" t="s">
        <v>22970</v>
      </c>
    </row>
    <row r="8576" spans="31:32">
      <c r="AE8576" s="417" t="s">
        <v>22971</v>
      </c>
      <c r="AF8576" s="416" t="s">
        <v>22972</v>
      </c>
    </row>
    <row r="8577" spans="31:32">
      <c r="AE8577" s="417" t="s">
        <v>22973</v>
      </c>
      <c r="AF8577" s="416" t="s">
        <v>22974</v>
      </c>
    </row>
    <row r="8578" spans="31:32">
      <c r="AE8578" s="417" t="s">
        <v>22975</v>
      </c>
      <c r="AF8578" s="416" t="s">
        <v>22976</v>
      </c>
    </row>
    <row r="8579" spans="31:32">
      <c r="AE8579" s="417" t="s">
        <v>22977</v>
      </c>
      <c r="AF8579" s="416" t="s">
        <v>22978</v>
      </c>
    </row>
    <row r="8580" spans="31:32">
      <c r="AE8580" s="417" t="s">
        <v>22979</v>
      </c>
      <c r="AF8580" s="416" t="s">
        <v>22980</v>
      </c>
    </row>
    <row r="8581" spans="31:32">
      <c r="AE8581" s="417" t="s">
        <v>22981</v>
      </c>
      <c r="AF8581" s="416" t="s">
        <v>22982</v>
      </c>
    </row>
    <row r="8582" spans="31:32">
      <c r="AE8582" s="417" t="s">
        <v>22983</v>
      </c>
      <c r="AF8582" s="416" t="s">
        <v>22984</v>
      </c>
    </row>
    <row r="8583" spans="31:32">
      <c r="AE8583" s="417" t="s">
        <v>22985</v>
      </c>
      <c r="AF8583" s="416" t="s">
        <v>22986</v>
      </c>
    </row>
    <row r="8584" spans="31:32">
      <c r="AE8584" s="417" t="s">
        <v>22987</v>
      </c>
      <c r="AF8584" s="416" t="s">
        <v>22988</v>
      </c>
    </row>
    <row r="8585" spans="31:32">
      <c r="AE8585" s="417" t="s">
        <v>22989</v>
      </c>
      <c r="AF8585" s="416" t="s">
        <v>22990</v>
      </c>
    </row>
    <row r="8586" spans="31:32">
      <c r="AE8586" s="417" t="s">
        <v>22991</v>
      </c>
      <c r="AF8586" s="416" t="s">
        <v>22992</v>
      </c>
    </row>
    <row r="8587" spans="31:32">
      <c r="AE8587" s="417" t="s">
        <v>22993</v>
      </c>
      <c r="AF8587" s="416" t="s">
        <v>22994</v>
      </c>
    </row>
    <row r="8588" spans="31:32">
      <c r="AE8588" s="417" t="s">
        <v>22995</v>
      </c>
      <c r="AF8588" s="416" t="s">
        <v>22996</v>
      </c>
    </row>
    <row r="8589" spans="31:32">
      <c r="AE8589" s="417" t="s">
        <v>22997</v>
      </c>
      <c r="AF8589" s="416" t="s">
        <v>22998</v>
      </c>
    </row>
    <row r="8590" spans="31:32">
      <c r="AE8590" s="417" t="s">
        <v>22999</v>
      </c>
      <c r="AF8590" s="416" t="s">
        <v>23000</v>
      </c>
    </row>
    <row r="8591" spans="31:32">
      <c r="AE8591" s="417" t="s">
        <v>23001</v>
      </c>
      <c r="AF8591" s="416" t="s">
        <v>23002</v>
      </c>
    </row>
    <row r="8592" spans="31:32">
      <c r="AE8592" s="417" t="s">
        <v>23003</v>
      </c>
      <c r="AF8592" s="416" t="s">
        <v>23004</v>
      </c>
    </row>
    <row r="8593" spans="31:32">
      <c r="AE8593" s="417" t="s">
        <v>23005</v>
      </c>
      <c r="AF8593" s="416" t="s">
        <v>23006</v>
      </c>
    </row>
    <row r="8594" spans="31:32">
      <c r="AE8594" s="417" t="s">
        <v>23007</v>
      </c>
      <c r="AF8594" s="416" t="s">
        <v>23008</v>
      </c>
    </row>
    <row r="8595" spans="31:32">
      <c r="AE8595" s="417" t="s">
        <v>23009</v>
      </c>
      <c r="AF8595" s="416" t="s">
        <v>23010</v>
      </c>
    </row>
    <row r="8596" spans="31:32">
      <c r="AE8596" s="417" t="s">
        <v>23011</v>
      </c>
      <c r="AF8596" s="416" t="s">
        <v>23012</v>
      </c>
    </row>
    <row r="8597" spans="31:32">
      <c r="AE8597" s="417" t="s">
        <v>23013</v>
      </c>
      <c r="AF8597" s="416" t="s">
        <v>23014</v>
      </c>
    </row>
    <row r="8598" spans="31:32">
      <c r="AE8598" s="417" t="s">
        <v>23015</v>
      </c>
      <c r="AF8598" s="416" t="s">
        <v>23016</v>
      </c>
    </row>
    <row r="8599" spans="31:32">
      <c r="AE8599" s="417" t="s">
        <v>23017</v>
      </c>
      <c r="AF8599" s="416" t="s">
        <v>23018</v>
      </c>
    </row>
    <row r="8600" spans="31:32">
      <c r="AE8600" s="417" t="s">
        <v>23019</v>
      </c>
      <c r="AF8600" s="416" t="s">
        <v>23020</v>
      </c>
    </row>
    <row r="8601" spans="31:32">
      <c r="AE8601" s="417" t="s">
        <v>23021</v>
      </c>
      <c r="AF8601" s="416" t="s">
        <v>23022</v>
      </c>
    </row>
    <row r="8602" spans="31:32">
      <c r="AE8602" s="417" t="s">
        <v>23023</v>
      </c>
      <c r="AF8602" s="416" t="s">
        <v>23024</v>
      </c>
    </row>
    <row r="8603" spans="31:32">
      <c r="AE8603" s="417" t="s">
        <v>23025</v>
      </c>
      <c r="AF8603" s="416" t="s">
        <v>23026</v>
      </c>
    </row>
    <row r="8604" spans="31:32">
      <c r="AE8604" s="417" t="s">
        <v>23027</v>
      </c>
      <c r="AF8604" s="416" t="s">
        <v>22338</v>
      </c>
    </row>
    <row r="8605" spans="31:32">
      <c r="AE8605" s="417" t="s">
        <v>23028</v>
      </c>
      <c r="AF8605" s="416" t="s">
        <v>23029</v>
      </c>
    </row>
    <row r="8606" spans="31:32">
      <c r="AE8606" s="417" t="s">
        <v>23030</v>
      </c>
      <c r="AF8606" s="416" t="s">
        <v>23031</v>
      </c>
    </row>
    <row r="8607" spans="31:32">
      <c r="AE8607" s="417" t="s">
        <v>23032</v>
      </c>
      <c r="AF8607" s="416" t="s">
        <v>23033</v>
      </c>
    </row>
    <row r="8608" spans="31:32">
      <c r="AE8608" s="417" t="s">
        <v>23034</v>
      </c>
      <c r="AF8608" s="416" t="s">
        <v>23035</v>
      </c>
    </row>
    <row r="8609" spans="31:32">
      <c r="AE8609" s="417" t="s">
        <v>23036</v>
      </c>
      <c r="AF8609" s="416" t="s">
        <v>23037</v>
      </c>
    </row>
    <row r="8610" spans="31:32">
      <c r="AE8610" s="417" t="s">
        <v>23038</v>
      </c>
      <c r="AF8610" s="416" t="s">
        <v>23039</v>
      </c>
    </row>
    <row r="8611" spans="31:32">
      <c r="AE8611" s="417" t="s">
        <v>23040</v>
      </c>
      <c r="AF8611" s="416" t="s">
        <v>23041</v>
      </c>
    </row>
    <row r="8612" spans="31:32">
      <c r="AE8612" s="417" t="s">
        <v>23042</v>
      </c>
      <c r="AF8612" s="416" t="s">
        <v>23043</v>
      </c>
    </row>
    <row r="8613" spans="31:32">
      <c r="AE8613" s="417" t="s">
        <v>23044</v>
      </c>
      <c r="AF8613" s="416" t="s">
        <v>23045</v>
      </c>
    </row>
    <row r="8614" spans="31:32">
      <c r="AE8614" s="417" t="s">
        <v>23046</v>
      </c>
      <c r="AF8614" s="416" t="s">
        <v>23047</v>
      </c>
    </row>
    <row r="8615" spans="31:32">
      <c r="AE8615" s="417" t="s">
        <v>23048</v>
      </c>
      <c r="AF8615" s="416" t="s">
        <v>23049</v>
      </c>
    </row>
    <row r="8616" spans="31:32">
      <c r="AE8616" s="417" t="s">
        <v>23050</v>
      </c>
      <c r="AF8616" s="416" t="s">
        <v>23051</v>
      </c>
    </row>
    <row r="8617" spans="31:32">
      <c r="AE8617" s="417" t="s">
        <v>23052</v>
      </c>
      <c r="AF8617" s="416" t="s">
        <v>23053</v>
      </c>
    </row>
    <row r="8618" spans="31:32">
      <c r="AE8618" s="417" t="s">
        <v>23054</v>
      </c>
      <c r="AF8618" s="416" t="s">
        <v>23055</v>
      </c>
    </row>
    <row r="8619" spans="31:32">
      <c r="AE8619" s="417" t="s">
        <v>23056</v>
      </c>
      <c r="AF8619" s="416" t="s">
        <v>23057</v>
      </c>
    </row>
    <row r="8620" spans="31:32">
      <c r="AE8620" s="417" t="s">
        <v>23058</v>
      </c>
      <c r="AF8620" s="416" t="s">
        <v>23059</v>
      </c>
    </row>
    <row r="8621" spans="31:32">
      <c r="AE8621" s="417" t="s">
        <v>23060</v>
      </c>
      <c r="AF8621" s="416" t="s">
        <v>23061</v>
      </c>
    </row>
    <row r="8622" spans="31:32">
      <c r="AE8622" s="417" t="s">
        <v>23062</v>
      </c>
      <c r="AF8622" s="416" t="s">
        <v>23063</v>
      </c>
    </row>
    <row r="8623" spans="31:32">
      <c r="AE8623" s="417" t="s">
        <v>23064</v>
      </c>
      <c r="AF8623" s="416" t="s">
        <v>23065</v>
      </c>
    </row>
    <row r="8624" spans="31:32">
      <c r="AE8624" s="417" t="s">
        <v>23066</v>
      </c>
      <c r="AF8624" s="416" t="s">
        <v>23067</v>
      </c>
    </row>
    <row r="8625" spans="31:32">
      <c r="AE8625" s="417" t="s">
        <v>23068</v>
      </c>
      <c r="AF8625" s="416" t="s">
        <v>23069</v>
      </c>
    </row>
    <row r="8626" spans="31:32">
      <c r="AE8626" s="417" t="s">
        <v>23070</v>
      </c>
      <c r="AF8626" s="416" t="s">
        <v>23071</v>
      </c>
    </row>
    <row r="8627" spans="31:32">
      <c r="AE8627" s="417" t="s">
        <v>23072</v>
      </c>
      <c r="AF8627" s="416" t="s">
        <v>23073</v>
      </c>
    </row>
    <row r="8628" spans="31:32">
      <c r="AE8628" s="417" t="s">
        <v>23074</v>
      </c>
      <c r="AF8628" s="416" t="s">
        <v>23075</v>
      </c>
    </row>
    <row r="8629" spans="31:32">
      <c r="AE8629" s="417" t="s">
        <v>23076</v>
      </c>
      <c r="AF8629" s="416" t="s">
        <v>23077</v>
      </c>
    </row>
    <row r="8630" spans="31:32">
      <c r="AE8630" s="417" t="s">
        <v>23078</v>
      </c>
      <c r="AF8630" s="416" t="s">
        <v>23079</v>
      </c>
    </row>
    <row r="8631" spans="31:32">
      <c r="AE8631" s="417" t="s">
        <v>23080</v>
      </c>
      <c r="AF8631" s="416" t="s">
        <v>23081</v>
      </c>
    </row>
    <row r="8632" spans="31:32">
      <c r="AE8632" s="417" t="s">
        <v>23082</v>
      </c>
      <c r="AF8632" s="416" t="s">
        <v>23083</v>
      </c>
    </row>
    <row r="8633" spans="31:32">
      <c r="AE8633" s="417" t="s">
        <v>23084</v>
      </c>
      <c r="AF8633" s="416" t="s">
        <v>23085</v>
      </c>
    </row>
    <row r="8634" spans="31:32">
      <c r="AE8634" s="417" t="s">
        <v>23086</v>
      </c>
      <c r="AF8634" s="416" t="s">
        <v>23087</v>
      </c>
    </row>
    <row r="8635" spans="31:32">
      <c r="AE8635" s="417" t="s">
        <v>23088</v>
      </c>
      <c r="AF8635" s="416" t="s">
        <v>23089</v>
      </c>
    </row>
    <row r="8636" spans="31:32">
      <c r="AE8636" s="417" t="s">
        <v>23090</v>
      </c>
      <c r="AF8636" s="416" t="s">
        <v>23091</v>
      </c>
    </row>
    <row r="8637" spans="31:32">
      <c r="AE8637" s="417" t="s">
        <v>23092</v>
      </c>
      <c r="AF8637" s="416" t="s">
        <v>23093</v>
      </c>
    </row>
    <row r="8638" spans="31:32">
      <c r="AE8638" s="417" t="s">
        <v>23094</v>
      </c>
      <c r="AF8638" s="416" t="s">
        <v>23095</v>
      </c>
    </row>
    <row r="8639" spans="31:32">
      <c r="AE8639" s="417" t="s">
        <v>23096</v>
      </c>
      <c r="AF8639" s="416" t="s">
        <v>23097</v>
      </c>
    </row>
    <row r="8640" spans="31:32">
      <c r="AE8640" s="417" t="s">
        <v>23098</v>
      </c>
      <c r="AF8640" s="416" t="s">
        <v>23099</v>
      </c>
    </row>
    <row r="8641" spans="31:32">
      <c r="AE8641" s="417" t="s">
        <v>23100</v>
      </c>
      <c r="AF8641" s="416" t="s">
        <v>23101</v>
      </c>
    </row>
    <row r="8642" spans="31:32">
      <c r="AE8642" s="417" t="s">
        <v>23102</v>
      </c>
      <c r="AF8642" s="416" t="s">
        <v>23103</v>
      </c>
    </row>
    <row r="8643" spans="31:32">
      <c r="AE8643" s="417" t="s">
        <v>23104</v>
      </c>
      <c r="AF8643" s="416" t="s">
        <v>23105</v>
      </c>
    </row>
    <row r="8644" spans="31:32">
      <c r="AE8644" s="417" t="s">
        <v>23106</v>
      </c>
      <c r="AF8644" s="416" t="s">
        <v>23107</v>
      </c>
    </row>
    <row r="8645" spans="31:32">
      <c r="AE8645" s="417" t="s">
        <v>23108</v>
      </c>
      <c r="AF8645" s="416" t="s">
        <v>23109</v>
      </c>
    </row>
    <row r="8646" spans="31:32">
      <c r="AE8646" s="417" t="s">
        <v>23110</v>
      </c>
      <c r="AF8646" s="416" t="s">
        <v>23111</v>
      </c>
    </row>
    <row r="8647" spans="31:32">
      <c r="AE8647" s="417" t="s">
        <v>23112</v>
      </c>
      <c r="AF8647" s="416" t="s">
        <v>23113</v>
      </c>
    </row>
    <row r="8648" spans="31:32">
      <c r="AE8648" s="417" t="s">
        <v>23114</v>
      </c>
      <c r="AF8648" s="416" t="s">
        <v>23115</v>
      </c>
    </row>
    <row r="8649" spans="31:32">
      <c r="AE8649" s="417" t="s">
        <v>23116</v>
      </c>
      <c r="AF8649" s="416" t="s">
        <v>23117</v>
      </c>
    </row>
    <row r="8650" spans="31:32">
      <c r="AE8650" s="417" t="s">
        <v>23118</v>
      </c>
      <c r="AF8650" s="416" t="s">
        <v>23119</v>
      </c>
    </row>
    <row r="8651" spans="31:32">
      <c r="AE8651" s="417" t="s">
        <v>23120</v>
      </c>
      <c r="AF8651" s="416" t="s">
        <v>23121</v>
      </c>
    </row>
    <row r="8652" spans="31:32">
      <c r="AE8652" s="417" t="s">
        <v>23122</v>
      </c>
      <c r="AF8652" s="416" t="s">
        <v>23123</v>
      </c>
    </row>
    <row r="8653" spans="31:32">
      <c r="AE8653" s="417" t="s">
        <v>23124</v>
      </c>
      <c r="AF8653" s="416" t="s">
        <v>23125</v>
      </c>
    </row>
    <row r="8654" spans="31:32">
      <c r="AE8654" s="417" t="s">
        <v>23126</v>
      </c>
      <c r="AF8654" s="416" t="s">
        <v>23127</v>
      </c>
    </row>
    <row r="8655" spans="31:32">
      <c r="AE8655" s="417" t="s">
        <v>23128</v>
      </c>
      <c r="AF8655" s="416" t="s">
        <v>23129</v>
      </c>
    </row>
    <row r="8656" spans="31:32">
      <c r="AE8656" s="417" t="s">
        <v>23130</v>
      </c>
      <c r="AF8656" s="416" t="s">
        <v>23131</v>
      </c>
    </row>
    <row r="8657" spans="31:32">
      <c r="AE8657" s="417" t="s">
        <v>23132</v>
      </c>
      <c r="AF8657" s="416" t="s">
        <v>23133</v>
      </c>
    </row>
    <row r="8658" spans="31:32">
      <c r="AE8658" s="417" t="s">
        <v>23134</v>
      </c>
      <c r="AF8658" s="416" t="s">
        <v>23135</v>
      </c>
    </row>
    <row r="8659" spans="31:32">
      <c r="AE8659" s="417" t="s">
        <v>23136</v>
      </c>
      <c r="AF8659" s="416" t="s">
        <v>23137</v>
      </c>
    </row>
    <row r="8660" spans="31:32">
      <c r="AE8660" s="417" t="s">
        <v>23138</v>
      </c>
      <c r="AF8660" s="416" t="s">
        <v>23139</v>
      </c>
    </row>
    <row r="8661" spans="31:32">
      <c r="AE8661" s="417" t="s">
        <v>23140</v>
      </c>
      <c r="AF8661" s="416" t="s">
        <v>23141</v>
      </c>
    </row>
    <row r="8662" spans="31:32">
      <c r="AE8662" s="417" t="s">
        <v>23142</v>
      </c>
      <c r="AF8662" s="416" t="s">
        <v>23143</v>
      </c>
    </row>
    <row r="8663" spans="31:32">
      <c r="AE8663" s="417" t="s">
        <v>23144</v>
      </c>
      <c r="AF8663" s="416" t="s">
        <v>23145</v>
      </c>
    </row>
    <row r="8664" spans="31:32">
      <c r="AE8664" s="417" t="s">
        <v>23146</v>
      </c>
      <c r="AF8664" s="416" t="s">
        <v>23147</v>
      </c>
    </row>
    <row r="8665" spans="31:32">
      <c r="AE8665" s="417" t="s">
        <v>23148</v>
      </c>
      <c r="AF8665" s="416" t="s">
        <v>23149</v>
      </c>
    </row>
    <row r="8666" spans="31:32">
      <c r="AE8666" s="417" t="s">
        <v>23150</v>
      </c>
      <c r="AF8666" s="416" t="s">
        <v>23151</v>
      </c>
    </row>
    <row r="8667" spans="31:32">
      <c r="AE8667" s="417" t="s">
        <v>23152</v>
      </c>
      <c r="AF8667" s="416" t="s">
        <v>23153</v>
      </c>
    </row>
    <row r="8668" spans="31:32">
      <c r="AE8668" s="417" t="s">
        <v>23154</v>
      </c>
      <c r="AF8668" s="416" t="s">
        <v>23155</v>
      </c>
    </row>
    <row r="8669" spans="31:32">
      <c r="AE8669" s="417" t="s">
        <v>23156</v>
      </c>
      <c r="AF8669" s="416" t="s">
        <v>23157</v>
      </c>
    </row>
    <row r="8670" spans="31:32">
      <c r="AE8670" s="417" t="s">
        <v>23158</v>
      </c>
      <c r="AF8670" s="416" t="s">
        <v>23159</v>
      </c>
    </row>
    <row r="8671" spans="31:32">
      <c r="AE8671" s="417" t="s">
        <v>23160</v>
      </c>
      <c r="AF8671" s="416" t="s">
        <v>23161</v>
      </c>
    </row>
    <row r="8672" spans="31:32">
      <c r="AE8672" s="417" t="s">
        <v>23162</v>
      </c>
      <c r="AF8672" s="416" t="s">
        <v>23163</v>
      </c>
    </row>
    <row r="8673" spans="31:32">
      <c r="AE8673" s="417" t="s">
        <v>23164</v>
      </c>
      <c r="AF8673" s="416" t="s">
        <v>23165</v>
      </c>
    </row>
    <row r="8674" spans="31:32">
      <c r="AE8674" s="417" t="s">
        <v>23166</v>
      </c>
      <c r="AF8674" s="416" t="s">
        <v>23167</v>
      </c>
    </row>
    <row r="8675" spans="31:32">
      <c r="AE8675" s="417" t="s">
        <v>23168</v>
      </c>
      <c r="AF8675" s="416" t="s">
        <v>23169</v>
      </c>
    </row>
    <row r="8676" spans="31:32">
      <c r="AE8676" s="417" t="s">
        <v>23170</v>
      </c>
      <c r="AF8676" s="416" t="s">
        <v>23171</v>
      </c>
    </row>
    <row r="8677" spans="31:32">
      <c r="AE8677" s="417" t="s">
        <v>23172</v>
      </c>
      <c r="AF8677" s="416" t="s">
        <v>23173</v>
      </c>
    </row>
    <row r="8678" spans="31:32">
      <c r="AE8678" s="417" t="s">
        <v>23174</v>
      </c>
      <c r="AF8678" s="416" t="s">
        <v>23175</v>
      </c>
    </row>
    <row r="8679" spans="31:32">
      <c r="AE8679" s="417" t="s">
        <v>23176</v>
      </c>
      <c r="AF8679" s="416" t="s">
        <v>23177</v>
      </c>
    </row>
    <row r="8680" spans="31:32">
      <c r="AE8680" s="417" t="s">
        <v>23178</v>
      </c>
      <c r="AF8680" s="416" t="s">
        <v>23179</v>
      </c>
    </row>
    <row r="8681" spans="31:32">
      <c r="AE8681" s="417" t="s">
        <v>23180</v>
      </c>
      <c r="AF8681" s="416" t="s">
        <v>23181</v>
      </c>
    </row>
    <row r="8682" spans="31:32">
      <c r="AE8682" s="417" t="s">
        <v>23182</v>
      </c>
      <c r="AF8682" s="416" t="s">
        <v>23183</v>
      </c>
    </row>
    <row r="8683" spans="31:32">
      <c r="AE8683" s="417" t="s">
        <v>23184</v>
      </c>
      <c r="AF8683" s="416" t="s">
        <v>23185</v>
      </c>
    </row>
    <row r="8684" spans="31:32">
      <c r="AE8684" s="417" t="s">
        <v>23186</v>
      </c>
      <c r="AF8684" s="416" t="s">
        <v>23187</v>
      </c>
    </row>
    <row r="8685" spans="31:32">
      <c r="AE8685" s="417" t="s">
        <v>23188</v>
      </c>
      <c r="AF8685" s="416" t="s">
        <v>23189</v>
      </c>
    </row>
    <row r="8686" spans="31:32">
      <c r="AE8686" s="417" t="s">
        <v>23190</v>
      </c>
      <c r="AF8686" s="416" t="s">
        <v>23191</v>
      </c>
    </row>
    <row r="8687" spans="31:32">
      <c r="AE8687" s="417" t="s">
        <v>23192</v>
      </c>
      <c r="AF8687" s="416" t="s">
        <v>23193</v>
      </c>
    </row>
    <row r="8688" spans="31:32">
      <c r="AE8688" s="417" t="s">
        <v>23194</v>
      </c>
      <c r="AF8688" s="416" t="s">
        <v>23195</v>
      </c>
    </row>
    <row r="8689" spans="31:32">
      <c r="AE8689" s="417" t="s">
        <v>23196</v>
      </c>
      <c r="AF8689" s="416" t="s">
        <v>23197</v>
      </c>
    </row>
    <row r="8690" spans="31:32">
      <c r="AE8690" s="417" t="s">
        <v>23198</v>
      </c>
      <c r="AF8690" s="416" t="s">
        <v>23199</v>
      </c>
    </row>
    <row r="8691" spans="31:32">
      <c r="AE8691" s="417" t="s">
        <v>23200</v>
      </c>
      <c r="AF8691" s="416" t="s">
        <v>23201</v>
      </c>
    </row>
    <row r="8692" spans="31:32">
      <c r="AE8692" s="417" t="s">
        <v>23202</v>
      </c>
      <c r="AF8692" s="416" t="s">
        <v>23203</v>
      </c>
    </row>
    <row r="8693" spans="31:32">
      <c r="AE8693" s="417" t="s">
        <v>23204</v>
      </c>
      <c r="AF8693" s="416" t="s">
        <v>23205</v>
      </c>
    </row>
    <row r="8694" spans="31:32">
      <c r="AE8694" s="417" t="s">
        <v>23206</v>
      </c>
      <c r="AF8694" s="416" t="s">
        <v>23207</v>
      </c>
    </row>
    <row r="8695" spans="31:32">
      <c r="AE8695" s="417" t="s">
        <v>23208</v>
      </c>
      <c r="AF8695" s="416" t="s">
        <v>23209</v>
      </c>
    </row>
    <row r="8696" spans="31:32">
      <c r="AE8696" s="417" t="s">
        <v>23210</v>
      </c>
      <c r="AF8696" s="416" t="s">
        <v>23211</v>
      </c>
    </row>
    <row r="8697" spans="31:32">
      <c r="AE8697" s="417" t="s">
        <v>23212</v>
      </c>
      <c r="AF8697" s="416" t="s">
        <v>23213</v>
      </c>
    </row>
    <row r="8698" spans="31:32">
      <c r="AE8698" s="417" t="s">
        <v>23214</v>
      </c>
      <c r="AF8698" s="416" t="s">
        <v>23215</v>
      </c>
    </row>
    <row r="8699" spans="31:32">
      <c r="AE8699" s="417" t="s">
        <v>23216</v>
      </c>
      <c r="AF8699" s="416" t="s">
        <v>23217</v>
      </c>
    </row>
    <row r="8700" spans="31:32">
      <c r="AE8700" s="417" t="s">
        <v>23218</v>
      </c>
      <c r="AF8700" s="416" t="s">
        <v>23219</v>
      </c>
    </row>
    <row r="8701" spans="31:32">
      <c r="AE8701" s="417" t="s">
        <v>23220</v>
      </c>
      <c r="AF8701" s="416" t="s">
        <v>23221</v>
      </c>
    </row>
    <row r="8702" spans="31:32">
      <c r="AE8702" s="417" t="s">
        <v>23222</v>
      </c>
      <c r="AF8702" s="416" t="s">
        <v>23223</v>
      </c>
    </row>
    <row r="8703" spans="31:32">
      <c r="AE8703" s="417" t="s">
        <v>23224</v>
      </c>
      <c r="AF8703" s="416" t="s">
        <v>23225</v>
      </c>
    </row>
    <row r="8704" spans="31:32">
      <c r="AE8704" s="417" t="s">
        <v>23226</v>
      </c>
      <c r="AF8704" s="416" t="s">
        <v>23227</v>
      </c>
    </row>
    <row r="8705" spans="31:32">
      <c r="AE8705" s="417" t="s">
        <v>23228</v>
      </c>
      <c r="AF8705" s="416" t="s">
        <v>23229</v>
      </c>
    </row>
    <row r="8706" spans="31:32">
      <c r="AE8706" s="417" t="s">
        <v>23230</v>
      </c>
      <c r="AF8706" s="416" t="s">
        <v>23231</v>
      </c>
    </row>
    <row r="8707" spans="31:32">
      <c r="AE8707" s="417" t="s">
        <v>23232</v>
      </c>
      <c r="AF8707" s="416" t="s">
        <v>23233</v>
      </c>
    </row>
    <row r="8708" spans="31:32">
      <c r="AE8708" s="417" t="s">
        <v>23234</v>
      </c>
      <c r="AF8708" s="416" t="s">
        <v>23235</v>
      </c>
    </row>
    <row r="8709" spans="31:32">
      <c r="AE8709" s="417" t="s">
        <v>23236</v>
      </c>
      <c r="AF8709" s="416" t="s">
        <v>23237</v>
      </c>
    </row>
    <row r="8710" spans="31:32">
      <c r="AE8710" s="417" t="s">
        <v>23238</v>
      </c>
      <c r="AF8710" s="416" t="s">
        <v>23239</v>
      </c>
    </row>
    <row r="8711" spans="31:32">
      <c r="AE8711" s="417" t="s">
        <v>23240</v>
      </c>
      <c r="AF8711" s="416" t="s">
        <v>23241</v>
      </c>
    </row>
    <row r="8712" spans="31:32">
      <c r="AE8712" s="417" t="s">
        <v>23242</v>
      </c>
      <c r="AF8712" s="416" t="s">
        <v>23243</v>
      </c>
    </row>
    <row r="8713" spans="31:32">
      <c r="AE8713" s="417" t="s">
        <v>23244</v>
      </c>
      <c r="AF8713" s="416" t="s">
        <v>23245</v>
      </c>
    </row>
    <row r="8714" spans="31:32">
      <c r="AE8714" s="417" t="s">
        <v>23246</v>
      </c>
      <c r="AF8714" s="416" t="s">
        <v>23247</v>
      </c>
    </row>
    <row r="8715" spans="31:32">
      <c r="AE8715" s="417" t="s">
        <v>23248</v>
      </c>
      <c r="AF8715" s="416" t="s">
        <v>23249</v>
      </c>
    </row>
    <row r="8716" spans="31:32">
      <c r="AE8716" s="417" t="s">
        <v>23250</v>
      </c>
      <c r="AF8716" s="416" t="s">
        <v>23251</v>
      </c>
    </row>
    <row r="8717" spans="31:32">
      <c r="AE8717" s="417" t="s">
        <v>23252</v>
      </c>
      <c r="AF8717" s="416" t="s">
        <v>23253</v>
      </c>
    </row>
    <row r="8718" spans="31:32">
      <c r="AE8718" s="417" t="s">
        <v>23254</v>
      </c>
      <c r="AF8718" s="416" t="s">
        <v>23255</v>
      </c>
    </row>
    <row r="8719" spans="31:32">
      <c r="AE8719" s="417" t="s">
        <v>23256</v>
      </c>
      <c r="AF8719" s="416" t="s">
        <v>23257</v>
      </c>
    </row>
    <row r="8720" spans="31:32">
      <c r="AE8720" s="417" t="s">
        <v>23258</v>
      </c>
      <c r="AF8720" s="416" t="s">
        <v>23259</v>
      </c>
    </row>
    <row r="8721" spans="31:32">
      <c r="AE8721" s="417" t="s">
        <v>23260</v>
      </c>
      <c r="AF8721" s="416" t="s">
        <v>23261</v>
      </c>
    </row>
    <row r="8722" spans="31:32">
      <c r="AE8722" s="417" t="s">
        <v>23262</v>
      </c>
      <c r="AF8722" s="416" t="s">
        <v>23263</v>
      </c>
    </row>
    <row r="8723" spans="31:32">
      <c r="AE8723" s="417" t="s">
        <v>23264</v>
      </c>
      <c r="AF8723" s="416" t="s">
        <v>23265</v>
      </c>
    </row>
    <row r="8724" spans="31:32">
      <c r="AE8724" s="417" t="s">
        <v>23266</v>
      </c>
      <c r="AF8724" s="416" t="s">
        <v>23267</v>
      </c>
    </row>
    <row r="8725" spans="31:32">
      <c r="AE8725" s="417" t="s">
        <v>23268</v>
      </c>
      <c r="AF8725" s="416" t="s">
        <v>23269</v>
      </c>
    </row>
    <row r="8726" spans="31:32">
      <c r="AE8726" s="417" t="s">
        <v>23270</v>
      </c>
      <c r="AF8726" s="416" t="s">
        <v>23271</v>
      </c>
    </row>
    <row r="8727" spans="31:32">
      <c r="AE8727" s="417" t="s">
        <v>23272</v>
      </c>
      <c r="AF8727" s="416" t="s">
        <v>23273</v>
      </c>
    </row>
    <row r="8728" spans="31:32">
      <c r="AE8728" s="417" t="s">
        <v>23274</v>
      </c>
      <c r="AF8728" s="416" t="s">
        <v>23275</v>
      </c>
    </row>
    <row r="8729" spans="31:32">
      <c r="AE8729" s="417" t="s">
        <v>23276</v>
      </c>
      <c r="AF8729" s="416" t="s">
        <v>23277</v>
      </c>
    </row>
    <row r="8730" spans="31:32">
      <c r="AE8730" s="417" t="s">
        <v>23278</v>
      </c>
      <c r="AF8730" s="416" t="s">
        <v>23279</v>
      </c>
    </row>
    <row r="8731" spans="31:32">
      <c r="AE8731" s="417" t="s">
        <v>23280</v>
      </c>
      <c r="AF8731" s="416" t="s">
        <v>23281</v>
      </c>
    </row>
    <row r="8732" spans="31:32">
      <c r="AE8732" s="417" t="s">
        <v>23282</v>
      </c>
      <c r="AF8732" s="416" t="s">
        <v>23283</v>
      </c>
    </row>
    <row r="8733" spans="31:32">
      <c r="AE8733" s="417" t="s">
        <v>23284</v>
      </c>
      <c r="AF8733" s="416" t="s">
        <v>23285</v>
      </c>
    </row>
    <row r="8734" spans="31:32">
      <c r="AE8734" s="417" t="s">
        <v>23286</v>
      </c>
      <c r="AF8734" s="416" t="s">
        <v>23287</v>
      </c>
    </row>
    <row r="8735" spans="31:32">
      <c r="AE8735" s="417" t="s">
        <v>23288</v>
      </c>
      <c r="AF8735" s="416" t="s">
        <v>23289</v>
      </c>
    </row>
    <row r="8736" spans="31:32">
      <c r="AE8736" s="417" t="s">
        <v>23290</v>
      </c>
      <c r="AF8736" s="416" t="s">
        <v>23291</v>
      </c>
    </row>
    <row r="8737" spans="31:32">
      <c r="AE8737" s="417" t="s">
        <v>23292</v>
      </c>
      <c r="AF8737" s="416" t="s">
        <v>23293</v>
      </c>
    </row>
    <row r="8738" spans="31:32">
      <c r="AE8738" s="417" t="s">
        <v>23294</v>
      </c>
      <c r="AF8738" s="416" t="s">
        <v>23295</v>
      </c>
    </row>
    <row r="8739" spans="31:32">
      <c r="AE8739" s="417" t="s">
        <v>23296</v>
      </c>
      <c r="AF8739" s="416" t="s">
        <v>23297</v>
      </c>
    </row>
    <row r="8740" spans="31:32">
      <c r="AE8740" s="417" t="s">
        <v>23298</v>
      </c>
      <c r="AF8740" s="416" t="s">
        <v>23299</v>
      </c>
    </row>
    <row r="8741" spans="31:32">
      <c r="AE8741" s="417" t="s">
        <v>23300</v>
      </c>
      <c r="AF8741" s="416" t="s">
        <v>23301</v>
      </c>
    </row>
    <row r="8742" spans="31:32">
      <c r="AE8742" s="417" t="s">
        <v>23302</v>
      </c>
      <c r="AF8742" s="416" t="s">
        <v>23303</v>
      </c>
    </row>
    <row r="8743" spans="31:32">
      <c r="AE8743" s="417" t="s">
        <v>23304</v>
      </c>
      <c r="AF8743" s="416" t="s">
        <v>23305</v>
      </c>
    </row>
    <row r="8744" spans="31:32">
      <c r="AE8744" s="417" t="s">
        <v>23306</v>
      </c>
      <c r="AF8744" s="416" t="s">
        <v>23307</v>
      </c>
    </row>
    <row r="8745" spans="31:32">
      <c r="AE8745" s="417" t="s">
        <v>23308</v>
      </c>
      <c r="AF8745" s="416" t="s">
        <v>23309</v>
      </c>
    </row>
    <row r="8746" spans="31:32">
      <c r="AE8746" s="417" t="s">
        <v>23310</v>
      </c>
      <c r="AF8746" s="416" t="s">
        <v>23311</v>
      </c>
    </row>
    <row r="8747" spans="31:32">
      <c r="AE8747" s="417" t="s">
        <v>23312</v>
      </c>
      <c r="AF8747" s="416" t="s">
        <v>23313</v>
      </c>
    </row>
    <row r="8748" spans="31:32">
      <c r="AE8748" s="417" t="s">
        <v>23314</v>
      </c>
      <c r="AF8748" s="416" t="s">
        <v>23315</v>
      </c>
    </row>
    <row r="8749" spans="31:32">
      <c r="AE8749" s="417" t="s">
        <v>23316</v>
      </c>
      <c r="AF8749" s="416" t="s">
        <v>23317</v>
      </c>
    </row>
    <row r="8750" spans="31:32">
      <c r="AE8750" s="417" t="s">
        <v>23318</v>
      </c>
      <c r="AF8750" s="416" t="s">
        <v>23319</v>
      </c>
    </row>
    <row r="8751" spans="31:32">
      <c r="AE8751" s="417" t="s">
        <v>23320</v>
      </c>
      <c r="AF8751" s="416" t="s">
        <v>23321</v>
      </c>
    </row>
    <row r="8752" spans="31:32">
      <c r="AE8752" s="417" t="s">
        <v>23322</v>
      </c>
      <c r="AF8752" s="416" t="s">
        <v>23323</v>
      </c>
    </row>
    <row r="8753" spans="31:32">
      <c r="AE8753" s="417" t="s">
        <v>23324</v>
      </c>
      <c r="AF8753" s="416" t="s">
        <v>23325</v>
      </c>
    </row>
    <row r="8754" spans="31:32">
      <c r="AE8754" s="417" t="s">
        <v>23326</v>
      </c>
      <c r="AF8754" s="416" t="s">
        <v>23327</v>
      </c>
    </row>
    <row r="8755" spans="31:32">
      <c r="AE8755" s="417" t="s">
        <v>23328</v>
      </c>
      <c r="AF8755" s="416" t="s">
        <v>23329</v>
      </c>
    </row>
    <row r="8756" spans="31:32">
      <c r="AE8756" s="417" t="s">
        <v>23330</v>
      </c>
      <c r="AF8756" s="416" t="s">
        <v>23331</v>
      </c>
    </row>
    <row r="8757" spans="31:32">
      <c r="AE8757" s="417" t="s">
        <v>23332</v>
      </c>
      <c r="AF8757" s="416" t="s">
        <v>23333</v>
      </c>
    </row>
    <row r="8758" spans="31:32">
      <c r="AE8758" s="417" t="s">
        <v>23334</v>
      </c>
      <c r="AF8758" s="416" t="s">
        <v>23335</v>
      </c>
    </row>
    <row r="8759" spans="31:32">
      <c r="AE8759" s="417" t="s">
        <v>23336</v>
      </c>
      <c r="AF8759" s="416" t="s">
        <v>23337</v>
      </c>
    </row>
    <row r="8760" spans="31:32">
      <c r="AE8760" s="417" t="s">
        <v>23338</v>
      </c>
      <c r="AF8760" s="416" t="s">
        <v>23159</v>
      </c>
    </row>
    <row r="8761" spans="31:32">
      <c r="AE8761" s="417" t="s">
        <v>23339</v>
      </c>
      <c r="AF8761" s="416" t="s">
        <v>23155</v>
      </c>
    </row>
    <row r="8762" spans="31:32">
      <c r="AE8762" s="417" t="s">
        <v>23340</v>
      </c>
      <c r="AF8762" s="416" t="s">
        <v>23341</v>
      </c>
    </row>
    <row r="8763" spans="31:32">
      <c r="AE8763" s="417" t="s">
        <v>23342</v>
      </c>
      <c r="AF8763" s="416" t="s">
        <v>23157</v>
      </c>
    </row>
    <row r="8764" spans="31:32">
      <c r="AE8764" s="417" t="s">
        <v>23343</v>
      </c>
      <c r="AF8764" s="416" t="s">
        <v>23344</v>
      </c>
    </row>
    <row r="8765" spans="31:32">
      <c r="AE8765" s="417" t="s">
        <v>23345</v>
      </c>
      <c r="AF8765" s="416" t="s">
        <v>23346</v>
      </c>
    </row>
    <row r="8766" spans="31:32">
      <c r="AE8766" s="417" t="s">
        <v>23347</v>
      </c>
      <c r="AF8766" s="416" t="s">
        <v>23348</v>
      </c>
    </row>
    <row r="8767" spans="31:32">
      <c r="AE8767" s="417" t="s">
        <v>23349</v>
      </c>
      <c r="AF8767" s="416" t="s">
        <v>23350</v>
      </c>
    </row>
    <row r="8768" spans="31:32">
      <c r="AE8768" s="417" t="s">
        <v>23351</v>
      </c>
      <c r="AF8768" s="416" t="s">
        <v>23352</v>
      </c>
    </row>
    <row r="8769" spans="31:32">
      <c r="AE8769" s="417" t="s">
        <v>23353</v>
      </c>
      <c r="AF8769" s="416" t="s">
        <v>23354</v>
      </c>
    </row>
    <row r="8770" spans="31:32">
      <c r="AE8770" s="417" t="s">
        <v>23355</v>
      </c>
      <c r="AF8770" s="416" t="s">
        <v>23356</v>
      </c>
    </row>
    <row r="8771" spans="31:32">
      <c r="AE8771" s="417" t="s">
        <v>23357</v>
      </c>
      <c r="AF8771" s="416" t="s">
        <v>23358</v>
      </c>
    </row>
    <row r="8772" spans="31:32">
      <c r="AE8772" s="417" t="s">
        <v>23359</v>
      </c>
      <c r="AF8772" s="416" t="s">
        <v>23360</v>
      </c>
    </row>
    <row r="8773" spans="31:32">
      <c r="AE8773" s="417" t="s">
        <v>23361</v>
      </c>
      <c r="AF8773" s="416" t="s">
        <v>23362</v>
      </c>
    </row>
    <row r="8774" spans="31:32">
      <c r="AE8774" s="417" t="s">
        <v>23363</v>
      </c>
      <c r="AF8774" s="416" t="s">
        <v>23364</v>
      </c>
    </row>
    <row r="8775" spans="31:32">
      <c r="AE8775" s="417" t="s">
        <v>23365</v>
      </c>
      <c r="AF8775" s="416" t="s">
        <v>23366</v>
      </c>
    </row>
    <row r="8776" spans="31:32">
      <c r="AE8776" s="417" t="s">
        <v>23367</v>
      </c>
      <c r="AF8776" s="416" t="s">
        <v>23368</v>
      </c>
    </row>
    <row r="8777" spans="31:32">
      <c r="AE8777" s="417" t="s">
        <v>23369</v>
      </c>
      <c r="AF8777" s="416" t="s">
        <v>23370</v>
      </c>
    </row>
    <row r="8778" spans="31:32">
      <c r="AE8778" s="417" t="s">
        <v>23371</v>
      </c>
      <c r="AF8778" s="416" t="s">
        <v>23372</v>
      </c>
    </row>
    <row r="8779" spans="31:32">
      <c r="AE8779" s="417" t="s">
        <v>23373</v>
      </c>
      <c r="AF8779" s="416" t="s">
        <v>23374</v>
      </c>
    </row>
    <row r="8780" spans="31:32">
      <c r="AE8780" s="417" t="s">
        <v>23375</v>
      </c>
      <c r="AF8780" s="416" t="s">
        <v>23376</v>
      </c>
    </row>
    <row r="8781" spans="31:32">
      <c r="AE8781" s="417" t="s">
        <v>23377</v>
      </c>
      <c r="AF8781" s="416" t="s">
        <v>23378</v>
      </c>
    </row>
    <row r="8782" spans="31:32">
      <c r="AE8782" s="417" t="s">
        <v>23379</v>
      </c>
      <c r="AF8782" s="416" t="s">
        <v>23380</v>
      </c>
    </row>
    <row r="8783" spans="31:32">
      <c r="AE8783" s="417" t="s">
        <v>23381</v>
      </c>
      <c r="AF8783" s="416" t="s">
        <v>23382</v>
      </c>
    </row>
    <row r="8784" spans="31:32">
      <c r="AE8784" s="417" t="s">
        <v>23383</v>
      </c>
      <c r="AF8784" s="416" t="s">
        <v>23384</v>
      </c>
    </row>
    <row r="8785" spans="31:32">
      <c r="AE8785" s="417" t="s">
        <v>23385</v>
      </c>
      <c r="AF8785" s="416" t="s">
        <v>23386</v>
      </c>
    </row>
    <row r="8786" spans="31:32">
      <c r="AE8786" s="417" t="s">
        <v>23387</v>
      </c>
      <c r="AF8786" s="416" t="s">
        <v>23388</v>
      </c>
    </row>
    <row r="8787" spans="31:32">
      <c r="AE8787" s="417" t="s">
        <v>23389</v>
      </c>
      <c r="AF8787" s="416" t="s">
        <v>23390</v>
      </c>
    </row>
    <row r="8788" spans="31:32">
      <c r="AE8788" s="417" t="s">
        <v>23391</v>
      </c>
      <c r="AF8788" s="416" t="s">
        <v>23392</v>
      </c>
    </row>
    <row r="8789" spans="31:32">
      <c r="AE8789" s="417" t="s">
        <v>23393</v>
      </c>
      <c r="AF8789" s="416" t="s">
        <v>23394</v>
      </c>
    </row>
    <row r="8790" spans="31:32">
      <c r="AE8790" s="417" t="s">
        <v>23395</v>
      </c>
      <c r="AF8790" s="416" t="s">
        <v>23396</v>
      </c>
    </row>
    <row r="8791" spans="31:32">
      <c r="AE8791" s="417" t="s">
        <v>23397</v>
      </c>
      <c r="AF8791" s="416" t="s">
        <v>23398</v>
      </c>
    </row>
    <row r="8792" spans="31:32">
      <c r="AE8792" s="417" t="s">
        <v>23399</v>
      </c>
      <c r="AF8792" s="416" t="s">
        <v>23400</v>
      </c>
    </row>
    <row r="8793" spans="31:32">
      <c r="AE8793" s="417" t="s">
        <v>23401</v>
      </c>
      <c r="AF8793" s="416" t="s">
        <v>23402</v>
      </c>
    </row>
    <row r="8794" spans="31:32">
      <c r="AE8794" s="417" t="s">
        <v>23403</v>
      </c>
      <c r="AF8794" s="416" t="s">
        <v>23404</v>
      </c>
    </row>
    <row r="8795" spans="31:32">
      <c r="AE8795" s="417" t="s">
        <v>23405</v>
      </c>
      <c r="AF8795" s="416" t="s">
        <v>23406</v>
      </c>
    </row>
    <row r="8796" spans="31:32">
      <c r="AE8796" s="417" t="s">
        <v>23407</v>
      </c>
      <c r="AF8796" s="416" t="s">
        <v>23408</v>
      </c>
    </row>
    <row r="8797" spans="31:32">
      <c r="AE8797" s="417" t="s">
        <v>23409</v>
      </c>
      <c r="AF8797" s="416" t="s">
        <v>23410</v>
      </c>
    </row>
    <row r="8798" spans="31:32">
      <c r="AE8798" s="417" t="s">
        <v>23411</v>
      </c>
      <c r="AF8798" s="416" t="s">
        <v>23412</v>
      </c>
    </row>
    <row r="8799" spans="31:32">
      <c r="AE8799" s="417" t="s">
        <v>23413</v>
      </c>
      <c r="AF8799" s="416" t="s">
        <v>23414</v>
      </c>
    </row>
    <row r="8800" spans="31:32">
      <c r="AE8800" s="417" t="s">
        <v>23415</v>
      </c>
      <c r="AF8800" s="416" t="s">
        <v>23416</v>
      </c>
    </row>
    <row r="8801" spans="31:32">
      <c r="AE8801" s="417" t="s">
        <v>23417</v>
      </c>
      <c r="AF8801" s="416" t="s">
        <v>23418</v>
      </c>
    </row>
    <row r="8802" spans="31:32">
      <c r="AE8802" s="417" t="s">
        <v>23419</v>
      </c>
      <c r="AF8802" s="416" t="s">
        <v>23420</v>
      </c>
    </row>
    <row r="8803" spans="31:32">
      <c r="AE8803" s="417" t="s">
        <v>23421</v>
      </c>
      <c r="AF8803" s="416" t="s">
        <v>23422</v>
      </c>
    </row>
    <row r="8804" spans="31:32">
      <c r="AE8804" s="417" t="s">
        <v>23423</v>
      </c>
      <c r="AF8804" s="416" t="s">
        <v>23424</v>
      </c>
    </row>
    <row r="8805" spans="31:32">
      <c r="AE8805" s="417" t="s">
        <v>23425</v>
      </c>
      <c r="AF8805" s="416" t="s">
        <v>23426</v>
      </c>
    </row>
    <row r="8806" spans="31:32">
      <c r="AE8806" s="417" t="s">
        <v>23427</v>
      </c>
      <c r="AF8806" s="416" t="s">
        <v>23428</v>
      </c>
    </row>
    <row r="8807" spans="31:32">
      <c r="AE8807" s="417" t="s">
        <v>23429</v>
      </c>
      <c r="AF8807" s="416" t="s">
        <v>23430</v>
      </c>
    </row>
    <row r="8808" spans="31:32">
      <c r="AE8808" s="417" t="s">
        <v>23431</v>
      </c>
      <c r="AF8808" s="416" t="s">
        <v>23432</v>
      </c>
    </row>
    <row r="8809" spans="31:32">
      <c r="AE8809" s="417" t="s">
        <v>23433</v>
      </c>
      <c r="AF8809" s="416" t="s">
        <v>23434</v>
      </c>
    </row>
    <row r="8810" spans="31:32">
      <c r="AE8810" s="417" t="s">
        <v>23435</v>
      </c>
      <c r="AF8810" s="416" t="s">
        <v>23436</v>
      </c>
    </row>
    <row r="8811" spans="31:32">
      <c r="AE8811" s="417" t="s">
        <v>23437</v>
      </c>
      <c r="AF8811" s="416" t="s">
        <v>23438</v>
      </c>
    </row>
    <row r="8812" spans="31:32">
      <c r="AE8812" s="417" t="s">
        <v>23439</v>
      </c>
      <c r="AF8812" s="416" t="s">
        <v>23440</v>
      </c>
    </row>
    <row r="8813" spans="31:32">
      <c r="AE8813" s="417" t="s">
        <v>23441</v>
      </c>
      <c r="AF8813" s="416" t="s">
        <v>23442</v>
      </c>
    </row>
    <row r="8814" spans="31:32">
      <c r="AE8814" s="417" t="s">
        <v>23443</v>
      </c>
      <c r="AF8814" s="416" t="s">
        <v>23444</v>
      </c>
    </row>
    <row r="8815" spans="31:32">
      <c r="AE8815" s="417" t="s">
        <v>23445</v>
      </c>
      <c r="AF8815" s="416" t="s">
        <v>23446</v>
      </c>
    </row>
    <row r="8816" spans="31:32">
      <c r="AE8816" s="417" t="s">
        <v>23447</v>
      </c>
      <c r="AF8816" s="416" t="s">
        <v>23448</v>
      </c>
    </row>
    <row r="8817" spans="31:32">
      <c r="AE8817" s="417" t="s">
        <v>23449</v>
      </c>
      <c r="AF8817" s="416" t="s">
        <v>23450</v>
      </c>
    </row>
    <row r="8818" spans="31:32">
      <c r="AE8818" s="417" t="s">
        <v>23451</v>
      </c>
      <c r="AF8818" s="416" t="s">
        <v>23452</v>
      </c>
    </row>
    <row r="8819" spans="31:32">
      <c r="AE8819" s="417" t="s">
        <v>23453</v>
      </c>
      <c r="AF8819" s="416" t="s">
        <v>23454</v>
      </c>
    </row>
    <row r="8820" spans="31:32">
      <c r="AE8820" s="417" t="s">
        <v>23455</v>
      </c>
      <c r="AF8820" s="416" t="s">
        <v>23456</v>
      </c>
    </row>
    <row r="8821" spans="31:32">
      <c r="AE8821" s="417" t="s">
        <v>23457</v>
      </c>
      <c r="AF8821" s="416" t="s">
        <v>23458</v>
      </c>
    </row>
    <row r="8822" spans="31:32">
      <c r="AE8822" s="417" t="s">
        <v>23459</v>
      </c>
      <c r="AF8822" s="416" t="s">
        <v>23460</v>
      </c>
    </row>
    <row r="8823" spans="31:32">
      <c r="AE8823" s="417" t="s">
        <v>23461</v>
      </c>
      <c r="AF8823" s="416" t="s">
        <v>23462</v>
      </c>
    </row>
    <row r="8824" spans="31:32">
      <c r="AE8824" s="417" t="s">
        <v>23463</v>
      </c>
      <c r="AF8824" s="416" t="s">
        <v>23464</v>
      </c>
    </row>
    <row r="8825" spans="31:32">
      <c r="AE8825" s="417" t="s">
        <v>23465</v>
      </c>
      <c r="AF8825" s="416" t="s">
        <v>23466</v>
      </c>
    </row>
    <row r="8826" spans="31:32">
      <c r="AE8826" s="417" t="s">
        <v>23467</v>
      </c>
      <c r="AF8826" s="416" t="s">
        <v>23468</v>
      </c>
    </row>
    <row r="8827" spans="31:32">
      <c r="AE8827" s="417" t="s">
        <v>23469</v>
      </c>
      <c r="AF8827" s="416" t="s">
        <v>23470</v>
      </c>
    </row>
    <row r="8828" spans="31:32">
      <c r="AE8828" s="417" t="s">
        <v>23471</v>
      </c>
      <c r="AF8828" s="416" t="s">
        <v>23472</v>
      </c>
    </row>
    <row r="8829" spans="31:32">
      <c r="AE8829" s="417" t="s">
        <v>23473</v>
      </c>
      <c r="AF8829" s="416" t="s">
        <v>23474</v>
      </c>
    </row>
    <row r="8830" spans="31:32">
      <c r="AE8830" s="417" t="s">
        <v>23475</v>
      </c>
      <c r="AF8830" s="416" t="s">
        <v>23476</v>
      </c>
    </row>
    <row r="8831" spans="31:32">
      <c r="AE8831" s="417" t="s">
        <v>23477</v>
      </c>
      <c r="AF8831" s="416" t="s">
        <v>23478</v>
      </c>
    </row>
    <row r="8832" spans="31:32">
      <c r="AE8832" s="417" t="s">
        <v>23479</v>
      </c>
      <c r="AF8832" s="416" t="s">
        <v>23480</v>
      </c>
    </row>
    <row r="8833" spans="31:32">
      <c r="AE8833" s="417" t="s">
        <v>23481</v>
      </c>
      <c r="AF8833" s="416" t="s">
        <v>23482</v>
      </c>
    </row>
    <row r="8834" spans="31:32">
      <c r="AE8834" s="417" t="s">
        <v>23483</v>
      </c>
      <c r="AF8834" s="416" t="s">
        <v>23484</v>
      </c>
    </row>
    <row r="8835" spans="31:32">
      <c r="AE8835" s="417" t="s">
        <v>23485</v>
      </c>
      <c r="AF8835" s="416" t="s">
        <v>23486</v>
      </c>
    </row>
    <row r="8836" spans="31:32">
      <c r="AE8836" s="417" t="s">
        <v>23487</v>
      </c>
      <c r="AF8836" s="416" t="s">
        <v>23488</v>
      </c>
    </row>
    <row r="8837" spans="31:32">
      <c r="AE8837" s="417" t="s">
        <v>23489</v>
      </c>
      <c r="AF8837" s="416" t="s">
        <v>23490</v>
      </c>
    </row>
    <row r="8838" spans="31:32">
      <c r="AE8838" s="417" t="s">
        <v>23491</v>
      </c>
      <c r="AF8838" s="416" t="s">
        <v>23492</v>
      </c>
    </row>
    <row r="8839" spans="31:32">
      <c r="AE8839" s="417" t="s">
        <v>23493</v>
      </c>
      <c r="AF8839" s="416" t="s">
        <v>23494</v>
      </c>
    </row>
    <row r="8840" spans="31:32">
      <c r="AE8840" s="417" t="s">
        <v>23495</v>
      </c>
      <c r="AF8840" s="416" t="s">
        <v>23496</v>
      </c>
    </row>
    <row r="8841" spans="31:32">
      <c r="AE8841" s="417" t="s">
        <v>23497</v>
      </c>
      <c r="AF8841" s="416" t="s">
        <v>23498</v>
      </c>
    </row>
    <row r="8842" spans="31:32">
      <c r="AE8842" s="417" t="s">
        <v>23499</v>
      </c>
      <c r="AF8842" s="416" t="s">
        <v>23500</v>
      </c>
    </row>
    <row r="8843" spans="31:32">
      <c r="AE8843" s="417" t="s">
        <v>23501</v>
      </c>
      <c r="AF8843" s="416" t="s">
        <v>23502</v>
      </c>
    </row>
    <row r="8844" spans="31:32">
      <c r="AE8844" s="417" t="s">
        <v>23503</v>
      </c>
      <c r="AF8844" s="416" t="s">
        <v>23504</v>
      </c>
    </row>
    <row r="8845" spans="31:32">
      <c r="AE8845" s="417" t="s">
        <v>23505</v>
      </c>
      <c r="AF8845" s="416" t="s">
        <v>23506</v>
      </c>
    </row>
    <row r="8846" spans="31:32">
      <c r="AE8846" s="417" t="s">
        <v>23507</v>
      </c>
      <c r="AF8846" s="416" t="s">
        <v>23508</v>
      </c>
    </row>
    <row r="8847" spans="31:32">
      <c r="AE8847" s="417" t="s">
        <v>23509</v>
      </c>
      <c r="AF8847" s="416" t="s">
        <v>23510</v>
      </c>
    </row>
    <row r="8848" spans="31:32">
      <c r="AE8848" s="417" t="s">
        <v>23511</v>
      </c>
      <c r="AF8848" s="416" t="s">
        <v>23512</v>
      </c>
    </row>
    <row r="8849" spans="31:32">
      <c r="AE8849" s="417" t="s">
        <v>23513</v>
      </c>
      <c r="AF8849" s="416" t="s">
        <v>23514</v>
      </c>
    </row>
    <row r="8850" spans="31:32">
      <c r="AE8850" s="417" t="s">
        <v>23515</v>
      </c>
      <c r="AF8850" s="416" t="s">
        <v>23516</v>
      </c>
    </row>
    <row r="8851" spans="31:32">
      <c r="AE8851" s="417" t="s">
        <v>23517</v>
      </c>
      <c r="AF8851" s="416" t="s">
        <v>23518</v>
      </c>
    </row>
    <row r="8852" spans="31:32">
      <c r="AE8852" s="417" t="s">
        <v>23519</v>
      </c>
      <c r="AF8852" s="416" t="s">
        <v>23520</v>
      </c>
    </row>
    <row r="8853" spans="31:32">
      <c r="AE8853" s="417" t="s">
        <v>23521</v>
      </c>
      <c r="AF8853" s="416" t="s">
        <v>23522</v>
      </c>
    </row>
    <row r="8854" spans="31:32">
      <c r="AE8854" s="417" t="s">
        <v>23523</v>
      </c>
      <c r="AF8854" s="416" t="s">
        <v>23524</v>
      </c>
    </row>
    <row r="8855" spans="31:32">
      <c r="AE8855" s="417" t="s">
        <v>23525</v>
      </c>
      <c r="AF8855" s="416" t="s">
        <v>23526</v>
      </c>
    </row>
    <row r="8856" spans="31:32">
      <c r="AE8856" s="417" t="s">
        <v>23527</v>
      </c>
      <c r="AF8856" s="416" t="s">
        <v>23528</v>
      </c>
    </row>
    <row r="8857" spans="31:32">
      <c r="AE8857" s="417" t="s">
        <v>23529</v>
      </c>
      <c r="AF8857" s="416" t="s">
        <v>23530</v>
      </c>
    </row>
    <row r="8858" spans="31:32">
      <c r="AE8858" s="417" t="s">
        <v>23531</v>
      </c>
      <c r="AF8858" s="416" t="s">
        <v>23532</v>
      </c>
    </row>
    <row r="8859" spans="31:32">
      <c r="AE8859" s="417" t="s">
        <v>23533</v>
      </c>
      <c r="AF8859" s="416" t="s">
        <v>23534</v>
      </c>
    </row>
    <row r="8860" spans="31:32">
      <c r="AE8860" s="417" t="s">
        <v>23535</v>
      </c>
      <c r="AF8860" s="416" t="s">
        <v>23536</v>
      </c>
    </row>
    <row r="8861" spans="31:32">
      <c r="AE8861" s="417" t="s">
        <v>23537</v>
      </c>
      <c r="AF8861" s="416" t="s">
        <v>23538</v>
      </c>
    </row>
    <row r="8862" spans="31:32">
      <c r="AE8862" s="417" t="s">
        <v>23539</v>
      </c>
      <c r="AF8862" s="416" t="s">
        <v>23540</v>
      </c>
    </row>
    <row r="8863" spans="31:32">
      <c r="AE8863" s="417" t="s">
        <v>23541</v>
      </c>
      <c r="AF8863" s="416" t="s">
        <v>23542</v>
      </c>
    </row>
    <row r="8864" spans="31:32">
      <c r="AE8864" s="417" t="s">
        <v>23543</v>
      </c>
      <c r="AF8864" s="416" t="s">
        <v>23544</v>
      </c>
    </row>
    <row r="8865" spans="31:32">
      <c r="AE8865" s="417" t="s">
        <v>23545</v>
      </c>
      <c r="AF8865" s="416" t="s">
        <v>23546</v>
      </c>
    </row>
    <row r="8866" spans="31:32">
      <c r="AE8866" s="417" t="s">
        <v>23547</v>
      </c>
      <c r="AF8866" s="416" t="s">
        <v>23548</v>
      </c>
    </row>
    <row r="8867" spans="31:32">
      <c r="AE8867" s="417" t="s">
        <v>23549</v>
      </c>
      <c r="AF8867" s="416" t="s">
        <v>23550</v>
      </c>
    </row>
    <row r="8868" spans="31:32">
      <c r="AE8868" s="417" t="s">
        <v>23551</v>
      </c>
      <c r="AF8868" s="416" t="s">
        <v>23552</v>
      </c>
    </row>
    <row r="8869" spans="31:32">
      <c r="AE8869" s="417" t="s">
        <v>23553</v>
      </c>
      <c r="AF8869" s="416" t="s">
        <v>23554</v>
      </c>
    </row>
    <row r="8870" spans="31:32">
      <c r="AE8870" s="417" t="s">
        <v>23555</v>
      </c>
      <c r="AF8870" s="416" t="s">
        <v>23556</v>
      </c>
    </row>
    <row r="8871" spans="31:32">
      <c r="AE8871" s="417" t="s">
        <v>23557</v>
      </c>
      <c r="AF8871" s="416" t="s">
        <v>23558</v>
      </c>
    </row>
    <row r="8872" spans="31:32">
      <c r="AE8872" s="417" t="s">
        <v>23559</v>
      </c>
      <c r="AF8872" s="416" t="s">
        <v>23560</v>
      </c>
    </row>
    <row r="8873" spans="31:32">
      <c r="AE8873" s="417" t="s">
        <v>23561</v>
      </c>
      <c r="AF8873" s="416" t="s">
        <v>23562</v>
      </c>
    </row>
    <row r="8874" spans="31:32">
      <c r="AE8874" s="417" t="s">
        <v>23563</v>
      </c>
      <c r="AF8874" s="416" t="s">
        <v>23564</v>
      </c>
    </row>
    <row r="8875" spans="31:32">
      <c r="AE8875" s="417" t="s">
        <v>23565</v>
      </c>
      <c r="AF8875" s="416" t="s">
        <v>23566</v>
      </c>
    </row>
    <row r="8876" spans="31:32">
      <c r="AE8876" s="417" t="s">
        <v>23567</v>
      </c>
      <c r="AF8876" s="416" t="s">
        <v>23568</v>
      </c>
    </row>
    <row r="8877" spans="31:32">
      <c r="AE8877" s="417" t="s">
        <v>23569</v>
      </c>
      <c r="AF8877" s="416" t="s">
        <v>23570</v>
      </c>
    </row>
    <row r="8878" spans="31:32">
      <c r="AE8878" s="417" t="s">
        <v>23571</v>
      </c>
      <c r="AF8878" s="416" t="s">
        <v>23572</v>
      </c>
    </row>
    <row r="8879" spans="31:32">
      <c r="AE8879" s="417" t="s">
        <v>23573</v>
      </c>
      <c r="AF8879" s="416" t="s">
        <v>23574</v>
      </c>
    </row>
    <row r="8880" spans="31:32">
      <c r="AE8880" s="417" t="s">
        <v>23575</v>
      </c>
      <c r="AF8880" s="416" t="s">
        <v>23576</v>
      </c>
    </row>
    <row r="8881" spans="31:32">
      <c r="AE8881" s="417" t="s">
        <v>23577</v>
      </c>
      <c r="AF8881" s="416" t="s">
        <v>23578</v>
      </c>
    </row>
    <row r="8882" spans="31:32">
      <c r="AE8882" s="417" t="s">
        <v>23579</v>
      </c>
      <c r="AF8882" s="416" t="s">
        <v>23580</v>
      </c>
    </row>
    <row r="8883" spans="31:32">
      <c r="AE8883" s="417" t="s">
        <v>23581</v>
      </c>
      <c r="AF8883" s="416" t="s">
        <v>23582</v>
      </c>
    </row>
    <row r="8884" spans="31:32">
      <c r="AE8884" s="417" t="s">
        <v>23583</v>
      </c>
      <c r="AF8884" s="416" t="s">
        <v>23584</v>
      </c>
    </row>
    <row r="8885" spans="31:32">
      <c r="AE8885" s="417" t="s">
        <v>23585</v>
      </c>
      <c r="AF8885" s="416" t="s">
        <v>23586</v>
      </c>
    </row>
    <row r="8886" spans="31:32">
      <c r="AE8886" s="417" t="s">
        <v>23587</v>
      </c>
      <c r="AF8886" s="416" t="s">
        <v>23588</v>
      </c>
    </row>
    <row r="8887" spans="31:32">
      <c r="AE8887" s="417" t="s">
        <v>23589</v>
      </c>
      <c r="AF8887" s="416" t="s">
        <v>23590</v>
      </c>
    </row>
    <row r="8888" spans="31:32">
      <c r="AE8888" s="417" t="s">
        <v>23591</v>
      </c>
      <c r="AF8888" s="416" t="s">
        <v>23592</v>
      </c>
    </row>
    <row r="8889" spans="31:32">
      <c r="AE8889" s="417" t="s">
        <v>23593</v>
      </c>
      <c r="AF8889" s="416" t="s">
        <v>23594</v>
      </c>
    </row>
    <row r="8890" spans="31:32">
      <c r="AE8890" s="417" t="s">
        <v>23595</v>
      </c>
      <c r="AF8890" s="416" t="s">
        <v>23596</v>
      </c>
    </row>
    <row r="8891" spans="31:32">
      <c r="AE8891" s="417" t="s">
        <v>23597</v>
      </c>
      <c r="AF8891" s="416" t="s">
        <v>23598</v>
      </c>
    </row>
    <row r="8892" spans="31:32">
      <c r="AE8892" s="417" t="s">
        <v>23599</v>
      </c>
      <c r="AF8892" s="416" t="s">
        <v>23600</v>
      </c>
    </row>
    <row r="8893" spans="31:32">
      <c r="AE8893" s="417" t="s">
        <v>23601</v>
      </c>
      <c r="AF8893" s="416" t="s">
        <v>23602</v>
      </c>
    </row>
    <row r="8894" spans="31:32">
      <c r="AE8894" s="417" t="s">
        <v>23603</v>
      </c>
      <c r="AF8894" s="416" t="s">
        <v>23604</v>
      </c>
    </row>
    <row r="8895" spans="31:32">
      <c r="AE8895" s="417" t="s">
        <v>23605</v>
      </c>
      <c r="AF8895" s="416" t="s">
        <v>23606</v>
      </c>
    </row>
    <row r="8896" spans="31:32">
      <c r="AE8896" s="417" t="s">
        <v>23607</v>
      </c>
      <c r="AF8896" s="416" t="s">
        <v>23608</v>
      </c>
    </row>
    <row r="8897" spans="31:32">
      <c r="AE8897" s="417" t="s">
        <v>23609</v>
      </c>
      <c r="AF8897" s="416" t="s">
        <v>23610</v>
      </c>
    </row>
    <row r="8898" spans="31:32">
      <c r="AE8898" s="417" t="s">
        <v>23611</v>
      </c>
      <c r="AF8898" s="416" t="s">
        <v>23612</v>
      </c>
    </row>
    <row r="8899" spans="31:32">
      <c r="AE8899" s="417" t="s">
        <v>23613</v>
      </c>
      <c r="AF8899" s="416" t="s">
        <v>23614</v>
      </c>
    </row>
    <row r="8900" spans="31:32">
      <c r="AE8900" s="417" t="s">
        <v>23615</v>
      </c>
      <c r="AF8900" s="416" t="s">
        <v>23616</v>
      </c>
    </row>
    <row r="8901" spans="31:32">
      <c r="AE8901" s="417" t="s">
        <v>23617</v>
      </c>
      <c r="AF8901" s="416" t="s">
        <v>23618</v>
      </c>
    </row>
    <row r="8902" spans="31:32">
      <c r="AE8902" s="417" t="s">
        <v>23619</v>
      </c>
      <c r="AF8902" s="416" t="s">
        <v>23620</v>
      </c>
    </row>
    <row r="8903" spans="31:32">
      <c r="AE8903" s="417" t="s">
        <v>23621</v>
      </c>
      <c r="AF8903" s="416" t="s">
        <v>23622</v>
      </c>
    </row>
    <row r="8904" spans="31:32">
      <c r="AE8904" s="417" t="s">
        <v>23623</v>
      </c>
      <c r="AF8904" s="416" t="s">
        <v>23624</v>
      </c>
    </row>
    <row r="8905" spans="31:32">
      <c r="AE8905" s="417" t="s">
        <v>23625</v>
      </c>
      <c r="AF8905" s="416" t="s">
        <v>23626</v>
      </c>
    </row>
    <row r="8906" spans="31:32">
      <c r="AE8906" s="417" t="s">
        <v>23627</v>
      </c>
      <c r="AF8906" s="416" t="s">
        <v>23628</v>
      </c>
    </row>
    <row r="8907" spans="31:32">
      <c r="AE8907" s="417" t="s">
        <v>23629</v>
      </c>
      <c r="AF8907" s="416" t="s">
        <v>23630</v>
      </c>
    </row>
    <row r="8908" spans="31:32">
      <c r="AE8908" s="417" t="s">
        <v>23631</v>
      </c>
      <c r="AF8908" s="416" t="s">
        <v>23632</v>
      </c>
    </row>
    <row r="8909" spans="31:32">
      <c r="AE8909" s="417" t="s">
        <v>23633</v>
      </c>
      <c r="AF8909" s="416" t="s">
        <v>23634</v>
      </c>
    </row>
    <row r="8910" spans="31:32">
      <c r="AE8910" s="417" t="s">
        <v>23635</v>
      </c>
      <c r="AF8910" s="416" t="s">
        <v>23636</v>
      </c>
    </row>
    <row r="8911" spans="31:32">
      <c r="AE8911" s="417" t="s">
        <v>23637</v>
      </c>
      <c r="AF8911" s="416" t="s">
        <v>23638</v>
      </c>
    </row>
    <row r="8912" spans="31:32">
      <c r="AE8912" s="417" t="s">
        <v>23639</v>
      </c>
      <c r="AF8912" s="416" t="s">
        <v>23640</v>
      </c>
    </row>
    <row r="8913" spans="31:32">
      <c r="AE8913" s="417" t="s">
        <v>23641</v>
      </c>
      <c r="AF8913" s="416" t="s">
        <v>23642</v>
      </c>
    </row>
    <row r="8914" spans="31:32">
      <c r="AE8914" s="417" t="s">
        <v>23643</v>
      </c>
      <c r="AF8914" s="416" t="s">
        <v>23644</v>
      </c>
    </row>
    <row r="8915" spans="31:32">
      <c r="AE8915" s="417" t="s">
        <v>23645</v>
      </c>
      <c r="AF8915" s="416" t="s">
        <v>23646</v>
      </c>
    </row>
    <row r="8916" spans="31:32">
      <c r="AE8916" s="417" t="s">
        <v>23647</v>
      </c>
      <c r="AF8916" s="416" t="s">
        <v>23648</v>
      </c>
    </row>
    <row r="8917" spans="31:32">
      <c r="AE8917" s="417" t="s">
        <v>23649</v>
      </c>
      <c r="AF8917" s="416" t="s">
        <v>23650</v>
      </c>
    </row>
    <row r="8918" spans="31:32">
      <c r="AE8918" s="417" t="s">
        <v>23651</v>
      </c>
      <c r="AF8918" s="416" t="s">
        <v>23652</v>
      </c>
    </row>
    <row r="8919" spans="31:32">
      <c r="AE8919" s="417" t="s">
        <v>23653</v>
      </c>
      <c r="AF8919" s="416" t="s">
        <v>23654</v>
      </c>
    </row>
    <row r="8920" spans="31:32">
      <c r="AE8920" s="417" t="s">
        <v>23655</v>
      </c>
      <c r="AF8920" s="416" t="s">
        <v>23656</v>
      </c>
    </row>
    <row r="8921" spans="31:32">
      <c r="AE8921" s="417" t="s">
        <v>23657</v>
      </c>
      <c r="AF8921" s="416" t="s">
        <v>23658</v>
      </c>
    </row>
    <row r="8922" spans="31:32">
      <c r="AE8922" s="417" t="s">
        <v>23659</v>
      </c>
      <c r="AF8922" s="416" t="s">
        <v>23660</v>
      </c>
    </row>
    <row r="8923" spans="31:32">
      <c r="AE8923" s="417" t="s">
        <v>23661</v>
      </c>
      <c r="AF8923" s="416" t="s">
        <v>23662</v>
      </c>
    </row>
    <row r="8924" spans="31:32">
      <c r="AE8924" s="417" t="s">
        <v>23663</v>
      </c>
      <c r="AF8924" s="416" t="s">
        <v>23664</v>
      </c>
    </row>
    <row r="8925" spans="31:32">
      <c r="AE8925" s="417" t="s">
        <v>23665</v>
      </c>
      <c r="AF8925" s="416" t="s">
        <v>23666</v>
      </c>
    </row>
    <row r="8926" spans="31:32">
      <c r="AE8926" s="417" t="s">
        <v>23667</v>
      </c>
      <c r="AF8926" s="416" t="s">
        <v>23668</v>
      </c>
    </row>
    <row r="8927" spans="31:32">
      <c r="AE8927" s="417" t="s">
        <v>23669</v>
      </c>
      <c r="AF8927" s="416" t="s">
        <v>23670</v>
      </c>
    </row>
    <row r="8928" spans="31:32">
      <c r="AE8928" s="417" t="s">
        <v>23671</v>
      </c>
      <c r="AF8928" s="416" t="s">
        <v>23672</v>
      </c>
    </row>
    <row r="8929" spans="31:32">
      <c r="AE8929" s="417" t="s">
        <v>23673</v>
      </c>
      <c r="AF8929" s="416" t="s">
        <v>23674</v>
      </c>
    </row>
    <row r="8930" spans="31:32">
      <c r="AE8930" s="417" t="s">
        <v>23675</v>
      </c>
      <c r="AF8930" s="416" t="s">
        <v>23676</v>
      </c>
    </row>
    <row r="8931" spans="31:32">
      <c r="AE8931" s="417" t="s">
        <v>23677</v>
      </c>
      <c r="AF8931" s="416" t="s">
        <v>23678</v>
      </c>
    </row>
    <row r="8932" spans="31:32">
      <c r="AE8932" s="417" t="s">
        <v>23679</v>
      </c>
      <c r="AF8932" s="416" t="s">
        <v>23680</v>
      </c>
    </row>
    <row r="8933" spans="31:32">
      <c r="AE8933" s="417" t="s">
        <v>23681</v>
      </c>
      <c r="AF8933" s="416" t="s">
        <v>23682</v>
      </c>
    </row>
    <row r="8934" spans="31:32">
      <c r="AE8934" s="417" t="s">
        <v>23683</v>
      </c>
      <c r="AF8934" s="416" t="s">
        <v>23684</v>
      </c>
    </row>
    <row r="8935" spans="31:32">
      <c r="AE8935" s="417" t="s">
        <v>23685</v>
      </c>
      <c r="AF8935" s="416" t="s">
        <v>23686</v>
      </c>
    </row>
    <row r="8936" spans="31:32">
      <c r="AE8936" s="417" t="s">
        <v>23687</v>
      </c>
      <c r="AF8936" s="416" t="s">
        <v>23688</v>
      </c>
    </row>
    <row r="8937" spans="31:32">
      <c r="AE8937" s="417" t="s">
        <v>23689</v>
      </c>
      <c r="AF8937" s="416" t="s">
        <v>23690</v>
      </c>
    </row>
    <row r="8938" spans="31:32">
      <c r="AE8938" s="417" t="s">
        <v>23691</v>
      </c>
      <c r="AF8938" s="416" t="s">
        <v>23692</v>
      </c>
    </row>
    <row r="8939" spans="31:32">
      <c r="AE8939" s="417" t="s">
        <v>23693</v>
      </c>
      <c r="AF8939" s="416" t="s">
        <v>23694</v>
      </c>
    </row>
    <row r="8940" spans="31:32">
      <c r="AE8940" s="417" t="s">
        <v>23695</v>
      </c>
      <c r="AF8940" s="416" t="s">
        <v>23696</v>
      </c>
    </row>
    <row r="8941" spans="31:32">
      <c r="AE8941" s="417" t="s">
        <v>23697</v>
      </c>
      <c r="AF8941" s="416" t="s">
        <v>23698</v>
      </c>
    </row>
    <row r="8942" spans="31:32">
      <c r="AE8942" s="417" t="s">
        <v>23699</v>
      </c>
      <c r="AF8942" s="416" t="s">
        <v>23700</v>
      </c>
    </row>
    <row r="8943" spans="31:32">
      <c r="AE8943" s="417" t="s">
        <v>23701</v>
      </c>
      <c r="AF8943" s="416" t="s">
        <v>23702</v>
      </c>
    </row>
    <row r="8944" spans="31:32">
      <c r="AE8944" s="417" t="s">
        <v>23703</v>
      </c>
      <c r="AF8944" s="416" t="s">
        <v>23704</v>
      </c>
    </row>
    <row r="8945" spans="31:32">
      <c r="AE8945" s="417" t="s">
        <v>23705</v>
      </c>
      <c r="AF8945" s="416" t="s">
        <v>23706</v>
      </c>
    </row>
    <row r="8946" spans="31:32">
      <c r="AE8946" s="417" t="s">
        <v>23707</v>
      </c>
      <c r="AF8946" s="416" t="s">
        <v>23708</v>
      </c>
    </row>
    <row r="8947" spans="31:32">
      <c r="AE8947" s="417" t="s">
        <v>23709</v>
      </c>
      <c r="AF8947" s="416" t="s">
        <v>23710</v>
      </c>
    </row>
    <row r="8948" spans="31:32">
      <c r="AE8948" s="417" t="s">
        <v>23711</v>
      </c>
      <c r="AF8948" s="416" t="s">
        <v>23712</v>
      </c>
    </row>
    <row r="8949" spans="31:32">
      <c r="AE8949" s="417" t="s">
        <v>23713</v>
      </c>
      <c r="AF8949" s="416" t="s">
        <v>23714</v>
      </c>
    </row>
    <row r="8950" spans="31:32">
      <c r="AE8950" s="417" t="s">
        <v>23715</v>
      </c>
      <c r="AF8950" s="416" t="s">
        <v>23716</v>
      </c>
    </row>
    <row r="8951" spans="31:32">
      <c r="AE8951" s="417" t="s">
        <v>23717</v>
      </c>
      <c r="AF8951" s="416" t="s">
        <v>23718</v>
      </c>
    </row>
    <row r="8952" spans="31:32">
      <c r="AE8952" s="417" t="s">
        <v>23719</v>
      </c>
      <c r="AF8952" s="416" t="s">
        <v>23720</v>
      </c>
    </row>
    <row r="8953" spans="31:32">
      <c r="AE8953" s="417" t="s">
        <v>23721</v>
      </c>
      <c r="AF8953" s="416" t="s">
        <v>23722</v>
      </c>
    </row>
    <row r="8954" spans="31:32">
      <c r="AE8954" s="417" t="s">
        <v>23723</v>
      </c>
      <c r="AF8954" s="416" t="s">
        <v>23724</v>
      </c>
    </row>
    <row r="8955" spans="31:32">
      <c r="AE8955" s="417" t="s">
        <v>23725</v>
      </c>
      <c r="AF8955" s="416" t="s">
        <v>23726</v>
      </c>
    </row>
    <row r="8956" spans="31:32">
      <c r="AE8956" s="417" t="s">
        <v>23727</v>
      </c>
      <c r="AF8956" s="416" t="s">
        <v>23728</v>
      </c>
    </row>
    <row r="8957" spans="31:32">
      <c r="AE8957" s="417" t="s">
        <v>23729</v>
      </c>
      <c r="AF8957" s="416" t="s">
        <v>23730</v>
      </c>
    </row>
    <row r="8958" spans="31:32">
      <c r="AE8958" s="417" t="s">
        <v>23731</v>
      </c>
      <c r="AF8958" s="416" t="s">
        <v>23732</v>
      </c>
    </row>
    <row r="8959" spans="31:32">
      <c r="AE8959" s="417" t="s">
        <v>23733</v>
      </c>
      <c r="AF8959" s="416" t="s">
        <v>23734</v>
      </c>
    </row>
    <row r="8960" spans="31:32">
      <c r="AE8960" s="417" t="s">
        <v>23735</v>
      </c>
      <c r="AF8960" s="416" t="s">
        <v>23736</v>
      </c>
    </row>
    <row r="8961" spans="31:32">
      <c r="AE8961" s="417" t="s">
        <v>23737</v>
      </c>
      <c r="AF8961" s="416" t="s">
        <v>23738</v>
      </c>
    </row>
    <row r="8962" spans="31:32">
      <c r="AE8962" s="417" t="s">
        <v>23739</v>
      </c>
      <c r="AF8962" s="416" t="s">
        <v>23740</v>
      </c>
    </row>
    <row r="8963" spans="31:32">
      <c r="AE8963" s="417" t="s">
        <v>23741</v>
      </c>
      <c r="AF8963" s="416" t="s">
        <v>23742</v>
      </c>
    </row>
    <row r="8964" spans="31:32">
      <c r="AE8964" s="417" t="s">
        <v>23743</v>
      </c>
      <c r="AF8964" s="416" t="s">
        <v>23744</v>
      </c>
    </row>
    <row r="8965" spans="31:32">
      <c r="AE8965" s="417" t="s">
        <v>23745</v>
      </c>
      <c r="AF8965" s="416" t="s">
        <v>23746</v>
      </c>
    </row>
    <row r="8966" spans="31:32">
      <c r="AE8966" s="417" t="s">
        <v>23747</v>
      </c>
      <c r="AF8966" s="416" t="s">
        <v>23748</v>
      </c>
    </row>
    <row r="8967" spans="31:32">
      <c r="AE8967" s="417" t="s">
        <v>23749</v>
      </c>
      <c r="AF8967" s="416" t="s">
        <v>23750</v>
      </c>
    </row>
    <row r="8968" spans="31:32">
      <c r="AE8968" s="417" t="s">
        <v>23751</v>
      </c>
      <c r="AF8968" s="416" t="s">
        <v>23752</v>
      </c>
    </row>
    <row r="8969" spans="31:32">
      <c r="AE8969" s="417" t="s">
        <v>23753</v>
      </c>
      <c r="AF8969" s="416" t="s">
        <v>23754</v>
      </c>
    </row>
    <row r="8970" spans="31:32">
      <c r="AE8970" s="417" t="s">
        <v>23755</v>
      </c>
      <c r="AF8970" s="416" t="s">
        <v>23756</v>
      </c>
    </row>
    <row r="8971" spans="31:32">
      <c r="AE8971" s="417" t="s">
        <v>23757</v>
      </c>
      <c r="AF8971" s="416" t="s">
        <v>23758</v>
      </c>
    </row>
    <row r="8972" spans="31:32">
      <c r="AE8972" s="417" t="s">
        <v>23759</v>
      </c>
      <c r="AF8972" s="416" t="s">
        <v>23760</v>
      </c>
    </row>
    <row r="8973" spans="31:32">
      <c r="AE8973" s="417" t="s">
        <v>23761</v>
      </c>
      <c r="AF8973" s="416" t="s">
        <v>23762</v>
      </c>
    </row>
    <row r="8974" spans="31:32">
      <c r="AE8974" s="417" t="s">
        <v>23763</v>
      </c>
      <c r="AF8974" s="416" t="s">
        <v>23764</v>
      </c>
    </row>
    <row r="8975" spans="31:32">
      <c r="AE8975" s="417" t="s">
        <v>23765</v>
      </c>
      <c r="AF8975" s="416" t="s">
        <v>23766</v>
      </c>
    </row>
    <row r="8976" spans="31:32">
      <c r="AE8976" s="417" t="s">
        <v>23767</v>
      </c>
      <c r="AF8976" s="416" t="s">
        <v>23768</v>
      </c>
    </row>
    <row r="8977" spans="31:32">
      <c r="AE8977" s="417" t="s">
        <v>23769</v>
      </c>
      <c r="AF8977" s="416" t="s">
        <v>23770</v>
      </c>
    </row>
    <row r="8978" spans="31:32">
      <c r="AE8978" s="417" t="s">
        <v>23771</v>
      </c>
      <c r="AF8978" s="416" t="s">
        <v>23772</v>
      </c>
    </row>
    <row r="8979" spans="31:32">
      <c r="AE8979" s="417" t="s">
        <v>23773</v>
      </c>
      <c r="AF8979" s="416" t="s">
        <v>23774</v>
      </c>
    </row>
    <row r="8980" spans="31:32">
      <c r="AE8980" s="417" t="s">
        <v>23775</v>
      </c>
      <c r="AF8980" s="416" t="s">
        <v>23776</v>
      </c>
    </row>
    <row r="8981" spans="31:32">
      <c r="AE8981" s="417" t="s">
        <v>23777</v>
      </c>
      <c r="AF8981" s="416" t="s">
        <v>23778</v>
      </c>
    </row>
    <row r="8982" spans="31:32">
      <c r="AE8982" s="417" t="s">
        <v>23779</v>
      </c>
      <c r="AF8982" s="416" t="s">
        <v>23780</v>
      </c>
    </row>
    <row r="8983" spans="31:32">
      <c r="AE8983" s="417" t="s">
        <v>23781</v>
      </c>
      <c r="AF8983" s="416" t="s">
        <v>23782</v>
      </c>
    </row>
    <row r="8984" spans="31:32">
      <c r="AE8984" s="417" t="s">
        <v>23783</v>
      </c>
      <c r="AF8984" s="416" t="s">
        <v>23784</v>
      </c>
    </row>
    <row r="8985" spans="31:32">
      <c r="AE8985" s="417" t="s">
        <v>23785</v>
      </c>
      <c r="AF8985" s="416" t="s">
        <v>23786</v>
      </c>
    </row>
    <row r="8986" spans="31:32">
      <c r="AE8986" s="417" t="s">
        <v>23787</v>
      </c>
      <c r="AF8986" s="416" t="s">
        <v>23788</v>
      </c>
    </row>
    <row r="8987" spans="31:32">
      <c r="AE8987" s="417" t="s">
        <v>23789</v>
      </c>
      <c r="AF8987" s="416" t="s">
        <v>23790</v>
      </c>
    </row>
    <row r="8988" spans="31:32">
      <c r="AE8988" s="417" t="s">
        <v>23791</v>
      </c>
      <c r="AF8988" s="416" t="s">
        <v>23792</v>
      </c>
    </row>
    <row r="8989" spans="31:32">
      <c r="AE8989" s="417" t="s">
        <v>23793</v>
      </c>
      <c r="AF8989" s="416" t="s">
        <v>23794</v>
      </c>
    </row>
    <row r="8990" spans="31:32">
      <c r="AE8990" s="417" t="s">
        <v>23795</v>
      </c>
      <c r="AF8990" s="416" t="s">
        <v>23796</v>
      </c>
    </row>
    <row r="8991" spans="31:32">
      <c r="AE8991" s="417" t="s">
        <v>23797</v>
      </c>
      <c r="AF8991" s="416" t="s">
        <v>23798</v>
      </c>
    </row>
    <row r="8992" spans="31:32">
      <c r="AE8992" s="417" t="s">
        <v>23799</v>
      </c>
      <c r="AF8992" s="416" t="s">
        <v>23800</v>
      </c>
    </row>
    <row r="8993" spans="31:32">
      <c r="AE8993" s="417" t="s">
        <v>23801</v>
      </c>
      <c r="AF8993" s="416" t="s">
        <v>23802</v>
      </c>
    </row>
    <row r="8994" spans="31:32">
      <c r="AE8994" s="417" t="s">
        <v>23803</v>
      </c>
      <c r="AF8994" s="416" t="s">
        <v>23804</v>
      </c>
    </row>
    <row r="8995" spans="31:32">
      <c r="AE8995" s="417" t="s">
        <v>23805</v>
      </c>
      <c r="AF8995" s="416" t="s">
        <v>23806</v>
      </c>
    </row>
    <row r="8996" spans="31:32">
      <c r="AE8996" s="417" t="s">
        <v>23807</v>
      </c>
      <c r="AF8996" s="416" t="s">
        <v>23808</v>
      </c>
    </row>
    <row r="8997" spans="31:32">
      <c r="AE8997" s="417" t="s">
        <v>23809</v>
      </c>
      <c r="AF8997" s="416" t="s">
        <v>23810</v>
      </c>
    </row>
    <row r="8998" spans="31:32">
      <c r="AE8998" s="417" t="s">
        <v>23811</v>
      </c>
      <c r="AF8998" s="416" t="s">
        <v>23812</v>
      </c>
    </row>
    <row r="8999" spans="31:32">
      <c r="AE8999" s="417" t="s">
        <v>23813</v>
      </c>
      <c r="AF8999" s="416" t="s">
        <v>23814</v>
      </c>
    </row>
    <row r="9000" spans="31:32">
      <c r="AE9000" s="417" t="s">
        <v>23815</v>
      </c>
      <c r="AF9000" s="416" t="s">
        <v>23816</v>
      </c>
    </row>
    <row r="9001" spans="31:32">
      <c r="AE9001" s="417" t="s">
        <v>23817</v>
      </c>
      <c r="AF9001" s="416" t="s">
        <v>23818</v>
      </c>
    </row>
    <row r="9002" spans="31:32">
      <c r="AE9002" s="417" t="s">
        <v>23819</v>
      </c>
      <c r="AF9002" s="416" t="s">
        <v>23820</v>
      </c>
    </row>
    <row r="9003" spans="31:32">
      <c r="AE9003" s="417" t="s">
        <v>23821</v>
      </c>
      <c r="AF9003" s="416" t="s">
        <v>23822</v>
      </c>
    </row>
    <row r="9004" spans="31:32">
      <c r="AE9004" s="417" t="s">
        <v>23823</v>
      </c>
      <c r="AF9004" s="416" t="s">
        <v>23824</v>
      </c>
    </row>
    <row r="9005" spans="31:32">
      <c r="AE9005" s="417" t="s">
        <v>23825</v>
      </c>
      <c r="AF9005" s="416" t="s">
        <v>23826</v>
      </c>
    </row>
    <row r="9006" spans="31:32">
      <c r="AE9006" s="417" t="s">
        <v>23827</v>
      </c>
      <c r="AF9006" s="416" t="s">
        <v>23828</v>
      </c>
    </row>
    <row r="9007" spans="31:32">
      <c r="AE9007" s="417" t="s">
        <v>23829</v>
      </c>
      <c r="AF9007" s="416" t="s">
        <v>23830</v>
      </c>
    </row>
    <row r="9008" spans="31:32">
      <c r="AE9008" s="417" t="s">
        <v>23831</v>
      </c>
      <c r="AF9008" s="416" t="s">
        <v>23832</v>
      </c>
    </row>
    <row r="9009" spans="31:32">
      <c r="AE9009" s="417" t="s">
        <v>23833</v>
      </c>
      <c r="AF9009" s="416" t="s">
        <v>23834</v>
      </c>
    </row>
    <row r="9010" spans="31:32">
      <c r="AE9010" s="417" t="s">
        <v>23835</v>
      </c>
      <c r="AF9010" s="416" t="s">
        <v>23836</v>
      </c>
    </row>
    <row r="9011" spans="31:32">
      <c r="AE9011" s="417" t="s">
        <v>23837</v>
      </c>
      <c r="AF9011" s="416" t="s">
        <v>23838</v>
      </c>
    </row>
    <row r="9012" spans="31:32">
      <c r="AE9012" s="417" t="s">
        <v>23839</v>
      </c>
      <c r="AF9012" s="416" t="s">
        <v>23840</v>
      </c>
    </row>
    <row r="9013" spans="31:32">
      <c r="AE9013" s="417" t="s">
        <v>23841</v>
      </c>
      <c r="AF9013" s="416" t="s">
        <v>23842</v>
      </c>
    </row>
    <row r="9014" spans="31:32">
      <c r="AE9014" s="417" t="s">
        <v>23843</v>
      </c>
      <c r="AF9014" s="416" t="s">
        <v>23844</v>
      </c>
    </row>
    <row r="9015" spans="31:32">
      <c r="AE9015" s="417" t="s">
        <v>23845</v>
      </c>
      <c r="AF9015" s="416" t="s">
        <v>23846</v>
      </c>
    </row>
    <row r="9016" spans="31:32">
      <c r="AE9016" s="417" t="s">
        <v>23847</v>
      </c>
      <c r="AF9016" s="416" t="s">
        <v>23848</v>
      </c>
    </row>
    <row r="9017" spans="31:32">
      <c r="AE9017" s="417" t="s">
        <v>23849</v>
      </c>
      <c r="AF9017" s="416" t="s">
        <v>23850</v>
      </c>
    </row>
    <row r="9018" spans="31:32">
      <c r="AE9018" s="417" t="s">
        <v>23851</v>
      </c>
      <c r="AF9018" s="416" t="s">
        <v>23852</v>
      </c>
    </row>
    <row r="9019" spans="31:32">
      <c r="AE9019" s="417" t="s">
        <v>23853</v>
      </c>
      <c r="AF9019" s="416" t="s">
        <v>23854</v>
      </c>
    </row>
    <row r="9020" spans="31:32">
      <c r="AE9020" s="417" t="s">
        <v>23855</v>
      </c>
      <c r="AF9020" s="416" t="s">
        <v>23856</v>
      </c>
    </row>
    <row r="9021" spans="31:32">
      <c r="AE9021" s="417" t="s">
        <v>23857</v>
      </c>
      <c r="AF9021" s="416" t="s">
        <v>23858</v>
      </c>
    </row>
    <row r="9022" spans="31:32">
      <c r="AE9022" s="417" t="s">
        <v>23859</v>
      </c>
      <c r="AF9022" s="416" t="s">
        <v>23860</v>
      </c>
    </row>
    <row r="9023" spans="31:32">
      <c r="AE9023" s="417" t="s">
        <v>23861</v>
      </c>
      <c r="AF9023" s="416" t="s">
        <v>23862</v>
      </c>
    </row>
    <row r="9024" spans="31:32">
      <c r="AE9024" s="417" t="s">
        <v>23863</v>
      </c>
      <c r="AF9024" s="416" t="s">
        <v>23864</v>
      </c>
    </row>
    <row r="9025" spans="31:32">
      <c r="AE9025" s="417" t="s">
        <v>23865</v>
      </c>
      <c r="AF9025" s="416" t="s">
        <v>23866</v>
      </c>
    </row>
    <row r="9026" spans="31:32">
      <c r="AE9026" s="417" t="s">
        <v>23867</v>
      </c>
      <c r="AF9026" s="416" t="s">
        <v>23868</v>
      </c>
    </row>
    <row r="9027" spans="31:32">
      <c r="AE9027" s="417" t="s">
        <v>23869</v>
      </c>
      <c r="AF9027" s="416" t="s">
        <v>23870</v>
      </c>
    </row>
    <row r="9028" spans="31:32">
      <c r="AE9028" s="417" t="s">
        <v>23871</v>
      </c>
      <c r="AF9028" s="416" t="s">
        <v>23872</v>
      </c>
    </row>
    <row r="9029" spans="31:32">
      <c r="AE9029" s="417" t="s">
        <v>23873</v>
      </c>
      <c r="AF9029" s="416" t="s">
        <v>23874</v>
      </c>
    </row>
    <row r="9030" spans="31:32">
      <c r="AE9030" s="417" t="s">
        <v>23875</v>
      </c>
      <c r="AF9030" s="416" t="s">
        <v>23876</v>
      </c>
    </row>
    <row r="9031" spans="31:32">
      <c r="AE9031" s="417" t="s">
        <v>23877</v>
      </c>
      <c r="AF9031" s="416" t="s">
        <v>23878</v>
      </c>
    </row>
    <row r="9032" spans="31:32">
      <c r="AE9032" s="417" t="s">
        <v>23879</v>
      </c>
      <c r="AF9032" s="416" t="s">
        <v>23880</v>
      </c>
    </row>
    <row r="9033" spans="31:32">
      <c r="AE9033" s="417" t="s">
        <v>23881</v>
      </c>
      <c r="AF9033" s="416" t="s">
        <v>23882</v>
      </c>
    </row>
    <row r="9034" spans="31:32">
      <c r="AE9034" s="417" t="s">
        <v>23883</v>
      </c>
      <c r="AF9034" s="416" t="s">
        <v>23884</v>
      </c>
    </row>
    <row r="9035" spans="31:32">
      <c r="AE9035" s="417" t="s">
        <v>23885</v>
      </c>
      <c r="AF9035" s="416" t="s">
        <v>23886</v>
      </c>
    </row>
    <row r="9036" spans="31:32">
      <c r="AE9036" s="417" t="s">
        <v>23887</v>
      </c>
      <c r="AF9036" s="416" t="s">
        <v>23888</v>
      </c>
    </row>
    <row r="9037" spans="31:32">
      <c r="AE9037" s="417" t="s">
        <v>23889</v>
      </c>
      <c r="AF9037" s="416" t="s">
        <v>23890</v>
      </c>
    </row>
    <row r="9038" spans="31:32">
      <c r="AE9038" s="417" t="s">
        <v>23891</v>
      </c>
      <c r="AF9038" s="416" t="s">
        <v>23892</v>
      </c>
    </row>
    <row r="9039" spans="31:32">
      <c r="AE9039" s="417" t="s">
        <v>23893</v>
      </c>
      <c r="AF9039" s="416" t="s">
        <v>23894</v>
      </c>
    </row>
    <row r="9040" spans="31:32">
      <c r="AE9040" s="417" t="s">
        <v>23895</v>
      </c>
      <c r="AF9040" s="416" t="s">
        <v>23896</v>
      </c>
    </row>
    <row r="9041" spans="31:32">
      <c r="AE9041" s="417" t="s">
        <v>23897</v>
      </c>
      <c r="AF9041" s="416" t="s">
        <v>23898</v>
      </c>
    </row>
    <row r="9042" spans="31:32">
      <c r="AE9042" s="417" t="s">
        <v>23899</v>
      </c>
      <c r="AF9042" s="416" t="s">
        <v>23900</v>
      </c>
    </row>
    <row r="9043" spans="31:32">
      <c r="AE9043" s="417" t="s">
        <v>23901</v>
      </c>
      <c r="AF9043" s="416" t="s">
        <v>23902</v>
      </c>
    </row>
    <row r="9044" spans="31:32">
      <c r="AE9044" s="417" t="s">
        <v>23903</v>
      </c>
      <c r="AF9044" s="416" t="s">
        <v>23904</v>
      </c>
    </row>
    <row r="9045" spans="31:32">
      <c r="AE9045" s="417" t="s">
        <v>23905</v>
      </c>
      <c r="AF9045" s="416" t="s">
        <v>23906</v>
      </c>
    </row>
    <row r="9046" spans="31:32">
      <c r="AE9046" s="417" t="s">
        <v>23907</v>
      </c>
      <c r="AF9046" s="416" t="s">
        <v>23908</v>
      </c>
    </row>
    <row r="9047" spans="31:32">
      <c r="AE9047" s="417" t="s">
        <v>23909</v>
      </c>
      <c r="AF9047" s="416" t="s">
        <v>23910</v>
      </c>
    </row>
    <row r="9048" spans="31:32">
      <c r="AE9048" s="417" t="s">
        <v>23911</v>
      </c>
      <c r="AF9048" s="416" t="s">
        <v>23912</v>
      </c>
    </row>
    <row r="9049" spans="31:32">
      <c r="AE9049" s="417" t="s">
        <v>23913</v>
      </c>
      <c r="AF9049" s="416" t="s">
        <v>23914</v>
      </c>
    </row>
    <row r="9050" spans="31:32">
      <c r="AE9050" s="417" t="s">
        <v>23915</v>
      </c>
      <c r="AF9050" s="416" t="s">
        <v>23916</v>
      </c>
    </row>
    <row r="9051" spans="31:32">
      <c r="AE9051" s="417" t="s">
        <v>23917</v>
      </c>
      <c r="AF9051" s="416" t="s">
        <v>23918</v>
      </c>
    </row>
    <row r="9052" spans="31:32">
      <c r="AE9052" s="417" t="s">
        <v>23919</v>
      </c>
      <c r="AF9052" s="416" t="s">
        <v>23920</v>
      </c>
    </row>
    <row r="9053" spans="31:32">
      <c r="AE9053" s="417" t="s">
        <v>23921</v>
      </c>
      <c r="AF9053" s="416" t="s">
        <v>23922</v>
      </c>
    </row>
    <row r="9054" spans="31:32">
      <c r="AE9054" s="417" t="s">
        <v>23923</v>
      </c>
      <c r="AF9054" s="416" t="s">
        <v>23924</v>
      </c>
    </row>
    <row r="9055" spans="31:32">
      <c r="AE9055" s="417" t="s">
        <v>23925</v>
      </c>
      <c r="AF9055" s="416" t="s">
        <v>23926</v>
      </c>
    </row>
    <row r="9056" spans="31:32">
      <c r="AE9056" s="417" t="s">
        <v>23927</v>
      </c>
      <c r="AF9056" s="416" t="s">
        <v>23928</v>
      </c>
    </row>
    <row r="9057" spans="31:32">
      <c r="AE9057" s="417" t="s">
        <v>23929</v>
      </c>
      <c r="AF9057" s="416" t="s">
        <v>23930</v>
      </c>
    </row>
    <row r="9058" spans="31:32">
      <c r="AE9058" s="417" t="s">
        <v>23931</v>
      </c>
      <c r="AF9058" s="416" t="s">
        <v>23932</v>
      </c>
    </row>
    <row r="9059" spans="31:32">
      <c r="AE9059" s="417" t="s">
        <v>23933</v>
      </c>
      <c r="AF9059" s="416" t="s">
        <v>23934</v>
      </c>
    </row>
    <row r="9060" spans="31:32">
      <c r="AE9060" s="417" t="s">
        <v>23935</v>
      </c>
      <c r="AF9060" s="416" t="s">
        <v>23936</v>
      </c>
    </row>
    <row r="9061" spans="31:32">
      <c r="AE9061" s="417" t="s">
        <v>23937</v>
      </c>
      <c r="AF9061" s="416" t="s">
        <v>23938</v>
      </c>
    </row>
    <row r="9062" spans="31:32">
      <c r="AE9062" s="417" t="s">
        <v>23939</v>
      </c>
      <c r="AF9062" s="416" t="s">
        <v>23940</v>
      </c>
    </row>
    <row r="9063" spans="31:32">
      <c r="AE9063" s="417" t="s">
        <v>23941</v>
      </c>
      <c r="AF9063" s="416" t="s">
        <v>23942</v>
      </c>
    </row>
    <row r="9064" spans="31:32">
      <c r="AE9064" s="417" t="s">
        <v>23943</v>
      </c>
      <c r="AF9064" s="416" t="s">
        <v>23944</v>
      </c>
    </row>
    <row r="9065" spans="31:32">
      <c r="AE9065" s="417" t="s">
        <v>23945</v>
      </c>
      <c r="AF9065" s="416" t="s">
        <v>23946</v>
      </c>
    </row>
    <row r="9066" spans="31:32">
      <c r="AE9066" s="417" t="s">
        <v>23947</v>
      </c>
      <c r="AF9066" s="416" t="s">
        <v>23948</v>
      </c>
    </row>
    <row r="9067" spans="31:32">
      <c r="AE9067" s="417" t="s">
        <v>23949</v>
      </c>
      <c r="AF9067" s="416" t="s">
        <v>23950</v>
      </c>
    </row>
    <row r="9068" spans="31:32">
      <c r="AE9068" s="417" t="s">
        <v>23951</v>
      </c>
      <c r="AF9068" s="416" t="s">
        <v>23952</v>
      </c>
    </row>
    <row r="9069" spans="31:32">
      <c r="AE9069" s="417" t="s">
        <v>23953</v>
      </c>
      <c r="AF9069" s="416" t="s">
        <v>23954</v>
      </c>
    </row>
    <row r="9070" spans="31:32">
      <c r="AE9070" s="417" t="s">
        <v>23955</v>
      </c>
      <c r="AF9070" s="416" t="s">
        <v>23956</v>
      </c>
    </row>
    <row r="9071" spans="31:32">
      <c r="AE9071" s="417" t="s">
        <v>23957</v>
      </c>
      <c r="AF9071" s="416" t="s">
        <v>23958</v>
      </c>
    </row>
    <row r="9072" spans="31:32">
      <c r="AE9072" s="417" t="s">
        <v>23959</v>
      </c>
      <c r="AF9072" s="416" t="s">
        <v>23960</v>
      </c>
    </row>
    <row r="9073" spans="31:32">
      <c r="AE9073" s="417" t="s">
        <v>23961</v>
      </c>
      <c r="AF9073" s="416" t="s">
        <v>23962</v>
      </c>
    </row>
    <row r="9074" spans="31:32">
      <c r="AE9074" s="417" t="s">
        <v>23963</v>
      </c>
      <c r="AF9074" s="416" t="s">
        <v>23964</v>
      </c>
    </row>
    <row r="9075" spans="31:32">
      <c r="AE9075" s="417" t="s">
        <v>23965</v>
      </c>
      <c r="AF9075" s="416" t="s">
        <v>23966</v>
      </c>
    </row>
    <row r="9076" spans="31:32">
      <c r="AE9076" s="417" t="s">
        <v>23967</v>
      </c>
      <c r="AF9076" s="416" t="s">
        <v>23968</v>
      </c>
    </row>
    <row r="9077" spans="31:32">
      <c r="AE9077" s="417" t="s">
        <v>23969</v>
      </c>
      <c r="AF9077" s="416" t="s">
        <v>23970</v>
      </c>
    </row>
    <row r="9078" spans="31:32">
      <c r="AE9078" s="417" t="s">
        <v>23971</v>
      </c>
      <c r="AF9078" s="416" t="s">
        <v>23972</v>
      </c>
    </row>
    <row r="9079" spans="31:32">
      <c r="AE9079" s="417" t="s">
        <v>23973</v>
      </c>
      <c r="AF9079" s="416" t="s">
        <v>23974</v>
      </c>
    </row>
    <row r="9080" spans="31:32">
      <c r="AE9080" s="417" t="s">
        <v>23975</v>
      </c>
      <c r="AF9080" s="416" t="s">
        <v>23976</v>
      </c>
    </row>
    <row r="9081" spans="31:32">
      <c r="AE9081" s="417" t="s">
        <v>23977</v>
      </c>
      <c r="AF9081" s="416" t="s">
        <v>23978</v>
      </c>
    </row>
    <row r="9082" spans="31:32">
      <c r="AE9082" s="417" t="s">
        <v>23979</v>
      </c>
      <c r="AF9082" s="416" t="s">
        <v>23980</v>
      </c>
    </row>
    <row r="9083" spans="31:32">
      <c r="AE9083" s="417" t="s">
        <v>23981</v>
      </c>
      <c r="AF9083" s="416" t="s">
        <v>23982</v>
      </c>
    </row>
    <row r="9084" spans="31:32">
      <c r="AE9084" s="417" t="s">
        <v>23983</v>
      </c>
      <c r="AF9084" s="416" t="s">
        <v>23984</v>
      </c>
    </row>
    <row r="9085" spans="31:32">
      <c r="AE9085" s="417" t="s">
        <v>23985</v>
      </c>
      <c r="AF9085" s="416" t="s">
        <v>23986</v>
      </c>
    </row>
    <row r="9086" spans="31:32">
      <c r="AE9086" s="417" t="s">
        <v>23987</v>
      </c>
      <c r="AF9086" s="416" t="s">
        <v>23988</v>
      </c>
    </row>
    <row r="9087" spans="31:32">
      <c r="AE9087" s="417" t="s">
        <v>23989</v>
      </c>
      <c r="AF9087" s="416" t="s">
        <v>23990</v>
      </c>
    </row>
    <row r="9088" spans="31:32">
      <c r="AE9088" s="417" t="s">
        <v>23991</v>
      </c>
      <c r="AF9088" s="416" t="s">
        <v>23992</v>
      </c>
    </row>
    <row r="9089" spans="31:32">
      <c r="AE9089" s="417" t="s">
        <v>23993</v>
      </c>
      <c r="AF9089" s="416" t="s">
        <v>23994</v>
      </c>
    </row>
    <row r="9090" spans="31:32">
      <c r="AE9090" s="417" t="s">
        <v>23995</v>
      </c>
      <c r="AF9090" s="416" t="s">
        <v>23996</v>
      </c>
    </row>
    <row r="9091" spans="31:32">
      <c r="AE9091" s="417" t="s">
        <v>23997</v>
      </c>
      <c r="AF9091" s="416" t="s">
        <v>23998</v>
      </c>
    </row>
    <row r="9092" spans="31:32">
      <c r="AE9092" s="417" t="s">
        <v>23999</v>
      </c>
      <c r="AF9092" s="416" t="s">
        <v>24000</v>
      </c>
    </row>
    <row r="9093" spans="31:32">
      <c r="AE9093" s="417" t="s">
        <v>24001</v>
      </c>
      <c r="AF9093" s="416" t="s">
        <v>24002</v>
      </c>
    </row>
    <row r="9094" spans="31:32">
      <c r="AE9094" s="417" t="s">
        <v>24003</v>
      </c>
      <c r="AF9094" s="416" t="s">
        <v>24004</v>
      </c>
    </row>
    <row r="9095" spans="31:32">
      <c r="AE9095" s="417" t="s">
        <v>24005</v>
      </c>
      <c r="AF9095" s="416" t="s">
        <v>24006</v>
      </c>
    </row>
    <row r="9096" spans="31:32">
      <c r="AE9096" s="417" t="s">
        <v>24007</v>
      </c>
      <c r="AF9096" s="416" t="s">
        <v>24008</v>
      </c>
    </row>
    <row r="9097" spans="31:32">
      <c r="AE9097" s="417" t="s">
        <v>24009</v>
      </c>
      <c r="AF9097" s="416" t="s">
        <v>24010</v>
      </c>
    </row>
    <row r="9098" spans="31:32">
      <c r="AE9098" s="417" t="s">
        <v>24011</v>
      </c>
      <c r="AF9098" s="416" t="s">
        <v>24012</v>
      </c>
    </row>
    <row r="9099" spans="31:32">
      <c r="AE9099" s="417" t="s">
        <v>24013</v>
      </c>
      <c r="AF9099" s="416" t="s">
        <v>24014</v>
      </c>
    </row>
    <row r="9100" spans="31:32">
      <c r="AE9100" s="417" t="s">
        <v>24015</v>
      </c>
      <c r="AF9100" s="416" t="s">
        <v>24016</v>
      </c>
    </row>
    <row r="9101" spans="31:32">
      <c r="AE9101" s="417" t="s">
        <v>24017</v>
      </c>
      <c r="AF9101" s="416" t="s">
        <v>24018</v>
      </c>
    </row>
    <row r="9102" spans="31:32">
      <c r="AE9102" s="417" t="s">
        <v>24019</v>
      </c>
      <c r="AF9102" s="416" t="s">
        <v>24020</v>
      </c>
    </row>
    <row r="9103" spans="31:32">
      <c r="AE9103" s="417" t="s">
        <v>24021</v>
      </c>
      <c r="AF9103" s="416" t="s">
        <v>24022</v>
      </c>
    </row>
    <row r="9104" spans="31:32">
      <c r="AE9104" s="417" t="s">
        <v>24023</v>
      </c>
      <c r="AF9104" s="416" t="s">
        <v>24024</v>
      </c>
    </row>
    <row r="9105" spans="31:32">
      <c r="AE9105" s="417" t="s">
        <v>24025</v>
      </c>
      <c r="AF9105" s="416" t="s">
        <v>24026</v>
      </c>
    </row>
    <row r="9106" spans="31:32">
      <c r="AE9106" s="417" t="s">
        <v>24027</v>
      </c>
      <c r="AF9106" s="416" t="s">
        <v>24028</v>
      </c>
    </row>
    <row r="9107" spans="31:32">
      <c r="AE9107" s="417" t="s">
        <v>24029</v>
      </c>
      <c r="AF9107" s="416" t="s">
        <v>24030</v>
      </c>
    </row>
    <row r="9108" spans="31:32">
      <c r="AE9108" s="417" t="s">
        <v>24031</v>
      </c>
      <c r="AF9108" s="416" t="s">
        <v>24032</v>
      </c>
    </row>
    <row r="9109" spans="31:32">
      <c r="AE9109" s="417" t="s">
        <v>24033</v>
      </c>
      <c r="AF9109" s="416" t="s">
        <v>24034</v>
      </c>
    </row>
    <row r="9110" spans="31:32">
      <c r="AE9110" s="417" t="s">
        <v>24035</v>
      </c>
      <c r="AF9110" s="416" t="s">
        <v>24036</v>
      </c>
    </row>
    <row r="9111" spans="31:32">
      <c r="AE9111" s="417" t="s">
        <v>24037</v>
      </c>
      <c r="AF9111" s="416" t="s">
        <v>24038</v>
      </c>
    </row>
    <row r="9112" spans="31:32">
      <c r="AE9112" s="417" t="s">
        <v>24039</v>
      </c>
      <c r="AF9112" s="416" t="s">
        <v>24040</v>
      </c>
    </row>
    <row r="9113" spans="31:32">
      <c r="AE9113" s="417" t="s">
        <v>24041</v>
      </c>
      <c r="AF9113" s="416" t="s">
        <v>24042</v>
      </c>
    </row>
    <row r="9114" spans="31:32">
      <c r="AE9114" s="417" t="s">
        <v>24043</v>
      </c>
      <c r="AF9114" s="416" t="s">
        <v>24044</v>
      </c>
    </row>
    <row r="9115" spans="31:32">
      <c r="AE9115" s="417" t="s">
        <v>24045</v>
      </c>
      <c r="AF9115" s="416" t="s">
        <v>24046</v>
      </c>
    </row>
    <row r="9116" spans="31:32">
      <c r="AE9116" s="417" t="s">
        <v>24047</v>
      </c>
      <c r="AF9116" s="416" t="s">
        <v>24048</v>
      </c>
    </row>
    <row r="9117" spans="31:32">
      <c r="AE9117" s="417" t="s">
        <v>24049</v>
      </c>
      <c r="AF9117" s="416" t="s">
        <v>24050</v>
      </c>
    </row>
    <row r="9118" spans="31:32">
      <c r="AE9118" s="417" t="s">
        <v>24051</v>
      </c>
      <c r="AF9118" s="416" t="s">
        <v>24052</v>
      </c>
    </row>
    <row r="9119" spans="31:32">
      <c r="AE9119" s="417" t="s">
        <v>24053</v>
      </c>
      <c r="AF9119" s="416" t="s">
        <v>24054</v>
      </c>
    </row>
    <row r="9120" spans="31:32">
      <c r="AE9120" s="417" t="s">
        <v>24055</v>
      </c>
      <c r="AF9120" s="416" t="s">
        <v>24056</v>
      </c>
    </row>
    <row r="9121" spans="31:32">
      <c r="AE9121" s="417" t="s">
        <v>24057</v>
      </c>
      <c r="AF9121" s="416" t="s">
        <v>24058</v>
      </c>
    </row>
    <row r="9122" spans="31:32">
      <c r="AE9122" s="417" t="s">
        <v>24059</v>
      </c>
      <c r="AF9122" s="416" t="s">
        <v>24060</v>
      </c>
    </row>
    <row r="9123" spans="31:32">
      <c r="AE9123" s="417" t="s">
        <v>24061</v>
      </c>
      <c r="AF9123" s="416" t="s">
        <v>24062</v>
      </c>
    </row>
    <row r="9124" spans="31:32">
      <c r="AE9124" s="417" t="s">
        <v>24063</v>
      </c>
      <c r="AF9124" s="416" t="s">
        <v>24064</v>
      </c>
    </row>
    <row r="9125" spans="31:32">
      <c r="AE9125" s="417" t="s">
        <v>24065</v>
      </c>
      <c r="AF9125" s="416" t="s">
        <v>24066</v>
      </c>
    </row>
    <row r="9126" spans="31:32">
      <c r="AE9126" s="417" t="s">
        <v>24067</v>
      </c>
      <c r="AF9126" s="416" t="s">
        <v>24068</v>
      </c>
    </row>
    <row r="9127" spans="31:32">
      <c r="AE9127" s="417" t="s">
        <v>24069</v>
      </c>
      <c r="AF9127" s="416" t="s">
        <v>24070</v>
      </c>
    </row>
    <row r="9128" spans="31:32">
      <c r="AE9128" s="417" t="s">
        <v>24071</v>
      </c>
      <c r="AF9128" s="416" t="s">
        <v>24072</v>
      </c>
    </row>
    <row r="9129" spans="31:32">
      <c r="AE9129" s="417" t="s">
        <v>24073</v>
      </c>
      <c r="AF9129" s="416" t="s">
        <v>24074</v>
      </c>
    </row>
    <row r="9130" spans="31:32">
      <c r="AE9130" s="417" t="s">
        <v>24075</v>
      </c>
      <c r="AF9130" s="416" t="s">
        <v>24076</v>
      </c>
    </row>
    <row r="9131" spans="31:32">
      <c r="AE9131" s="417" t="s">
        <v>24077</v>
      </c>
      <c r="AF9131" s="416" t="s">
        <v>24078</v>
      </c>
    </row>
    <row r="9132" spans="31:32">
      <c r="AE9132" s="417" t="s">
        <v>24079</v>
      </c>
      <c r="AF9132" s="416" t="s">
        <v>24080</v>
      </c>
    </row>
    <row r="9133" spans="31:32">
      <c r="AE9133" s="417" t="s">
        <v>24081</v>
      </c>
      <c r="AF9133" s="416" t="s">
        <v>24082</v>
      </c>
    </row>
    <row r="9134" spans="31:32">
      <c r="AE9134" s="417" t="s">
        <v>24083</v>
      </c>
      <c r="AF9134" s="416" t="s">
        <v>24084</v>
      </c>
    </row>
    <row r="9135" spans="31:32">
      <c r="AE9135" s="417" t="s">
        <v>24085</v>
      </c>
      <c r="AF9135" s="416" t="s">
        <v>24086</v>
      </c>
    </row>
    <row r="9136" spans="31:32">
      <c r="AE9136" s="417" t="s">
        <v>24087</v>
      </c>
      <c r="AF9136" s="416" t="s">
        <v>24088</v>
      </c>
    </row>
    <row r="9137" spans="31:32">
      <c r="AE9137" s="417" t="s">
        <v>24089</v>
      </c>
      <c r="AF9137" s="416" t="s">
        <v>24090</v>
      </c>
    </row>
    <row r="9138" spans="31:32">
      <c r="AE9138" s="417" t="s">
        <v>24091</v>
      </c>
      <c r="AF9138" s="416" t="s">
        <v>24092</v>
      </c>
    </row>
    <row r="9139" spans="31:32">
      <c r="AE9139" s="417" t="s">
        <v>24093</v>
      </c>
      <c r="AF9139" s="416" t="s">
        <v>24094</v>
      </c>
    </row>
    <row r="9140" spans="31:32">
      <c r="AE9140" s="417" t="s">
        <v>24095</v>
      </c>
      <c r="AF9140" s="416" t="s">
        <v>24096</v>
      </c>
    </row>
    <row r="9141" spans="31:32">
      <c r="AE9141" s="417" t="s">
        <v>24097</v>
      </c>
      <c r="AF9141" s="416" t="s">
        <v>24098</v>
      </c>
    </row>
    <row r="9142" spans="31:32">
      <c r="AE9142" s="417" t="s">
        <v>24099</v>
      </c>
      <c r="AF9142" s="416" t="s">
        <v>24100</v>
      </c>
    </row>
    <row r="9143" spans="31:32">
      <c r="AE9143" s="417" t="s">
        <v>24101</v>
      </c>
      <c r="AF9143" s="416" t="s">
        <v>24102</v>
      </c>
    </row>
    <row r="9144" spans="31:32">
      <c r="AE9144" s="417" t="s">
        <v>24103</v>
      </c>
      <c r="AF9144" s="416" t="s">
        <v>24104</v>
      </c>
    </row>
    <row r="9145" spans="31:32">
      <c r="AE9145" s="417" t="s">
        <v>24105</v>
      </c>
      <c r="AF9145" s="416" t="s">
        <v>24106</v>
      </c>
    </row>
    <row r="9146" spans="31:32">
      <c r="AE9146" s="417" t="s">
        <v>24107</v>
      </c>
      <c r="AF9146" s="416" t="s">
        <v>24108</v>
      </c>
    </row>
    <row r="9147" spans="31:32">
      <c r="AE9147" s="417" t="s">
        <v>24109</v>
      </c>
      <c r="AF9147" s="416" t="s">
        <v>24110</v>
      </c>
    </row>
    <row r="9148" spans="31:32">
      <c r="AE9148" s="417" t="s">
        <v>24111</v>
      </c>
      <c r="AF9148" s="416" t="s">
        <v>24112</v>
      </c>
    </row>
    <row r="9149" spans="31:32">
      <c r="AE9149" s="417" t="s">
        <v>24113</v>
      </c>
      <c r="AF9149" s="416" t="s">
        <v>24114</v>
      </c>
    </row>
    <row r="9150" spans="31:32">
      <c r="AE9150" s="417" t="s">
        <v>24115</v>
      </c>
      <c r="AF9150" s="416" t="s">
        <v>24116</v>
      </c>
    </row>
    <row r="9151" spans="31:32">
      <c r="AE9151" s="417" t="s">
        <v>24117</v>
      </c>
      <c r="AF9151" s="416" t="s">
        <v>24118</v>
      </c>
    </row>
    <row r="9152" spans="31:32">
      <c r="AE9152" s="417" t="s">
        <v>24119</v>
      </c>
      <c r="AF9152" s="416" t="s">
        <v>24120</v>
      </c>
    </row>
    <row r="9153" spans="31:32">
      <c r="AE9153" s="417" t="s">
        <v>24121</v>
      </c>
      <c r="AF9153" s="416" t="s">
        <v>24122</v>
      </c>
    </row>
    <row r="9154" spans="31:32">
      <c r="AE9154" s="417" t="s">
        <v>24123</v>
      </c>
      <c r="AF9154" s="416" t="s">
        <v>24124</v>
      </c>
    </row>
    <row r="9155" spans="31:32">
      <c r="AE9155" s="417" t="s">
        <v>24125</v>
      </c>
      <c r="AF9155" s="416" t="s">
        <v>24126</v>
      </c>
    </row>
    <row r="9156" spans="31:32">
      <c r="AE9156" s="417" t="s">
        <v>24127</v>
      </c>
      <c r="AF9156" s="416" t="s">
        <v>24128</v>
      </c>
    </row>
    <row r="9157" spans="31:32">
      <c r="AE9157" s="417" t="s">
        <v>24129</v>
      </c>
      <c r="AF9157" s="416" t="s">
        <v>24130</v>
      </c>
    </row>
    <row r="9158" spans="31:32">
      <c r="AE9158" s="417" t="s">
        <v>24131</v>
      </c>
      <c r="AF9158" s="416" t="s">
        <v>24132</v>
      </c>
    </row>
    <row r="9159" spans="31:32">
      <c r="AE9159" s="417" t="s">
        <v>24133</v>
      </c>
      <c r="AF9159" s="416" t="s">
        <v>24134</v>
      </c>
    </row>
    <row r="9160" spans="31:32">
      <c r="AE9160" s="417" t="s">
        <v>24135</v>
      </c>
      <c r="AF9160" s="416" t="s">
        <v>24136</v>
      </c>
    </row>
    <row r="9161" spans="31:32">
      <c r="AE9161" s="417" t="s">
        <v>24137</v>
      </c>
      <c r="AF9161" s="416" t="s">
        <v>24138</v>
      </c>
    </row>
    <row r="9162" spans="31:32">
      <c r="AE9162" s="417" t="s">
        <v>24139</v>
      </c>
      <c r="AF9162" s="416" t="s">
        <v>24140</v>
      </c>
    </row>
    <row r="9163" spans="31:32">
      <c r="AE9163" s="417" t="s">
        <v>24141</v>
      </c>
      <c r="AF9163" s="416" t="s">
        <v>24142</v>
      </c>
    </row>
    <row r="9164" spans="31:32">
      <c r="AE9164" s="417" t="s">
        <v>24143</v>
      </c>
      <c r="AF9164" s="416" t="s">
        <v>24144</v>
      </c>
    </row>
    <row r="9165" spans="31:32">
      <c r="AE9165" s="417" t="s">
        <v>24145</v>
      </c>
      <c r="AF9165" s="416" t="s">
        <v>24146</v>
      </c>
    </row>
    <row r="9166" spans="31:32">
      <c r="AE9166" s="417" t="s">
        <v>24147</v>
      </c>
      <c r="AF9166" s="416" t="s">
        <v>24148</v>
      </c>
    </row>
    <row r="9167" spans="31:32">
      <c r="AE9167" s="417" t="s">
        <v>24149</v>
      </c>
      <c r="AF9167" s="416" t="s">
        <v>24150</v>
      </c>
    </row>
    <row r="9168" spans="31:32">
      <c r="AE9168" s="417" t="s">
        <v>24151</v>
      </c>
      <c r="AF9168" s="416" t="s">
        <v>24152</v>
      </c>
    </row>
    <row r="9169" spans="31:32">
      <c r="AE9169" s="417" t="s">
        <v>24153</v>
      </c>
      <c r="AF9169" s="416" t="s">
        <v>24154</v>
      </c>
    </row>
    <row r="9170" spans="31:32">
      <c r="AE9170" s="417" t="s">
        <v>24155</v>
      </c>
      <c r="AF9170" s="416" t="s">
        <v>24156</v>
      </c>
    </row>
    <row r="9171" spans="31:32">
      <c r="AE9171" s="417" t="s">
        <v>24157</v>
      </c>
      <c r="AF9171" s="416" t="s">
        <v>24158</v>
      </c>
    </row>
    <row r="9172" spans="31:32">
      <c r="AE9172" s="417" t="s">
        <v>24159</v>
      </c>
      <c r="AF9172" s="416" t="s">
        <v>24160</v>
      </c>
    </row>
    <row r="9173" spans="31:32">
      <c r="AE9173" s="417" t="s">
        <v>24161</v>
      </c>
      <c r="AF9173" s="416" t="s">
        <v>24162</v>
      </c>
    </row>
    <row r="9174" spans="31:32">
      <c r="AE9174" s="417" t="s">
        <v>24163</v>
      </c>
      <c r="AF9174" s="416" t="s">
        <v>24164</v>
      </c>
    </row>
    <row r="9175" spans="31:32">
      <c r="AE9175" s="417" t="s">
        <v>24165</v>
      </c>
      <c r="AF9175" s="416" t="s">
        <v>24166</v>
      </c>
    </row>
    <row r="9176" spans="31:32">
      <c r="AE9176" s="417" t="s">
        <v>24167</v>
      </c>
      <c r="AF9176" s="416" t="s">
        <v>24168</v>
      </c>
    </row>
    <row r="9177" spans="31:32">
      <c r="AE9177" s="417" t="s">
        <v>24169</v>
      </c>
      <c r="AF9177" s="416" t="s">
        <v>24170</v>
      </c>
    </row>
    <row r="9178" spans="31:32">
      <c r="AE9178" s="417" t="s">
        <v>24171</v>
      </c>
      <c r="AF9178" s="416" t="s">
        <v>24172</v>
      </c>
    </row>
    <row r="9179" spans="31:32">
      <c r="AE9179" s="417" t="s">
        <v>24173</v>
      </c>
      <c r="AF9179" s="416" t="s">
        <v>24174</v>
      </c>
    </row>
    <row r="9180" spans="31:32">
      <c r="AE9180" s="417" t="s">
        <v>24175</v>
      </c>
      <c r="AF9180" s="416" t="s">
        <v>24176</v>
      </c>
    </row>
    <row r="9181" spans="31:32">
      <c r="AE9181" s="417" t="s">
        <v>24177</v>
      </c>
      <c r="AF9181" s="416" t="s">
        <v>24178</v>
      </c>
    </row>
    <row r="9182" spans="31:32">
      <c r="AE9182" s="417" t="s">
        <v>24179</v>
      </c>
      <c r="AF9182" s="416" t="s">
        <v>24180</v>
      </c>
    </row>
    <row r="9183" spans="31:32">
      <c r="AE9183" s="417" t="s">
        <v>24181</v>
      </c>
      <c r="AF9183" s="416" t="s">
        <v>24182</v>
      </c>
    </row>
    <row r="9184" spans="31:32">
      <c r="AE9184" s="417" t="s">
        <v>24183</v>
      </c>
      <c r="AF9184" s="416" t="s">
        <v>24184</v>
      </c>
    </row>
    <row r="9185" spans="31:32">
      <c r="AE9185" s="417" t="s">
        <v>24185</v>
      </c>
      <c r="AF9185" s="416" t="s">
        <v>24186</v>
      </c>
    </row>
    <row r="9186" spans="31:32">
      <c r="AE9186" s="417" t="s">
        <v>24187</v>
      </c>
      <c r="AF9186" s="416" t="s">
        <v>24188</v>
      </c>
    </row>
    <row r="9187" spans="31:32">
      <c r="AE9187" s="417" t="s">
        <v>24189</v>
      </c>
      <c r="AF9187" s="416" t="s">
        <v>24190</v>
      </c>
    </row>
    <row r="9188" spans="31:32">
      <c r="AE9188" s="417" t="s">
        <v>24191</v>
      </c>
      <c r="AF9188" s="416" t="s">
        <v>24192</v>
      </c>
    </row>
    <row r="9189" spans="31:32">
      <c r="AE9189" s="417" t="s">
        <v>24193</v>
      </c>
      <c r="AF9189" s="416" t="s">
        <v>24194</v>
      </c>
    </row>
    <row r="9190" spans="31:32">
      <c r="AE9190" s="417" t="s">
        <v>24195</v>
      </c>
      <c r="AF9190" s="416" t="s">
        <v>24196</v>
      </c>
    </row>
    <row r="9191" spans="31:32">
      <c r="AE9191" s="417" t="s">
        <v>24197</v>
      </c>
      <c r="AF9191" s="416" t="s">
        <v>24198</v>
      </c>
    </row>
    <row r="9192" spans="31:32">
      <c r="AE9192" s="417" t="s">
        <v>24199</v>
      </c>
      <c r="AF9192" s="416" t="s">
        <v>24200</v>
      </c>
    </row>
    <row r="9193" spans="31:32">
      <c r="AE9193" s="417" t="s">
        <v>24201</v>
      </c>
      <c r="AF9193" s="416" t="s">
        <v>24202</v>
      </c>
    </row>
    <row r="9194" spans="31:32">
      <c r="AE9194" s="417" t="s">
        <v>24203</v>
      </c>
      <c r="AF9194" s="416" t="s">
        <v>24204</v>
      </c>
    </row>
    <row r="9195" spans="31:32">
      <c r="AE9195" s="417" t="s">
        <v>24205</v>
      </c>
      <c r="AF9195" s="416" t="s">
        <v>24206</v>
      </c>
    </row>
    <row r="9196" spans="31:32">
      <c r="AE9196" s="417" t="s">
        <v>24207</v>
      </c>
      <c r="AF9196" s="416" t="s">
        <v>24208</v>
      </c>
    </row>
    <row r="9197" spans="31:32">
      <c r="AE9197" s="417" t="s">
        <v>24209</v>
      </c>
      <c r="AF9197" s="416" t="s">
        <v>24210</v>
      </c>
    </row>
    <row r="9198" spans="31:32">
      <c r="AE9198" s="417" t="s">
        <v>24211</v>
      </c>
      <c r="AF9198" s="416" t="s">
        <v>24212</v>
      </c>
    </row>
    <row r="9199" spans="31:32">
      <c r="AE9199" s="417" t="s">
        <v>24213</v>
      </c>
      <c r="AF9199" s="416" t="s">
        <v>24214</v>
      </c>
    </row>
    <row r="9200" spans="31:32">
      <c r="AE9200" s="417" t="s">
        <v>24215</v>
      </c>
      <c r="AF9200" s="416" t="s">
        <v>24216</v>
      </c>
    </row>
    <row r="9201" spans="31:32">
      <c r="AE9201" s="417" t="s">
        <v>24217</v>
      </c>
      <c r="AF9201" s="416" t="s">
        <v>24218</v>
      </c>
    </row>
    <row r="9202" spans="31:32">
      <c r="AE9202" s="417" t="s">
        <v>24219</v>
      </c>
      <c r="AF9202" s="416" t="s">
        <v>24220</v>
      </c>
    </row>
    <row r="9203" spans="31:32">
      <c r="AE9203" s="417" t="s">
        <v>24221</v>
      </c>
      <c r="AF9203" s="416" t="s">
        <v>24222</v>
      </c>
    </row>
    <row r="9204" spans="31:32">
      <c r="AE9204" s="417" t="s">
        <v>24223</v>
      </c>
      <c r="AF9204" s="416" t="s">
        <v>24224</v>
      </c>
    </row>
    <row r="9205" spans="31:32">
      <c r="AE9205" s="417" t="s">
        <v>24225</v>
      </c>
      <c r="AF9205" s="416" t="s">
        <v>24226</v>
      </c>
    </row>
    <row r="9206" spans="31:32">
      <c r="AE9206" s="417" t="s">
        <v>24227</v>
      </c>
      <c r="AF9206" s="416" t="s">
        <v>24228</v>
      </c>
    </row>
    <row r="9207" spans="31:32">
      <c r="AE9207" s="417" t="s">
        <v>24229</v>
      </c>
      <c r="AF9207" s="416" t="s">
        <v>24230</v>
      </c>
    </row>
    <row r="9208" spans="31:32">
      <c r="AE9208" s="417" t="s">
        <v>24231</v>
      </c>
      <c r="AF9208" s="416" t="s">
        <v>24232</v>
      </c>
    </row>
    <row r="9209" spans="31:32">
      <c r="AE9209" s="417" t="s">
        <v>24233</v>
      </c>
      <c r="AF9209" s="416" t="s">
        <v>24234</v>
      </c>
    </row>
    <row r="9210" spans="31:32">
      <c r="AE9210" s="417" t="s">
        <v>24235</v>
      </c>
      <c r="AF9210" s="416" t="s">
        <v>24236</v>
      </c>
    </row>
    <row r="9211" spans="31:32">
      <c r="AE9211" s="417" t="s">
        <v>24237</v>
      </c>
      <c r="AF9211" s="416" t="s">
        <v>24238</v>
      </c>
    </row>
    <row r="9212" spans="31:32">
      <c r="AE9212" s="417" t="s">
        <v>24239</v>
      </c>
      <c r="AF9212" s="416" t="s">
        <v>24240</v>
      </c>
    </row>
    <row r="9213" spans="31:32">
      <c r="AE9213" s="417" t="s">
        <v>24241</v>
      </c>
      <c r="AF9213" s="416" t="s">
        <v>24242</v>
      </c>
    </row>
    <row r="9214" spans="31:32">
      <c r="AE9214" s="417" t="s">
        <v>24243</v>
      </c>
      <c r="AF9214" s="416" t="s">
        <v>24244</v>
      </c>
    </row>
    <row r="9215" spans="31:32">
      <c r="AE9215" s="417" t="s">
        <v>24245</v>
      </c>
      <c r="AF9215" s="416" t="s">
        <v>24246</v>
      </c>
    </row>
    <row r="9216" spans="31:32">
      <c r="AE9216" s="417" t="s">
        <v>24247</v>
      </c>
      <c r="AF9216" s="416" t="s">
        <v>24248</v>
      </c>
    </row>
    <row r="9217" spans="31:32">
      <c r="AE9217" s="417" t="s">
        <v>24249</v>
      </c>
      <c r="AF9217" s="416" t="s">
        <v>24250</v>
      </c>
    </row>
    <row r="9218" spans="31:32">
      <c r="AE9218" s="417" t="s">
        <v>24251</v>
      </c>
      <c r="AF9218" s="416" t="s">
        <v>24252</v>
      </c>
    </row>
    <row r="9219" spans="31:32">
      <c r="AE9219" s="417" t="s">
        <v>24253</v>
      </c>
      <c r="AF9219" s="416" t="s">
        <v>24254</v>
      </c>
    </row>
    <row r="9220" spans="31:32">
      <c r="AE9220" s="417" t="s">
        <v>24255</v>
      </c>
      <c r="AF9220" s="416" t="s">
        <v>24256</v>
      </c>
    </row>
    <row r="9221" spans="31:32">
      <c r="AE9221" s="417" t="s">
        <v>24257</v>
      </c>
      <c r="AF9221" s="416" t="s">
        <v>24258</v>
      </c>
    </row>
    <row r="9222" spans="31:32">
      <c r="AE9222" s="417" t="s">
        <v>24259</v>
      </c>
      <c r="AF9222" s="416" t="s">
        <v>24260</v>
      </c>
    </row>
    <row r="9223" spans="31:32">
      <c r="AE9223" s="417" t="s">
        <v>24261</v>
      </c>
      <c r="AF9223" s="416" t="s">
        <v>24262</v>
      </c>
    </row>
    <row r="9224" spans="31:32">
      <c r="AE9224" s="417" t="s">
        <v>24263</v>
      </c>
      <c r="AF9224" s="416" t="s">
        <v>24264</v>
      </c>
    </row>
    <row r="9225" spans="31:32">
      <c r="AE9225" s="417" t="s">
        <v>24265</v>
      </c>
      <c r="AF9225" s="416" t="s">
        <v>24266</v>
      </c>
    </row>
    <row r="9226" spans="31:32">
      <c r="AE9226" s="417" t="s">
        <v>24267</v>
      </c>
      <c r="AF9226" s="416" t="s">
        <v>24268</v>
      </c>
    </row>
    <row r="9227" spans="31:32">
      <c r="AE9227" s="417" t="s">
        <v>24269</v>
      </c>
      <c r="AF9227" s="416" t="s">
        <v>24270</v>
      </c>
    </row>
    <row r="9228" spans="31:32">
      <c r="AE9228" s="417" t="s">
        <v>24271</v>
      </c>
      <c r="AF9228" s="416" t="s">
        <v>24272</v>
      </c>
    </row>
    <row r="9229" spans="31:32">
      <c r="AE9229" s="417" t="s">
        <v>24273</v>
      </c>
      <c r="AF9229" s="416" t="s">
        <v>24274</v>
      </c>
    </row>
    <row r="9230" spans="31:32">
      <c r="AE9230" s="417" t="s">
        <v>24275</v>
      </c>
      <c r="AF9230" s="416" t="s">
        <v>24276</v>
      </c>
    </row>
    <row r="9231" spans="31:32">
      <c r="AE9231" s="417" t="s">
        <v>24277</v>
      </c>
      <c r="AF9231" s="416" t="s">
        <v>24278</v>
      </c>
    </row>
    <row r="9232" spans="31:32">
      <c r="AE9232" s="417" t="s">
        <v>24279</v>
      </c>
      <c r="AF9232" s="416" t="s">
        <v>24280</v>
      </c>
    </row>
    <row r="9233" spans="31:32">
      <c r="AE9233" s="417" t="s">
        <v>24281</v>
      </c>
      <c r="AF9233" s="416" t="s">
        <v>24282</v>
      </c>
    </row>
    <row r="9234" spans="31:32">
      <c r="AE9234" s="417" t="s">
        <v>24283</v>
      </c>
      <c r="AF9234" s="416" t="s">
        <v>24284</v>
      </c>
    </row>
    <row r="9235" spans="31:32">
      <c r="AE9235" s="417" t="s">
        <v>24285</v>
      </c>
      <c r="AF9235" s="416" t="s">
        <v>24286</v>
      </c>
    </row>
    <row r="9236" spans="31:32">
      <c r="AE9236" s="417" t="s">
        <v>24287</v>
      </c>
      <c r="AF9236" s="416" t="s">
        <v>24288</v>
      </c>
    </row>
    <row r="9237" spans="31:32">
      <c r="AE9237" s="417" t="s">
        <v>24289</v>
      </c>
      <c r="AF9237" s="416" t="s">
        <v>24290</v>
      </c>
    </row>
    <row r="9238" spans="31:32">
      <c r="AE9238" s="417" t="s">
        <v>24291</v>
      </c>
      <c r="AF9238" s="416" t="s">
        <v>24292</v>
      </c>
    </row>
    <row r="9239" spans="31:32">
      <c r="AE9239" s="417" t="s">
        <v>24293</v>
      </c>
      <c r="AF9239" s="416" t="s">
        <v>24294</v>
      </c>
    </row>
    <row r="9240" spans="31:32">
      <c r="AE9240" s="417" t="s">
        <v>24295</v>
      </c>
      <c r="AF9240" s="416" t="s">
        <v>24296</v>
      </c>
    </row>
    <row r="9241" spans="31:32">
      <c r="AE9241" s="417" t="s">
        <v>24297</v>
      </c>
      <c r="AF9241" s="416" t="s">
        <v>24298</v>
      </c>
    </row>
    <row r="9242" spans="31:32">
      <c r="AE9242" s="417" t="s">
        <v>24299</v>
      </c>
      <c r="AF9242" s="416" t="s">
        <v>24300</v>
      </c>
    </row>
    <row r="9243" spans="31:32">
      <c r="AE9243" s="417" t="s">
        <v>24301</v>
      </c>
      <c r="AF9243" s="416" t="s">
        <v>24302</v>
      </c>
    </row>
    <row r="9244" spans="31:32">
      <c r="AE9244" s="417" t="s">
        <v>24303</v>
      </c>
      <c r="AF9244" s="416" t="s">
        <v>24304</v>
      </c>
    </row>
    <row r="9245" spans="31:32">
      <c r="AE9245" s="417" t="s">
        <v>24305</v>
      </c>
      <c r="AF9245" s="416" t="s">
        <v>24306</v>
      </c>
    </row>
    <row r="9246" spans="31:32">
      <c r="AE9246" s="417" t="s">
        <v>24307</v>
      </c>
      <c r="AF9246" s="416" t="s">
        <v>24308</v>
      </c>
    </row>
    <row r="9247" spans="31:32">
      <c r="AE9247" s="417" t="s">
        <v>24309</v>
      </c>
      <c r="AF9247" s="416" t="s">
        <v>24310</v>
      </c>
    </row>
    <row r="9248" spans="31:32">
      <c r="AE9248" s="417" t="s">
        <v>24311</v>
      </c>
      <c r="AF9248" s="416" t="s">
        <v>24312</v>
      </c>
    </row>
    <row r="9249" spans="31:32">
      <c r="AE9249" s="417" t="s">
        <v>24313</v>
      </c>
      <c r="AF9249" s="416" t="s">
        <v>24314</v>
      </c>
    </row>
    <row r="9250" spans="31:32">
      <c r="AE9250" s="417" t="s">
        <v>24315</v>
      </c>
      <c r="AF9250" s="416" t="s">
        <v>24316</v>
      </c>
    </row>
    <row r="9251" spans="31:32">
      <c r="AE9251" s="417" t="s">
        <v>24317</v>
      </c>
      <c r="AF9251" s="416" t="s">
        <v>24318</v>
      </c>
    </row>
    <row r="9252" spans="31:32">
      <c r="AE9252" s="417" t="s">
        <v>24319</v>
      </c>
      <c r="AF9252" s="416" t="s">
        <v>24320</v>
      </c>
    </row>
    <row r="9253" spans="31:32">
      <c r="AE9253" s="417" t="s">
        <v>24321</v>
      </c>
      <c r="AF9253" s="416" t="s">
        <v>24322</v>
      </c>
    </row>
    <row r="9254" spans="31:32">
      <c r="AE9254" s="417" t="s">
        <v>24323</v>
      </c>
      <c r="AF9254" s="416" t="s">
        <v>24324</v>
      </c>
    </row>
    <row r="9255" spans="31:32">
      <c r="AE9255" s="417" t="s">
        <v>24325</v>
      </c>
      <c r="AF9255" s="416" t="s">
        <v>24326</v>
      </c>
    </row>
    <row r="9256" spans="31:32">
      <c r="AE9256" s="417" t="s">
        <v>24327</v>
      </c>
      <c r="AF9256" s="416" t="s">
        <v>24328</v>
      </c>
    </row>
    <row r="9257" spans="31:32">
      <c r="AE9257" s="417" t="s">
        <v>24329</v>
      </c>
      <c r="AF9257" s="416" t="s">
        <v>24330</v>
      </c>
    </row>
    <row r="9258" spans="31:32">
      <c r="AE9258" s="417" t="s">
        <v>24331</v>
      </c>
      <c r="AF9258" s="416" t="s">
        <v>24332</v>
      </c>
    </row>
    <row r="9259" spans="31:32">
      <c r="AE9259" s="417" t="s">
        <v>24333</v>
      </c>
      <c r="AF9259" s="416" t="s">
        <v>24334</v>
      </c>
    </row>
    <row r="9260" spans="31:32">
      <c r="AE9260" s="417" t="s">
        <v>24335</v>
      </c>
      <c r="AF9260" s="416" t="s">
        <v>24336</v>
      </c>
    </row>
    <row r="9261" spans="31:32">
      <c r="AE9261" s="417" t="s">
        <v>24337</v>
      </c>
      <c r="AF9261" s="416" t="s">
        <v>24338</v>
      </c>
    </row>
    <row r="9262" spans="31:32">
      <c r="AE9262" s="417" t="s">
        <v>24339</v>
      </c>
      <c r="AF9262" s="416" t="s">
        <v>24340</v>
      </c>
    </row>
    <row r="9263" spans="31:32">
      <c r="AE9263" s="417" t="s">
        <v>24341</v>
      </c>
      <c r="AF9263" s="416" t="s">
        <v>24342</v>
      </c>
    </row>
    <row r="9264" spans="31:32">
      <c r="AE9264" s="417" t="s">
        <v>24343</v>
      </c>
      <c r="AF9264" s="416" t="s">
        <v>24344</v>
      </c>
    </row>
    <row r="9265" spans="31:32">
      <c r="AE9265" s="417" t="s">
        <v>24345</v>
      </c>
      <c r="AF9265" s="416" t="s">
        <v>24346</v>
      </c>
    </row>
    <row r="9266" spans="31:32">
      <c r="AE9266" s="417" t="s">
        <v>24347</v>
      </c>
      <c r="AF9266" s="416" t="s">
        <v>24348</v>
      </c>
    </row>
    <row r="9267" spans="31:32">
      <c r="AE9267" s="417" t="s">
        <v>24349</v>
      </c>
      <c r="AF9267" s="416" t="s">
        <v>24350</v>
      </c>
    </row>
    <row r="9268" spans="31:32">
      <c r="AE9268" s="417" t="s">
        <v>24351</v>
      </c>
      <c r="AF9268" s="416" t="s">
        <v>24352</v>
      </c>
    </row>
    <row r="9269" spans="31:32">
      <c r="AE9269" s="417" t="s">
        <v>24353</v>
      </c>
      <c r="AF9269" s="416" t="s">
        <v>24354</v>
      </c>
    </row>
    <row r="9270" spans="31:32">
      <c r="AE9270" s="417" t="s">
        <v>24355</v>
      </c>
      <c r="AF9270" s="416" t="s">
        <v>24356</v>
      </c>
    </row>
    <row r="9271" spans="31:32">
      <c r="AE9271" s="417" t="s">
        <v>24357</v>
      </c>
      <c r="AF9271" s="416" t="s">
        <v>24358</v>
      </c>
    </row>
    <row r="9272" spans="31:32">
      <c r="AE9272" s="417" t="s">
        <v>24359</v>
      </c>
      <c r="AF9272" s="416" t="s">
        <v>24360</v>
      </c>
    </row>
    <row r="9273" spans="31:32">
      <c r="AE9273" s="417" t="s">
        <v>24361</v>
      </c>
      <c r="AF9273" s="416" t="s">
        <v>24362</v>
      </c>
    </row>
    <row r="9274" spans="31:32">
      <c r="AE9274" s="417" t="s">
        <v>24363</v>
      </c>
      <c r="AF9274" s="416" t="s">
        <v>24364</v>
      </c>
    </row>
    <row r="9275" spans="31:32">
      <c r="AE9275" s="417" t="s">
        <v>24365</v>
      </c>
      <c r="AF9275" s="416" t="s">
        <v>24366</v>
      </c>
    </row>
    <row r="9276" spans="31:32">
      <c r="AE9276" s="417" t="s">
        <v>24367</v>
      </c>
      <c r="AF9276" s="416" t="s">
        <v>24368</v>
      </c>
    </row>
    <row r="9277" spans="31:32">
      <c r="AE9277" s="417" t="s">
        <v>24369</v>
      </c>
      <c r="AF9277" s="416" t="s">
        <v>24370</v>
      </c>
    </row>
    <row r="9278" spans="31:32">
      <c r="AE9278" s="417" t="s">
        <v>24371</v>
      </c>
      <c r="AF9278" s="416" t="s">
        <v>24372</v>
      </c>
    </row>
    <row r="9279" spans="31:32">
      <c r="AE9279" s="417" t="s">
        <v>24373</v>
      </c>
      <c r="AF9279" s="416" t="s">
        <v>24374</v>
      </c>
    </row>
    <row r="9280" spans="31:32">
      <c r="AE9280" s="417" t="s">
        <v>24375</v>
      </c>
      <c r="AF9280" s="416" t="s">
        <v>24376</v>
      </c>
    </row>
    <row r="9281" spans="31:32">
      <c r="AE9281" s="417" t="s">
        <v>24377</v>
      </c>
      <c r="AF9281" s="416" t="s">
        <v>24378</v>
      </c>
    </row>
    <row r="9282" spans="31:32">
      <c r="AE9282" s="417" t="s">
        <v>24379</v>
      </c>
      <c r="AF9282" s="416" t="s">
        <v>24380</v>
      </c>
    </row>
    <row r="9283" spans="31:32">
      <c r="AE9283" s="417" t="s">
        <v>24381</v>
      </c>
      <c r="AF9283" s="416" t="s">
        <v>24382</v>
      </c>
    </row>
    <row r="9284" spans="31:32">
      <c r="AE9284" s="417" t="s">
        <v>24383</v>
      </c>
      <c r="AF9284" s="416" t="s">
        <v>24384</v>
      </c>
    </row>
    <row r="9285" spans="31:32">
      <c r="AE9285" s="417" t="s">
        <v>24385</v>
      </c>
      <c r="AF9285" s="416" t="s">
        <v>24386</v>
      </c>
    </row>
    <row r="9286" spans="31:32">
      <c r="AE9286" s="417" t="s">
        <v>24387</v>
      </c>
      <c r="AF9286" s="416" t="s">
        <v>24388</v>
      </c>
    </row>
    <row r="9287" spans="31:32">
      <c r="AE9287" s="417" t="s">
        <v>24389</v>
      </c>
      <c r="AF9287" s="416" t="s">
        <v>24390</v>
      </c>
    </row>
    <row r="9288" spans="31:32">
      <c r="AE9288" s="417" t="s">
        <v>24391</v>
      </c>
      <c r="AF9288" s="416" t="s">
        <v>24392</v>
      </c>
    </row>
    <row r="9289" spans="31:32">
      <c r="AE9289" s="417" t="s">
        <v>24393</v>
      </c>
      <c r="AF9289" s="416" t="s">
        <v>24394</v>
      </c>
    </row>
    <row r="9290" spans="31:32">
      <c r="AE9290" s="417" t="s">
        <v>24395</v>
      </c>
      <c r="AF9290" s="416" t="s">
        <v>24396</v>
      </c>
    </row>
    <row r="9291" spans="31:32">
      <c r="AE9291" s="417" t="s">
        <v>24397</v>
      </c>
      <c r="AF9291" s="416" t="s">
        <v>24398</v>
      </c>
    </row>
    <row r="9292" spans="31:32">
      <c r="AE9292" s="417" t="s">
        <v>24399</v>
      </c>
      <c r="AF9292" s="416" t="s">
        <v>24400</v>
      </c>
    </row>
    <row r="9293" spans="31:32">
      <c r="AE9293" s="417" t="s">
        <v>24401</v>
      </c>
      <c r="AF9293" s="416" t="s">
        <v>24402</v>
      </c>
    </row>
    <row r="9294" spans="31:32">
      <c r="AE9294" s="417" t="s">
        <v>24403</v>
      </c>
      <c r="AF9294" s="416" t="s">
        <v>24404</v>
      </c>
    </row>
    <row r="9295" spans="31:32">
      <c r="AE9295" s="417" t="s">
        <v>24405</v>
      </c>
      <c r="AF9295" s="416" t="s">
        <v>24406</v>
      </c>
    </row>
    <row r="9296" spans="31:32">
      <c r="AE9296" s="417" t="s">
        <v>24407</v>
      </c>
      <c r="AF9296" s="416" t="s">
        <v>24408</v>
      </c>
    </row>
    <row r="9297" spans="31:32">
      <c r="AE9297" s="417" t="s">
        <v>24409</v>
      </c>
      <c r="AF9297" s="416" t="s">
        <v>24410</v>
      </c>
    </row>
    <row r="9298" spans="31:32">
      <c r="AE9298" s="417" t="s">
        <v>24411</v>
      </c>
      <c r="AF9298" s="416" t="s">
        <v>24412</v>
      </c>
    </row>
    <row r="9299" spans="31:32">
      <c r="AE9299" s="417" t="s">
        <v>24413</v>
      </c>
      <c r="AF9299" s="416" t="s">
        <v>24414</v>
      </c>
    </row>
    <row r="9300" spans="31:32">
      <c r="AE9300" s="417" t="s">
        <v>24415</v>
      </c>
      <c r="AF9300" s="416" t="s">
        <v>24416</v>
      </c>
    </row>
    <row r="9301" spans="31:32">
      <c r="AE9301" s="417" t="s">
        <v>24417</v>
      </c>
      <c r="AF9301" s="416" t="s">
        <v>24418</v>
      </c>
    </row>
    <row r="9302" spans="31:32">
      <c r="AE9302" s="417" t="s">
        <v>24419</v>
      </c>
      <c r="AF9302" s="416" t="s">
        <v>24420</v>
      </c>
    </row>
    <row r="9303" spans="31:32">
      <c r="AE9303" s="417" t="s">
        <v>24421</v>
      </c>
      <c r="AF9303" s="416" t="s">
        <v>24422</v>
      </c>
    </row>
    <row r="9304" spans="31:32">
      <c r="AE9304" s="417" t="s">
        <v>24423</v>
      </c>
      <c r="AF9304" s="416" t="s">
        <v>24424</v>
      </c>
    </row>
    <row r="9305" spans="31:32">
      <c r="AE9305" s="417" t="s">
        <v>24425</v>
      </c>
      <c r="AF9305" s="416" t="s">
        <v>24426</v>
      </c>
    </row>
    <row r="9306" spans="31:32">
      <c r="AE9306" s="417" t="s">
        <v>24427</v>
      </c>
      <c r="AF9306" s="416" t="s">
        <v>24428</v>
      </c>
    </row>
    <row r="9307" spans="31:32">
      <c r="AE9307" s="417" t="s">
        <v>24429</v>
      </c>
      <c r="AF9307" s="416" t="s">
        <v>24430</v>
      </c>
    </row>
    <row r="9308" spans="31:32">
      <c r="AE9308" s="417" t="s">
        <v>24431</v>
      </c>
      <c r="AF9308" s="416" t="s">
        <v>24432</v>
      </c>
    </row>
    <row r="9309" spans="31:32">
      <c r="AE9309" s="417" t="s">
        <v>24433</v>
      </c>
      <c r="AF9309" s="416" t="s">
        <v>24434</v>
      </c>
    </row>
    <row r="9310" spans="31:32">
      <c r="AE9310" s="417" t="s">
        <v>24435</v>
      </c>
      <c r="AF9310" s="416" t="s">
        <v>24436</v>
      </c>
    </row>
    <row r="9311" spans="31:32">
      <c r="AE9311" s="417" t="s">
        <v>24437</v>
      </c>
      <c r="AF9311" s="416" t="s">
        <v>24438</v>
      </c>
    </row>
    <row r="9312" spans="31:32">
      <c r="AE9312" s="417" t="s">
        <v>24439</v>
      </c>
      <c r="AF9312" s="416" t="s">
        <v>24440</v>
      </c>
    </row>
    <row r="9313" spans="31:32">
      <c r="AE9313" s="417" t="s">
        <v>24441</v>
      </c>
      <c r="AF9313" s="416" t="s">
        <v>24442</v>
      </c>
    </row>
    <row r="9314" spans="31:32">
      <c r="AE9314" s="417" t="s">
        <v>24443</v>
      </c>
      <c r="AF9314" s="416" t="s">
        <v>24444</v>
      </c>
    </row>
    <row r="9315" spans="31:32">
      <c r="AE9315" s="417" t="s">
        <v>24445</v>
      </c>
      <c r="AF9315" s="416" t="s">
        <v>24446</v>
      </c>
    </row>
    <row r="9316" spans="31:32">
      <c r="AE9316" s="417" t="s">
        <v>24447</v>
      </c>
      <c r="AF9316" s="416" t="s">
        <v>24448</v>
      </c>
    </row>
    <row r="9317" spans="31:32">
      <c r="AE9317" s="417" t="s">
        <v>24449</v>
      </c>
      <c r="AF9317" s="416" t="s">
        <v>24450</v>
      </c>
    </row>
    <row r="9318" spans="31:32">
      <c r="AE9318" s="417" t="s">
        <v>24451</v>
      </c>
      <c r="AF9318" s="416" t="s">
        <v>24452</v>
      </c>
    </row>
    <row r="9319" spans="31:32">
      <c r="AE9319" s="417" t="s">
        <v>24453</v>
      </c>
      <c r="AF9319" s="416" t="s">
        <v>24454</v>
      </c>
    </row>
    <row r="9320" spans="31:32">
      <c r="AE9320" s="417" t="s">
        <v>24455</v>
      </c>
      <c r="AF9320" s="416" t="s">
        <v>24456</v>
      </c>
    </row>
    <row r="9321" spans="31:32">
      <c r="AE9321" s="417" t="s">
        <v>24457</v>
      </c>
      <c r="AF9321" s="416" t="s">
        <v>24458</v>
      </c>
    </row>
    <row r="9322" spans="31:32">
      <c r="AE9322" s="417" t="s">
        <v>24459</v>
      </c>
      <c r="AF9322" s="416" t="s">
        <v>24460</v>
      </c>
    </row>
    <row r="9323" spans="31:32">
      <c r="AE9323" s="417" t="s">
        <v>24461</v>
      </c>
      <c r="AF9323" s="416" t="s">
        <v>24462</v>
      </c>
    </row>
    <row r="9324" spans="31:32">
      <c r="AE9324" s="417" t="s">
        <v>24463</v>
      </c>
      <c r="AF9324" s="416" t="s">
        <v>24464</v>
      </c>
    </row>
    <row r="9325" spans="31:32">
      <c r="AE9325" s="417" t="s">
        <v>24465</v>
      </c>
      <c r="AF9325" s="416" t="s">
        <v>24466</v>
      </c>
    </row>
    <row r="9326" spans="31:32">
      <c r="AE9326" s="417" t="s">
        <v>24467</v>
      </c>
      <c r="AF9326" s="416" t="s">
        <v>24468</v>
      </c>
    </row>
    <row r="9327" spans="31:32">
      <c r="AE9327" s="417" t="s">
        <v>24469</v>
      </c>
      <c r="AF9327" s="416" t="s">
        <v>24470</v>
      </c>
    </row>
    <row r="9328" spans="31:32">
      <c r="AE9328" s="417" t="s">
        <v>24471</v>
      </c>
      <c r="AF9328" s="416" t="s">
        <v>24472</v>
      </c>
    </row>
    <row r="9329" spans="31:32">
      <c r="AE9329" s="417" t="s">
        <v>24473</v>
      </c>
      <c r="AF9329" s="416" t="s">
        <v>24474</v>
      </c>
    </row>
    <row r="9330" spans="31:32">
      <c r="AE9330" s="417" t="s">
        <v>24475</v>
      </c>
      <c r="AF9330" s="416" t="s">
        <v>24476</v>
      </c>
    </row>
    <row r="9331" spans="31:32">
      <c r="AE9331" s="417" t="s">
        <v>24477</v>
      </c>
      <c r="AF9331" s="416" t="s">
        <v>24478</v>
      </c>
    </row>
    <row r="9332" spans="31:32">
      <c r="AE9332" s="417" t="s">
        <v>24479</v>
      </c>
      <c r="AF9332" s="416" t="s">
        <v>24480</v>
      </c>
    </row>
    <row r="9333" spans="31:32">
      <c r="AE9333" s="417" t="s">
        <v>24481</v>
      </c>
      <c r="AF9333" s="416" t="s">
        <v>24482</v>
      </c>
    </row>
    <row r="9334" spans="31:32">
      <c r="AE9334" s="417" t="s">
        <v>24483</v>
      </c>
      <c r="AF9334" s="416" t="s">
        <v>24484</v>
      </c>
    </row>
    <row r="9335" spans="31:32">
      <c r="AE9335" s="417" t="s">
        <v>24485</v>
      </c>
      <c r="AF9335" s="416" t="s">
        <v>24486</v>
      </c>
    </row>
    <row r="9336" spans="31:32">
      <c r="AE9336" s="417" t="s">
        <v>24487</v>
      </c>
      <c r="AF9336" s="416" t="s">
        <v>24488</v>
      </c>
    </row>
    <row r="9337" spans="31:32">
      <c r="AE9337" s="417" t="s">
        <v>24489</v>
      </c>
      <c r="AF9337" s="416" t="s">
        <v>24490</v>
      </c>
    </row>
    <row r="9338" spans="31:32">
      <c r="AE9338" s="417" t="s">
        <v>24491</v>
      </c>
      <c r="AF9338" s="416" t="s">
        <v>24492</v>
      </c>
    </row>
    <row r="9339" spans="31:32">
      <c r="AE9339" s="417" t="s">
        <v>24493</v>
      </c>
      <c r="AF9339" s="416" t="s">
        <v>24494</v>
      </c>
    </row>
    <row r="9340" spans="31:32">
      <c r="AE9340" s="417" t="s">
        <v>24495</v>
      </c>
      <c r="AF9340" s="416" t="s">
        <v>24496</v>
      </c>
    </row>
    <row r="9341" spans="31:32">
      <c r="AE9341" s="417" t="s">
        <v>24497</v>
      </c>
      <c r="AF9341" s="416" t="s">
        <v>24498</v>
      </c>
    </row>
    <row r="9342" spans="31:32">
      <c r="AE9342" s="417" t="s">
        <v>24499</v>
      </c>
      <c r="AF9342" s="416" t="s">
        <v>24500</v>
      </c>
    </row>
    <row r="9343" spans="31:32">
      <c r="AE9343" s="417" t="s">
        <v>24501</v>
      </c>
      <c r="AF9343" s="416" t="s">
        <v>24502</v>
      </c>
    </row>
    <row r="9344" spans="31:32">
      <c r="AE9344" s="417" t="s">
        <v>24503</v>
      </c>
      <c r="AF9344" s="416" t="s">
        <v>24504</v>
      </c>
    </row>
    <row r="9345" spans="31:32">
      <c r="AE9345" s="417" t="s">
        <v>24505</v>
      </c>
      <c r="AF9345" s="416" t="s">
        <v>24506</v>
      </c>
    </row>
    <row r="9346" spans="31:32">
      <c r="AE9346" s="417" t="s">
        <v>24507</v>
      </c>
      <c r="AF9346" s="416" t="s">
        <v>24508</v>
      </c>
    </row>
    <row r="9347" spans="31:32">
      <c r="AE9347" s="417" t="s">
        <v>24509</v>
      </c>
      <c r="AF9347" s="416" t="s">
        <v>24510</v>
      </c>
    </row>
    <row r="9348" spans="31:32">
      <c r="AE9348" s="417" t="s">
        <v>24511</v>
      </c>
      <c r="AF9348" s="416" t="s">
        <v>24512</v>
      </c>
    </row>
    <row r="9349" spans="31:32">
      <c r="AE9349" s="417" t="s">
        <v>24513</v>
      </c>
      <c r="AF9349" s="416" t="s">
        <v>24514</v>
      </c>
    </row>
    <row r="9350" spans="31:32">
      <c r="AE9350" s="417" t="s">
        <v>24515</v>
      </c>
      <c r="AF9350" s="416" t="s">
        <v>24516</v>
      </c>
    </row>
    <row r="9351" spans="31:32">
      <c r="AE9351" s="417" t="s">
        <v>24517</v>
      </c>
      <c r="AF9351" s="416" t="s">
        <v>24518</v>
      </c>
    </row>
    <row r="9352" spans="31:32">
      <c r="AE9352" s="417" t="s">
        <v>24519</v>
      </c>
      <c r="AF9352" s="416" t="s">
        <v>24520</v>
      </c>
    </row>
    <row r="9353" spans="31:32">
      <c r="AE9353" s="417" t="s">
        <v>24521</v>
      </c>
      <c r="AF9353" s="416" t="s">
        <v>24522</v>
      </c>
    </row>
    <row r="9354" spans="31:32">
      <c r="AE9354" s="417" t="s">
        <v>24523</v>
      </c>
      <c r="AF9354" s="416" t="s">
        <v>24524</v>
      </c>
    </row>
    <row r="9355" spans="31:32">
      <c r="AE9355" s="417" t="s">
        <v>24525</v>
      </c>
      <c r="AF9355" s="416" t="s">
        <v>24526</v>
      </c>
    </row>
    <row r="9356" spans="31:32">
      <c r="AE9356" s="417" t="s">
        <v>24527</v>
      </c>
      <c r="AF9356" s="416" t="s">
        <v>24528</v>
      </c>
    </row>
    <row r="9357" spans="31:32">
      <c r="AE9357" s="417" t="s">
        <v>24529</v>
      </c>
      <c r="AF9357" s="416" t="s">
        <v>24530</v>
      </c>
    </row>
    <row r="9358" spans="31:32">
      <c r="AE9358" s="417" t="s">
        <v>24531</v>
      </c>
      <c r="AF9358" s="416" t="s">
        <v>24532</v>
      </c>
    </row>
    <row r="9359" spans="31:32">
      <c r="AE9359" s="417" t="s">
        <v>24533</v>
      </c>
      <c r="AF9359" s="416" t="s">
        <v>24534</v>
      </c>
    </row>
    <row r="9360" spans="31:32">
      <c r="AE9360" s="417" t="s">
        <v>24535</v>
      </c>
      <c r="AF9360" s="416" t="s">
        <v>24536</v>
      </c>
    </row>
    <row r="9361" spans="31:32">
      <c r="AE9361" s="417" t="s">
        <v>24537</v>
      </c>
      <c r="AF9361" s="416" t="s">
        <v>24538</v>
      </c>
    </row>
    <row r="9362" spans="31:32">
      <c r="AE9362" s="417" t="s">
        <v>24539</v>
      </c>
      <c r="AF9362" s="416" t="s">
        <v>24540</v>
      </c>
    </row>
    <row r="9363" spans="31:32">
      <c r="AE9363" s="417" t="s">
        <v>24541</v>
      </c>
      <c r="AF9363" s="416" t="s">
        <v>24542</v>
      </c>
    </row>
    <row r="9364" spans="31:32">
      <c r="AE9364" s="417" t="s">
        <v>24543</v>
      </c>
      <c r="AF9364" s="416" t="s">
        <v>24544</v>
      </c>
    </row>
    <row r="9365" spans="31:32">
      <c r="AE9365" s="417" t="s">
        <v>24545</v>
      </c>
      <c r="AF9365" s="416" t="s">
        <v>24546</v>
      </c>
    </row>
    <row r="9366" spans="31:32">
      <c r="AE9366" s="417" t="s">
        <v>24547</v>
      </c>
      <c r="AF9366" s="416" t="s">
        <v>24548</v>
      </c>
    </row>
    <row r="9367" spans="31:32">
      <c r="AE9367" s="417" t="s">
        <v>24549</v>
      </c>
      <c r="AF9367" s="416" t="s">
        <v>24550</v>
      </c>
    </row>
    <row r="9368" spans="31:32">
      <c r="AE9368" s="417" t="s">
        <v>24551</v>
      </c>
      <c r="AF9368" s="416" t="s">
        <v>24552</v>
      </c>
    </row>
    <row r="9369" spans="31:32">
      <c r="AE9369" s="417" t="s">
        <v>24553</v>
      </c>
      <c r="AF9369" s="416" t="s">
        <v>24554</v>
      </c>
    </row>
    <row r="9370" spans="31:32">
      <c r="AE9370" s="417" t="s">
        <v>24555</v>
      </c>
      <c r="AF9370" s="416" t="s">
        <v>24556</v>
      </c>
    </row>
    <row r="9371" spans="31:32">
      <c r="AE9371" s="417" t="s">
        <v>24557</v>
      </c>
      <c r="AF9371" s="416" t="s">
        <v>24558</v>
      </c>
    </row>
    <row r="9372" spans="31:32">
      <c r="AE9372" s="417" t="s">
        <v>24559</v>
      </c>
      <c r="AF9372" s="416" t="s">
        <v>24560</v>
      </c>
    </row>
    <row r="9373" spans="31:32">
      <c r="AE9373" s="417" t="s">
        <v>24561</v>
      </c>
      <c r="AF9373" s="416" t="s">
        <v>24562</v>
      </c>
    </row>
    <row r="9374" spans="31:32">
      <c r="AE9374" s="417" t="s">
        <v>24563</v>
      </c>
      <c r="AF9374" s="416" t="s">
        <v>24564</v>
      </c>
    </row>
    <row r="9375" spans="31:32">
      <c r="AE9375" s="417" t="s">
        <v>24565</v>
      </c>
      <c r="AF9375" s="416" t="s">
        <v>24566</v>
      </c>
    </row>
    <row r="9376" spans="31:32">
      <c r="AE9376" s="417" t="s">
        <v>24567</v>
      </c>
      <c r="AF9376" s="416" t="s">
        <v>24568</v>
      </c>
    </row>
    <row r="9377" spans="31:32">
      <c r="AE9377" s="417" t="s">
        <v>24569</v>
      </c>
      <c r="AF9377" s="416" t="s">
        <v>24570</v>
      </c>
    </row>
    <row r="9378" spans="31:32">
      <c r="AE9378" s="417" t="s">
        <v>24571</v>
      </c>
      <c r="AF9378" s="416" t="s">
        <v>24572</v>
      </c>
    </row>
    <row r="9379" spans="31:32">
      <c r="AE9379" s="417" t="s">
        <v>24573</v>
      </c>
      <c r="AF9379" s="416" t="s">
        <v>24574</v>
      </c>
    </row>
    <row r="9380" spans="31:32">
      <c r="AE9380" s="417" t="s">
        <v>24575</v>
      </c>
      <c r="AF9380" s="416" t="s">
        <v>24576</v>
      </c>
    </row>
    <row r="9381" spans="31:32">
      <c r="AE9381" s="417" t="s">
        <v>24577</v>
      </c>
      <c r="AF9381" s="416" t="s">
        <v>24578</v>
      </c>
    </row>
    <row r="9382" spans="31:32">
      <c r="AE9382" s="417" t="s">
        <v>24579</v>
      </c>
      <c r="AF9382" s="416" t="s">
        <v>24580</v>
      </c>
    </row>
    <row r="9383" spans="31:32">
      <c r="AE9383" s="417" t="s">
        <v>24581</v>
      </c>
      <c r="AF9383" s="416" t="s">
        <v>24582</v>
      </c>
    </row>
    <row r="9384" spans="31:32">
      <c r="AE9384" s="417" t="s">
        <v>24583</v>
      </c>
      <c r="AF9384" s="416" t="s">
        <v>24584</v>
      </c>
    </row>
    <row r="9385" spans="31:32">
      <c r="AE9385" s="417" t="s">
        <v>24585</v>
      </c>
      <c r="AF9385" s="416" t="s">
        <v>24586</v>
      </c>
    </row>
    <row r="9386" spans="31:32">
      <c r="AE9386" s="417" t="s">
        <v>24587</v>
      </c>
      <c r="AF9386" s="416" t="s">
        <v>24588</v>
      </c>
    </row>
    <row r="9387" spans="31:32">
      <c r="AE9387" s="417" t="s">
        <v>24589</v>
      </c>
      <c r="AF9387" s="416" t="s">
        <v>24590</v>
      </c>
    </row>
    <row r="9388" spans="31:32">
      <c r="AE9388" s="417" t="s">
        <v>24591</v>
      </c>
      <c r="AF9388" s="416" t="s">
        <v>24592</v>
      </c>
    </row>
    <row r="9389" spans="31:32">
      <c r="AE9389" s="417" t="s">
        <v>24593</v>
      </c>
      <c r="AF9389" s="416" t="s">
        <v>24594</v>
      </c>
    </row>
    <row r="9390" spans="31:32">
      <c r="AE9390" s="417" t="s">
        <v>24595</v>
      </c>
      <c r="AF9390" s="416" t="s">
        <v>24596</v>
      </c>
    </row>
    <row r="9391" spans="31:32">
      <c r="AE9391" s="417" t="s">
        <v>24597</v>
      </c>
      <c r="AF9391" s="416" t="s">
        <v>24598</v>
      </c>
    </row>
    <row r="9392" spans="31:32">
      <c r="AE9392" s="417" t="s">
        <v>24599</v>
      </c>
      <c r="AF9392" s="416" t="s">
        <v>24600</v>
      </c>
    </row>
    <row r="9393" spans="31:32">
      <c r="AE9393" s="417" t="s">
        <v>24601</v>
      </c>
      <c r="AF9393" s="416" t="s">
        <v>24602</v>
      </c>
    </row>
    <row r="9394" spans="31:32">
      <c r="AE9394" s="417" t="s">
        <v>24603</v>
      </c>
      <c r="AF9394" s="416" t="s">
        <v>24604</v>
      </c>
    </row>
    <row r="9395" spans="31:32">
      <c r="AE9395" s="417" t="s">
        <v>24605</v>
      </c>
      <c r="AF9395" s="416" t="s">
        <v>24606</v>
      </c>
    </row>
    <row r="9396" spans="31:32">
      <c r="AE9396" s="417" t="s">
        <v>24607</v>
      </c>
      <c r="AF9396" s="416" t="s">
        <v>24608</v>
      </c>
    </row>
    <row r="9397" spans="31:32">
      <c r="AE9397" s="417" t="s">
        <v>24609</v>
      </c>
      <c r="AF9397" s="416" t="s">
        <v>24610</v>
      </c>
    </row>
    <row r="9398" spans="31:32">
      <c r="AE9398" s="417" t="s">
        <v>24611</v>
      </c>
      <c r="AF9398" s="416" t="s">
        <v>24612</v>
      </c>
    </row>
    <row r="9399" spans="31:32">
      <c r="AE9399" s="417" t="s">
        <v>24613</v>
      </c>
      <c r="AF9399" s="416" t="s">
        <v>24614</v>
      </c>
    </row>
    <row r="9400" spans="31:32">
      <c r="AE9400" s="417" t="s">
        <v>24615</v>
      </c>
      <c r="AF9400" s="416" t="s">
        <v>24616</v>
      </c>
    </row>
    <row r="9401" spans="31:32">
      <c r="AE9401" s="417" t="s">
        <v>24617</v>
      </c>
      <c r="AF9401" s="416" t="s">
        <v>24618</v>
      </c>
    </row>
    <row r="9402" spans="31:32">
      <c r="AE9402" s="417" t="s">
        <v>24619</v>
      </c>
      <c r="AF9402" s="416" t="s">
        <v>24620</v>
      </c>
    </row>
    <row r="9403" spans="31:32">
      <c r="AE9403" s="417" t="s">
        <v>24621</v>
      </c>
      <c r="AF9403" s="416" t="s">
        <v>24622</v>
      </c>
    </row>
    <row r="9404" spans="31:32">
      <c r="AE9404" s="417" t="s">
        <v>24623</v>
      </c>
      <c r="AF9404" s="416" t="s">
        <v>24624</v>
      </c>
    </row>
    <row r="9405" spans="31:32">
      <c r="AE9405" s="417" t="s">
        <v>24625</v>
      </c>
      <c r="AF9405" s="416" t="s">
        <v>24626</v>
      </c>
    </row>
    <row r="9406" spans="31:32">
      <c r="AE9406" s="417" t="s">
        <v>24627</v>
      </c>
      <c r="AF9406" s="416" t="s">
        <v>24628</v>
      </c>
    </row>
    <row r="9407" spans="31:32">
      <c r="AE9407" s="417" t="s">
        <v>24629</v>
      </c>
      <c r="AF9407" s="416" t="s">
        <v>24630</v>
      </c>
    </row>
    <row r="9408" spans="31:32">
      <c r="AE9408" s="417" t="s">
        <v>24631</v>
      </c>
      <c r="AF9408" s="416" t="s">
        <v>24632</v>
      </c>
    </row>
    <row r="9409" spans="31:32">
      <c r="AE9409" s="417" t="s">
        <v>24633</v>
      </c>
      <c r="AF9409" s="416" t="s">
        <v>24634</v>
      </c>
    </row>
    <row r="9410" spans="31:32">
      <c r="AE9410" s="417" t="s">
        <v>24635</v>
      </c>
      <c r="AF9410" s="416" t="s">
        <v>24636</v>
      </c>
    </row>
    <row r="9411" spans="31:32">
      <c r="AE9411" s="417" t="s">
        <v>24637</v>
      </c>
      <c r="AF9411" s="416" t="s">
        <v>24638</v>
      </c>
    </row>
    <row r="9412" spans="31:32">
      <c r="AE9412" s="417" t="s">
        <v>24639</v>
      </c>
      <c r="AF9412" s="416" t="s">
        <v>24640</v>
      </c>
    </row>
    <row r="9413" spans="31:32">
      <c r="AE9413" s="417" t="s">
        <v>24641</v>
      </c>
      <c r="AF9413" s="416" t="s">
        <v>24642</v>
      </c>
    </row>
    <row r="9414" spans="31:32">
      <c r="AE9414" s="417" t="s">
        <v>24643</v>
      </c>
      <c r="AF9414" s="416" t="s">
        <v>24644</v>
      </c>
    </row>
    <row r="9415" spans="31:32">
      <c r="AE9415" s="417" t="s">
        <v>24645</v>
      </c>
      <c r="AF9415" s="416" t="s">
        <v>24646</v>
      </c>
    </row>
    <row r="9416" spans="31:32">
      <c r="AE9416" s="417" t="s">
        <v>24647</v>
      </c>
      <c r="AF9416" s="416" t="s">
        <v>24648</v>
      </c>
    </row>
    <row r="9417" spans="31:32">
      <c r="AE9417" s="417" t="s">
        <v>24649</v>
      </c>
      <c r="AF9417" s="416" t="s">
        <v>24650</v>
      </c>
    </row>
    <row r="9418" spans="31:32">
      <c r="AE9418" s="417" t="s">
        <v>24651</v>
      </c>
      <c r="AF9418" s="416" t="s">
        <v>24652</v>
      </c>
    </row>
    <row r="9419" spans="31:32">
      <c r="AE9419" s="417" t="s">
        <v>24653</v>
      </c>
      <c r="AF9419" s="416" t="s">
        <v>24654</v>
      </c>
    </row>
    <row r="9420" spans="31:32">
      <c r="AE9420" s="417" t="s">
        <v>24655</v>
      </c>
      <c r="AF9420" s="416" t="s">
        <v>24656</v>
      </c>
    </row>
    <row r="9421" spans="31:32">
      <c r="AE9421" s="417" t="s">
        <v>24657</v>
      </c>
      <c r="AF9421" s="416" t="s">
        <v>24658</v>
      </c>
    </row>
    <row r="9422" spans="31:32">
      <c r="AE9422" s="417" t="s">
        <v>24659</v>
      </c>
      <c r="AF9422" s="416" t="s">
        <v>24660</v>
      </c>
    </row>
    <row r="9423" spans="31:32">
      <c r="AE9423" s="417" t="s">
        <v>24661</v>
      </c>
      <c r="AF9423" s="416" t="s">
        <v>24662</v>
      </c>
    </row>
    <row r="9424" spans="31:32">
      <c r="AE9424" s="417" t="s">
        <v>24663</v>
      </c>
      <c r="AF9424" s="416" t="s">
        <v>24664</v>
      </c>
    </row>
    <row r="9425" spans="31:32">
      <c r="AE9425" s="417" t="s">
        <v>24665</v>
      </c>
      <c r="AF9425" s="416" t="s">
        <v>24666</v>
      </c>
    </row>
    <row r="9426" spans="31:32">
      <c r="AE9426" s="417" t="s">
        <v>24667</v>
      </c>
      <c r="AF9426" s="416" t="s">
        <v>24668</v>
      </c>
    </row>
    <row r="9427" spans="31:32">
      <c r="AE9427" s="417" t="s">
        <v>24669</v>
      </c>
      <c r="AF9427" s="416" t="s">
        <v>24670</v>
      </c>
    </row>
    <row r="9428" spans="31:32">
      <c r="AE9428" s="417" t="s">
        <v>24671</v>
      </c>
      <c r="AF9428" s="416" t="s">
        <v>24672</v>
      </c>
    </row>
    <row r="9429" spans="31:32">
      <c r="AE9429" s="417" t="s">
        <v>24673</v>
      </c>
      <c r="AF9429" s="416" t="s">
        <v>24674</v>
      </c>
    </row>
    <row r="9430" spans="31:32">
      <c r="AE9430" s="417" t="s">
        <v>24675</v>
      </c>
      <c r="AF9430" s="416" t="s">
        <v>24676</v>
      </c>
    </row>
    <row r="9431" spans="31:32">
      <c r="AE9431" s="417" t="s">
        <v>24677</v>
      </c>
      <c r="AF9431" s="416" t="s">
        <v>24678</v>
      </c>
    </row>
    <row r="9432" spans="31:32">
      <c r="AE9432" s="417" t="s">
        <v>24679</v>
      </c>
      <c r="AF9432" s="416" t="s">
        <v>24680</v>
      </c>
    </row>
    <row r="9433" spans="31:32">
      <c r="AE9433" s="417" t="s">
        <v>24681</v>
      </c>
      <c r="AF9433" s="416" t="s">
        <v>24682</v>
      </c>
    </row>
    <row r="9434" spans="31:32">
      <c r="AE9434" s="417" t="s">
        <v>24683</v>
      </c>
      <c r="AF9434" s="416" t="s">
        <v>24684</v>
      </c>
    </row>
    <row r="9435" spans="31:32">
      <c r="AE9435" s="417" t="s">
        <v>24685</v>
      </c>
      <c r="AF9435" s="416" t="s">
        <v>24686</v>
      </c>
    </row>
    <row r="9436" spans="31:32">
      <c r="AE9436" s="417" t="s">
        <v>24687</v>
      </c>
      <c r="AF9436" s="416" t="s">
        <v>24688</v>
      </c>
    </row>
    <row r="9437" spans="31:32">
      <c r="AE9437" s="417" t="s">
        <v>24689</v>
      </c>
      <c r="AF9437" s="416" t="s">
        <v>24690</v>
      </c>
    </row>
    <row r="9438" spans="31:32">
      <c r="AE9438" s="417" t="s">
        <v>24691</v>
      </c>
      <c r="AF9438" s="416" t="s">
        <v>24692</v>
      </c>
    </row>
    <row r="9439" spans="31:32">
      <c r="AE9439" s="417" t="s">
        <v>24693</v>
      </c>
      <c r="AF9439" s="416" t="s">
        <v>24694</v>
      </c>
    </row>
    <row r="9440" spans="31:32">
      <c r="AE9440" s="417" t="s">
        <v>24695</v>
      </c>
      <c r="AF9440" s="416" t="s">
        <v>24696</v>
      </c>
    </row>
    <row r="9441" spans="31:32">
      <c r="AE9441" s="417" t="s">
        <v>24697</v>
      </c>
      <c r="AF9441" s="416" t="s">
        <v>24698</v>
      </c>
    </row>
    <row r="9442" spans="31:32">
      <c r="AE9442" s="417" t="s">
        <v>24699</v>
      </c>
      <c r="AF9442" s="416" t="s">
        <v>24700</v>
      </c>
    </row>
    <row r="9443" spans="31:32">
      <c r="AE9443" s="417" t="s">
        <v>24701</v>
      </c>
      <c r="AF9443" s="416" t="s">
        <v>24702</v>
      </c>
    </row>
    <row r="9444" spans="31:32">
      <c r="AE9444" s="417" t="s">
        <v>24703</v>
      </c>
      <c r="AF9444" s="416" t="s">
        <v>24704</v>
      </c>
    </row>
    <row r="9445" spans="31:32">
      <c r="AE9445" s="417" t="s">
        <v>24705</v>
      </c>
      <c r="AF9445" s="416" t="s">
        <v>24706</v>
      </c>
    </row>
    <row r="9446" spans="31:32">
      <c r="AE9446" s="417" t="s">
        <v>24707</v>
      </c>
      <c r="AF9446" s="416" t="s">
        <v>24708</v>
      </c>
    </row>
    <row r="9447" spans="31:32">
      <c r="AE9447" s="417" t="s">
        <v>24709</v>
      </c>
      <c r="AF9447" s="416" t="s">
        <v>24710</v>
      </c>
    </row>
    <row r="9448" spans="31:32">
      <c r="AE9448" s="417" t="s">
        <v>24711</v>
      </c>
      <c r="AF9448" s="416" t="s">
        <v>24712</v>
      </c>
    </row>
    <row r="9449" spans="31:32">
      <c r="AE9449" s="417" t="s">
        <v>24713</v>
      </c>
      <c r="AF9449" s="416" t="s">
        <v>24714</v>
      </c>
    </row>
    <row r="9450" spans="31:32">
      <c r="AE9450" s="417" t="s">
        <v>24715</v>
      </c>
      <c r="AF9450" s="416" t="s">
        <v>24716</v>
      </c>
    </row>
    <row r="9451" spans="31:32">
      <c r="AE9451" s="417" t="s">
        <v>24717</v>
      </c>
      <c r="AF9451" s="416" t="s">
        <v>24718</v>
      </c>
    </row>
    <row r="9452" spans="31:32">
      <c r="AE9452" s="417" t="s">
        <v>24719</v>
      </c>
      <c r="AF9452" s="416" t="s">
        <v>24720</v>
      </c>
    </row>
    <row r="9453" spans="31:32">
      <c r="AE9453" s="417" t="s">
        <v>24721</v>
      </c>
      <c r="AF9453" s="416" t="s">
        <v>24722</v>
      </c>
    </row>
    <row r="9454" spans="31:32">
      <c r="AE9454" s="417" t="s">
        <v>24723</v>
      </c>
      <c r="AF9454" s="416" t="s">
        <v>24724</v>
      </c>
    </row>
    <row r="9455" spans="31:32">
      <c r="AE9455" s="417" t="s">
        <v>24725</v>
      </c>
      <c r="AF9455" s="416" t="s">
        <v>24726</v>
      </c>
    </row>
    <row r="9456" spans="31:32">
      <c r="AE9456" s="417" t="s">
        <v>24727</v>
      </c>
      <c r="AF9456" s="416" t="s">
        <v>24728</v>
      </c>
    </row>
    <row r="9457" spans="31:32">
      <c r="AE9457" s="417" t="s">
        <v>24729</v>
      </c>
      <c r="AF9457" s="416" t="s">
        <v>24730</v>
      </c>
    </row>
    <row r="9458" spans="31:32">
      <c r="AE9458" s="417" t="s">
        <v>24731</v>
      </c>
      <c r="AF9458" s="416" t="s">
        <v>24732</v>
      </c>
    </row>
    <row r="9459" spans="31:32">
      <c r="AE9459" s="417" t="s">
        <v>24733</v>
      </c>
      <c r="AF9459" s="416" t="s">
        <v>24734</v>
      </c>
    </row>
    <row r="9460" spans="31:32">
      <c r="AE9460" s="417" t="s">
        <v>24735</v>
      </c>
      <c r="AF9460" s="416" t="s">
        <v>24736</v>
      </c>
    </row>
    <row r="9461" spans="31:32">
      <c r="AE9461" s="417" t="s">
        <v>24737</v>
      </c>
      <c r="AF9461" s="416" t="s">
        <v>24738</v>
      </c>
    </row>
    <row r="9462" spans="31:32">
      <c r="AE9462" s="417" t="s">
        <v>24739</v>
      </c>
      <c r="AF9462" s="416" t="s">
        <v>24740</v>
      </c>
    </row>
    <row r="9463" spans="31:32">
      <c r="AE9463" s="417" t="s">
        <v>24741</v>
      </c>
      <c r="AF9463" s="416" t="s">
        <v>24742</v>
      </c>
    </row>
    <row r="9464" spans="31:32">
      <c r="AE9464" s="417" t="s">
        <v>24743</v>
      </c>
      <c r="AF9464" s="416" t="s">
        <v>24744</v>
      </c>
    </row>
    <row r="9465" spans="31:32">
      <c r="AE9465" s="417" t="s">
        <v>24745</v>
      </c>
      <c r="AF9465" s="416" t="s">
        <v>24746</v>
      </c>
    </row>
    <row r="9466" spans="31:32">
      <c r="AE9466" s="417" t="s">
        <v>24747</v>
      </c>
      <c r="AF9466" s="416" t="s">
        <v>24748</v>
      </c>
    </row>
    <row r="9467" spans="31:32">
      <c r="AE9467" s="417" t="s">
        <v>24749</v>
      </c>
      <c r="AF9467" s="416" t="s">
        <v>24750</v>
      </c>
    </row>
    <row r="9468" spans="31:32">
      <c r="AE9468" s="417" t="s">
        <v>24751</v>
      </c>
      <c r="AF9468" s="416" t="s">
        <v>24752</v>
      </c>
    </row>
    <row r="9469" spans="31:32">
      <c r="AE9469" s="417" t="s">
        <v>24753</v>
      </c>
      <c r="AF9469" s="416" t="s">
        <v>24754</v>
      </c>
    </row>
    <row r="9470" spans="31:32">
      <c r="AE9470" s="417" t="s">
        <v>24755</v>
      </c>
      <c r="AF9470" s="416" t="s">
        <v>24756</v>
      </c>
    </row>
    <row r="9471" spans="31:32">
      <c r="AE9471" s="417" t="s">
        <v>24757</v>
      </c>
      <c r="AF9471" s="416" t="s">
        <v>24758</v>
      </c>
    </row>
    <row r="9472" spans="31:32">
      <c r="AE9472" s="417" t="s">
        <v>24759</v>
      </c>
      <c r="AF9472" s="416" t="s">
        <v>24760</v>
      </c>
    </row>
    <row r="9473" spans="31:32">
      <c r="AE9473" s="417" t="s">
        <v>24761</v>
      </c>
      <c r="AF9473" s="416" t="s">
        <v>24762</v>
      </c>
    </row>
    <row r="9474" spans="31:32">
      <c r="AE9474" s="417" t="s">
        <v>24763</v>
      </c>
      <c r="AF9474" s="416" t="s">
        <v>24764</v>
      </c>
    </row>
    <row r="9475" spans="31:32">
      <c r="AE9475" s="417" t="s">
        <v>24765</v>
      </c>
      <c r="AF9475" s="416" t="s">
        <v>24766</v>
      </c>
    </row>
    <row r="9476" spans="31:32">
      <c r="AE9476" s="417" t="s">
        <v>24767</v>
      </c>
      <c r="AF9476" s="416" t="s">
        <v>24768</v>
      </c>
    </row>
    <row r="9477" spans="31:32">
      <c r="AE9477" s="417" t="s">
        <v>24769</v>
      </c>
      <c r="AF9477" s="416" t="s">
        <v>24770</v>
      </c>
    </row>
    <row r="9478" spans="31:32">
      <c r="AE9478" s="417" t="s">
        <v>24771</v>
      </c>
      <c r="AF9478" s="416" t="s">
        <v>24772</v>
      </c>
    </row>
    <row r="9479" spans="31:32">
      <c r="AE9479" s="417" t="s">
        <v>24773</v>
      </c>
      <c r="AF9479" s="416" t="s">
        <v>24774</v>
      </c>
    </row>
    <row r="9480" spans="31:32">
      <c r="AE9480" s="417" t="s">
        <v>24775</v>
      </c>
      <c r="AF9480" s="416" t="s">
        <v>24776</v>
      </c>
    </row>
    <row r="9481" spans="31:32">
      <c r="AE9481" s="417" t="s">
        <v>24777</v>
      </c>
      <c r="AF9481" s="416" t="s">
        <v>24778</v>
      </c>
    </row>
    <row r="9482" spans="31:32">
      <c r="AE9482" s="417" t="s">
        <v>24779</v>
      </c>
      <c r="AF9482" s="416" t="s">
        <v>24780</v>
      </c>
    </row>
    <row r="9483" spans="31:32">
      <c r="AE9483" s="417" t="s">
        <v>24781</v>
      </c>
      <c r="AF9483" s="416" t="s">
        <v>24782</v>
      </c>
    </row>
    <row r="9484" spans="31:32">
      <c r="AE9484" s="417" t="s">
        <v>24783</v>
      </c>
      <c r="AF9484" s="416" t="s">
        <v>24784</v>
      </c>
    </row>
    <row r="9485" spans="31:32">
      <c r="AE9485" s="417" t="s">
        <v>24785</v>
      </c>
      <c r="AF9485" s="416" t="s">
        <v>24786</v>
      </c>
    </row>
    <row r="9486" spans="31:32">
      <c r="AE9486" s="417" t="s">
        <v>24787</v>
      </c>
      <c r="AF9486" s="416" t="s">
        <v>24788</v>
      </c>
    </row>
    <row r="9487" spans="31:32">
      <c r="AE9487" s="417" t="s">
        <v>24789</v>
      </c>
      <c r="AF9487" s="416" t="s">
        <v>24790</v>
      </c>
    </row>
    <row r="9488" spans="31:32">
      <c r="AE9488" s="417" t="s">
        <v>24791</v>
      </c>
      <c r="AF9488" s="416" t="s">
        <v>24792</v>
      </c>
    </row>
    <row r="9489" spans="31:32">
      <c r="AE9489" s="417" t="s">
        <v>24793</v>
      </c>
      <c r="AF9489" s="416" t="s">
        <v>24794</v>
      </c>
    </row>
    <row r="9490" spans="31:32">
      <c r="AE9490" s="417" t="s">
        <v>24795</v>
      </c>
      <c r="AF9490" s="416" t="s">
        <v>24796</v>
      </c>
    </row>
    <row r="9491" spans="31:32">
      <c r="AE9491" s="417" t="s">
        <v>24797</v>
      </c>
      <c r="AF9491" s="416" t="s">
        <v>24798</v>
      </c>
    </row>
    <row r="9492" spans="31:32">
      <c r="AE9492" s="417" t="s">
        <v>24799</v>
      </c>
      <c r="AF9492" s="416" t="s">
        <v>24800</v>
      </c>
    </row>
    <row r="9493" spans="31:32">
      <c r="AE9493" s="417" t="s">
        <v>24801</v>
      </c>
      <c r="AF9493" s="416" t="s">
        <v>24802</v>
      </c>
    </row>
    <row r="9494" spans="31:32">
      <c r="AE9494" s="417" t="s">
        <v>24803</v>
      </c>
      <c r="AF9494" s="416" t="s">
        <v>24804</v>
      </c>
    </row>
    <row r="9495" spans="31:32">
      <c r="AE9495" s="417" t="s">
        <v>24805</v>
      </c>
      <c r="AF9495" s="416" t="s">
        <v>24806</v>
      </c>
    </row>
    <row r="9496" spans="31:32">
      <c r="AE9496" s="417" t="s">
        <v>24807</v>
      </c>
      <c r="AF9496" s="416" t="s">
        <v>24808</v>
      </c>
    </row>
    <row r="9497" spans="31:32">
      <c r="AE9497" s="417" t="s">
        <v>24809</v>
      </c>
      <c r="AF9497" s="416" t="s">
        <v>24810</v>
      </c>
    </row>
    <row r="9498" spans="31:32">
      <c r="AE9498" s="417" t="s">
        <v>24811</v>
      </c>
      <c r="AF9498" s="416" t="s">
        <v>24812</v>
      </c>
    </row>
    <row r="9499" spans="31:32">
      <c r="AE9499" s="417" t="s">
        <v>24813</v>
      </c>
      <c r="AF9499" s="416" t="s">
        <v>24814</v>
      </c>
    </row>
    <row r="9500" spans="31:32">
      <c r="AE9500" s="417" t="s">
        <v>24815</v>
      </c>
      <c r="AF9500" s="416" t="s">
        <v>24816</v>
      </c>
    </row>
    <row r="9501" spans="31:32">
      <c r="AE9501" s="417" t="s">
        <v>24817</v>
      </c>
      <c r="AF9501" s="416" t="s">
        <v>24818</v>
      </c>
    </row>
    <row r="9502" spans="31:32">
      <c r="AE9502" s="417" t="s">
        <v>24819</v>
      </c>
      <c r="AF9502" s="416" t="s">
        <v>24820</v>
      </c>
    </row>
    <row r="9503" spans="31:32">
      <c r="AE9503" s="417" t="s">
        <v>24821</v>
      </c>
      <c r="AF9503" s="416" t="s">
        <v>24822</v>
      </c>
    </row>
    <row r="9504" spans="31:32">
      <c r="AE9504" s="417" t="s">
        <v>24823</v>
      </c>
      <c r="AF9504" s="416" t="s">
        <v>24824</v>
      </c>
    </row>
    <row r="9505" spans="31:32">
      <c r="AE9505" s="417" t="s">
        <v>24825</v>
      </c>
      <c r="AF9505" s="416" t="s">
        <v>24826</v>
      </c>
    </row>
    <row r="9506" spans="31:32">
      <c r="AE9506" s="417" t="s">
        <v>24827</v>
      </c>
      <c r="AF9506" s="416" t="s">
        <v>24828</v>
      </c>
    </row>
    <row r="9507" spans="31:32">
      <c r="AE9507" s="417" t="s">
        <v>24829</v>
      </c>
      <c r="AF9507" s="416" t="s">
        <v>24830</v>
      </c>
    </row>
    <row r="9508" spans="31:32">
      <c r="AE9508" s="417" t="s">
        <v>24831</v>
      </c>
      <c r="AF9508" s="416" t="s">
        <v>24832</v>
      </c>
    </row>
    <row r="9509" spans="31:32">
      <c r="AE9509" s="417" t="s">
        <v>24833</v>
      </c>
      <c r="AF9509" s="416" t="s">
        <v>24834</v>
      </c>
    </row>
    <row r="9510" spans="31:32">
      <c r="AE9510" s="417" t="s">
        <v>24835</v>
      </c>
      <c r="AF9510" s="416" t="s">
        <v>24836</v>
      </c>
    </row>
    <row r="9511" spans="31:32">
      <c r="AE9511" s="417" t="s">
        <v>24837</v>
      </c>
      <c r="AF9511" s="416" t="s">
        <v>24838</v>
      </c>
    </row>
    <row r="9512" spans="31:32">
      <c r="AE9512" s="417" t="s">
        <v>24839</v>
      </c>
      <c r="AF9512" s="416" t="s">
        <v>24840</v>
      </c>
    </row>
    <row r="9513" spans="31:32">
      <c r="AE9513" s="417" t="s">
        <v>24841</v>
      </c>
      <c r="AF9513" s="416" t="s">
        <v>24842</v>
      </c>
    </row>
    <row r="9514" spans="31:32">
      <c r="AE9514" s="417" t="s">
        <v>24843</v>
      </c>
      <c r="AF9514" s="416" t="s">
        <v>24844</v>
      </c>
    </row>
    <row r="9515" spans="31:32">
      <c r="AE9515" s="417" t="s">
        <v>24845</v>
      </c>
      <c r="AF9515" s="416" t="s">
        <v>24846</v>
      </c>
    </row>
    <row r="9516" spans="31:32">
      <c r="AE9516" s="417" t="s">
        <v>24847</v>
      </c>
      <c r="AF9516" s="416" t="s">
        <v>24848</v>
      </c>
    </row>
    <row r="9517" spans="31:32">
      <c r="AE9517" s="417" t="s">
        <v>24849</v>
      </c>
      <c r="AF9517" s="416" t="s">
        <v>24850</v>
      </c>
    </row>
    <row r="9518" spans="31:32">
      <c r="AE9518" s="417" t="s">
        <v>24851</v>
      </c>
      <c r="AF9518" s="416" t="s">
        <v>24852</v>
      </c>
    </row>
    <row r="9519" spans="31:32">
      <c r="AE9519" s="417" t="s">
        <v>24853</v>
      </c>
      <c r="AF9519" s="416" t="s">
        <v>24854</v>
      </c>
    </row>
    <row r="9520" spans="31:32">
      <c r="AE9520" s="417" t="s">
        <v>24855</v>
      </c>
      <c r="AF9520" s="416" t="s">
        <v>24856</v>
      </c>
    </row>
    <row r="9521" spans="31:32">
      <c r="AE9521" s="417" t="s">
        <v>24857</v>
      </c>
      <c r="AF9521" s="416" t="s">
        <v>24858</v>
      </c>
    </row>
    <row r="9522" spans="31:32">
      <c r="AE9522" s="417" t="s">
        <v>24859</v>
      </c>
      <c r="AF9522" s="416" t="s">
        <v>24860</v>
      </c>
    </row>
    <row r="9523" spans="31:32">
      <c r="AE9523" s="417" t="s">
        <v>24861</v>
      </c>
      <c r="AF9523" s="416" t="s">
        <v>24862</v>
      </c>
    </row>
    <row r="9524" spans="31:32">
      <c r="AE9524" s="417" t="s">
        <v>24863</v>
      </c>
      <c r="AF9524" s="416" t="s">
        <v>24864</v>
      </c>
    </row>
    <row r="9525" spans="31:32">
      <c r="AE9525" s="417" t="s">
        <v>24865</v>
      </c>
      <c r="AF9525" s="416" t="s">
        <v>24866</v>
      </c>
    </row>
    <row r="9526" spans="31:32">
      <c r="AE9526" s="417" t="s">
        <v>24867</v>
      </c>
      <c r="AF9526" s="416" t="s">
        <v>24868</v>
      </c>
    </row>
    <row r="9527" spans="31:32">
      <c r="AE9527" s="417" t="s">
        <v>24869</v>
      </c>
      <c r="AF9527" s="416" t="s">
        <v>24870</v>
      </c>
    </row>
    <row r="9528" spans="31:32">
      <c r="AE9528" s="417" t="s">
        <v>24871</v>
      </c>
      <c r="AF9528" s="416" t="s">
        <v>24872</v>
      </c>
    </row>
    <row r="9529" spans="31:32">
      <c r="AE9529" s="417" t="s">
        <v>24873</v>
      </c>
      <c r="AF9529" s="416" t="s">
        <v>24874</v>
      </c>
    </row>
    <row r="9530" spans="31:32">
      <c r="AE9530" s="417" t="s">
        <v>24875</v>
      </c>
      <c r="AF9530" s="416" t="s">
        <v>24876</v>
      </c>
    </row>
    <row r="9531" spans="31:32">
      <c r="AE9531" s="417" t="s">
        <v>24877</v>
      </c>
      <c r="AF9531" s="416" t="s">
        <v>24878</v>
      </c>
    </row>
    <row r="9532" spans="31:32">
      <c r="AE9532" s="417" t="s">
        <v>24879</v>
      </c>
      <c r="AF9532" s="416" t="s">
        <v>24880</v>
      </c>
    </row>
    <row r="9533" spans="31:32">
      <c r="AE9533" s="417" t="s">
        <v>24881</v>
      </c>
      <c r="AF9533" s="416" t="s">
        <v>24882</v>
      </c>
    </row>
    <row r="9534" spans="31:32">
      <c r="AE9534" s="417" t="s">
        <v>24883</v>
      </c>
      <c r="AF9534" s="416" t="s">
        <v>24884</v>
      </c>
    </row>
    <row r="9535" spans="31:32">
      <c r="AE9535" s="417" t="s">
        <v>24885</v>
      </c>
      <c r="AF9535" s="416" t="s">
        <v>24886</v>
      </c>
    </row>
    <row r="9536" spans="31:32">
      <c r="AE9536" s="417" t="s">
        <v>24887</v>
      </c>
      <c r="AF9536" s="416" t="s">
        <v>24888</v>
      </c>
    </row>
    <row r="9537" spans="31:32">
      <c r="AE9537" s="417" t="s">
        <v>24889</v>
      </c>
      <c r="AF9537" s="416" t="s">
        <v>24890</v>
      </c>
    </row>
    <row r="9538" spans="31:32">
      <c r="AE9538" s="417" t="s">
        <v>24891</v>
      </c>
      <c r="AF9538" s="416" t="s">
        <v>24892</v>
      </c>
    </row>
    <row r="9539" spans="31:32">
      <c r="AE9539" s="417" t="s">
        <v>24893</v>
      </c>
      <c r="AF9539" s="416" t="s">
        <v>24894</v>
      </c>
    </row>
    <row r="9540" spans="31:32">
      <c r="AE9540" s="417" t="s">
        <v>24895</v>
      </c>
      <c r="AF9540" s="416" t="s">
        <v>24896</v>
      </c>
    </row>
    <row r="9541" spans="31:32">
      <c r="AE9541" s="417" t="s">
        <v>24897</v>
      </c>
      <c r="AF9541" s="416" t="s">
        <v>24898</v>
      </c>
    </row>
    <row r="9542" spans="31:32">
      <c r="AE9542" s="417" t="s">
        <v>24899</v>
      </c>
      <c r="AF9542" s="416" t="s">
        <v>24900</v>
      </c>
    </row>
    <row r="9543" spans="31:32">
      <c r="AE9543" s="417" t="s">
        <v>24901</v>
      </c>
      <c r="AF9543" s="416" t="s">
        <v>24902</v>
      </c>
    </row>
    <row r="9544" spans="31:32">
      <c r="AE9544" s="417" t="s">
        <v>24903</v>
      </c>
      <c r="AF9544" s="416" t="s">
        <v>24904</v>
      </c>
    </row>
    <row r="9545" spans="31:32">
      <c r="AE9545" s="417" t="s">
        <v>24905</v>
      </c>
      <c r="AF9545" s="416" t="s">
        <v>24906</v>
      </c>
    </row>
    <row r="9546" spans="31:32">
      <c r="AE9546" s="417" t="s">
        <v>24907</v>
      </c>
      <c r="AF9546" s="416" t="s">
        <v>24908</v>
      </c>
    </row>
    <row r="9547" spans="31:32">
      <c r="AE9547" s="417" t="s">
        <v>24909</v>
      </c>
      <c r="AF9547" s="416" t="s">
        <v>24910</v>
      </c>
    </row>
    <row r="9548" spans="31:32">
      <c r="AE9548" s="417" t="s">
        <v>24911</v>
      </c>
      <c r="AF9548" s="416" t="s">
        <v>24912</v>
      </c>
    </row>
    <row r="9549" spans="31:32">
      <c r="AE9549" s="417" t="s">
        <v>24913</v>
      </c>
      <c r="AF9549" s="416" t="s">
        <v>24914</v>
      </c>
    </row>
    <row r="9550" spans="31:32">
      <c r="AE9550" s="417" t="s">
        <v>24915</v>
      </c>
      <c r="AF9550" s="416" t="s">
        <v>24916</v>
      </c>
    </row>
    <row r="9551" spans="31:32">
      <c r="AE9551" s="417" t="s">
        <v>24917</v>
      </c>
      <c r="AF9551" s="416" t="s">
        <v>24918</v>
      </c>
    </row>
    <row r="9552" spans="31:32">
      <c r="AE9552" s="417" t="s">
        <v>24919</v>
      </c>
      <c r="AF9552" s="416" t="s">
        <v>24920</v>
      </c>
    </row>
    <row r="9553" spans="31:32">
      <c r="AE9553" s="417" t="s">
        <v>24921</v>
      </c>
      <c r="AF9553" s="416" t="s">
        <v>24922</v>
      </c>
    </row>
    <row r="9554" spans="31:32">
      <c r="AE9554" s="417" t="s">
        <v>24923</v>
      </c>
      <c r="AF9554" s="416" t="s">
        <v>24924</v>
      </c>
    </row>
    <row r="9555" spans="31:32">
      <c r="AE9555" s="417" t="s">
        <v>24925</v>
      </c>
      <c r="AF9555" s="416" t="s">
        <v>24926</v>
      </c>
    </row>
    <row r="9556" spans="31:32">
      <c r="AE9556" s="417" t="s">
        <v>24927</v>
      </c>
      <c r="AF9556" s="416" t="s">
        <v>24928</v>
      </c>
    </row>
    <row r="9557" spans="31:32">
      <c r="AE9557" s="417" t="s">
        <v>24929</v>
      </c>
      <c r="AF9557" s="416" t="s">
        <v>24930</v>
      </c>
    </row>
    <row r="9558" spans="31:32">
      <c r="AE9558" s="417" t="s">
        <v>24931</v>
      </c>
      <c r="AF9558" s="416" t="s">
        <v>24932</v>
      </c>
    </row>
    <row r="9559" spans="31:32">
      <c r="AE9559" s="417" t="s">
        <v>24933</v>
      </c>
      <c r="AF9559" s="416" t="s">
        <v>24934</v>
      </c>
    </row>
    <row r="9560" spans="31:32">
      <c r="AE9560" s="417" t="s">
        <v>24935</v>
      </c>
      <c r="AF9560" s="416" t="s">
        <v>24936</v>
      </c>
    </row>
    <row r="9561" spans="31:32">
      <c r="AE9561" s="417" t="s">
        <v>24937</v>
      </c>
      <c r="AF9561" s="416" t="s">
        <v>24938</v>
      </c>
    </row>
    <row r="9562" spans="31:32">
      <c r="AE9562" s="417" t="s">
        <v>24939</v>
      </c>
      <c r="AF9562" s="416" t="s">
        <v>24940</v>
      </c>
    </row>
    <row r="9563" spans="31:32">
      <c r="AE9563" s="417" t="s">
        <v>24941</v>
      </c>
      <c r="AF9563" s="416" t="s">
        <v>24942</v>
      </c>
    </row>
    <row r="9564" spans="31:32">
      <c r="AE9564" s="417" t="s">
        <v>24943</v>
      </c>
      <c r="AF9564" s="416" t="s">
        <v>24944</v>
      </c>
    </row>
    <row r="9565" spans="31:32">
      <c r="AE9565" s="417" t="s">
        <v>24945</v>
      </c>
      <c r="AF9565" s="416" t="s">
        <v>24946</v>
      </c>
    </row>
    <row r="9566" spans="31:32">
      <c r="AE9566" s="417" t="s">
        <v>24947</v>
      </c>
      <c r="AF9566" s="416" t="s">
        <v>24948</v>
      </c>
    </row>
    <row r="9567" spans="31:32">
      <c r="AE9567" s="417" t="s">
        <v>24949</v>
      </c>
      <c r="AF9567" s="416" t="s">
        <v>24950</v>
      </c>
    </row>
    <row r="9568" spans="31:32">
      <c r="AE9568" s="417" t="s">
        <v>24951</v>
      </c>
      <c r="AF9568" s="416" t="s">
        <v>24952</v>
      </c>
    </row>
    <row r="9569" spans="31:32">
      <c r="AE9569" s="417" t="s">
        <v>24953</v>
      </c>
      <c r="AF9569" s="416" t="s">
        <v>24954</v>
      </c>
    </row>
    <row r="9570" spans="31:32">
      <c r="AE9570" s="417" t="s">
        <v>24955</v>
      </c>
      <c r="AF9570" s="416" t="s">
        <v>24956</v>
      </c>
    </row>
    <row r="9571" spans="31:32">
      <c r="AE9571" s="417" t="s">
        <v>24957</v>
      </c>
      <c r="AF9571" s="416" t="s">
        <v>24958</v>
      </c>
    </row>
    <row r="9572" spans="31:32">
      <c r="AE9572" s="417" t="s">
        <v>24959</v>
      </c>
      <c r="AF9572" s="416" t="s">
        <v>24960</v>
      </c>
    </row>
    <row r="9573" spans="31:32">
      <c r="AE9573" s="417" t="s">
        <v>24961</v>
      </c>
      <c r="AF9573" s="416" t="s">
        <v>24962</v>
      </c>
    </row>
    <row r="9574" spans="31:32">
      <c r="AE9574" s="417" t="s">
        <v>24963</v>
      </c>
      <c r="AF9574" s="416" t="s">
        <v>24964</v>
      </c>
    </row>
    <row r="9575" spans="31:32">
      <c r="AE9575" s="417" t="s">
        <v>24965</v>
      </c>
      <c r="AF9575" s="416" t="s">
        <v>24966</v>
      </c>
    </row>
    <row r="9576" spans="31:32">
      <c r="AE9576" s="417" t="s">
        <v>24967</v>
      </c>
      <c r="AF9576" s="416" t="s">
        <v>24968</v>
      </c>
    </row>
    <row r="9577" spans="31:32">
      <c r="AE9577" s="417" t="s">
        <v>24969</v>
      </c>
      <c r="AF9577" s="416" t="s">
        <v>24970</v>
      </c>
    </row>
    <row r="9578" spans="31:32">
      <c r="AE9578" s="417" t="s">
        <v>24971</v>
      </c>
      <c r="AF9578" s="416" t="s">
        <v>24972</v>
      </c>
    </row>
    <row r="9579" spans="31:32">
      <c r="AE9579" s="417" t="s">
        <v>24973</v>
      </c>
      <c r="AF9579" s="416" t="s">
        <v>24974</v>
      </c>
    </row>
    <row r="9580" spans="31:32">
      <c r="AE9580" s="417" t="s">
        <v>24975</v>
      </c>
      <c r="AF9580" s="416" t="s">
        <v>24976</v>
      </c>
    </row>
    <row r="9581" spans="31:32">
      <c r="AE9581" s="417" t="s">
        <v>24977</v>
      </c>
      <c r="AF9581" s="416" t="s">
        <v>24978</v>
      </c>
    </row>
    <row r="9582" spans="31:32">
      <c r="AE9582" s="417" t="s">
        <v>24979</v>
      </c>
      <c r="AF9582" s="416" t="s">
        <v>24980</v>
      </c>
    </row>
    <row r="9583" spans="31:32">
      <c r="AE9583" s="417" t="s">
        <v>24981</v>
      </c>
      <c r="AF9583" s="416" t="s">
        <v>24982</v>
      </c>
    </row>
    <row r="9584" spans="31:32">
      <c r="AE9584" s="417" t="s">
        <v>24983</v>
      </c>
      <c r="AF9584" s="416" t="s">
        <v>24984</v>
      </c>
    </row>
    <row r="9585" spans="31:32">
      <c r="AE9585" s="417" t="s">
        <v>24985</v>
      </c>
      <c r="AF9585" s="416" t="s">
        <v>24986</v>
      </c>
    </row>
    <row r="9586" spans="31:32">
      <c r="AE9586" s="417" t="s">
        <v>24987</v>
      </c>
      <c r="AF9586" s="416" t="s">
        <v>24988</v>
      </c>
    </row>
    <row r="9587" spans="31:32">
      <c r="AE9587" s="417" t="s">
        <v>24989</v>
      </c>
      <c r="AF9587" s="416" t="s">
        <v>24990</v>
      </c>
    </row>
    <row r="9588" spans="31:32">
      <c r="AE9588" s="417" t="s">
        <v>24991</v>
      </c>
      <c r="AF9588" s="416" t="s">
        <v>24992</v>
      </c>
    </row>
    <row r="9589" spans="31:32">
      <c r="AE9589" s="417" t="s">
        <v>24993</v>
      </c>
      <c r="AF9589" s="416" t="s">
        <v>24994</v>
      </c>
    </row>
    <row r="9590" spans="31:32">
      <c r="AE9590" s="417" t="s">
        <v>24995</v>
      </c>
      <c r="AF9590" s="416" t="s">
        <v>24996</v>
      </c>
    </row>
    <row r="9591" spans="31:32">
      <c r="AE9591" s="417" t="s">
        <v>24997</v>
      </c>
      <c r="AF9591" s="416" t="s">
        <v>24998</v>
      </c>
    </row>
    <row r="9592" spans="31:32">
      <c r="AE9592" s="417" t="s">
        <v>24999</v>
      </c>
      <c r="AF9592" s="416" t="s">
        <v>25000</v>
      </c>
    </row>
    <row r="9593" spans="31:32">
      <c r="AE9593" s="417" t="s">
        <v>25001</v>
      </c>
      <c r="AF9593" s="416" t="s">
        <v>25002</v>
      </c>
    </row>
    <row r="9594" spans="31:32">
      <c r="AE9594" s="417" t="s">
        <v>25003</v>
      </c>
      <c r="AF9594" s="416" t="s">
        <v>25004</v>
      </c>
    </row>
    <row r="9595" spans="31:32">
      <c r="AE9595" s="417" t="s">
        <v>25005</v>
      </c>
      <c r="AF9595" s="416" t="s">
        <v>25006</v>
      </c>
    </row>
    <row r="9596" spans="31:32">
      <c r="AE9596" s="417" t="s">
        <v>25007</v>
      </c>
      <c r="AF9596" s="416" t="s">
        <v>25008</v>
      </c>
    </row>
    <row r="9597" spans="31:32">
      <c r="AE9597" s="417" t="s">
        <v>25009</v>
      </c>
      <c r="AF9597" s="416" t="s">
        <v>25010</v>
      </c>
    </row>
    <row r="9598" spans="31:32">
      <c r="AE9598" s="417" t="s">
        <v>25011</v>
      </c>
      <c r="AF9598" s="416" t="s">
        <v>25012</v>
      </c>
    </row>
    <row r="9599" spans="31:32">
      <c r="AE9599" s="417" t="s">
        <v>25013</v>
      </c>
      <c r="AF9599" s="416" t="s">
        <v>25014</v>
      </c>
    </row>
    <row r="9600" spans="31:32">
      <c r="AE9600" s="417" t="s">
        <v>25015</v>
      </c>
      <c r="AF9600" s="416" t="s">
        <v>25016</v>
      </c>
    </row>
    <row r="9601" spans="31:32">
      <c r="AE9601" s="417" t="s">
        <v>25017</v>
      </c>
      <c r="AF9601" s="416" t="s">
        <v>25018</v>
      </c>
    </row>
    <row r="9602" spans="31:32">
      <c r="AE9602" s="417" t="s">
        <v>25019</v>
      </c>
      <c r="AF9602" s="416" t="s">
        <v>25020</v>
      </c>
    </row>
    <row r="9603" spans="31:32">
      <c r="AE9603" s="417" t="s">
        <v>25021</v>
      </c>
      <c r="AF9603" s="416" t="s">
        <v>25022</v>
      </c>
    </row>
    <row r="9604" spans="31:32">
      <c r="AE9604" s="417" t="s">
        <v>25023</v>
      </c>
      <c r="AF9604" s="416" t="s">
        <v>25024</v>
      </c>
    </row>
    <row r="9605" spans="31:32">
      <c r="AE9605" s="417" t="s">
        <v>25025</v>
      </c>
      <c r="AF9605" s="416" t="s">
        <v>25026</v>
      </c>
    </row>
    <row r="9606" spans="31:32">
      <c r="AE9606" s="417" t="s">
        <v>25027</v>
      </c>
      <c r="AF9606" s="416" t="s">
        <v>25028</v>
      </c>
    </row>
    <row r="9607" spans="31:32">
      <c r="AE9607" s="417" t="s">
        <v>25029</v>
      </c>
      <c r="AF9607" s="416" t="s">
        <v>25030</v>
      </c>
    </row>
    <row r="9608" spans="31:32">
      <c r="AE9608" s="417" t="s">
        <v>25031</v>
      </c>
      <c r="AF9608" s="416" t="s">
        <v>25032</v>
      </c>
    </row>
    <row r="9609" spans="31:32">
      <c r="AE9609" s="417" t="s">
        <v>25033</v>
      </c>
      <c r="AF9609" s="416" t="s">
        <v>25034</v>
      </c>
    </row>
    <row r="9610" spans="31:32">
      <c r="AE9610" s="417" t="s">
        <v>25035</v>
      </c>
      <c r="AF9610" s="416" t="s">
        <v>25036</v>
      </c>
    </row>
    <row r="9611" spans="31:32">
      <c r="AE9611" s="417" t="s">
        <v>25037</v>
      </c>
      <c r="AF9611" s="416" t="s">
        <v>25038</v>
      </c>
    </row>
    <row r="9612" spans="31:32">
      <c r="AE9612" s="417" t="s">
        <v>25039</v>
      </c>
      <c r="AF9612" s="416" t="s">
        <v>25040</v>
      </c>
    </row>
    <row r="9613" spans="31:32">
      <c r="AE9613" s="417" t="s">
        <v>25041</v>
      </c>
      <c r="AF9613" s="416" t="s">
        <v>25042</v>
      </c>
    </row>
    <row r="9614" spans="31:32">
      <c r="AE9614" s="417" t="s">
        <v>25043</v>
      </c>
      <c r="AF9614" s="416" t="s">
        <v>25044</v>
      </c>
    </row>
    <row r="9615" spans="31:32">
      <c r="AE9615" s="417" t="s">
        <v>25045</v>
      </c>
      <c r="AF9615" s="416" t="s">
        <v>25046</v>
      </c>
    </row>
    <row r="9616" spans="31:32">
      <c r="AE9616" s="417" t="s">
        <v>25047</v>
      </c>
      <c r="AF9616" s="416" t="s">
        <v>25048</v>
      </c>
    </row>
    <row r="9617" spans="31:32">
      <c r="AE9617" s="417" t="s">
        <v>25049</v>
      </c>
      <c r="AF9617" s="416" t="s">
        <v>25050</v>
      </c>
    </row>
    <row r="9618" spans="31:32">
      <c r="AE9618" s="417" t="s">
        <v>25051</v>
      </c>
      <c r="AF9618" s="416" t="s">
        <v>25052</v>
      </c>
    </row>
    <row r="9619" spans="31:32">
      <c r="AE9619" s="417" t="s">
        <v>25053</v>
      </c>
      <c r="AF9619" s="416" t="s">
        <v>25054</v>
      </c>
    </row>
    <row r="9620" spans="31:32">
      <c r="AE9620" s="417" t="s">
        <v>25055</v>
      </c>
      <c r="AF9620" s="416" t="s">
        <v>25056</v>
      </c>
    </row>
    <row r="9621" spans="31:32">
      <c r="AE9621" s="417" t="s">
        <v>25057</v>
      </c>
      <c r="AF9621" s="416" t="s">
        <v>25058</v>
      </c>
    </row>
    <row r="9622" spans="31:32">
      <c r="AE9622" s="417" t="s">
        <v>25059</v>
      </c>
      <c r="AF9622" s="416" t="s">
        <v>25060</v>
      </c>
    </row>
    <row r="9623" spans="31:32">
      <c r="AE9623" s="417" t="s">
        <v>25061</v>
      </c>
      <c r="AF9623" s="416" t="s">
        <v>25062</v>
      </c>
    </row>
    <row r="9624" spans="31:32">
      <c r="AE9624" s="417" t="s">
        <v>25063</v>
      </c>
      <c r="AF9624" s="416" t="s">
        <v>25064</v>
      </c>
    </row>
    <row r="9625" spans="31:32">
      <c r="AE9625" s="417" t="s">
        <v>25065</v>
      </c>
      <c r="AF9625" s="416" t="s">
        <v>25066</v>
      </c>
    </row>
    <row r="9626" spans="31:32">
      <c r="AE9626" s="417" t="s">
        <v>25067</v>
      </c>
      <c r="AF9626" s="416" t="s">
        <v>25068</v>
      </c>
    </row>
    <row r="9627" spans="31:32">
      <c r="AE9627" s="417" t="s">
        <v>25069</v>
      </c>
      <c r="AF9627" s="416" t="s">
        <v>25070</v>
      </c>
    </row>
    <row r="9628" spans="31:32">
      <c r="AE9628" s="417" t="s">
        <v>25071</v>
      </c>
      <c r="AF9628" s="416" t="s">
        <v>25072</v>
      </c>
    </row>
    <row r="9629" spans="31:32">
      <c r="AE9629" s="417" t="s">
        <v>25073</v>
      </c>
      <c r="AF9629" s="416" t="s">
        <v>25074</v>
      </c>
    </row>
    <row r="9630" spans="31:32">
      <c r="AE9630" s="417" t="s">
        <v>25075</v>
      </c>
      <c r="AF9630" s="416" t="s">
        <v>25076</v>
      </c>
    </row>
    <row r="9631" spans="31:32">
      <c r="AE9631" s="417" t="s">
        <v>25077</v>
      </c>
      <c r="AF9631" s="416" t="s">
        <v>25078</v>
      </c>
    </row>
    <row r="9632" spans="31:32">
      <c r="AE9632" s="417" t="s">
        <v>25079</v>
      </c>
      <c r="AF9632" s="416" t="s">
        <v>25080</v>
      </c>
    </row>
    <row r="9633" spans="31:32">
      <c r="AE9633" s="417" t="s">
        <v>25081</v>
      </c>
      <c r="AF9633" s="416" t="s">
        <v>25082</v>
      </c>
    </row>
    <row r="9634" spans="31:32">
      <c r="AE9634" s="417" t="s">
        <v>25083</v>
      </c>
      <c r="AF9634" s="416" t="s">
        <v>25084</v>
      </c>
    </row>
    <row r="9635" spans="31:32">
      <c r="AE9635" s="417" t="s">
        <v>25085</v>
      </c>
      <c r="AF9635" s="416" t="s">
        <v>25086</v>
      </c>
    </row>
    <row r="9636" spans="31:32">
      <c r="AE9636" s="417" t="s">
        <v>25087</v>
      </c>
      <c r="AF9636" s="416" t="s">
        <v>25088</v>
      </c>
    </row>
    <row r="9637" spans="31:32">
      <c r="AE9637" s="417" t="s">
        <v>25089</v>
      </c>
      <c r="AF9637" s="416" t="s">
        <v>25090</v>
      </c>
    </row>
    <row r="9638" spans="31:32">
      <c r="AE9638" s="417" t="s">
        <v>25091</v>
      </c>
      <c r="AF9638" s="416" t="s">
        <v>25092</v>
      </c>
    </row>
    <row r="9639" spans="31:32">
      <c r="AE9639" s="417" t="s">
        <v>25093</v>
      </c>
      <c r="AF9639" s="416" t="s">
        <v>25094</v>
      </c>
    </row>
    <row r="9640" spans="31:32">
      <c r="AE9640" s="417" t="s">
        <v>25095</v>
      </c>
      <c r="AF9640" s="416" t="s">
        <v>25096</v>
      </c>
    </row>
    <row r="9641" spans="31:32">
      <c r="AE9641" s="417" t="s">
        <v>25097</v>
      </c>
      <c r="AF9641" s="416" t="s">
        <v>25098</v>
      </c>
    </row>
    <row r="9642" spans="31:32">
      <c r="AE9642" s="417" t="s">
        <v>25099</v>
      </c>
      <c r="AF9642" s="416" t="s">
        <v>25100</v>
      </c>
    </row>
    <row r="9643" spans="31:32">
      <c r="AE9643" s="417" t="s">
        <v>25101</v>
      </c>
      <c r="AF9643" s="416" t="s">
        <v>25102</v>
      </c>
    </row>
    <row r="9644" spans="31:32">
      <c r="AE9644" s="417" t="s">
        <v>25103</v>
      </c>
      <c r="AF9644" s="416" t="s">
        <v>25104</v>
      </c>
    </row>
    <row r="9645" spans="31:32">
      <c r="AE9645" s="417" t="s">
        <v>25105</v>
      </c>
      <c r="AF9645" s="416" t="s">
        <v>25106</v>
      </c>
    </row>
    <row r="9646" spans="31:32">
      <c r="AE9646" s="417" t="s">
        <v>25107</v>
      </c>
      <c r="AF9646" s="416" t="s">
        <v>25108</v>
      </c>
    </row>
    <row r="9647" spans="31:32">
      <c r="AE9647" s="417" t="s">
        <v>25109</v>
      </c>
      <c r="AF9647" s="416" t="s">
        <v>25110</v>
      </c>
    </row>
    <row r="9648" spans="31:32">
      <c r="AE9648" s="417" t="s">
        <v>25111</v>
      </c>
      <c r="AF9648" s="416" t="s">
        <v>25112</v>
      </c>
    </row>
    <row r="9649" spans="31:32">
      <c r="AE9649" s="417" t="s">
        <v>25113</v>
      </c>
      <c r="AF9649" s="416" t="s">
        <v>25114</v>
      </c>
    </row>
    <row r="9650" spans="31:32">
      <c r="AE9650" s="417" t="s">
        <v>25115</v>
      </c>
      <c r="AF9650" s="416" t="s">
        <v>25116</v>
      </c>
    </row>
    <row r="9651" spans="31:32">
      <c r="AE9651" s="417" t="s">
        <v>25117</v>
      </c>
      <c r="AF9651" s="416" t="s">
        <v>25118</v>
      </c>
    </row>
    <row r="9652" spans="31:32">
      <c r="AE9652" s="417" t="s">
        <v>25119</v>
      </c>
      <c r="AF9652" s="416" t="s">
        <v>25120</v>
      </c>
    </row>
    <row r="9653" spans="31:32">
      <c r="AE9653" s="417" t="s">
        <v>25121</v>
      </c>
      <c r="AF9653" s="416" t="s">
        <v>25122</v>
      </c>
    </row>
    <row r="9654" spans="31:32">
      <c r="AE9654" s="417" t="s">
        <v>25123</v>
      </c>
      <c r="AF9654" s="416" t="s">
        <v>25124</v>
      </c>
    </row>
    <row r="9655" spans="31:32">
      <c r="AE9655" s="417" t="s">
        <v>25125</v>
      </c>
      <c r="AF9655" s="416" t="s">
        <v>25126</v>
      </c>
    </row>
    <row r="9656" spans="31:32">
      <c r="AE9656" s="417" t="s">
        <v>25127</v>
      </c>
      <c r="AF9656" s="416" t="s">
        <v>25128</v>
      </c>
    </row>
    <row r="9657" spans="31:32">
      <c r="AE9657" s="417" t="s">
        <v>25129</v>
      </c>
      <c r="AF9657" s="416" t="s">
        <v>25130</v>
      </c>
    </row>
    <row r="9658" spans="31:32">
      <c r="AE9658" s="417" t="s">
        <v>25131</v>
      </c>
      <c r="AF9658" s="416" t="s">
        <v>25132</v>
      </c>
    </row>
    <row r="9659" spans="31:32">
      <c r="AE9659" s="417" t="s">
        <v>25133</v>
      </c>
      <c r="AF9659" s="416" t="s">
        <v>25134</v>
      </c>
    </row>
    <row r="9660" spans="31:32">
      <c r="AE9660" s="417" t="s">
        <v>25135</v>
      </c>
      <c r="AF9660" s="416" t="s">
        <v>25136</v>
      </c>
    </row>
    <row r="9661" spans="31:32">
      <c r="AE9661" s="417" t="s">
        <v>25137</v>
      </c>
      <c r="AF9661" s="416" t="s">
        <v>25138</v>
      </c>
    </row>
    <row r="9662" spans="31:32">
      <c r="AE9662" s="417" t="s">
        <v>25139</v>
      </c>
      <c r="AF9662" s="416" t="s">
        <v>25140</v>
      </c>
    </row>
    <row r="9663" spans="31:32">
      <c r="AE9663" s="417" t="s">
        <v>25141</v>
      </c>
      <c r="AF9663" s="416" t="s">
        <v>25142</v>
      </c>
    </row>
    <row r="9664" spans="31:32">
      <c r="AE9664" s="417" t="s">
        <v>25143</v>
      </c>
      <c r="AF9664" s="416" t="s">
        <v>25144</v>
      </c>
    </row>
    <row r="9665" spans="31:32">
      <c r="AE9665" s="417" t="s">
        <v>25145</v>
      </c>
      <c r="AF9665" s="416" t="s">
        <v>25146</v>
      </c>
    </row>
    <row r="9666" spans="31:32">
      <c r="AE9666" s="417" t="s">
        <v>25147</v>
      </c>
      <c r="AF9666" s="416" t="s">
        <v>25148</v>
      </c>
    </row>
    <row r="9667" spans="31:32">
      <c r="AE9667" s="417" t="s">
        <v>25149</v>
      </c>
      <c r="AF9667" s="416" t="s">
        <v>25150</v>
      </c>
    </row>
    <row r="9668" spans="31:32">
      <c r="AE9668" s="417" t="s">
        <v>25151</v>
      </c>
      <c r="AF9668" s="416" t="s">
        <v>25152</v>
      </c>
    </row>
    <row r="9669" spans="31:32">
      <c r="AE9669" s="417" t="s">
        <v>25153</v>
      </c>
      <c r="AF9669" s="416" t="s">
        <v>25154</v>
      </c>
    </row>
    <row r="9670" spans="31:32">
      <c r="AE9670" s="417" t="s">
        <v>25155</v>
      </c>
      <c r="AF9670" s="416" t="s">
        <v>25156</v>
      </c>
    </row>
    <row r="9671" spans="31:32">
      <c r="AE9671" s="417" t="s">
        <v>25157</v>
      </c>
      <c r="AF9671" s="416" t="s">
        <v>25158</v>
      </c>
    </row>
    <row r="9672" spans="31:32">
      <c r="AE9672" s="417" t="s">
        <v>25159</v>
      </c>
      <c r="AF9672" s="416" t="s">
        <v>25160</v>
      </c>
    </row>
    <row r="9673" spans="31:32">
      <c r="AE9673" s="417" t="s">
        <v>25161</v>
      </c>
      <c r="AF9673" s="416" t="s">
        <v>25162</v>
      </c>
    </row>
    <row r="9674" spans="31:32">
      <c r="AE9674" s="417" t="s">
        <v>25163</v>
      </c>
      <c r="AF9674" s="416" t="s">
        <v>25164</v>
      </c>
    </row>
    <row r="9675" spans="31:32">
      <c r="AE9675" s="417" t="s">
        <v>25165</v>
      </c>
      <c r="AF9675" s="416" t="s">
        <v>25166</v>
      </c>
    </row>
    <row r="9676" spans="31:32">
      <c r="AE9676" s="417" t="s">
        <v>25167</v>
      </c>
      <c r="AF9676" s="416" t="s">
        <v>25168</v>
      </c>
    </row>
    <row r="9677" spans="31:32">
      <c r="AE9677" s="417" t="s">
        <v>25169</v>
      </c>
      <c r="AF9677" s="416" t="s">
        <v>25170</v>
      </c>
    </row>
    <row r="9678" spans="31:32">
      <c r="AE9678" s="417" t="s">
        <v>25171</v>
      </c>
      <c r="AF9678" s="416" t="s">
        <v>25172</v>
      </c>
    </row>
    <row r="9679" spans="31:32">
      <c r="AE9679" s="417" t="s">
        <v>25173</v>
      </c>
      <c r="AF9679" s="416" t="s">
        <v>25174</v>
      </c>
    </row>
    <row r="9680" spans="31:32">
      <c r="AE9680" s="417" t="s">
        <v>25175</v>
      </c>
      <c r="AF9680" s="416" t="s">
        <v>25176</v>
      </c>
    </row>
    <row r="9681" spans="31:32">
      <c r="AE9681" s="417" t="s">
        <v>25177</v>
      </c>
      <c r="AF9681" s="416" t="s">
        <v>25178</v>
      </c>
    </row>
    <row r="9682" spans="31:32">
      <c r="AE9682" s="417" t="s">
        <v>25179</v>
      </c>
      <c r="AF9682" s="416" t="s">
        <v>25180</v>
      </c>
    </row>
    <row r="9683" spans="31:32">
      <c r="AE9683" s="417" t="s">
        <v>25181</v>
      </c>
      <c r="AF9683" s="416" t="s">
        <v>25182</v>
      </c>
    </row>
    <row r="9684" spans="31:32">
      <c r="AE9684" s="417" t="s">
        <v>25183</v>
      </c>
      <c r="AF9684" s="416" t="s">
        <v>25184</v>
      </c>
    </row>
    <row r="9685" spans="31:32">
      <c r="AE9685" s="417" t="s">
        <v>25185</v>
      </c>
      <c r="AF9685" s="416" t="s">
        <v>25186</v>
      </c>
    </row>
    <row r="9686" spans="31:32">
      <c r="AE9686" s="417" t="s">
        <v>25187</v>
      </c>
      <c r="AF9686" s="416" t="s">
        <v>25188</v>
      </c>
    </row>
    <row r="9687" spans="31:32">
      <c r="AE9687" s="417" t="s">
        <v>25189</v>
      </c>
      <c r="AF9687" s="416" t="s">
        <v>25190</v>
      </c>
    </row>
    <row r="9688" spans="31:32">
      <c r="AE9688" s="417" t="s">
        <v>25191</v>
      </c>
      <c r="AF9688" s="416" t="s">
        <v>25192</v>
      </c>
    </row>
    <row r="9689" spans="31:32">
      <c r="AE9689" s="417" t="s">
        <v>25193</v>
      </c>
      <c r="AF9689" s="416" t="s">
        <v>25194</v>
      </c>
    </row>
    <row r="9690" spans="31:32">
      <c r="AE9690" s="417" t="s">
        <v>25195</v>
      </c>
      <c r="AF9690" s="416" t="s">
        <v>25196</v>
      </c>
    </row>
    <row r="9691" spans="31:32">
      <c r="AE9691" s="417" t="s">
        <v>25197</v>
      </c>
      <c r="AF9691" s="416" t="s">
        <v>25198</v>
      </c>
    </row>
    <row r="9692" spans="31:32">
      <c r="AE9692" s="417" t="s">
        <v>25199</v>
      </c>
      <c r="AF9692" s="416" t="s">
        <v>25200</v>
      </c>
    </row>
    <row r="9693" spans="31:32">
      <c r="AE9693" s="417" t="s">
        <v>25201</v>
      </c>
      <c r="AF9693" s="416" t="s">
        <v>25202</v>
      </c>
    </row>
    <row r="9694" spans="31:32">
      <c r="AE9694" s="417" t="s">
        <v>25203</v>
      </c>
      <c r="AF9694" s="416" t="s">
        <v>25204</v>
      </c>
    </row>
    <row r="9695" spans="31:32">
      <c r="AE9695" s="417" t="s">
        <v>25205</v>
      </c>
      <c r="AF9695" s="416" t="s">
        <v>25206</v>
      </c>
    </row>
    <row r="9696" spans="31:32">
      <c r="AE9696" s="417" t="s">
        <v>25207</v>
      </c>
      <c r="AF9696" s="416" t="s">
        <v>25208</v>
      </c>
    </row>
    <row r="9697" spans="31:32">
      <c r="AE9697" s="417" t="s">
        <v>25209</v>
      </c>
      <c r="AF9697" s="416" t="s">
        <v>25210</v>
      </c>
    </row>
    <row r="9698" spans="31:32">
      <c r="AE9698" s="417" t="s">
        <v>25211</v>
      </c>
      <c r="AF9698" s="416" t="s">
        <v>25212</v>
      </c>
    </row>
    <row r="9699" spans="31:32">
      <c r="AE9699" s="417" t="s">
        <v>25213</v>
      </c>
      <c r="AF9699" s="416" t="s">
        <v>25214</v>
      </c>
    </row>
    <row r="9700" spans="31:32">
      <c r="AE9700" s="417" t="s">
        <v>25215</v>
      </c>
      <c r="AF9700" s="416" t="s">
        <v>25216</v>
      </c>
    </row>
    <row r="9701" spans="31:32">
      <c r="AE9701" s="417" t="s">
        <v>25217</v>
      </c>
      <c r="AF9701" s="416" t="s">
        <v>25218</v>
      </c>
    </row>
    <row r="9702" spans="31:32">
      <c r="AE9702" s="417" t="s">
        <v>25219</v>
      </c>
      <c r="AF9702" s="416" t="s">
        <v>25220</v>
      </c>
    </row>
    <row r="9703" spans="31:32">
      <c r="AE9703" s="417" t="s">
        <v>25221</v>
      </c>
      <c r="AF9703" s="416" t="s">
        <v>25222</v>
      </c>
    </row>
    <row r="9704" spans="31:32">
      <c r="AE9704" s="417" t="s">
        <v>25223</v>
      </c>
      <c r="AF9704" s="416" t="s">
        <v>25224</v>
      </c>
    </row>
    <row r="9705" spans="31:32">
      <c r="AE9705" s="417" t="s">
        <v>25225</v>
      </c>
      <c r="AF9705" s="416" t="s">
        <v>25226</v>
      </c>
    </row>
    <row r="9706" spans="31:32">
      <c r="AE9706" s="417" t="s">
        <v>25227</v>
      </c>
      <c r="AF9706" s="416" t="s">
        <v>25228</v>
      </c>
    </row>
    <row r="9707" spans="31:32">
      <c r="AE9707" s="417" t="s">
        <v>25229</v>
      </c>
      <c r="AF9707" s="416" t="s">
        <v>25230</v>
      </c>
    </row>
    <row r="9708" spans="31:32">
      <c r="AE9708" s="417" t="s">
        <v>25231</v>
      </c>
      <c r="AF9708" s="416" t="s">
        <v>25232</v>
      </c>
    </row>
    <row r="9709" spans="31:32">
      <c r="AE9709" s="417" t="s">
        <v>25233</v>
      </c>
      <c r="AF9709" s="416" t="s">
        <v>25234</v>
      </c>
    </row>
    <row r="9710" spans="31:32">
      <c r="AE9710" s="417" t="s">
        <v>25235</v>
      </c>
      <c r="AF9710" s="416" t="s">
        <v>25236</v>
      </c>
    </row>
    <row r="9711" spans="31:32">
      <c r="AE9711" s="417" t="s">
        <v>25237</v>
      </c>
      <c r="AF9711" s="416" t="s">
        <v>25238</v>
      </c>
    </row>
    <row r="9712" spans="31:32">
      <c r="AE9712" s="417" t="s">
        <v>25239</v>
      </c>
      <c r="AF9712" s="416" t="s">
        <v>25240</v>
      </c>
    </row>
    <row r="9713" spans="31:32">
      <c r="AE9713" s="417" t="s">
        <v>25241</v>
      </c>
      <c r="AF9713" s="416" t="s">
        <v>25242</v>
      </c>
    </row>
    <row r="9714" spans="31:32">
      <c r="AE9714" s="417" t="s">
        <v>25243</v>
      </c>
      <c r="AF9714" s="416" t="s">
        <v>25244</v>
      </c>
    </row>
    <row r="9715" spans="31:32">
      <c r="AE9715" s="417" t="s">
        <v>25245</v>
      </c>
      <c r="AF9715" s="416" t="s">
        <v>25246</v>
      </c>
    </row>
    <row r="9716" spans="31:32">
      <c r="AE9716" s="417" t="s">
        <v>25247</v>
      </c>
      <c r="AF9716" s="416" t="s">
        <v>25248</v>
      </c>
    </row>
    <row r="9717" spans="31:32">
      <c r="AE9717" s="417" t="s">
        <v>25249</v>
      </c>
      <c r="AF9717" s="416" t="s">
        <v>25250</v>
      </c>
    </row>
    <row r="9718" spans="31:32">
      <c r="AE9718" s="417" t="s">
        <v>25251</v>
      </c>
      <c r="AF9718" s="416" t="s">
        <v>25252</v>
      </c>
    </row>
    <row r="9719" spans="31:32">
      <c r="AE9719" s="417" t="s">
        <v>25253</v>
      </c>
      <c r="AF9719" s="416" t="s">
        <v>25254</v>
      </c>
    </row>
    <row r="9720" spans="31:32">
      <c r="AE9720" s="417" t="s">
        <v>25255</v>
      </c>
      <c r="AF9720" s="416" t="s">
        <v>25256</v>
      </c>
    </row>
    <row r="9721" spans="31:32">
      <c r="AE9721" s="417" t="s">
        <v>25257</v>
      </c>
      <c r="AF9721" s="416" t="s">
        <v>25258</v>
      </c>
    </row>
    <row r="9722" spans="31:32">
      <c r="AE9722" s="417" t="s">
        <v>25259</v>
      </c>
      <c r="AF9722" s="416" t="s">
        <v>25260</v>
      </c>
    </row>
    <row r="9723" spans="31:32">
      <c r="AE9723" s="417" t="s">
        <v>25261</v>
      </c>
      <c r="AF9723" s="416" t="s">
        <v>25262</v>
      </c>
    </row>
    <row r="9724" spans="31:32">
      <c r="AE9724" s="417" t="s">
        <v>25263</v>
      </c>
      <c r="AF9724" s="416" t="s">
        <v>25264</v>
      </c>
    </row>
    <row r="9725" spans="31:32">
      <c r="AE9725" s="417" t="s">
        <v>25265</v>
      </c>
      <c r="AF9725" s="416" t="s">
        <v>25266</v>
      </c>
    </row>
    <row r="9726" spans="31:32">
      <c r="AE9726" s="417" t="s">
        <v>25267</v>
      </c>
      <c r="AF9726" s="416" t="s">
        <v>25268</v>
      </c>
    </row>
    <row r="9727" spans="31:32">
      <c r="AE9727" s="417" t="s">
        <v>25269</v>
      </c>
      <c r="AF9727" s="416" t="s">
        <v>25270</v>
      </c>
    </row>
    <row r="9728" spans="31:32">
      <c r="AE9728" s="417" t="s">
        <v>25271</v>
      </c>
      <c r="AF9728" s="416" t="s">
        <v>25272</v>
      </c>
    </row>
    <row r="9729" spans="31:32">
      <c r="AE9729" s="417" t="s">
        <v>25273</v>
      </c>
      <c r="AF9729" s="416" t="s">
        <v>25274</v>
      </c>
    </row>
    <row r="9730" spans="31:32">
      <c r="AE9730" s="417" t="s">
        <v>25275</v>
      </c>
      <c r="AF9730" s="416" t="s">
        <v>25276</v>
      </c>
    </row>
    <row r="9731" spans="31:32">
      <c r="AE9731" s="417" t="s">
        <v>25277</v>
      </c>
      <c r="AF9731" s="416" t="s">
        <v>25278</v>
      </c>
    </row>
    <row r="9732" spans="31:32">
      <c r="AE9732" s="417" t="s">
        <v>25279</v>
      </c>
      <c r="AF9732" s="416" t="s">
        <v>25280</v>
      </c>
    </row>
    <row r="9733" spans="31:32">
      <c r="AE9733" s="417" t="s">
        <v>25281</v>
      </c>
      <c r="AF9733" s="416" t="s">
        <v>25282</v>
      </c>
    </row>
    <row r="9734" spans="31:32">
      <c r="AE9734" s="417" t="s">
        <v>25283</v>
      </c>
      <c r="AF9734" s="416" t="s">
        <v>25284</v>
      </c>
    </row>
    <row r="9735" spans="31:32">
      <c r="AE9735" s="417" t="s">
        <v>25285</v>
      </c>
      <c r="AF9735" s="416" t="s">
        <v>25286</v>
      </c>
    </row>
    <row r="9736" spans="31:32">
      <c r="AE9736" s="417" t="s">
        <v>25287</v>
      </c>
      <c r="AF9736" s="416" t="s">
        <v>25288</v>
      </c>
    </row>
    <row r="9737" spans="31:32">
      <c r="AE9737" s="417" t="s">
        <v>25289</v>
      </c>
      <c r="AF9737" s="416" t="s">
        <v>25290</v>
      </c>
    </row>
    <row r="9738" spans="31:32">
      <c r="AE9738" s="417" t="s">
        <v>25291</v>
      </c>
      <c r="AF9738" s="416" t="s">
        <v>25292</v>
      </c>
    </row>
    <row r="9739" spans="31:32">
      <c r="AE9739" s="417" t="s">
        <v>25293</v>
      </c>
      <c r="AF9739" s="416" t="s">
        <v>25294</v>
      </c>
    </row>
    <row r="9740" spans="31:32">
      <c r="AE9740" s="417" t="s">
        <v>25295</v>
      </c>
      <c r="AF9740" s="416" t="s">
        <v>25296</v>
      </c>
    </row>
    <row r="9741" spans="31:32">
      <c r="AE9741" s="417" t="s">
        <v>25297</v>
      </c>
      <c r="AF9741" s="416" t="s">
        <v>25298</v>
      </c>
    </row>
    <row r="9742" spans="31:32">
      <c r="AE9742" s="417" t="s">
        <v>25299</v>
      </c>
      <c r="AF9742" s="416" t="s">
        <v>25300</v>
      </c>
    </row>
    <row r="9743" spans="31:32">
      <c r="AE9743" s="417" t="s">
        <v>25301</v>
      </c>
      <c r="AF9743" s="416" t="s">
        <v>25302</v>
      </c>
    </row>
    <row r="9744" spans="31:32">
      <c r="AE9744" s="417" t="s">
        <v>25303</v>
      </c>
      <c r="AF9744" s="416" t="s">
        <v>25304</v>
      </c>
    </row>
    <row r="9745" spans="31:32">
      <c r="AE9745" s="417" t="s">
        <v>25305</v>
      </c>
      <c r="AF9745" s="416" t="s">
        <v>25306</v>
      </c>
    </row>
    <row r="9746" spans="31:32">
      <c r="AE9746" s="417" t="s">
        <v>25307</v>
      </c>
      <c r="AF9746" s="416" t="s">
        <v>25308</v>
      </c>
    </row>
    <row r="9747" spans="31:32">
      <c r="AE9747" s="417" t="s">
        <v>25309</v>
      </c>
      <c r="AF9747" s="416" t="s">
        <v>25310</v>
      </c>
    </row>
    <row r="9748" spans="31:32">
      <c r="AE9748" s="417" t="s">
        <v>25311</v>
      </c>
      <c r="AF9748" s="416" t="s">
        <v>25312</v>
      </c>
    </row>
    <row r="9749" spans="31:32">
      <c r="AE9749" s="417" t="s">
        <v>25313</v>
      </c>
      <c r="AF9749" s="416" t="s">
        <v>25314</v>
      </c>
    </row>
    <row r="9750" spans="31:32">
      <c r="AE9750" s="417" t="s">
        <v>25315</v>
      </c>
      <c r="AF9750" s="416" t="s">
        <v>25316</v>
      </c>
    </row>
    <row r="9751" spans="31:32">
      <c r="AE9751" s="417" t="s">
        <v>25317</v>
      </c>
      <c r="AF9751" s="416" t="s">
        <v>25318</v>
      </c>
    </row>
    <row r="9752" spans="31:32">
      <c r="AE9752" s="417" t="s">
        <v>25319</v>
      </c>
      <c r="AF9752" s="416" t="s">
        <v>25320</v>
      </c>
    </row>
    <row r="9753" spans="31:32">
      <c r="AE9753" s="417" t="s">
        <v>25321</v>
      </c>
      <c r="AF9753" s="416" t="s">
        <v>25322</v>
      </c>
    </row>
    <row r="9754" spans="31:32">
      <c r="AE9754" s="417" t="s">
        <v>25323</v>
      </c>
      <c r="AF9754" s="416" t="s">
        <v>25324</v>
      </c>
    </row>
    <row r="9755" spans="31:32">
      <c r="AE9755" s="417" t="s">
        <v>25325</v>
      </c>
      <c r="AF9755" s="416" t="s">
        <v>25326</v>
      </c>
    </row>
    <row r="9756" spans="31:32">
      <c r="AE9756" s="417" t="s">
        <v>25327</v>
      </c>
      <c r="AF9756" s="416" t="s">
        <v>25328</v>
      </c>
    </row>
    <row r="9757" spans="31:32">
      <c r="AE9757" s="417" t="s">
        <v>25329</v>
      </c>
      <c r="AF9757" s="416" t="s">
        <v>25330</v>
      </c>
    </row>
    <row r="9758" spans="31:32">
      <c r="AE9758" s="417" t="s">
        <v>25331</v>
      </c>
      <c r="AF9758" s="416" t="s">
        <v>25332</v>
      </c>
    </row>
    <row r="9759" spans="31:32">
      <c r="AE9759" s="417" t="s">
        <v>25333</v>
      </c>
      <c r="AF9759" s="416" t="s">
        <v>25334</v>
      </c>
    </row>
    <row r="9760" spans="31:32">
      <c r="AE9760" s="417" t="s">
        <v>25335</v>
      </c>
      <c r="AF9760" s="416" t="s">
        <v>25336</v>
      </c>
    </row>
    <row r="9761" spans="31:32">
      <c r="AE9761" s="417" t="s">
        <v>25337</v>
      </c>
      <c r="AF9761" s="416" t="s">
        <v>25338</v>
      </c>
    </row>
    <row r="9762" spans="31:32">
      <c r="AE9762" s="417" t="s">
        <v>25339</v>
      </c>
      <c r="AF9762" s="416" t="s">
        <v>25340</v>
      </c>
    </row>
    <row r="9763" spans="31:32">
      <c r="AE9763" s="417" t="s">
        <v>25341</v>
      </c>
      <c r="AF9763" s="416" t="s">
        <v>25342</v>
      </c>
    </row>
    <row r="9764" spans="31:32">
      <c r="AE9764" s="417" t="s">
        <v>25343</v>
      </c>
      <c r="AF9764" s="416" t="s">
        <v>25344</v>
      </c>
    </row>
    <row r="9765" spans="31:32">
      <c r="AE9765" s="417" t="s">
        <v>25345</v>
      </c>
      <c r="AF9765" s="416" t="s">
        <v>25346</v>
      </c>
    </row>
    <row r="9766" spans="31:32">
      <c r="AE9766" s="417" t="s">
        <v>25347</v>
      </c>
      <c r="AF9766" s="416" t="s">
        <v>25348</v>
      </c>
    </row>
    <row r="9767" spans="31:32">
      <c r="AE9767" s="417" t="s">
        <v>25349</v>
      </c>
      <c r="AF9767" s="416" t="s">
        <v>25350</v>
      </c>
    </row>
    <row r="9768" spans="31:32">
      <c r="AE9768" s="417" t="s">
        <v>25351</v>
      </c>
      <c r="AF9768" s="416" t="s">
        <v>25352</v>
      </c>
    </row>
    <row r="9769" spans="31:32">
      <c r="AE9769" s="417" t="s">
        <v>25353</v>
      </c>
      <c r="AF9769" s="416" t="s">
        <v>25354</v>
      </c>
    </row>
    <row r="9770" spans="31:32">
      <c r="AE9770" s="417" t="s">
        <v>25355</v>
      </c>
      <c r="AF9770" s="416" t="s">
        <v>25356</v>
      </c>
    </row>
    <row r="9771" spans="31:32">
      <c r="AE9771" s="417" t="s">
        <v>25357</v>
      </c>
      <c r="AF9771" s="416" t="s">
        <v>25358</v>
      </c>
    </row>
    <row r="9772" spans="31:32">
      <c r="AE9772" s="417" t="s">
        <v>25359</v>
      </c>
      <c r="AF9772" s="416" t="s">
        <v>25360</v>
      </c>
    </row>
    <row r="9773" spans="31:32">
      <c r="AE9773" s="417" t="s">
        <v>25361</v>
      </c>
      <c r="AF9773" s="416" t="s">
        <v>25362</v>
      </c>
    </row>
    <row r="9774" spans="31:32">
      <c r="AE9774" s="417" t="s">
        <v>25363</v>
      </c>
      <c r="AF9774" s="416" t="s">
        <v>25364</v>
      </c>
    </row>
    <row r="9775" spans="31:32">
      <c r="AE9775" s="417" t="s">
        <v>25365</v>
      </c>
      <c r="AF9775" s="416" t="s">
        <v>25366</v>
      </c>
    </row>
    <row r="9776" spans="31:32">
      <c r="AE9776" s="417" t="s">
        <v>25367</v>
      </c>
      <c r="AF9776" s="416" t="s">
        <v>25368</v>
      </c>
    </row>
    <row r="9777" spans="31:32">
      <c r="AE9777" s="417" t="s">
        <v>25369</v>
      </c>
      <c r="AF9777" s="416" t="s">
        <v>25370</v>
      </c>
    </row>
    <row r="9778" spans="31:32">
      <c r="AE9778" s="417" t="s">
        <v>25371</v>
      </c>
      <c r="AF9778" s="416" t="s">
        <v>25372</v>
      </c>
    </row>
    <row r="9779" spans="31:32">
      <c r="AE9779" s="417" t="s">
        <v>25373</v>
      </c>
      <c r="AF9779" s="416" t="s">
        <v>25374</v>
      </c>
    </row>
    <row r="9780" spans="31:32">
      <c r="AE9780" s="417" t="s">
        <v>25375</v>
      </c>
      <c r="AF9780" s="416" t="s">
        <v>25376</v>
      </c>
    </row>
    <row r="9781" spans="31:32">
      <c r="AE9781" s="417" t="s">
        <v>25377</v>
      </c>
      <c r="AF9781" s="416" t="s">
        <v>25378</v>
      </c>
    </row>
    <row r="9782" spans="31:32">
      <c r="AE9782" s="417" t="s">
        <v>25379</v>
      </c>
      <c r="AF9782" s="416" t="s">
        <v>25380</v>
      </c>
    </row>
    <row r="9783" spans="31:32">
      <c r="AE9783" s="417" t="s">
        <v>25381</v>
      </c>
      <c r="AF9783" s="416" t="s">
        <v>25382</v>
      </c>
    </row>
    <row r="9784" spans="31:32">
      <c r="AE9784" s="417" t="s">
        <v>25383</v>
      </c>
      <c r="AF9784" s="416" t="s">
        <v>25384</v>
      </c>
    </row>
    <row r="9785" spans="31:32">
      <c r="AE9785" s="417" t="s">
        <v>25385</v>
      </c>
      <c r="AF9785" s="416" t="s">
        <v>25386</v>
      </c>
    </row>
    <row r="9786" spans="31:32">
      <c r="AE9786" s="417" t="s">
        <v>25387</v>
      </c>
      <c r="AF9786" s="416" t="s">
        <v>25388</v>
      </c>
    </row>
    <row r="9787" spans="31:32">
      <c r="AE9787" s="417" t="s">
        <v>25389</v>
      </c>
      <c r="AF9787" s="416" t="s">
        <v>25390</v>
      </c>
    </row>
    <row r="9788" spans="31:32">
      <c r="AE9788" s="417" t="s">
        <v>25391</v>
      </c>
      <c r="AF9788" s="416" t="s">
        <v>25392</v>
      </c>
    </row>
    <row r="9789" spans="31:32">
      <c r="AE9789" s="417" t="s">
        <v>25393</v>
      </c>
      <c r="AF9789" s="416" t="s">
        <v>25394</v>
      </c>
    </row>
    <row r="9790" spans="31:32">
      <c r="AE9790" s="417" t="s">
        <v>25395</v>
      </c>
      <c r="AF9790" s="416" t="s">
        <v>25396</v>
      </c>
    </row>
    <row r="9791" spans="31:32">
      <c r="AE9791" s="417" t="s">
        <v>25397</v>
      </c>
      <c r="AF9791" s="416" t="s">
        <v>25398</v>
      </c>
    </row>
    <row r="9792" spans="31:32">
      <c r="AE9792" s="417" t="s">
        <v>25399</v>
      </c>
      <c r="AF9792" s="416" t="s">
        <v>25400</v>
      </c>
    </row>
    <row r="9793" spans="31:32">
      <c r="AE9793" s="417" t="s">
        <v>25401</v>
      </c>
      <c r="AF9793" s="416" t="s">
        <v>25402</v>
      </c>
    </row>
    <row r="9794" spans="31:32">
      <c r="AE9794" s="417" t="s">
        <v>25403</v>
      </c>
      <c r="AF9794" s="416" t="s">
        <v>25404</v>
      </c>
    </row>
    <row r="9795" spans="31:32">
      <c r="AE9795" s="417" t="s">
        <v>25405</v>
      </c>
      <c r="AF9795" s="416" t="s">
        <v>25406</v>
      </c>
    </row>
    <row r="9796" spans="31:32">
      <c r="AE9796" s="417" t="s">
        <v>25407</v>
      </c>
      <c r="AF9796" s="416" t="s">
        <v>25408</v>
      </c>
    </row>
    <row r="9797" spans="31:32">
      <c r="AE9797" s="417" t="s">
        <v>25409</v>
      </c>
      <c r="AF9797" s="416" t="s">
        <v>25410</v>
      </c>
    </row>
    <row r="9798" spans="31:32">
      <c r="AE9798" s="417" t="s">
        <v>25411</v>
      </c>
      <c r="AF9798" s="416" t="s">
        <v>25412</v>
      </c>
    </row>
    <row r="9799" spans="31:32">
      <c r="AE9799" s="417" t="s">
        <v>25413</v>
      </c>
      <c r="AF9799" s="416" t="s">
        <v>25414</v>
      </c>
    </row>
    <row r="9800" spans="31:32">
      <c r="AE9800" s="417" t="s">
        <v>25415</v>
      </c>
      <c r="AF9800" s="416" t="s">
        <v>25416</v>
      </c>
    </row>
    <row r="9801" spans="31:32">
      <c r="AE9801" s="417" t="s">
        <v>25417</v>
      </c>
      <c r="AF9801" s="416" t="s">
        <v>25418</v>
      </c>
    </row>
    <row r="9802" spans="31:32">
      <c r="AE9802" s="417" t="s">
        <v>25419</v>
      </c>
      <c r="AF9802" s="416" t="s">
        <v>25420</v>
      </c>
    </row>
    <row r="9803" spans="31:32">
      <c r="AE9803" s="417" t="s">
        <v>25421</v>
      </c>
      <c r="AF9803" s="416" t="s">
        <v>25422</v>
      </c>
    </row>
    <row r="9804" spans="31:32">
      <c r="AE9804" s="417" t="s">
        <v>25423</v>
      </c>
      <c r="AF9804" s="416" t="s">
        <v>25424</v>
      </c>
    </row>
    <row r="9805" spans="31:32">
      <c r="AE9805" s="417" t="s">
        <v>25425</v>
      </c>
      <c r="AF9805" s="416" t="s">
        <v>25426</v>
      </c>
    </row>
    <row r="9806" spans="31:32">
      <c r="AE9806" s="417" t="s">
        <v>25427</v>
      </c>
      <c r="AF9806" s="416" t="s">
        <v>25428</v>
      </c>
    </row>
    <row r="9807" spans="31:32">
      <c r="AE9807" s="417" t="s">
        <v>25429</v>
      </c>
      <c r="AF9807" s="416" t="s">
        <v>25430</v>
      </c>
    </row>
    <row r="9808" spans="31:32">
      <c r="AE9808" s="417" t="s">
        <v>25431</v>
      </c>
      <c r="AF9808" s="416" t="s">
        <v>25432</v>
      </c>
    </row>
    <row r="9809" spans="31:32">
      <c r="AE9809" s="417" t="s">
        <v>25433</v>
      </c>
      <c r="AF9809" s="416" t="s">
        <v>25434</v>
      </c>
    </row>
    <row r="9810" spans="31:32">
      <c r="AE9810" s="417" t="s">
        <v>25435</v>
      </c>
      <c r="AF9810" s="416" t="s">
        <v>25436</v>
      </c>
    </row>
    <row r="9811" spans="31:32">
      <c r="AE9811" s="417" t="s">
        <v>25437</v>
      </c>
      <c r="AF9811" s="416" t="s">
        <v>25438</v>
      </c>
    </row>
    <row r="9812" spans="31:32">
      <c r="AE9812" s="417" t="s">
        <v>25439</v>
      </c>
      <c r="AF9812" s="416" t="s">
        <v>25440</v>
      </c>
    </row>
    <row r="9813" spans="31:32">
      <c r="AE9813" s="417" t="s">
        <v>25441</v>
      </c>
      <c r="AF9813" s="416" t="s">
        <v>25442</v>
      </c>
    </row>
    <row r="9814" spans="31:32">
      <c r="AE9814" s="417" t="s">
        <v>25443</v>
      </c>
      <c r="AF9814" s="416" t="s">
        <v>25444</v>
      </c>
    </row>
    <row r="9815" spans="31:32">
      <c r="AE9815" s="417" t="s">
        <v>25445</v>
      </c>
      <c r="AF9815" s="416" t="s">
        <v>25446</v>
      </c>
    </row>
    <row r="9816" spans="31:32">
      <c r="AE9816" s="417" t="s">
        <v>25447</v>
      </c>
      <c r="AF9816" s="416" t="s">
        <v>25448</v>
      </c>
    </row>
    <row r="9817" spans="31:32">
      <c r="AE9817" s="417" t="s">
        <v>25449</v>
      </c>
      <c r="AF9817" s="416" t="s">
        <v>25450</v>
      </c>
    </row>
    <row r="9818" spans="31:32">
      <c r="AE9818" s="417" t="s">
        <v>25451</v>
      </c>
      <c r="AF9818" s="416" t="s">
        <v>25452</v>
      </c>
    </row>
    <row r="9819" spans="31:32">
      <c r="AE9819" s="417" t="s">
        <v>25453</v>
      </c>
      <c r="AF9819" s="416" t="s">
        <v>25454</v>
      </c>
    </row>
    <row r="9820" spans="31:32">
      <c r="AE9820" s="417" t="s">
        <v>25455</v>
      </c>
      <c r="AF9820" s="416" t="s">
        <v>25456</v>
      </c>
    </row>
    <row r="9821" spans="31:32">
      <c r="AE9821" s="417" t="s">
        <v>25457</v>
      </c>
      <c r="AF9821" s="416" t="s">
        <v>25458</v>
      </c>
    </row>
    <row r="9822" spans="31:32">
      <c r="AE9822" s="417" t="s">
        <v>25459</v>
      </c>
      <c r="AF9822" s="416" t="s">
        <v>25460</v>
      </c>
    </row>
    <row r="9823" spans="31:32">
      <c r="AE9823" s="417" t="s">
        <v>25461</v>
      </c>
      <c r="AF9823" s="416" t="s">
        <v>25462</v>
      </c>
    </row>
    <row r="9824" spans="31:32">
      <c r="AE9824" s="417" t="s">
        <v>25463</v>
      </c>
      <c r="AF9824" s="416" t="s">
        <v>25464</v>
      </c>
    </row>
    <row r="9825" spans="31:32">
      <c r="AE9825" s="417" t="s">
        <v>25465</v>
      </c>
      <c r="AF9825" s="416" t="s">
        <v>25466</v>
      </c>
    </row>
    <row r="9826" spans="31:32">
      <c r="AE9826" s="417" t="s">
        <v>25467</v>
      </c>
      <c r="AF9826" s="416" t="s">
        <v>25468</v>
      </c>
    </row>
    <row r="9827" spans="31:32">
      <c r="AE9827" s="417" t="s">
        <v>25469</v>
      </c>
      <c r="AF9827" s="416" t="s">
        <v>25470</v>
      </c>
    </row>
    <row r="9828" spans="31:32">
      <c r="AE9828" s="417" t="s">
        <v>25471</v>
      </c>
      <c r="AF9828" s="416" t="s">
        <v>25472</v>
      </c>
    </row>
    <row r="9829" spans="31:32">
      <c r="AE9829" s="417" t="s">
        <v>25473</v>
      </c>
      <c r="AF9829" s="416" t="s">
        <v>25474</v>
      </c>
    </row>
    <row r="9830" spans="31:32">
      <c r="AE9830" s="417" t="s">
        <v>25475</v>
      </c>
      <c r="AF9830" s="416" t="s">
        <v>25476</v>
      </c>
    </row>
    <row r="9831" spans="31:32">
      <c r="AE9831" s="417" t="s">
        <v>25477</v>
      </c>
      <c r="AF9831" s="416" t="s">
        <v>25478</v>
      </c>
    </row>
    <row r="9832" spans="31:32">
      <c r="AE9832" s="417" t="s">
        <v>25479</v>
      </c>
      <c r="AF9832" s="416" t="s">
        <v>25480</v>
      </c>
    </row>
    <row r="9833" spans="31:32">
      <c r="AE9833" s="417" t="s">
        <v>25481</v>
      </c>
      <c r="AF9833" s="416" t="s">
        <v>25482</v>
      </c>
    </row>
    <row r="9834" spans="31:32">
      <c r="AE9834" s="417" t="s">
        <v>25483</v>
      </c>
      <c r="AF9834" s="416" t="s">
        <v>25484</v>
      </c>
    </row>
    <row r="9835" spans="31:32">
      <c r="AE9835" s="417" t="s">
        <v>25485</v>
      </c>
      <c r="AF9835" s="416" t="s">
        <v>25486</v>
      </c>
    </row>
    <row r="9836" spans="31:32">
      <c r="AE9836" s="417" t="s">
        <v>25487</v>
      </c>
      <c r="AF9836" s="416" t="s">
        <v>25488</v>
      </c>
    </row>
    <row r="9837" spans="31:32">
      <c r="AE9837" s="417" t="s">
        <v>25489</v>
      </c>
      <c r="AF9837" s="416" t="s">
        <v>25490</v>
      </c>
    </row>
    <row r="9838" spans="31:32">
      <c r="AE9838" s="417" t="s">
        <v>25491</v>
      </c>
      <c r="AF9838" s="416" t="s">
        <v>25492</v>
      </c>
    </row>
    <row r="9839" spans="31:32">
      <c r="AE9839" s="417" t="s">
        <v>25493</v>
      </c>
      <c r="AF9839" s="416" t="s">
        <v>25494</v>
      </c>
    </row>
    <row r="9840" spans="31:32">
      <c r="AE9840" s="417" t="s">
        <v>25495</v>
      </c>
      <c r="AF9840" s="416" t="s">
        <v>25496</v>
      </c>
    </row>
    <row r="9841" spans="31:32">
      <c r="AE9841" s="417" t="s">
        <v>25497</v>
      </c>
      <c r="AF9841" s="416" t="s">
        <v>25498</v>
      </c>
    </row>
    <row r="9842" spans="31:32">
      <c r="AE9842" s="417" t="s">
        <v>25499</v>
      </c>
      <c r="AF9842" s="416" t="s">
        <v>25500</v>
      </c>
    </row>
    <row r="9843" spans="31:32">
      <c r="AE9843" s="417" t="s">
        <v>25501</v>
      </c>
      <c r="AF9843" s="416" t="s">
        <v>25502</v>
      </c>
    </row>
    <row r="9844" spans="31:32">
      <c r="AE9844" s="417" t="s">
        <v>25503</v>
      </c>
      <c r="AF9844" s="416" t="s">
        <v>25504</v>
      </c>
    </row>
    <row r="9845" spans="31:32">
      <c r="AE9845" s="417" t="s">
        <v>25505</v>
      </c>
      <c r="AF9845" s="416" t="s">
        <v>25506</v>
      </c>
    </row>
    <row r="9846" spans="31:32">
      <c r="AE9846" s="417" t="s">
        <v>25507</v>
      </c>
      <c r="AF9846" s="416" t="s">
        <v>25508</v>
      </c>
    </row>
    <row r="9847" spans="31:32">
      <c r="AE9847" s="417" t="s">
        <v>25509</v>
      </c>
      <c r="AF9847" s="416" t="s">
        <v>25510</v>
      </c>
    </row>
    <row r="9848" spans="31:32">
      <c r="AE9848" s="417" t="s">
        <v>25511</v>
      </c>
      <c r="AF9848" s="416" t="s">
        <v>25512</v>
      </c>
    </row>
    <row r="9849" spans="31:32">
      <c r="AE9849" s="417" t="s">
        <v>25513</v>
      </c>
      <c r="AF9849" s="416" t="s">
        <v>25514</v>
      </c>
    </row>
    <row r="9850" spans="31:32">
      <c r="AE9850" s="417" t="s">
        <v>25515</v>
      </c>
      <c r="AF9850" s="416" t="s">
        <v>25516</v>
      </c>
    </row>
    <row r="9851" spans="31:32">
      <c r="AE9851" s="417" t="s">
        <v>25517</v>
      </c>
      <c r="AF9851" s="416" t="s">
        <v>25518</v>
      </c>
    </row>
    <row r="9852" spans="31:32">
      <c r="AE9852" s="417" t="s">
        <v>25519</v>
      </c>
      <c r="AF9852" s="416" t="s">
        <v>25520</v>
      </c>
    </row>
    <row r="9853" spans="31:32">
      <c r="AE9853" s="417" t="s">
        <v>25521</v>
      </c>
      <c r="AF9853" s="416" t="s">
        <v>25522</v>
      </c>
    </row>
    <row r="9854" spans="31:32">
      <c r="AE9854" s="417" t="s">
        <v>25523</v>
      </c>
      <c r="AF9854" s="416" t="s">
        <v>25524</v>
      </c>
    </row>
    <row r="9855" spans="31:32">
      <c r="AE9855" s="417" t="s">
        <v>25525</v>
      </c>
      <c r="AF9855" s="416" t="s">
        <v>25526</v>
      </c>
    </row>
    <row r="9856" spans="31:32">
      <c r="AE9856" s="417" t="s">
        <v>25527</v>
      </c>
      <c r="AF9856" s="416" t="s">
        <v>25528</v>
      </c>
    </row>
    <row r="9857" spans="31:32">
      <c r="AE9857" s="417" t="s">
        <v>25529</v>
      </c>
      <c r="AF9857" s="416" t="s">
        <v>25530</v>
      </c>
    </row>
    <row r="9858" spans="31:32">
      <c r="AE9858" s="417" t="s">
        <v>25531</v>
      </c>
      <c r="AF9858" s="416" t="s">
        <v>25532</v>
      </c>
    </row>
    <row r="9859" spans="31:32">
      <c r="AE9859" s="417" t="s">
        <v>25533</v>
      </c>
      <c r="AF9859" s="416" t="s">
        <v>25534</v>
      </c>
    </row>
    <row r="9860" spans="31:32">
      <c r="AE9860" s="417" t="s">
        <v>25535</v>
      </c>
      <c r="AF9860" s="416" t="s">
        <v>25536</v>
      </c>
    </row>
    <row r="9861" spans="31:32">
      <c r="AE9861" s="417" t="s">
        <v>25537</v>
      </c>
      <c r="AF9861" s="416" t="s">
        <v>25538</v>
      </c>
    </row>
    <row r="9862" spans="31:32">
      <c r="AE9862" s="417" t="s">
        <v>25539</v>
      </c>
      <c r="AF9862" s="416" t="s">
        <v>25540</v>
      </c>
    </row>
    <row r="9863" spans="31:32">
      <c r="AE9863" s="417" t="s">
        <v>25541</v>
      </c>
      <c r="AF9863" s="416" t="s">
        <v>25542</v>
      </c>
    </row>
    <row r="9864" spans="31:32">
      <c r="AE9864" s="417" t="s">
        <v>25543</v>
      </c>
      <c r="AF9864" s="416" t="s">
        <v>25544</v>
      </c>
    </row>
    <row r="9865" spans="31:32">
      <c r="AE9865" s="417" t="s">
        <v>25545</v>
      </c>
      <c r="AF9865" s="416" t="s">
        <v>25546</v>
      </c>
    </row>
    <row r="9866" spans="31:32">
      <c r="AE9866" s="417" t="s">
        <v>25547</v>
      </c>
      <c r="AF9866" s="416" t="s">
        <v>25548</v>
      </c>
    </row>
    <row r="9867" spans="31:32">
      <c r="AE9867" s="417" t="s">
        <v>25549</v>
      </c>
      <c r="AF9867" s="416" t="s">
        <v>25550</v>
      </c>
    </row>
    <row r="9868" spans="31:32">
      <c r="AE9868" s="417" t="s">
        <v>25551</v>
      </c>
      <c r="AF9868" s="416" t="s">
        <v>25552</v>
      </c>
    </row>
    <row r="9869" spans="31:32">
      <c r="AE9869" s="417" t="s">
        <v>25553</v>
      </c>
      <c r="AF9869" s="416" t="s">
        <v>25554</v>
      </c>
    </row>
    <row r="9870" spans="31:32">
      <c r="AE9870" s="417" t="s">
        <v>25555</v>
      </c>
      <c r="AF9870" s="416" t="s">
        <v>25556</v>
      </c>
    </row>
    <row r="9871" spans="31:32">
      <c r="AE9871" s="417" t="s">
        <v>25557</v>
      </c>
      <c r="AF9871" s="416" t="s">
        <v>25558</v>
      </c>
    </row>
    <row r="9872" spans="31:32">
      <c r="AE9872" s="417" t="s">
        <v>25559</v>
      </c>
      <c r="AF9872" s="416" t="s">
        <v>25560</v>
      </c>
    </row>
    <row r="9873" spans="31:32">
      <c r="AE9873" s="417" t="s">
        <v>25561</v>
      </c>
      <c r="AF9873" s="416" t="s">
        <v>25562</v>
      </c>
    </row>
    <row r="9874" spans="31:32">
      <c r="AE9874" s="417" t="s">
        <v>25563</v>
      </c>
      <c r="AF9874" s="416" t="s">
        <v>25564</v>
      </c>
    </row>
    <row r="9875" spans="31:32">
      <c r="AE9875" s="417" t="s">
        <v>25565</v>
      </c>
      <c r="AF9875" s="416" t="s">
        <v>25566</v>
      </c>
    </row>
    <row r="9876" spans="31:32">
      <c r="AE9876" s="417" t="s">
        <v>25567</v>
      </c>
      <c r="AF9876" s="416" t="s">
        <v>25568</v>
      </c>
    </row>
    <row r="9877" spans="31:32">
      <c r="AE9877" s="417" t="s">
        <v>25569</v>
      </c>
      <c r="AF9877" s="416" t="s">
        <v>25570</v>
      </c>
    </row>
    <row r="9878" spans="31:32">
      <c r="AE9878" s="417" t="s">
        <v>25571</v>
      </c>
      <c r="AF9878" s="416" t="s">
        <v>25572</v>
      </c>
    </row>
    <row r="9879" spans="31:32">
      <c r="AE9879" s="417" t="s">
        <v>25573</v>
      </c>
      <c r="AF9879" s="416" t="s">
        <v>25574</v>
      </c>
    </row>
    <row r="9880" spans="31:32">
      <c r="AE9880" s="417" t="s">
        <v>25575</v>
      </c>
      <c r="AF9880" s="416" t="s">
        <v>25576</v>
      </c>
    </row>
    <row r="9881" spans="31:32">
      <c r="AE9881" s="417" t="s">
        <v>25577</v>
      </c>
      <c r="AF9881" s="416" t="s">
        <v>25578</v>
      </c>
    </row>
    <row r="9882" spans="31:32">
      <c r="AE9882" s="417" t="s">
        <v>25579</v>
      </c>
      <c r="AF9882" s="416" t="s">
        <v>25580</v>
      </c>
    </row>
    <row r="9883" spans="31:32">
      <c r="AE9883" s="417" t="s">
        <v>25581</v>
      </c>
      <c r="AF9883" s="416" t="s">
        <v>25582</v>
      </c>
    </row>
    <row r="9884" spans="31:32">
      <c r="AE9884" s="417" t="s">
        <v>25583</v>
      </c>
      <c r="AF9884" s="416" t="s">
        <v>25584</v>
      </c>
    </row>
    <row r="9885" spans="31:32">
      <c r="AE9885" s="417" t="s">
        <v>25585</v>
      </c>
      <c r="AF9885" s="416" t="s">
        <v>25586</v>
      </c>
    </row>
    <row r="9886" spans="31:32">
      <c r="AE9886" s="417" t="s">
        <v>25587</v>
      </c>
      <c r="AF9886" s="416" t="s">
        <v>25588</v>
      </c>
    </row>
    <row r="9887" spans="31:32">
      <c r="AE9887" s="417" t="s">
        <v>25589</v>
      </c>
      <c r="AF9887" s="416" t="s">
        <v>25590</v>
      </c>
    </row>
    <row r="9888" spans="31:32">
      <c r="AE9888" s="417" t="s">
        <v>25591</v>
      </c>
      <c r="AF9888" s="416" t="s">
        <v>25592</v>
      </c>
    </row>
    <row r="9889" spans="31:32">
      <c r="AE9889" s="417" t="s">
        <v>25593</v>
      </c>
      <c r="AF9889" s="416" t="s">
        <v>25594</v>
      </c>
    </row>
    <row r="9890" spans="31:32">
      <c r="AE9890" s="417" t="s">
        <v>25595</v>
      </c>
      <c r="AF9890" s="416" t="s">
        <v>25596</v>
      </c>
    </row>
    <row r="9891" spans="31:32">
      <c r="AE9891" s="417" t="s">
        <v>25597</v>
      </c>
      <c r="AF9891" s="416" t="s">
        <v>25598</v>
      </c>
    </row>
    <row r="9892" spans="31:32">
      <c r="AE9892" s="417" t="s">
        <v>25599</v>
      </c>
      <c r="AF9892" s="416" t="s">
        <v>25600</v>
      </c>
    </row>
    <row r="9893" spans="31:32">
      <c r="AE9893" s="417" t="s">
        <v>25601</v>
      </c>
      <c r="AF9893" s="416" t="s">
        <v>25602</v>
      </c>
    </row>
    <row r="9894" spans="31:32">
      <c r="AE9894" s="417" t="s">
        <v>25603</v>
      </c>
      <c r="AF9894" s="416" t="s">
        <v>25604</v>
      </c>
    </row>
    <row r="9895" spans="31:32">
      <c r="AE9895" s="417" t="s">
        <v>25605</v>
      </c>
      <c r="AF9895" s="416" t="s">
        <v>25606</v>
      </c>
    </row>
    <row r="9896" spans="31:32">
      <c r="AE9896" s="417" t="s">
        <v>25607</v>
      </c>
      <c r="AF9896" s="416" t="s">
        <v>25608</v>
      </c>
    </row>
    <row r="9897" spans="31:32">
      <c r="AE9897" s="417" t="s">
        <v>25609</v>
      </c>
      <c r="AF9897" s="416" t="s">
        <v>25610</v>
      </c>
    </row>
    <row r="9898" spans="31:32">
      <c r="AE9898" s="417" t="s">
        <v>25611</v>
      </c>
      <c r="AF9898" s="416" t="s">
        <v>25612</v>
      </c>
    </row>
    <row r="9899" spans="31:32">
      <c r="AE9899" s="417" t="s">
        <v>25613</v>
      </c>
      <c r="AF9899" s="416" t="s">
        <v>25614</v>
      </c>
    </row>
    <row r="9900" spans="31:32">
      <c r="AE9900" s="417" t="s">
        <v>25615</v>
      </c>
      <c r="AF9900" s="416" t="s">
        <v>25616</v>
      </c>
    </row>
    <row r="9901" spans="31:32">
      <c r="AE9901" s="417" t="s">
        <v>25617</v>
      </c>
      <c r="AF9901" s="416" t="s">
        <v>25618</v>
      </c>
    </row>
    <row r="9902" spans="31:32">
      <c r="AE9902" s="417" t="s">
        <v>25619</v>
      </c>
      <c r="AF9902" s="416" t="s">
        <v>25620</v>
      </c>
    </row>
    <row r="9903" spans="31:32">
      <c r="AE9903" s="417" t="s">
        <v>25621</v>
      </c>
      <c r="AF9903" s="416" t="s">
        <v>25622</v>
      </c>
    </row>
    <row r="9904" spans="31:32">
      <c r="AE9904" s="417" t="s">
        <v>25623</v>
      </c>
      <c r="AF9904" s="416" t="s">
        <v>25624</v>
      </c>
    </row>
    <row r="9905" spans="31:32">
      <c r="AE9905" s="417" t="s">
        <v>25625</v>
      </c>
      <c r="AF9905" s="416" t="s">
        <v>25626</v>
      </c>
    </row>
    <row r="9906" spans="31:32">
      <c r="AE9906" s="417" t="s">
        <v>25627</v>
      </c>
      <c r="AF9906" s="416" t="s">
        <v>25628</v>
      </c>
    </row>
    <row r="9907" spans="31:32">
      <c r="AE9907" s="417" t="s">
        <v>25629</v>
      </c>
      <c r="AF9907" s="416" t="s">
        <v>25630</v>
      </c>
    </row>
    <row r="9908" spans="31:32">
      <c r="AE9908" s="417" t="s">
        <v>25631</v>
      </c>
      <c r="AF9908" s="416" t="s">
        <v>25632</v>
      </c>
    </row>
    <row r="9909" spans="31:32">
      <c r="AE9909" s="417" t="s">
        <v>25633</v>
      </c>
      <c r="AF9909" s="416" t="s">
        <v>25634</v>
      </c>
    </row>
    <row r="9910" spans="31:32">
      <c r="AE9910" s="417" t="s">
        <v>25635</v>
      </c>
      <c r="AF9910" s="416" t="s">
        <v>25636</v>
      </c>
    </row>
    <row r="9911" spans="31:32">
      <c r="AE9911" s="417" t="s">
        <v>25637</v>
      </c>
      <c r="AF9911" s="416" t="s">
        <v>25638</v>
      </c>
    </row>
    <row r="9912" spans="31:32">
      <c r="AE9912" s="417" t="s">
        <v>25639</v>
      </c>
      <c r="AF9912" s="416" t="s">
        <v>25640</v>
      </c>
    </row>
    <row r="9913" spans="31:32">
      <c r="AE9913" s="417" t="s">
        <v>25641</v>
      </c>
      <c r="AF9913" s="416" t="s">
        <v>25642</v>
      </c>
    </row>
    <row r="9914" spans="31:32">
      <c r="AE9914" s="417" t="s">
        <v>25643</v>
      </c>
      <c r="AF9914" s="416" t="s">
        <v>25644</v>
      </c>
    </row>
    <row r="9915" spans="31:32">
      <c r="AE9915" s="417" t="s">
        <v>25645</v>
      </c>
      <c r="AF9915" s="416" t="s">
        <v>25646</v>
      </c>
    </row>
    <row r="9916" spans="31:32">
      <c r="AE9916" s="417" t="s">
        <v>25647</v>
      </c>
      <c r="AF9916" s="416" t="s">
        <v>25648</v>
      </c>
    </row>
    <row r="9917" spans="31:32">
      <c r="AE9917" s="417" t="s">
        <v>25649</v>
      </c>
      <c r="AF9917" s="416" t="s">
        <v>25650</v>
      </c>
    </row>
    <row r="9918" spans="31:32">
      <c r="AE9918" s="417" t="s">
        <v>25651</v>
      </c>
      <c r="AF9918" s="416" t="s">
        <v>25652</v>
      </c>
    </row>
    <row r="9919" spans="31:32">
      <c r="AE9919" s="417" t="s">
        <v>25653</v>
      </c>
      <c r="AF9919" s="416" t="s">
        <v>25654</v>
      </c>
    </row>
    <row r="9920" spans="31:32">
      <c r="AE9920" s="417" t="s">
        <v>25655</v>
      </c>
      <c r="AF9920" s="416" t="s">
        <v>25656</v>
      </c>
    </row>
    <row r="9921" spans="31:32">
      <c r="AE9921" s="417" t="s">
        <v>25657</v>
      </c>
      <c r="AF9921" s="416" t="s">
        <v>25658</v>
      </c>
    </row>
    <row r="9922" spans="31:32">
      <c r="AE9922" s="417" t="s">
        <v>25659</v>
      </c>
      <c r="AF9922" s="416" t="s">
        <v>25660</v>
      </c>
    </row>
    <row r="9923" spans="31:32">
      <c r="AE9923" s="417" t="s">
        <v>25661</v>
      </c>
      <c r="AF9923" s="416" t="s">
        <v>25662</v>
      </c>
    </row>
    <row r="9924" spans="31:32">
      <c r="AE9924" s="417" t="s">
        <v>25663</v>
      </c>
      <c r="AF9924" s="416" t="s">
        <v>25664</v>
      </c>
    </row>
    <row r="9925" spans="31:32">
      <c r="AE9925" s="417" t="s">
        <v>25665</v>
      </c>
      <c r="AF9925" s="416" t="s">
        <v>25666</v>
      </c>
    </row>
    <row r="9926" spans="31:32">
      <c r="AE9926" s="417" t="s">
        <v>25667</v>
      </c>
      <c r="AF9926" s="416" t="s">
        <v>25668</v>
      </c>
    </row>
    <row r="9927" spans="31:32">
      <c r="AE9927" s="417" t="s">
        <v>25669</v>
      </c>
      <c r="AF9927" s="416" t="s">
        <v>25670</v>
      </c>
    </row>
    <row r="9928" spans="31:32">
      <c r="AE9928" s="417" t="s">
        <v>25671</v>
      </c>
      <c r="AF9928" s="416" t="s">
        <v>25672</v>
      </c>
    </row>
    <row r="9929" spans="31:32">
      <c r="AE9929" s="417" t="s">
        <v>25673</v>
      </c>
      <c r="AF9929" s="416" t="s">
        <v>25674</v>
      </c>
    </row>
    <row r="9930" spans="31:32">
      <c r="AE9930" s="417" t="s">
        <v>25675</v>
      </c>
      <c r="AF9930" s="416" t="s">
        <v>25676</v>
      </c>
    </row>
    <row r="9931" spans="31:32">
      <c r="AE9931" s="417" t="s">
        <v>25677</v>
      </c>
      <c r="AF9931" s="416" t="s">
        <v>25678</v>
      </c>
    </row>
    <row r="9932" spans="31:32">
      <c r="AE9932" s="417" t="s">
        <v>25679</v>
      </c>
      <c r="AF9932" s="416" t="s">
        <v>25680</v>
      </c>
    </row>
    <row r="9933" spans="31:32">
      <c r="AE9933" s="417" t="s">
        <v>25681</v>
      </c>
      <c r="AF9933" s="416" t="s">
        <v>25682</v>
      </c>
    </row>
    <row r="9934" spans="31:32">
      <c r="AE9934" s="417" t="s">
        <v>25683</v>
      </c>
      <c r="AF9934" s="416" t="s">
        <v>25684</v>
      </c>
    </row>
    <row r="9935" spans="31:32">
      <c r="AE9935" s="417" t="s">
        <v>25685</v>
      </c>
      <c r="AF9935" s="416" t="s">
        <v>25686</v>
      </c>
    </row>
    <row r="9936" spans="31:32">
      <c r="AE9936" s="417" t="s">
        <v>25687</v>
      </c>
      <c r="AF9936" s="416" t="s">
        <v>25688</v>
      </c>
    </row>
    <row r="9937" spans="31:32">
      <c r="AE9937" s="417" t="s">
        <v>25689</v>
      </c>
      <c r="AF9937" s="416" t="s">
        <v>25690</v>
      </c>
    </row>
    <row r="9938" spans="31:32">
      <c r="AE9938" s="417" t="s">
        <v>25691</v>
      </c>
      <c r="AF9938" s="416" t="s">
        <v>25692</v>
      </c>
    </row>
    <row r="9939" spans="31:32">
      <c r="AE9939" s="417" t="s">
        <v>25693</v>
      </c>
      <c r="AF9939" s="416" t="s">
        <v>25694</v>
      </c>
    </row>
    <row r="9940" spans="31:32">
      <c r="AE9940" s="417" t="s">
        <v>25695</v>
      </c>
      <c r="AF9940" s="416" t="s">
        <v>25696</v>
      </c>
    </row>
    <row r="9941" spans="31:32">
      <c r="AE9941" s="417" t="s">
        <v>25697</v>
      </c>
      <c r="AF9941" s="416" t="s">
        <v>25698</v>
      </c>
    </row>
    <row r="9942" spans="31:32">
      <c r="AE9942" s="417" t="s">
        <v>25699</v>
      </c>
      <c r="AF9942" s="416" t="s">
        <v>25700</v>
      </c>
    </row>
    <row r="9943" spans="31:32">
      <c r="AE9943" s="417" t="s">
        <v>25701</v>
      </c>
      <c r="AF9943" s="416" t="s">
        <v>25702</v>
      </c>
    </row>
    <row r="9944" spans="31:32">
      <c r="AE9944" s="417" t="s">
        <v>25703</v>
      </c>
      <c r="AF9944" s="416" t="s">
        <v>25704</v>
      </c>
    </row>
    <row r="9945" spans="31:32">
      <c r="AE9945" s="417" t="s">
        <v>25705</v>
      </c>
      <c r="AF9945" s="416" t="s">
        <v>25706</v>
      </c>
    </row>
    <row r="9946" spans="31:32">
      <c r="AE9946" s="417" t="s">
        <v>25707</v>
      </c>
      <c r="AF9946" s="416" t="s">
        <v>25708</v>
      </c>
    </row>
    <row r="9947" spans="31:32">
      <c r="AE9947" s="417" t="s">
        <v>25709</v>
      </c>
      <c r="AF9947" s="416" t="s">
        <v>25710</v>
      </c>
    </row>
    <row r="9948" spans="31:32">
      <c r="AE9948" s="417" t="s">
        <v>25711</v>
      </c>
      <c r="AF9948" s="416" t="s">
        <v>25712</v>
      </c>
    </row>
    <row r="9949" spans="31:32">
      <c r="AE9949" s="417" t="s">
        <v>25713</v>
      </c>
      <c r="AF9949" s="416" t="s">
        <v>25714</v>
      </c>
    </row>
    <row r="9950" spans="31:32">
      <c r="AE9950" s="417" t="s">
        <v>25715</v>
      </c>
      <c r="AF9950" s="416" t="s">
        <v>25716</v>
      </c>
    </row>
    <row r="9951" spans="31:32">
      <c r="AE9951" s="417" t="s">
        <v>25717</v>
      </c>
      <c r="AF9951" s="416" t="s">
        <v>25718</v>
      </c>
    </row>
    <row r="9952" spans="31:32">
      <c r="AE9952" s="417" t="s">
        <v>25719</v>
      </c>
      <c r="AF9952" s="416" t="s">
        <v>25720</v>
      </c>
    </row>
    <row r="9953" spans="31:32">
      <c r="AE9953" s="417" t="s">
        <v>25721</v>
      </c>
      <c r="AF9953" s="416" t="s">
        <v>25722</v>
      </c>
    </row>
    <row r="9954" spans="31:32">
      <c r="AE9954" s="417" t="s">
        <v>25723</v>
      </c>
      <c r="AF9954" s="416" t="s">
        <v>25724</v>
      </c>
    </row>
    <row r="9955" spans="31:32">
      <c r="AE9955" s="417" t="s">
        <v>25725</v>
      </c>
      <c r="AF9955" s="416" t="s">
        <v>25726</v>
      </c>
    </row>
    <row r="9956" spans="31:32">
      <c r="AE9956" s="417" t="s">
        <v>25727</v>
      </c>
      <c r="AF9956" s="416" t="s">
        <v>25728</v>
      </c>
    </row>
    <row r="9957" spans="31:32">
      <c r="AE9957" s="417" t="s">
        <v>25729</v>
      </c>
      <c r="AF9957" s="416" t="s">
        <v>25730</v>
      </c>
    </row>
    <row r="9958" spans="31:32">
      <c r="AE9958" s="417" t="s">
        <v>25731</v>
      </c>
      <c r="AF9958" s="416" t="s">
        <v>25732</v>
      </c>
    </row>
    <row r="9959" spans="31:32">
      <c r="AE9959" s="417" t="s">
        <v>25733</v>
      </c>
      <c r="AF9959" s="416" t="s">
        <v>25734</v>
      </c>
    </row>
    <row r="9960" spans="31:32">
      <c r="AE9960" s="417" t="s">
        <v>25735</v>
      </c>
      <c r="AF9960" s="416" t="s">
        <v>25736</v>
      </c>
    </row>
    <row r="9961" spans="31:32">
      <c r="AE9961" s="417" t="s">
        <v>25737</v>
      </c>
      <c r="AF9961" s="416" t="s">
        <v>25738</v>
      </c>
    </row>
    <row r="9962" spans="31:32">
      <c r="AE9962" s="417" t="s">
        <v>25739</v>
      </c>
      <c r="AF9962" s="416" t="s">
        <v>25740</v>
      </c>
    </row>
    <row r="9963" spans="31:32">
      <c r="AE9963" s="417" t="s">
        <v>25741</v>
      </c>
      <c r="AF9963" s="416" t="s">
        <v>25742</v>
      </c>
    </row>
    <row r="9964" spans="31:32">
      <c r="AE9964" s="417" t="s">
        <v>25743</v>
      </c>
      <c r="AF9964" s="416" t="s">
        <v>25744</v>
      </c>
    </row>
    <row r="9965" spans="31:32">
      <c r="AE9965" s="417" t="s">
        <v>25745</v>
      </c>
      <c r="AF9965" s="416" t="s">
        <v>25746</v>
      </c>
    </row>
    <row r="9966" spans="31:32">
      <c r="AE9966" s="417" t="s">
        <v>25747</v>
      </c>
      <c r="AF9966" s="416" t="s">
        <v>25748</v>
      </c>
    </row>
    <row r="9967" spans="31:32">
      <c r="AE9967" s="417" t="s">
        <v>25749</v>
      </c>
      <c r="AF9967" s="416" t="s">
        <v>25750</v>
      </c>
    </row>
    <row r="9968" spans="31:32">
      <c r="AE9968" s="417" t="s">
        <v>25751</v>
      </c>
      <c r="AF9968" s="416" t="s">
        <v>25752</v>
      </c>
    </row>
    <row r="9969" spans="31:32">
      <c r="AE9969" s="417" t="s">
        <v>25753</v>
      </c>
      <c r="AF9969" s="416" t="s">
        <v>25754</v>
      </c>
    </row>
    <row r="9970" spans="31:32">
      <c r="AE9970" s="417" t="s">
        <v>25755</v>
      </c>
      <c r="AF9970" s="416" t="s">
        <v>25756</v>
      </c>
    </row>
    <row r="9971" spans="31:32">
      <c r="AE9971" s="417" t="s">
        <v>25757</v>
      </c>
      <c r="AF9971" s="416" t="s">
        <v>25758</v>
      </c>
    </row>
    <row r="9972" spans="31:32">
      <c r="AE9972" s="417" t="s">
        <v>25759</v>
      </c>
      <c r="AF9972" s="416" t="s">
        <v>25760</v>
      </c>
    </row>
    <row r="9973" spans="31:32">
      <c r="AE9973" s="417" t="s">
        <v>25761</v>
      </c>
      <c r="AF9973" s="416" t="s">
        <v>25762</v>
      </c>
    </row>
    <row r="9974" spans="31:32">
      <c r="AE9974" s="417" t="s">
        <v>25763</v>
      </c>
      <c r="AF9974" s="416" t="s">
        <v>25764</v>
      </c>
    </row>
    <row r="9975" spans="31:32">
      <c r="AE9975" s="417" t="s">
        <v>25765</v>
      </c>
      <c r="AF9975" s="416" t="s">
        <v>25766</v>
      </c>
    </row>
    <row r="9976" spans="31:32">
      <c r="AE9976" s="417" t="s">
        <v>25767</v>
      </c>
      <c r="AF9976" s="416" t="s">
        <v>25768</v>
      </c>
    </row>
    <row r="9977" spans="31:32">
      <c r="AE9977" s="417" t="s">
        <v>25769</v>
      </c>
      <c r="AF9977" s="416" t="s">
        <v>25770</v>
      </c>
    </row>
    <row r="9978" spans="31:32">
      <c r="AE9978" s="417" t="s">
        <v>25771</v>
      </c>
      <c r="AF9978" s="416" t="s">
        <v>25772</v>
      </c>
    </row>
    <row r="9979" spans="31:32">
      <c r="AE9979" s="417" t="s">
        <v>25773</v>
      </c>
      <c r="AF9979" s="416" t="s">
        <v>25774</v>
      </c>
    </row>
    <row r="9980" spans="31:32">
      <c r="AE9980" s="417" t="s">
        <v>25775</v>
      </c>
      <c r="AF9980" s="416" t="s">
        <v>25776</v>
      </c>
    </row>
    <row r="9981" spans="31:32">
      <c r="AE9981" s="417" t="s">
        <v>25777</v>
      </c>
      <c r="AF9981" s="416" t="s">
        <v>25778</v>
      </c>
    </row>
    <row r="9982" spans="31:32">
      <c r="AE9982" s="417" t="s">
        <v>25779</v>
      </c>
      <c r="AF9982" s="416" t="s">
        <v>25780</v>
      </c>
    </row>
    <row r="9983" spans="31:32">
      <c r="AE9983" s="417" t="s">
        <v>25781</v>
      </c>
      <c r="AF9983" s="416" t="s">
        <v>25782</v>
      </c>
    </row>
    <row r="9984" spans="31:32">
      <c r="AE9984" s="417" t="s">
        <v>25783</v>
      </c>
      <c r="AF9984" s="416" t="s">
        <v>25784</v>
      </c>
    </row>
    <row r="9985" spans="31:32">
      <c r="AE9985" s="417" t="s">
        <v>25785</v>
      </c>
      <c r="AF9985" s="416" t="s">
        <v>25786</v>
      </c>
    </row>
    <row r="9986" spans="31:32">
      <c r="AE9986" s="417" t="s">
        <v>25787</v>
      </c>
      <c r="AF9986" s="416" t="s">
        <v>25788</v>
      </c>
    </row>
    <row r="9987" spans="31:32">
      <c r="AE9987" s="417" t="s">
        <v>25789</v>
      </c>
      <c r="AF9987" s="416" t="s">
        <v>25790</v>
      </c>
    </row>
    <row r="9988" spans="31:32">
      <c r="AE9988" s="417" t="s">
        <v>25791</v>
      </c>
      <c r="AF9988" s="416" t="s">
        <v>25792</v>
      </c>
    </row>
    <row r="9989" spans="31:32">
      <c r="AE9989" s="417" t="s">
        <v>25793</v>
      </c>
      <c r="AF9989" s="416" t="s">
        <v>25794</v>
      </c>
    </row>
    <row r="9990" spans="31:32">
      <c r="AE9990" s="417" t="s">
        <v>25795</v>
      </c>
      <c r="AF9990" s="416" t="s">
        <v>25796</v>
      </c>
    </row>
    <row r="9991" spans="31:32">
      <c r="AE9991" s="417" t="s">
        <v>25797</v>
      </c>
      <c r="AF9991" s="416" t="s">
        <v>25798</v>
      </c>
    </row>
    <row r="9992" spans="31:32">
      <c r="AE9992" s="417" t="s">
        <v>25799</v>
      </c>
      <c r="AF9992" s="416" t="s">
        <v>25800</v>
      </c>
    </row>
    <row r="9993" spans="31:32">
      <c r="AE9993" s="417" t="s">
        <v>25801</v>
      </c>
      <c r="AF9993" s="416" t="s">
        <v>25802</v>
      </c>
    </row>
    <row r="9994" spans="31:32">
      <c r="AE9994" s="417" t="s">
        <v>25803</v>
      </c>
      <c r="AF9994" s="416" t="s">
        <v>25804</v>
      </c>
    </row>
    <row r="9995" spans="31:32">
      <c r="AE9995" s="417" t="s">
        <v>25805</v>
      </c>
      <c r="AF9995" s="416" t="s">
        <v>25806</v>
      </c>
    </row>
    <row r="9996" spans="31:32">
      <c r="AE9996" s="417" t="s">
        <v>25807</v>
      </c>
      <c r="AF9996" s="416" t="s">
        <v>25808</v>
      </c>
    </row>
    <row r="9997" spans="31:32">
      <c r="AE9997" s="417" t="s">
        <v>25809</v>
      </c>
      <c r="AF9997" s="416" t="s">
        <v>25810</v>
      </c>
    </row>
    <row r="9998" spans="31:32">
      <c r="AE9998" s="417" t="s">
        <v>25811</v>
      </c>
      <c r="AF9998" s="416" t="s">
        <v>25812</v>
      </c>
    </row>
    <row r="9999" spans="31:32">
      <c r="AE9999" s="417" t="s">
        <v>25813</v>
      </c>
      <c r="AF9999" s="416" t="s">
        <v>25814</v>
      </c>
    </row>
    <row r="10000" spans="31:32">
      <c r="AE10000" s="417" t="s">
        <v>25815</v>
      </c>
      <c r="AF10000" s="416" t="s">
        <v>25816</v>
      </c>
    </row>
    <row r="10001" spans="31:32">
      <c r="AE10001" s="417" t="s">
        <v>25817</v>
      </c>
      <c r="AF10001" s="416" t="s">
        <v>25818</v>
      </c>
    </row>
    <row r="10002" spans="31:32">
      <c r="AE10002" s="417" t="s">
        <v>25819</v>
      </c>
      <c r="AF10002" s="416" t="s">
        <v>25820</v>
      </c>
    </row>
    <row r="10003" spans="31:32">
      <c r="AE10003" s="417" t="s">
        <v>25821</v>
      </c>
      <c r="AF10003" s="416" t="s">
        <v>25822</v>
      </c>
    </row>
    <row r="10004" spans="31:32">
      <c r="AE10004" s="417" t="s">
        <v>25823</v>
      </c>
      <c r="AF10004" s="416" t="s">
        <v>25824</v>
      </c>
    </row>
    <row r="10005" spans="31:32">
      <c r="AE10005" s="417" t="s">
        <v>25825</v>
      </c>
      <c r="AF10005" s="416" t="s">
        <v>25826</v>
      </c>
    </row>
    <row r="10006" spans="31:32">
      <c r="AE10006" s="417" t="s">
        <v>25827</v>
      </c>
      <c r="AF10006" s="416" t="s">
        <v>25828</v>
      </c>
    </row>
    <row r="10007" spans="31:32">
      <c r="AE10007" s="417" t="s">
        <v>25829</v>
      </c>
      <c r="AF10007" s="416" t="s">
        <v>25830</v>
      </c>
    </row>
    <row r="10008" spans="31:32">
      <c r="AE10008" s="417" t="s">
        <v>25831</v>
      </c>
      <c r="AF10008" s="416" t="s">
        <v>25832</v>
      </c>
    </row>
    <row r="10009" spans="31:32">
      <c r="AE10009" s="417" t="s">
        <v>25833</v>
      </c>
      <c r="AF10009" s="416" t="s">
        <v>25834</v>
      </c>
    </row>
    <row r="10010" spans="31:32">
      <c r="AE10010" s="417" t="s">
        <v>25835</v>
      </c>
      <c r="AF10010" s="416" t="s">
        <v>25836</v>
      </c>
    </row>
    <row r="10011" spans="31:32">
      <c r="AE10011" s="417" t="s">
        <v>25837</v>
      </c>
      <c r="AF10011" s="416" t="s">
        <v>25838</v>
      </c>
    </row>
    <row r="10012" spans="31:32">
      <c r="AE10012" s="417" t="s">
        <v>25839</v>
      </c>
      <c r="AF10012" s="416" t="s">
        <v>25840</v>
      </c>
    </row>
    <row r="10013" spans="31:32">
      <c r="AE10013" s="417" t="s">
        <v>25841</v>
      </c>
      <c r="AF10013" s="416" t="s">
        <v>25842</v>
      </c>
    </row>
    <row r="10014" spans="31:32">
      <c r="AE10014" s="417" t="s">
        <v>25843</v>
      </c>
      <c r="AF10014" s="416" t="s">
        <v>25844</v>
      </c>
    </row>
    <row r="10015" spans="31:32">
      <c r="AE10015" s="417" t="s">
        <v>25845</v>
      </c>
      <c r="AF10015" s="416" t="s">
        <v>25846</v>
      </c>
    </row>
    <row r="10016" spans="31:32">
      <c r="AE10016" s="417" t="s">
        <v>25847</v>
      </c>
      <c r="AF10016" s="416" t="s">
        <v>25848</v>
      </c>
    </row>
    <row r="10017" spans="31:32">
      <c r="AE10017" s="417" t="s">
        <v>25849</v>
      </c>
      <c r="AF10017" s="416" t="s">
        <v>25850</v>
      </c>
    </row>
    <row r="10018" spans="31:32">
      <c r="AE10018" s="417" t="s">
        <v>25851</v>
      </c>
      <c r="AF10018" s="416" t="s">
        <v>25852</v>
      </c>
    </row>
    <row r="10019" spans="31:32">
      <c r="AE10019" s="417" t="s">
        <v>25853</v>
      </c>
      <c r="AF10019" s="416" t="s">
        <v>25854</v>
      </c>
    </row>
    <row r="10020" spans="31:32">
      <c r="AE10020" s="417" t="s">
        <v>25855</v>
      </c>
      <c r="AF10020" s="416" t="s">
        <v>25856</v>
      </c>
    </row>
    <row r="10021" spans="31:32">
      <c r="AE10021" s="417" t="s">
        <v>25857</v>
      </c>
      <c r="AF10021" s="416" t="s">
        <v>25858</v>
      </c>
    </row>
    <row r="10022" spans="31:32">
      <c r="AE10022" s="417" t="s">
        <v>25859</v>
      </c>
      <c r="AF10022" s="416" t="s">
        <v>25860</v>
      </c>
    </row>
    <row r="10023" spans="31:32">
      <c r="AE10023" s="417" t="s">
        <v>25861</v>
      </c>
      <c r="AF10023" s="416" t="s">
        <v>25862</v>
      </c>
    </row>
    <row r="10024" spans="31:32">
      <c r="AE10024" s="417" t="s">
        <v>25863</v>
      </c>
      <c r="AF10024" s="416" t="s">
        <v>25864</v>
      </c>
    </row>
    <row r="10025" spans="31:32">
      <c r="AE10025" s="417" t="s">
        <v>25865</v>
      </c>
      <c r="AF10025" s="416" t="s">
        <v>25866</v>
      </c>
    </row>
    <row r="10026" spans="31:32">
      <c r="AE10026" s="417" t="s">
        <v>25867</v>
      </c>
      <c r="AF10026" s="416" t="s">
        <v>25868</v>
      </c>
    </row>
    <row r="10027" spans="31:32">
      <c r="AE10027" s="417" t="s">
        <v>25869</v>
      </c>
      <c r="AF10027" s="416" t="s">
        <v>25870</v>
      </c>
    </row>
    <row r="10028" spans="31:32">
      <c r="AE10028" s="417" t="s">
        <v>25871</v>
      </c>
      <c r="AF10028" s="416" t="s">
        <v>25872</v>
      </c>
    </row>
    <row r="10029" spans="31:32">
      <c r="AE10029" s="417" t="s">
        <v>25873</v>
      </c>
      <c r="AF10029" s="416" t="s">
        <v>25874</v>
      </c>
    </row>
    <row r="10030" spans="31:32">
      <c r="AE10030" s="417" t="s">
        <v>25875</v>
      </c>
      <c r="AF10030" s="416" t="s">
        <v>25876</v>
      </c>
    </row>
    <row r="10031" spans="31:32">
      <c r="AE10031" s="417" t="s">
        <v>25877</v>
      </c>
      <c r="AF10031" s="416" t="s">
        <v>25878</v>
      </c>
    </row>
    <row r="10032" spans="31:32">
      <c r="AE10032" s="417" t="s">
        <v>25879</v>
      </c>
      <c r="AF10032" s="416" t="s">
        <v>25880</v>
      </c>
    </row>
    <row r="10033" spans="31:32">
      <c r="AE10033" s="417" t="s">
        <v>25881</v>
      </c>
      <c r="AF10033" s="416" t="s">
        <v>25882</v>
      </c>
    </row>
    <row r="10034" spans="31:32">
      <c r="AE10034" s="417" t="s">
        <v>25883</v>
      </c>
      <c r="AF10034" s="416" t="s">
        <v>25884</v>
      </c>
    </row>
    <row r="10035" spans="31:32">
      <c r="AE10035" s="417" t="s">
        <v>25885</v>
      </c>
      <c r="AF10035" s="416" t="s">
        <v>25886</v>
      </c>
    </row>
    <row r="10036" spans="31:32">
      <c r="AE10036" s="417" t="s">
        <v>25887</v>
      </c>
      <c r="AF10036" s="416" t="s">
        <v>25888</v>
      </c>
    </row>
    <row r="10037" spans="31:32">
      <c r="AE10037" s="417" t="s">
        <v>25889</v>
      </c>
      <c r="AF10037" s="416" t="s">
        <v>25890</v>
      </c>
    </row>
    <row r="10038" spans="31:32">
      <c r="AE10038" s="417" t="s">
        <v>25891</v>
      </c>
      <c r="AF10038" s="416" t="s">
        <v>25892</v>
      </c>
    </row>
    <row r="10039" spans="31:32">
      <c r="AE10039" s="417" t="s">
        <v>25893</v>
      </c>
      <c r="AF10039" s="416" t="s">
        <v>25894</v>
      </c>
    </row>
    <row r="10040" spans="31:32">
      <c r="AE10040" s="417" t="s">
        <v>25895</v>
      </c>
      <c r="AF10040" s="416" t="s">
        <v>25896</v>
      </c>
    </row>
    <row r="10041" spans="31:32">
      <c r="AE10041" s="417" t="s">
        <v>25897</v>
      </c>
      <c r="AF10041" s="416" t="s">
        <v>25898</v>
      </c>
    </row>
    <row r="10042" spans="31:32">
      <c r="AE10042" s="417" t="s">
        <v>25899</v>
      </c>
      <c r="AF10042" s="416" t="s">
        <v>25900</v>
      </c>
    </row>
    <row r="10043" spans="31:32">
      <c r="AE10043" s="417" t="s">
        <v>25901</v>
      </c>
      <c r="AF10043" s="416" t="s">
        <v>25902</v>
      </c>
    </row>
    <row r="10044" spans="31:32">
      <c r="AE10044" s="417" t="s">
        <v>25903</v>
      </c>
      <c r="AF10044" s="416" t="s">
        <v>25904</v>
      </c>
    </row>
    <row r="10045" spans="31:32">
      <c r="AE10045" s="417" t="s">
        <v>25905</v>
      </c>
      <c r="AF10045" s="416" t="s">
        <v>25906</v>
      </c>
    </row>
    <row r="10046" spans="31:32">
      <c r="AE10046" s="417" t="s">
        <v>25907</v>
      </c>
      <c r="AF10046" s="416" t="s">
        <v>25908</v>
      </c>
    </row>
    <row r="10047" spans="31:32">
      <c r="AE10047" s="417" t="s">
        <v>25909</v>
      </c>
      <c r="AF10047" s="416" t="s">
        <v>25910</v>
      </c>
    </row>
    <row r="10048" spans="31:32">
      <c r="AE10048" s="417" t="s">
        <v>25911</v>
      </c>
      <c r="AF10048" s="416" t="s">
        <v>25912</v>
      </c>
    </row>
    <row r="10049" spans="31:32">
      <c r="AE10049" s="417" t="s">
        <v>25913</v>
      </c>
      <c r="AF10049" s="416" t="s">
        <v>25914</v>
      </c>
    </row>
    <row r="10050" spans="31:32">
      <c r="AE10050" s="417" t="s">
        <v>25915</v>
      </c>
      <c r="AF10050" s="416" t="s">
        <v>25916</v>
      </c>
    </row>
    <row r="10051" spans="31:32">
      <c r="AE10051" s="417" t="s">
        <v>25917</v>
      </c>
      <c r="AF10051" s="416" t="s">
        <v>25918</v>
      </c>
    </row>
    <row r="10052" spans="31:32">
      <c r="AE10052" s="417" t="s">
        <v>25919</v>
      </c>
      <c r="AF10052" s="416" t="s">
        <v>25920</v>
      </c>
    </row>
    <row r="10053" spans="31:32">
      <c r="AE10053" s="417" t="s">
        <v>25921</v>
      </c>
      <c r="AF10053" s="416" t="s">
        <v>25922</v>
      </c>
    </row>
    <row r="10054" spans="31:32">
      <c r="AE10054" s="417" t="s">
        <v>25923</v>
      </c>
      <c r="AF10054" s="416" t="s">
        <v>25924</v>
      </c>
    </row>
    <row r="10055" spans="31:32">
      <c r="AE10055" s="417" t="s">
        <v>25925</v>
      </c>
      <c r="AF10055" s="416" t="s">
        <v>25926</v>
      </c>
    </row>
    <row r="10056" spans="31:32">
      <c r="AE10056" s="417" t="s">
        <v>25927</v>
      </c>
      <c r="AF10056" s="416" t="s">
        <v>25928</v>
      </c>
    </row>
    <row r="10057" spans="31:32">
      <c r="AE10057" s="417" t="s">
        <v>25929</v>
      </c>
      <c r="AF10057" s="416" t="s">
        <v>25930</v>
      </c>
    </row>
    <row r="10058" spans="31:32">
      <c r="AE10058" s="417" t="s">
        <v>25931</v>
      </c>
      <c r="AF10058" s="416" t="s">
        <v>25932</v>
      </c>
    </row>
    <row r="10059" spans="31:32">
      <c r="AE10059" s="417" t="s">
        <v>25933</v>
      </c>
      <c r="AF10059" s="416" t="s">
        <v>25934</v>
      </c>
    </row>
    <row r="10060" spans="31:32">
      <c r="AE10060" s="417" t="s">
        <v>25935</v>
      </c>
      <c r="AF10060" s="416" t="s">
        <v>25886</v>
      </c>
    </row>
    <row r="10061" spans="31:32">
      <c r="AE10061" s="417" t="s">
        <v>25936</v>
      </c>
      <c r="AF10061" s="416" t="s">
        <v>25937</v>
      </c>
    </row>
    <row r="10062" spans="31:32">
      <c r="AE10062" s="417" t="s">
        <v>25938</v>
      </c>
      <c r="AF10062" s="416" t="s">
        <v>25939</v>
      </c>
    </row>
    <row r="10063" spans="31:32">
      <c r="AE10063" s="417" t="s">
        <v>25940</v>
      </c>
      <c r="AF10063" s="416" t="s">
        <v>25941</v>
      </c>
    </row>
    <row r="10064" spans="31:32">
      <c r="AE10064" s="417" t="s">
        <v>25942</v>
      </c>
      <c r="AF10064" s="416" t="s">
        <v>25943</v>
      </c>
    </row>
    <row r="10065" spans="31:32">
      <c r="AE10065" s="417" t="s">
        <v>25944</v>
      </c>
      <c r="AF10065" s="416" t="s">
        <v>25945</v>
      </c>
    </row>
    <row r="10066" spans="31:32">
      <c r="AE10066" s="417" t="s">
        <v>25946</v>
      </c>
      <c r="AF10066" s="416" t="s">
        <v>25947</v>
      </c>
    </row>
    <row r="10067" spans="31:32">
      <c r="AE10067" s="417" t="s">
        <v>25948</v>
      </c>
      <c r="AF10067" s="416" t="s">
        <v>25949</v>
      </c>
    </row>
    <row r="10068" spans="31:32">
      <c r="AE10068" s="417" t="s">
        <v>25950</v>
      </c>
      <c r="AF10068" s="416" t="s">
        <v>25951</v>
      </c>
    </row>
    <row r="10069" spans="31:32">
      <c r="AE10069" s="417" t="s">
        <v>25952</v>
      </c>
      <c r="AF10069" s="416" t="s">
        <v>25953</v>
      </c>
    </row>
    <row r="10070" spans="31:32">
      <c r="AE10070" s="417" t="s">
        <v>25954</v>
      </c>
      <c r="AF10070" s="416" t="s">
        <v>25955</v>
      </c>
    </row>
    <row r="10071" spans="31:32">
      <c r="AE10071" s="417" t="s">
        <v>25956</v>
      </c>
      <c r="AF10071" s="416" t="s">
        <v>25957</v>
      </c>
    </row>
    <row r="10072" spans="31:32">
      <c r="AE10072" s="417" t="s">
        <v>25958</v>
      </c>
      <c r="AF10072" s="416" t="s">
        <v>25959</v>
      </c>
    </row>
    <row r="10073" spans="31:32">
      <c r="AE10073" s="417" t="s">
        <v>25960</v>
      </c>
      <c r="AF10073" s="416" t="s">
        <v>25961</v>
      </c>
    </row>
    <row r="10074" spans="31:32">
      <c r="AE10074" s="417" t="s">
        <v>25962</v>
      </c>
      <c r="AF10074" s="416" t="s">
        <v>25963</v>
      </c>
    </row>
    <row r="10075" spans="31:32">
      <c r="AE10075" s="417" t="s">
        <v>25964</v>
      </c>
      <c r="AF10075" s="416" t="s">
        <v>25965</v>
      </c>
    </row>
    <row r="10076" spans="31:32">
      <c r="AE10076" s="417" t="s">
        <v>25966</v>
      </c>
      <c r="AF10076" s="416" t="s">
        <v>25967</v>
      </c>
    </row>
    <row r="10077" spans="31:32">
      <c r="AE10077" s="417" t="s">
        <v>25968</v>
      </c>
      <c r="AF10077" s="416" t="s">
        <v>25969</v>
      </c>
    </row>
    <row r="10078" spans="31:32">
      <c r="AE10078" s="417" t="s">
        <v>25970</v>
      </c>
      <c r="AF10078" s="416" t="s">
        <v>25971</v>
      </c>
    </row>
    <row r="10079" spans="31:32">
      <c r="AE10079" s="417" t="s">
        <v>25972</v>
      </c>
      <c r="AF10079" s="416" t="s">
        <v>25973</v>
      </c>
    </row>
    <row r="10080" spans="31:32">
      <c r="AE10080" s="417" t="s">
        <v>25974</v>
      </c>
      <c r="AF10080" s="416" t="s">
        <v>25975</v>
      </c>
    </row>
    <row r="10081" spans="31:32">
      <c r="AE10081" s="417" t="s">
        <v>25976</v>
      </c>
      <c r="AF10081" s="416" t="s">
        <v>25977</v>
      </c>
    </row>
    <row r="10082" spans="31:32">
      <c r="AE10082" s="417" t="s">
        <v>25978</v>
      </c>
      <c r="AF10082" s="416" t="s">
        <v>25979</v>
      </c>
    </row>
    <row r="10083" spans="31:32">
      <c r="AE10083" s="417" t="s">
        <v>25980</v>
      </c>
      <c r="AF10083" s="416" t="s">
        <v>25981</v>
      </c>
    </row>
    <row r="10084" spans="31:32">
      <c r="AE10084" s="417" t="s">
        <v>25982</v>
      </c>
      <c r="AF10084" s="416" t="s">
        <v>25983</v>
      </c>
    </row>
    <row r="10085" spans="31:32">
      <c r="AE10085" s="417" t="s">
        <v>25984</v>
      </c>
      <c r="AF10085" s="416" t="s">
        <v>25985</v>
      </c>
    </row>
    <row r="10086" spans="31:32">
      <c r="AE10086" s="417" t="s">
        <v>25986</v>
      </c>
      <c r="AF10086" s="416" t="s">
        <v>25987</v>
      </c>
    </row>
    <row r="10087" spans="31:32">
      <c r="AE10087" s="417" t="s">
        <v>25988</v>
      </c>
      <c r="AF10087" s="416" t="s">
        <v>25989</v>
      </c>
    </row>
    <row r="10088" spans="31:32">
      <c r="AE10088" s="417" t="s">
        <v>25990</v>
      </c>
      <c r="AF10088" s="416" t="s">
        <v>25991</v>
      </c>
    </row>
    <row r="10089" spans="31:32">
      <c r="AE10089" s="417" t="s">
        <v>25992</v>
      </c>
      <c r="AF10089" s="416" t="s">
        <v>25993</v>
      </c>
    </row>
    <row r="10090" spans="31:32">
      <c r="AE10090" s="417" t="s">
        <v>25994</v>
      </c>
      <c r="AF10090" s="416" t="s">
        <v>25995</v>
      </c>
    </row>
    <row r="10091" spans="31:32">
      <c r="AE10091" s="417" t="s">
        <v>25996</v>
      </c>
      <c r="AF10091" s="416" t="s">
        <v>25997</v>
      </c>
    </row>
    <row r="10092" spans="31:32">
      <c r="AE10092" s="417" t="s">
        <v>25998</v>
      </c>
      <c r="AF10092" s="416" t="s">
        <v>25999</v>
      </c>
    </row>
    <row r="10093" spans="31:32">
      <c r="AE10093" s="417" t="s">
        <v>26000</v>
      </c>
      <c r="AF10093" s="416" t="s">
        <v>26001</v>
      </c>
    </row>
    <row r="10094" spans="31:32">
      <c r="AE10094" s="417" t="s">
        <v>26002</v>
      </c>
      <c r="AF10094" s="416" t="s">
        <v>26003</v>
      </c>
    </row>
    <row r="10095" spans="31:32">
      <c r="AE10095" s="417" t="s">
        <v>26004</v>
      </c>
      <c r="AF10095" s="416" t="s">
        <v>26005</v>
      </c>
    </row>
    <row r="10096" spans="31:32">
      <c r="AE10096" s="417" t="s">
        <v>26006</v>
      </c>
      <c r="AF10096" s="416" t="s">
        <v>26007</v>
      </c>
    </row>
    <row r="10097" spans="31:32">
      <c r="AE10097" s="417" t="s">
        <v>26008</v>
      </c>
      <c r="AF10097" s="416" t="s">
        <v>26009</v>
      </c>
    </row>
    <row r="10098" spans="31:32">
      <c r="AE10098" s="417" t="s">
        <v>26010</v>
      </c>
      <c r="AF10098" s="416" t="s">
        <v>26011</v>
      </c>
    </row>
    <row r="10099" spans="31:32">
      <c r="AE10099" s="417" t="s">
        <v>26012</v>
      </c>
      <c r="AF10099" s="416" t="s">
        <v>26013</v>
      </c>
    </row>
    <row r="10100" spans="31:32">
      <c r="AE10100" s="417" t="s">
        <v>26014</v>
      </c>
      <c r="AF10100" s="416" t="s">
        <v>26015</v>
      </c>
    </row>
    <row r="10101" spans="31:32">
      <c r="AE10101" s="417" t="s">
        <v>26016</v>
      </c>
      <c r="AF10101" s="416" t="s">
        <v>26017</v>
      </c>
    </row>
    <row r="10102" spans="31:32">
      <c r="AE10102" s="417" t="s">
        <v>26018</v>
      </c>
      <c r="AF10102" s="416" t="s">
        <v>26019</v>
      </c>
    </row>
    <row r="10103" spans="31:32">
      <c r="AE10103" s="417" t="s">
        <v>26020</v>
      </c>
      <c r="AF10103" s="416" t="s">
        <v>26021</v>
      </c>
    </row>
    <row r="10104" spans="31:32">
      <c r="AE10104" s="417" t="s">
        <v>26022</v>
      </c>
      <c r="AF10104" s="416" t="s">
        <v>26023</v>
      </c>
    </row>
    <row r="10105" spans="31:32">
      <c r="AE10105" s="417" t="s">
        <v>26024</v>
      </c>
      <c r="AF10105" s="416" t="s">
        <v>26025</v>
      </c>
    </row>
    <row r="10106" spans="31:32">
      <c r="AE10106" s="417" t="s">
        <v>26026</v>
      </c>
      <c r="AF10106" s="416" t="s">
        <v>26027</v>
      </c>
    </row>
    <row r="10107" spans="31:32">
      <c r="AE10107" s="417" t="s">
        <v>26028</v>
      </c>
      <c r="AF10107" s="416" t="s">
        <v>26029</v>
      </c>
    </row>
    <row r="10108" spans="31:32">
      <c r="AE10108" s="417" t="s">
        <v>26030</v>
      </c>
      <c r="AF10108" s="416" t="s">
        <v>26031</v>
      </c>
    </row>
    <row r="10109" spans="31:32">
      <c r="AE10109" s="417" t="s">
        <v>26032</v>
      </c>
      <c r="AF10109" s="416" t="s">
        <v>26033</v>
      </c>
    </row>
    <row r="10110" spans="31:32">
      <c r="AE10110" s="417" t="s">
        <v>26034</v>
      </c>
      <c r="AF10110" s="416" t="s">
        <v>26035</v>
      </c>
    </row>
    <row r="10111" spans="31:32">
      <c r="AE10111" s="417" t="s">
        <v>26036</v>
      </c>
      <c r="AF10111" s="416" t="s">
        <v>26037</v>
      </c>
    </row>
    <row r="10112" spans="31:32">
      <c r="AE10112" s="417" t="s">
        <v>26038</v>
      </c>
      <c r="AF10112" s="416" t="s">
        <v>26039</v>
      </c>
    </row>
    <row r="10113" spans="31:32">
      <c r="AE10113" s="417" t="s">
        <v>26040</v>
      </c>
      <c r="AF10113" s="416" t="s">
        <v>26041</v>
      </c>
    </row>
    <row r="10114" spans="31:32">
      <c r="AE10114" s="417" t="s">
        <v>26042</v>
      </c>
      <c r="AF10114" s="416" t="s">
        <v>26043</v>
      </c>
    </row>
    <row r="10115" spans="31:32">
      <c r="AE10115" s="417" t="s">
        <v>26044</v>
      </c>
      <c r="AF10115" s="416" t="s">
        <v>26045</v>
      </c>
    </row>
    <row r="10116" spans="31:32">
      <c r="AE10116" s="417" t="s">
        <v>26046</v>
      </c>
      <c r="AF10116" s="416" t="s">
        <v>26047</v>
      </c>
    </row>
    <row r="10117" spans="31:32">
      <c r="AE10117" s="417" t="s">
        <v>26048</v>
      </c>
      <c r="AF10117" s="416" t="s">
        <v>26049</v>
      </c>
    </row>
    <row r="10118" spans="31:32">
      <c r="AE10118" s="417" t="s">
        <v>26050</v>
      </c>
      <c r="AF10118" s="416" t="s">
        <v>26051</v>
      </c>
    </row>
    <row r="10119" spans="31:32">
      <c r="AE10119" s="417" t="s">
        <v>26052</v>
      </c>
      <c r="AF10119" s="416" t="s">
        <v>26053</v>
      </c>
    </row>
    <row r="10120" spans="31:32">
      <c r="AE10120" s="417" t="s">
        <v>26054</v>
      </c>
      <c r="AF10120" s="416" t="s">
        <v>26055</v>
      </c>
    </row>
    <row r="10121" spans="31:32">
      <c r="AE10121" s="417" t="s">
        <v>26056</v>
      </c>
      <c r="AF10121" s="416" t="s">
        <v>26057</v>
      </c>
    </row>
    <row r="10122" spans="31:32">
      <c r="AE10122" s="417" t="s">
        <v>26058</v>
      </c>
      <c r="AF10122" s="416" t="s">
        <v>26059</v>
      </c>
    </row>
    <row r="10123" spans="31:32">
      <c r="AE10123" s="417" t="s">
        <v>26060</v>
      </c>
      <c r="AF10123" s="416" t="s">
        <v>26061</v>
      </c>
    </row>
    <row r="10124" spans="31:32">
      <c r="AE10124" s="417" t="s">
        <v>26062</v>
      </c>
      <c r="AF10124" s="416" t="s">
        <v>26063</v>
      </c>
    </row>
    <row r="10125" spans="31:32">
      <c r="AE10125" s="417" t="s">
        <v>26064</v>
      </c>
      <c r="AF10125" s="416" t="s">
        <v>26065</v>
      </c>
    </row>
    <row r="10126" spans="31:32">
      <c r="AE10126" s="417" t="s">
        <v>26066</v>
      </c>
      <c r="AF10126" s="416" t="s">
        <v>26067</v>
      </c>
    </row>
    <row r="10127" spans="31:32">
      <c r="AE10127" s="417" t="s">
        <v>26068</v>
      </c>
      <c r="AF10127" s="416" t="s">
        <v>26069</v>
      </c>
    </row>
    <row r="10128" spans="31:32">
      <c r="AE10128" s="417" t="s">
        <v>26070</v>
      </c>
      <c r="AF10128" s="416" t="s">
        <v>26071</v>
      </c>
    </row>
    <row r="10129" spans="31:32">
      <c r="AE10129" s="417" t="s">
        <v>26072</v>
      </c>
      <c r="AF10129" s="416" t="s">
        <v>26073</v>
      </c>
    </row>
    <row r="10130" spans="31:32">
      <c r="AE10130" s="417" t="s">
        <v>26074</v>
      </c>
      <c r="AF10130" s="416" t="s">
        <v>26075</v>
      </c>
    </row>
    <row r="10131" spans="31:32">
      <c r="AE10131" s="417" t="s">
        <v>26076</v>
      </c>
      <c r="AF10131" s="416" t="s">
        <v>26077</v>
      </c>
    </row>
    <row r="10132" spans="31:32">
      <c r="AE10132" s="417" t="s">
        <v>26078</v>
      </c>
      <c r="AF10132" s="416" t="s">
        <v>26079</v>
      </c>
    </row>
    <row r="10133" spans="31:32">
      <c r="AE10133" s="417" t="s">
        <v>26080</v>
      </c>
      <c r="AF10133" s="416" t="s">
        <v>26081</v>
      </c>
    </row>
    <row r="10134" spans="31:32">
      <c r="AE10134" s="417" t="s">
        <v>26082</v>
      </c>
      <c r="AF10134" s="416" t="s">
        <v>26083</v>
      </c>
    </row>
    <row r="10135" spans="31:32">
      <c r="AE10135" s="417" t="s">
        <v>26084</v>
      </c>
      <c r="AF10135" s="416" t="s">
        <v>26085</v>
      </c>
    </row>
    <row r="10136" spans="31:32">
      <c r="AE10136" s="417" t="s">
        <v>26086</v>
      </c>
      <c r="AF10136" s="416" t="s">
        <v>26087</v>
      </c>
    </row>
    <row r="10137" spans="31:32">
      <c r="AE10137" s="417" t="s">
        <v>26088</v>
      </c>
      <c r="AF10137" s="416" t="s">
        <v>26089</v>
      </c>
    </row>
    <row r="10138" spans="31:32">
      <c r="AE10138" s="417" t="s">
        <v>26090</v>
      </c>
      <c r="AF10138" s="416" t="s">
        <v>26091</v>
      </c>
    </row>
    <row r="10139" spans="31:32">
      <c r="AE10139" s="417" t="s">
        <v>26092</v>
      </c>
      <c r="AF10139" s="416" t="s">
        <v>26093</v>
      </c>
    </row>
    <row r="10140" spans="31:32">
      <c r="AE10140" s="417" t="s">
        <v>26094</v>
      </c>
      <c r="AF10140" s="416" t="s">
        <v>26095</v>
      </c>
    </row>
    <row r="10141" spans="31:32">
      <c r="AE10141" s="417" t="s">
        <v>26096</v>
      </c>
      <c r="AF10141" s="416" t="s">
        <v>26097</v>
      </c>
    </row>
    <row r="10142" spans="31:32">
      <c r="AE10142" s="417" t="s">
        <v>26098</v>
      </c>
      <c r="AF10142" s="416" t="s">
        <v>26099</v>
      </c>
    </row>
    <row r="10143" spans="31:32">
      <c r="AE10143" s="417" t="s">
        <v>26100</v>
      </c>
      <c r="AF10143" s="416" t="s">
        <v>26101</v>
      </c>
    </row>
    <row r="10144" spans="31:32">
      <c r="AE10144" s="417" t="s">
        <v>26102</v>
      </c>
      <c r="AF10144" s="416" t="s">
        <v>26103</v>
      </c>
    </row>
    <row r="10145" spans="31:32">
      <c r="AE10145" s="417" t="s">
        <v>26104</v>
      </c>
      <c r="AF10145" s="416" t="s">
        <v>26105</v>
      </c>
    </row>
    <row r="10146" spans="31:32">
      <c r="AE10146" s="417" t="s">
        <v>26106</v>
      </c>
      <c r="AF10146" s="416" t="s">
        <v>26107</v>
      </c>
    </row>
    <row r="10147" spans="31:32">
      <c r="AE10147" s="417" t="s">
        <v>26108</v>
      </c>
      <c r="AF10147" s="416" t="s">
        <v>26109</v>
      </c>
    </row>
    <row r="10148" spans="31:32">
      <c r="AE10148" s="417" t="s">
        <v>26110</v>
      </c>
      <c r="AF10148" s="416" t="s">
        <v>26111</v>
      </c>
    </row>
    <row r="10149" spans="31:32">
      <c r="AE10149" s="417" t="s">
        <v>26112</v>
      </c>
      <c r="AF10149" s="416" t="s">
        <v>26113</v>
      </c>
    </row>
    <row r="10150" spans="31:32">
      <c r="AE10150" s="417" t="s">
        <v>26114</v>
      </c>
      <c r="AF10150" s="416" t="s">
        <v>26115</v>
      </c>
    </row>
    <row r="10151" spans="31:32">
      <c r="AE10151" s="417" t="s">
        <v>26116</v>
      </c>
      <c r="AF10151" s="416" t="s">
        <v>26117</v>
      </c>
    </row>
    <row r="10152" spans="31:32">
      <c r="AE10152" s="417" t="s">
        <v>26118</v>
      </c>
      <c r="AF10152" s="416" t="s">
        <v>26119</v>
      </c>
    </row>
    <row r="10153" spans="31:32">
      <c r="AE10153" s="417" t="s">
        <v>26120</v>
      </c>
      <c r="AF10153" s="416" t="s">
        <v>26121</v>
      </c>
    </row>
    <row r="10154" spans="31:32">
      <c r="AE10154" s="417" t="s">
        <v>26122</v>
      </c>
      <c r="AF10154" s="416" t="s">
        <v>26123</v>
      </c>
    </row>
    <row r="10155" spans="31:32">
      <c r="AE10155" s="417" t="s">
        <v>26124</v>
      </c>
      <c r="AF10155" s="416" t="s">
        <v>26125</v>
      </c>
    </row>
    <row r="10156" spans="31:32">
      <c r="AE10156" s="417" t="s">
        <v>26126</v>
      </c>
      <c r="AF10156" s="416" t="s">
        <v>26127</v>
      </c>
    </row>
    <row r="10157" spans="31:32">
      <c r="AE10157" s="417" t="s">
        <v>26128</v>
      </c>
      <c r="AF10157" s="416" t="s">
        <v>26129</v>
      </c>
    </row>
    <row r="10158" spans="31:32">
      <c r="AE10158" s="417" t="s">
        <v>26130</v>
      </c>
      <c r="AF10158" s="416" t="s">
        <v>26131</v>
      </c>
    </row>
    <row r="10159" spans="31:32">
      <c r="AE10159" s="417" t="s">
        <v>26132</v>
      </c>
      <c r="AF10159" s="416" t="s">
        <v>26133</v>
      </c>
    </row>
    <row r="10160" spans="31:32">
      <c r="AE10160" s="417" t="s">
        <v>26134</v>
      </c>
      <c r="AF10160" s="416" t="s">
        <v>26135</v>
      </c>
    </row>
    <row r="10161" spans="31:32">
      <c r="AE10161" s="417" t="s">
        <v>26136</v>
      </c>
      <c r="AF10161" s="416" t="s">
        <v>26137</v>
      </c>
    </row>
    <row r="10162" spans="31:32">
      <c r="AE10162" s="417" t="s">
        <v>26138</v>
      </c>
      <c r="AF10162" s="416" t="s">
        <v>26139</v>
      </c>
    </row>
    <row r="10163" spans="31:32">
      <c r="AE10163" s="417" t="s">
        <v>26140</v>
      </c>
      <c r="AF10163" s="416" t="s">
        <v>26141</v>
      </c>
    </row>
    <row r="10164" spans="31:32">
      <c r="AE10164" s="417" t="s">
        <v>26142</v>
      </c>
      <c r="AF10164" s="416" t="s">
        <v>26143</v>
      </c>
    </row>
    <row r="10165" spans="31:32">
      <c r="AE10165" s="417" t="s">
        <v>26144</v>
      </c>
      <c r="AF10165" s="416" t="s">
        <v>26145</v>
      </c>
    </row>
    <row r="10166" spans="31:32">
      <c r="AE10166" s="417" t="s">
        <v>26146</v>
      </c>
      <c r="AF10166" s="416" t="s">
        <v>26147</v>
      </c>
    </row>
    <row r="10167" spans="31:32">
      <c r="AE10167" s="417" t="s">
        <v>26148</v>
      </c>
      <c r="AF10167" s="416" t="s">
        <v>26149</v>
      </c>
    </row>
    <row r="10168" spans="31:32">
      <c r="AE10168" s="417" t="s">
        <v>26150</v>
      </c>
      <c r="AF10168" s="416" t="s">
        <v>26151</v>
      </c>
    </row>
    <row r="10169" spans="31:32">
      <c r="AE10169" s="417" t="s">
        <v>26152</v>
      </c>
      <c r="AF10169" s="416" t="s">
        <v>26153</v>
      </c>
    </row>
    <row r="10170" spans="31:32">
      <c r="AE10170" s="417" t="s">
        <v>26154</v>
      </c>
      <c r="AF10170" s="416" t="s">
        <v>26155</v>
      </c>
    </row>
    <row r="10171" spans="31:32">
      <c r="AE10171" s="417" t="s">
        <v>26156</v>
      </c>
      <c r="AF10171" s="416" t="s">
        <v>26157</v>
      </c>
    </row>
    <row r="10172" spans="31:32">
      <c r="AE10172" s="417" t="s">
        <v>26158</v>
      </c>
      <c r="AF10172" s="416" t="s">
        <v>26159</v>
      </c>
    </row>
    <row r="10173" spans="31:32">
      <c r="AE10173" s="417" t="s">
        <v>26160</v>
      </c>
      <c r="AF10173" s="416" t="s">
        <v>26161</v>
      </c>
    </row>
    <row r="10174" spans="31:32">
      <c r="AE10174" s="417" t="s">
        <v>26162</v>
      </c>
      <c r="AF10174" s="416" t="s">
        <v>26163</v>
      </c>
    </row>
    <row r="10175" spans="31:32">
      <c r="AE10175" s="417" t="s">
        <v>26164</v>
      </c>
      <c r="AF10175" s="416" t="s">
        <v>26165</v>
      </c>
    </row>
    <row r="10176" spans="31:32">
      <c r="AE10176" s="417" t="s">
        <v>26166</v>
      </c>
      <c r="AF10176" s="416" t="s">
        <v>26167</v>
      </c>
    </row>
    <row r="10177" spans="31:32">
      <c r="AE10177" s="417" t="s">
        <v>26168</v>
      </c>
      <c r="AF10177" s="416" t="s">
        <v>26169</v>
      </c>
    </row>
    <row r="10178" spans="31:32">
      <c r="AE10178" s="417" t="s">
        <v>26170</v>
      </c>
      <c r="AF10178" s="416" t="s">
        <v>26171</v>
      </c>
    </row>
    <row r="10179" spans="31:32">
      <c r="AE10179" s="417" t="s">
        <v>26172</v>
      </c>
      <c r="AF10179" s="416" t="s">
        <v>26173</v>
      </c>
    </row>
    <row r="10180" spans="31:32">
      <c r="AE10180" s="417" t="s">
        <v>26174</v>
      </c>
      <c r="AF10180" s="416" t="s">
        <v>26175</v>
      </c>
    </row>
    <row r="10181" spans="31:32">
      <c r="AE10181" s="417" t="s">
        <v>26176</v>
      </c>
      <c r="AF10181" s="416" t="s">
        <v>26177</v>
      </c>
    </row>
    <row r="10182" spans="31:32">
      <c r="AE10182" s="417" t="s">
        <v>26178</v>
      </c>
      <c r="AF10182" s="416" t="s">
        <v>26179</v>
      </c>
    </row>
    <row r="10183" spans="31:32">
      <c r="AE10183" s="417" t="s">
        <v>26180</v>
      </c>
      <c r="AF10183" s="416" t="s">
        <v>26181</v>
      </c>
    </row>
    <row r="10184" spans="31:32">
      <c r="AE10184" s="417" t="s">
        <v>26182</v>
      </c>
      <c r="AF10184" s="416" t="s">
        <v>26183</v>
      </c>
    </row>
    <row r="10185" spans="31:32">
      <c r="AE10185" s="417" t="s">
        <v>26184</v>
      </c>
      <c r="AF10185" s="416" t="s">
        <v>26185</v>
      </c>
    </row>
    <row r="10186" spans="31:32">
      <c r="AE10186" s="417" t="s">
        <v>26186</v>
      </c>
      <c r="AF10186" s="416" t="s">
        <v>26187</v>
      </c>
    </row>
    <row r="10187" spans="31:32">
      <c r="AE10187" s="417" t="s">
        <v>26188</v>
      </c>
      <c r="AF10187" s="416" t="s">
        <v>26189</v>
      </c>
    </row>
    <row r="10188" spans="31:32">
      <c r="AE10188" s="417" t="s">
        <v>26190</v>
      </c>
      <c r="AF10188" s="416" t="s">
        <v>26191</v>
      </c>
    </row>
    <row r="10189" spans="31:32">
      <c r="AE10189" s="417" t="s">
        <v>26192</v>
      </c>
      <c r="AF10189" s="416" t="s">
        <v>26193</v>
      </c>
    </row>
    <row r="10190" spans="31:32">
      <c r="AE10190" s="417" t="s">
        <v>26194</v>
      </c>
      <c r="AF10190" s="416" t="s">
        <v>26195</v>
      </c>
    </row>
    <row r="10191" spans="31:32">
      <c r="AE10191" s="417" t="s">
        <v>26196</v>
      </c>
      <c r="AF10191" s="416" t="s">
        <v>26197</v>
      </c>
    </row>
    <row r="10192" spans="31:32">
      <c r="AE10192" s="417" t="s">
        <v>26198</v>
      </c>
      <c r="AF10192" s="416" t="s">
        <v>26199</v>
      </c>
    </row>
    <row r="10193" spans="31:32">
      <c r="AE10193" s="417" t="s">
        <v>26200</v>
      </c>
      <c r="AF10193" s="416" t="s">
        <v>26201</v>
      </c>
    </row>
    <row r="10194" spans="31:32">
      <c r="AE10194" s="417" t="s">
        <v>26202</v>
      </c>
      <c r="AF10194" s="416" t="s">
        <v>26203</v>
      </c>
    </row>
    <row r="10195" spans="31:32">
      <c r="AE10195" s="417" t="s">
        <v>26204</v>
      </c>
      <c r="AF10195" s="416" t="s">
        <v>26205</v>
      </c>
    </row>
    <row r="10196" spans="31:32">
      <c r="AE10196" s="417" t="s">
        <v>26206</v>
      </c>
      <c r="AF10196" s="416" t="s">
        <v>26207</v>
      </c>
    </row>
    <row r="10197" spans="31:32">
      <c r="AE10197" s="417" t="s">
        <v>26208</v>
      </c>
      <c r="AF10197" s="416" t="s">
        <v>26209</v>
      </c>
    </row>
    <row r="10198" spans="31:32">
      <c r="AE10198" s="417" t="s">
        <v>26210</v>
      </c>
      <c r="AF10198" s="416" t="s">
        <v>26211</v>
      </c>
    </row>
    <row r="10199" spans="31:32">
      <c r="AE10199" s="417" t="s">
        <v>26212</v>
      </c>
      <c r="AF10199" s="416" t="s">
        <v>26213</v>
      </c>
    </row>
    <row r="10200" spans="31:32">
      <c r="AE10200" s="417" t="s">
        <v>26214</v>
      </c>
      <c r="AF10200" s="416" t="s">
        <v>26215</v>
      </c>
    </row>
    <row r="10201" spans="31:32">
      <c r="AE10201" s="417" t="s">
        <v>26216</v>
      </c>
      <c r="AF10201" s="416" t="s">
        <v>26217</v>
      </c>
    </row>
    <row r="10202" spans="31:32">
      <c r="AE10202" s="417" t="s">
        <v>26218</v>
      </c>
      <c r="AF10202" s="416" t="s">
        <v>26219</v>
      </c>
    </row>
    <row r="10203" spans="31:32">
      <c r="AE10203" s="417" t="s">
        <v>26220</v>
      </c>
      <c r="AF10203" s="416" t="s">
        <v>26221</v>
      </c>
    </row>
    <row r="10204" spans="31:32">
      <c r="AE10204" s="417" t="s">
        <v>26222</v>
      </c>
      <c r="AF10204" s="416" t="s">
        <v>26129</v>
      </c>
    </row>
    <row r="10205" spans="31:32">
      <c r="AE10205" s="417" t="s">
        <v>26223</v>
      </c>
      <c r="AF10205" s="416" t="s">
        <v>26224</v>
      </c>
    </row>
    <row r="10206" spans="31:32">
      <c r="AE10206" s="417" t="s">
        <v>26225</v>
      </c>
      <c r="AF10206" s="416" t="s">
        <v>26226</v>
      </c>
    </row>
    <row r="10207" spans="31:32">
      <c r="AE10207" s="417" t="s">
        <v>26227</v>
      </c>
      <c r="AF10207" s="416" t="s">
        <v>26228</v>
      </c>
    </row>
    <row r="10208" spans="31:32">
      <c r="AE10208" s="417" t="s">
        <v>26229</v>
      </c>
      <c r="AF10208" s="416" t="s">
        <v>26230</v>
      </c>
    </row>
    <row r="10209" spans="31:32">
      <c r="AE10209" s="417" t="s">
        <v>26231</v>
      </c>
      <c r="AF10209" s="416" t="s">
        <v>26232</v>
      </c>
    </row>
    <row r="10210" spans="31:32">
      <c r="AE10210" s="417" t="s">
        <v>26233</v>
      </c>
      <c r="AF10210" s="416" t="s">
        <v>26234</v>
      </c>
    </row>
    <row r="10211" spans="31:32">
      <c r="AE10211" s="417" t="s">
        <v>26235</v>
      </c>
      <c r="AF10211" s="416" t="s">
        <v>26236</v>
      </c>
    </row>
    <row r="10212" spans="31:32">
      <c r="AE10212" s="417" t="s">
        <v>26237</v>
      </c>
      <c r="AF10212" s="416" t="s">
        <v>26127</v>
      </c>
    </row>
    <row r="10213" spans="31:32">
      <c r="AE10213" s="417" t="s">
        <v>26238</v>
      </c>
      <c r="AF10213" s="416" t="s">
        <v>26239</v>
      </c>
    </row>
    <row r="10214" spans="31:32">
      <c r="AE10214" s="417" t="s">
        <v>26240</v>
      </c>
      <c r="AF10214" s="416" t="s">
        <v>26241</v>
      </c>
    </row>
    <row r="10215" spans="31:32">
      <c r="AE10215" s="417" t="s">
        <v>26242</v>
      </c>
      <c r="AF10215" s="416" t="s">
        <v>26243</v>
      </c>
    </row>
    <row r="10216" spans="31:32">
      <c r="AE10216" s="417" t="s">
        <v>26244</v>
      </c>
      <c r="AF10216" s="416" t="s">
        <v>26245</v>
      </c>
    </row>
    <row r="10217" spans="31:32">
      <c r="AE10217" s="417" t="s">
        <v>26246</v>
      </c>
      <c r="AF10217" s="416" t="s">
        <v>26247</v>
      </c>
    </row>
    <row r="10218" spans="31:32">
      <c r="AE10218" s="417" t="s">
        <v>26248</v>
      </c>
      <c r="AF10218" s="416" t="s">
        <v>26249</v>
      </c>
    </row>
    <row r="10219" spans="31:32">
      <c r="AE10219" s="417" t="s">
        <v>26250</v>
      </c>
      <c r="AF10219" s="416" t="s">
        <v>26251</v>
      </c>
    </row>
    <row r="10220" spans="31:32">
      <c r="AE10220" s="417" t="s">
        <v>26252</v>
      </c>
      <c r="AF10220" s="416" t="s">
        <v>26253</v>
      </c>
    </row>
    <row r="10221" spans="31:32">
      <c r="AE10221" s="417" t="s">
        <v>26254</v>
      </c>
      <c r="AF10221" s="416" t="s">
        <v>26255</v>
      </c>
    </row>
    <row r="10222" spans="31:32">
      <c r="AE10222" s="417" t="s">
        <v>26256</v>
      </c>
      <c r="AF10222" s="416" t="s">
        <v>26257</v>
      </c>
    </row>
    <row r="10223" spans="31:32">
      <c r="AE10223" s="417" t="s">
        <v>26258</v>
      </c>
      <c r="AF10223" s="416" t="s">
        <v>26259</v>
      </c>
    </row>
    <row r="10224" spans="31:32">
      <c r="AE10224" s="417" t="s">
        <v>26260</v>
      </c>
      <c r="AF10224" s="416" t="s">
        <v>26261</v>
      </c>
    </row>
    <row r="10225" spans="31:32">
      <c r="AE10225" s="417" t="s">
        <v>26262</v>
      </c>
      <c r="AF10225" s="416" t="s">
        <v>26263</v>
      </c>
    </row>
    <row r="10226" spans="31:32">
      <c r="AE10226" s="417" t="s">
        <v>26264</v>
      </c>
      <c r="AF10226" s="416" t="s">
        <v>26265</v>
      </c>
    </row>
    <row r="10227" spans="31:32">
      <c r="AE10227" s="417" t="s">
        <v>26266</v>
      </c>
      <c r="AF10227" s="416" t="s">
        <v>26267</v>
      </c>
    </row>
    <row r="10228" spans="31:32">
      <c r="AE10228" s="417" t="s">
        <v>26268</v>
      </c>
      <c r="AF10228" s="416" t="s">
        <v>26269</v>
      </c>
    </row>
    <row r="10229" spans="31:32">
      <c r="AE10229" s="417" t="s">
        <v>26270</v>
      </c>
      <c r="AF10229" s="416" t="s">
        <v>26271</v>
      </c>
    </row>
    <row r="10230" spans="31:32">
      <c r="AE10230" s="417" t="s">
        <v>26272</v>
      </c>
      <c r="AF10230" s="416" t="s">
        <v>26273</v>
      </c>
    </row>
    <row r="10231" spans="31:32">
      <c r="AE10231" s="417" t="s">
        <v>26274</v>
      </c>
      <c r="AF10231" s="416" t="s">
        <v>26275</v>
      </c>
    </row>
    <row r="10232" spans="31:32">
      <c r="AE10232" s="417" t="s">
        <v>26276</v>
      </c>
      <c r="AF10232" s="416" t="s">
        <v>26277</v>
      </c>
    </row>
    <row r="10233" spans="31:32">
      <c r="AE10233" s="417" t="s">
        <v>26278</v>
      </c>
      <c r="AF10233" s="416" t="s">
        <v>26279</v>
      </c>
    </row>
    <row r="10234" spans="31:32">
      <c r="AE10234" s="417" t="s">
        <v>26280</v>
      </c>
      <c r="AF10234" s="416" t="s">
        <v>26281</v>
      </c>
    </row>
    <row r="10235" spans="31:32">
      <c r="AE10235" s="417" t="s">
        <v>26282</v>
      </c>
      <c r="AF10235" s="416" t="s">
        <v>26283</v>
      </c>
    </row>
    <row r="10236" spans="31:32">
      <c r="AE10236" s="417" t="s">
        <v>26284</v>
      </c>
      <c r="AF10236" s="416" t="s">
        <v>26285</v>
      </c>
    </row>
    <row r="10237" spans="31:32">
      <c r="AE10237" s="417" t="s">
        <v>26286</v>
      </c>
      <c r="AF10237" s="416" t="s">
        <v>26287</v>
      </c>
    </row>
    <row r="10238" spans="31:32">
      <c r="AE10238" s="417" t="s">
        <v>26288</v>
      </c>
      <c r="AF10238" s="416" t="s">
        <v>26289</v>
      </c>
    </row>
    <row r="10239" spans="31:32">
      <c r="AE10239" s="417" t="s">
        <v>26290</v>
      </c>
      <c r="AF10239" s="416" t="s">
        <v>26291</v>
      </c>
    </row>
    <row r="10240" spans="31:32">
      <c r="AE10240" s="417" t="s">
        <v>26292</v>
      </c>
      <c r="AF10240" s="416" t="s">
        <v>26293</v>
      </c>
    </row>
    <row r="10241" spans="31:32">
      <c r="AE10241" s="417" t="s">
        <v>26294</v>
      </c>
      <c r="AF10241" s="416" t="s">
        <v>26295</v>
      </c>
    </row>
    <row r="10242" spans="31:32">
      <c r="AE10242" s="417" t="s">
        <v>26296</v>
      </c>
      <c r="AF10242" s="416" t="s">
        <v>26297</v>
      </c>
    </row>
    <row r="10243" spans="31:32">
      <c r="AE10243" s="417" t="s">
        <v>26298</v>
      </c>
      <c r="AF10243" s="416" t="s">
        <v>26299</v>
      </c>
    </row>
    <row r="10244" spans="31:32">
      <c r="AE10244" s="417" t="s">
        <v>26300</v>
      </c>
      <c r="AF10244" s="416" t="s">
        <v>26301</v>
      </c>
    </row>
    <row r="10245" spans="31:32">
      <c r="AE10245" s="417" t="s">
        <v>26302</v>
      </c>
      <c r="AF10245" s="416" t="s">
        <v>26303</v>
      </c>
    </row>
    <row r="10246" spans="31:32">
      <c r="AE10246" s="417" t="s">
        <v>26304</v>
      </c>
      <c r="AF10246" s="416" t="s">
        <v>26305</v>
      </c>
    </row>
    <row r="10247" spans="31:32">
      <c r="AE10247" s="417" t="s">
        <v>26306</v>
      </c>
      <c r="AF10247" s="416" t="s">
        <v>26307</v>
      </c>
    </row>
    <row r="10248" spans="31:32">
      <c r="AE10248" s="417" t="s">
        <v>26308</v>
      </c>
      <c r="AF10248" s="416" t="s">
        <v>26309</v>
      </c>
    </row>
    <row r="10249" spans="31:32">
      <c r="AE10249" s="417" t="s">
        <v>26310</v>
      </c>
      <c r="AF10249" s="416" t="s">
        <v>26311</v>
      </c>
    </row>
    <row r="10250" spans="31:32">
      <c r="AE10250" s="417" t="s">
        <v>26312</v>
      </c>
      <c r="AF10250" s="416" t="s">
        <v>26313</v>
      </c>
    </row>
    <row r="10251" spans="31:32">
      <c r="AE10251" s="417" t="s">
        <v>26314</v>
      </c>
      <c r="AF10251" s="416" t="s">
        <v>26315</v>
      </c>
    </row>
    <row r="10252" spans="31:32">
      <c r="AE10252" s="417" t="s">
        <v>26316</v>
      </c>
      <c r="AF10252" s="416" t="s">
        <v>26317</v>
      </c>
    </row>
    <row r="10253" spans="31:32">
      <c r="AE10253" s="417" t="s">
        <v>26318</v>
      </c>
      <c r="AF10253" s="416" t="s">
        <v>26319</v>
      </c>
    </row>
    <row r="10254" spans="31:32">
      <c r="AE10254" s="417" t="s">
        <v>26320</v>
      </c>
      <c r="AF10254" s="416" t="s">
        <v>26321</v>
      </c>
    </row>
    <row r="10255" spans="31:32">
      <c r="AE10255" s="417" t="s">
        <v>26322</v>
      </c>
      <c r="AF10255" s="416" t="s">
        <v>26323</v>
      </c>
    </row>
    <row r="10256" spans="31:32">
      <c r="AE10256" s="417" t="s">
        <v>26324</v>
      </c>
      <c r="AF10256" s="416" t="s">
        <v>26325</v>
      </c>
    </row>
    <row r="10257" spans="31:32">
      <c r="AE10257" s="417" t="s">
        <v>26326</v>
      </c>
      <c r="AF10257" s="416" t="s">
        <v>26327</v>
      </c>
    </row>
    <row r="10258" spans="31:32">
      <c r="AE10258" s="417" t="s">
        <v>26328</v>
      </c>
      <c r="AF10258" s="416" t="s">
        <v>26329</v>
      </c>
    </row>
    <row r="10259" spans="31:32">
      <c r="AE10259" s="417" t="s">
        <v>26330</v>
      </c>
      <c r="AF10259" s="416" t="s">
        <v>26331</v>
      </c>
    </row>
    <row r="10260" spans="31:32">
      <c r="AE10260" s="417" t="s">
        <v>26332</v>
      </c>
      <c r="AF10260" s="416" t="s">
        <v>26333</v>
      </c>
    </row>
    <row r="10261" spans="31:32">
      <c r="AE10261" s="417" t="s">
        <v>26334</v>
      </c>
      <c r="AF10261" s="416" t="s">
        <v>26335</v>
      </c>
    </row>
    <row r="10262" spans="31:32">
      <c r="AE10262" s="417" t="s">
        <v>26336</v>
      </c>
      <c r="AF10262" s="416" t="s">
        <v>26337</v>
      </c>
    </row>
    <row r="10263" spans="31:32">
      <c r="AE10263" s="417" t="s">
        <v>26338</v>
      </c>
      <c r="AF10263" s="416" t="s">
        <v>26339</v>
      </c>
    </row>
    <row r="10264" spans="31:32">
      <c r="AE10264" s="417" t="s">
        <v>26340</v>
      </c>
      <c r="AF10264" s="416" t="s">
        <v>26341</v>
      </c>
    </row>
    <row r="10265" spans="31:32">
      <c r="AE10265" s="417" t="s">
        <v>26342</v>
      </c>
      <c r="AF10265" s="416" t="s">
        <v>26343</v>
      </c>
    </row>
    <row r="10266" spans="31:32">
      <c r="AE10266" s="417" t="s">
        <v>26344</v>
      </c>
      <c r="AF10266" s="416" t="s">
        <v>26345</v>
      </c>
    </row>
    <row r="10267" spans="31:32">
      <c r="AE10267" s="417" t="s">
        <v>26346</v>
      </c>
      <c r="AF10267" s="416" t="s">
        <v>26347</v>
      </c>
    </row>
    <row r="10268" spans="31:32">
      <c r="AE10268" s="417" t="s">
        <v>26348</v>
      </c>
      <c r="AF10268" s="416" t="s">
        <v>26349</v>
      </c>
    </row>
    <row r="10269" spans="31:32">
      <c r="AE10269" s="417" t="s">
        <v>26350</v>
      </c>
      <c r="AF10269" s="416" t="s">
        <v>26351</v>
      </c>
    </row>
    <row r="10270" spans="31:32">
      <c r="AE10270" s="417" t="s">
        <v>26352</v>
      </c>
      <c r="AF10270" s="416" t="s">
        <v>26353</v>
      </c>
    </row>
    <row r="10271" spans="31:32">
      <c r="AE10271" s="417" t="s">
        <v>26354</v>
      </c>
      <c r="AF10271" s="416" t="s">
        <v>26355</v>
      </c>
    </row>
    <row r="10272" spans="31:32">
      <c r="AE10272" s="417" t="s">
        <v>26356</v>
      </c>
      <c r="AF10272" s="416" t="s">
        <v>26357</v>
      </c>
    </row>
    <row r="10273" spans="31:32">
      <c r="AE10273" s="417" t="s">
        <v>26358</v>
      </c>
      <c r="AF10273" s="416" t="s">
        <v>26359</v>
      </c>
    </row>
    <row r="10274" spans="31:32">
      <c r="AE10274" s="417" t="s">
        <v>26360</v>
      </c>
      <c r="AF10274" s="416" t="s">
        <v>26361</v>
      </c>
    </row>
    <row r="10275" spans="31:32">
      <c r="AE10275" s="417" t="s">
        <v>26362</v>
      </c>
      <c r="AF10275" s="416" t="s">
        <v>26363</v>
      </c>
    </row>
    <row r="10276" spans="31:32">
      <c r="AE10276" s="417" t="s">
        <v>26364</v>
      </c>
      <c r="AF10276" s="416" t="s">
        <v>26365</v>
      </c>
    </row>
    <row r="10277" spans="31:32">
      <c r="AE10277" s="417" t="s">
        <v>26366</v>
      </c>
      <c r="AF10277" s="416" t="s">
        <v>26367</v>
      </c>
    </row>
    <row r="10278" spans="31:32">
      <c r="AE10278" s="417" t="s">
        <v>26368</v>
      </c>
      <c r="AF10278" s="416" t="s">
        <v>26369</v>
      </c>
    </row>
    <row r="10279" spans="31:32">
      <c r="AE10279" s="417" t="s">
        <v>26370</v>
      </c>
      <c r="AF10279" s="416" t="s">
        <v>26371</v>
      </c>
    </row>
    <row r="10280" spans="31:32">
      <c r="AE10280" s="417" t="s">
        <v>26372</v>
      </c>
      <c r="AF10280" s="416" t="s">
        <v>26373</v>
      </c>
    </row>
    <row r="10281" spans="31:32">
      <c r="AE10281" s="417" t="s">
        <v>26374</v>
      </c>
      <c r="AF10281" s="416" t="s">
        <v>26375</v>
      </c>
    </row>
    <row r="10282" spans="31:32">
      <c r="AE10282" s="417" t="s">
        <v>26376</v>
      </c>
      <c r="AF10282" s="416" t="s">
        <v>26377</v>
      </c>
    </row>
    <row r="10283" spans="31:32">
      <c r="AE10283" s="417" t="s">
        <v>26378</v>
      </c>
      <c r="AF10283" s="416" t="s">
        <v>26379</v>
      </c>
    </row>
    <row r="10284" spans="31:32">
      <c r="AE10284" s="417" t="s">
        <v>26380</v>
      </c>
      <c r="AF10284" s="416" t="s">
        <v>26381</v>
      </c>
    </row>
    <row r="10285" spans="31:32">
      <c r="AE10285" s="417" t="s">
        <v>26382</v>
      </c>
      <c r="AF10285" s="416" t="s">
        <v>26383</v>
      </c>
    </row>
    <row r="10286" spans="31:32">
      <c r="AE10286" s="417" t="s">
        <v>26384</v>
      </c>
      <c r="AF10286" s="416" t="s">
        <v>26385</v>
      </c>
    </row>
    <row r="10287" spans="31:32">
      <c r="AE10287" s="417" t="s">
        <v>26386</v>
      </c>
      <c r="AF10287" s="416" t="s">
        <v>26387</v>
      </c>
    </row>
    <row r="10288" spans="31:32">
      <c r="AE10288" s="417" t="s">
        <v>26388</v>
      </c>
      <c r="AF10288" s="416" t="s">
        <v>26389</v>
      </c>
    </row>
    <row r="10289" spans="31:32">
      <c r="AE10289" s="417" t="s">
        <v>26390</v>
      </c>
      <c r="AF10289" s="416" t="s">
        <v>26391</v>
      </c>
    </row>
    <row r="10290" spans="31:32">
      <c r="AE10290" s="417" t="s">
        <v>26392</v>
      </c>
      <c r="AF10290" s="416" t="s">
        <v>26393</v>
      </c>
    </row>
    <row r="10291" spans="31:32">
      <c r="AE10291" s="417" t="s">
        <v>26394</v>
      </c>
      <c r="AF10291" s="416" t="s">
        <v>26395</v>
      </c>
    </row>
    <row r="10292" spans="31:32">
      <c r="AE10292" s="417" t="s">
        <v>26396</v>
      </c>
      <c r="AF10292" s="416" t="s">
        <v>26397</v>
      </c>
    </row>
    <row r="10293" spans="31:32">
      <c r="AE10293" s="417" t="s">
        <v>26398</v>
      </c>
      <c r="AF10293" s="416" t="s">
        <v>26399</v>
      </c>
    </row>
    <row r="10294" spans="31:32">
      <c r="AE10294" s="417" t="s">
        <v>26400</v>
      </c>
      <c r="AF10294" s="416" t="s">
        <v>26401</v>
      </c>
    </row>
    <row r="10295" spans="31:32">
      <c r="AE10295" s="417" t="s">
        <v>26402</v>
      </c>
      <c r="AF10295" s="416" t="s">
        <v>26403</v>
      </c>
    </row>
    <row r="10296" spans="31:32">
      <c r="AE10296" s="417" t="s">
        <v>26404</v>
      </c>
      <c r="AF10296" s="416" t="s">
        <v>26405</v>
      </c>
    </row>
    <row r="10297" spans="31:32">
      <c r="AE10297" s="417" t="s">
        <v>26406</v>
      </c>
      <c r="AF10297" s="416" t="s">
        <v>26407</v>
      </c>
    </row>
    <row r="10298" spans="31:32">
      <c r="AE10298" s="417" t="s">
        <v>26408</v>
      </c>
      <c r="AF10298" s="416" t="s">
        <v>26409</v>
      </c>
    </row>
    <row r="10299" spans="31:32">
      <c r="AE10299" s="417" t="s">
        <v>26410</v>
      </c>
      <c r="AF10299" s="416" t="s">
        <v>26411</v>
      </c>
    </row>
    <row r="10300" spans="31:32">
      <c r="AE10300" s="417" t="s">
        <v>26412</v>
      </c>
      <c r="AF10300" s="416" t="s">
        <v>26413</v>
      </c>
    </row>
    <row r="10301" spans="31:32">
      <c r="AE10301" s="417" t="s">
        <v>26414</v>
      </c>
      <c r="AF10301" s="416" t="s">
        <v>26415</v>
      </c>
    </row>
    <row r="10302" spans="31:32">
      <c r="AE10302" s="417" t="s">
        <v>26416</v>
      </c>
      <c r="AF10302" s="416" t="s">
        <v>26417</v>
      </c>
    </row>
    <row r="10303" spans="31:32">
      <c r="AE10303" s="417" t="s">
        <v>26418</v>
      </c>
      <c r="AF10303" s="416" t="s">
        <v>26419</v>
      </c>
    </row>
    <row r="10304" spans="31:32">
      <c r="AE10304" s="417" t="s">
        <v>26420</v>
      </c>
      <c r="AF10304" s="416" t="s">
        <v>26421</v>
      </c>
    </row>
    <row r="10305" spans="31:32">
      <c r="AE10305" s="417" t="s">
        <v>26422</v>
      </c>
      <c r="AF10305" s="416" t="s">
        <v>26423</v>
      </c>
    </row>
    <row r="10306" spans="31:32">
      <c r="AE10306" s="417" t="s">
        <v>26424</v>
      </c>
      <c r="AF10306" s="416" t="s">
        <v>26425</v>
      </c>
    </row>
    <row r="10307" spans="31:32">
      <c r="AE10307" s="417" t="s">
        <v>26426</v>
      </c>
      <c r="AF10307" s="416" t="s">
        <v>26427</v>
      </c>
    </row>
    <row r="10308" spans="31:32">
      <c r="AE10308" s="417" t="s">
        <v>26428</v>
      </c>
      <c r="AF10308" s="416" t="s">
        <v>26429</v>
      </c>
    </row>
    <row r="10309" spans="31:32">
      <c r="AE10309" s="417" t="s">
        <v>26430</v>
      </c>
      <c r="AF10309" s="416" t="s">
        <v>26431</v>
      </c>
    </row>
    <row r="10310" spans="31:32">
      <c r="AE10310" s="417" t="s">
        <v>26432</v>
      </c>
      <c r="AF10310" s="416" t="s">
        <v>26433</v>
      </c>
    </row>
    <row r="10311" spans="31:32">
      <c r="AE10311" s="417" t="s">
        <v>26434</v>
      </c>
      <c r="AF10311" s="416" t="s">
        <v>26435</v>
      </c>
    </row>
    <row r="10312" spans="31:32">
      <c r="AE10312" s="417" t="s">
        <v>26436</v>
      </c>
      <c r="AF10312" s="416" t="s">
        <v>26437</v>
      </c>
    </row>
    <row r="10313" spans="31:32">
      <c r="AE10313" s="417" t="s">
        <v>26438</v>
      </c>
      <c r="AF10313" s="416" t="s">
        <v>26439</v>
      </c>
    </row>
    <row r="10314" spans="31:32">
      <c r="AE10314" s="417" t="s">
        <v>26440</v>
      </c>
      <c r="AF10314" s="416" t="s">
        <v>26441</v>
      </c>
    </row>
    <row r="10315" spans="31:32">
      <c r="AE10315" s="417" t="s">
        <v>26442</v>
      </c>
      <c r="AF10315" s="416" t="s">
        <v>26443</v>
      </c>
    </row>
    <row r="10316" spans="31:32">
      <c r="AE10316" s="417" t="s">
        <v>26444</v>
      </c>
      <c r="AF10316" s="416" t="s">
        <v>26445</v>
      </c>
    </row>
    <row r="10317" spans="31:32">
      <c r="AE10317" s="417" t="s">
        <v>26446</v>
      </c>
      <c r="AF10317" s="416" t="s">
        <v>26447</v>
      </c>
    </row>
    <row r="10318" spans="31:32">
      <c r="AE10318" s="417" t="s">
        <v>26448</v>
      </c>
      <c r="AF10318" s="416" t="s">
        <v>26449</v>
      </c>
    </row>
    <row r="10319" spans="31:32">
      <c r="AE10319" s="417" t="s">
        <v>26450</v>
      </c>
      <c r="AF10319" s="416" t="s">
        <v>26451</v>
      </c>
    </row>
    <row r="10320" spans="31:32">
      <c r="AE10320" s="417" t="s">
        <v>26452</v>
      </c>
      <c r="AF10320" s="416" t="s">
        <v>26453</v>
      </c>
    </row>
    <row r="10321" spans="31:32">
      <c r="AE10321" s="417" t="s">
        <v>26454</v>
      </c>
      <c r="AF10321" s="416" t="s">
        <v>26455</v>
      </c>
    </row>
    <row r="10322" spans="31:32">
      <c r="AE10322" s="417" t="s">
        <v>26456</v>
      </c>
      <c r="AF10322" s="416" t="s">
        <v>26457</v>
      </c>
    </row>
    <row r="10323" spans="31:32">
      <c r="AE10323" s="417" t="s">
        <v>26458</v>
      </c>
      <c r="AF10323" s="416" t="s">
        <v>26459</v>
      </c>
    </row>
    <row r="10324" spans="31:32">
      <c r="AE10324" s="417" t="s">
        <v>26460</v>
      </c>
      <c r="AF10324" s="416" t="s">
        <v>26461</v>
      </c>
    </row>
    <row r="10325" spans="31:32">
      <c r="AE10325" s="417" t="s">
        <v>26462</v>
      </c>
      <c r="AF10325" s="416" t="s">
        <v>26463</v>
      </c>
    </row>
    <row r="10326" spans="31:32">
      <c r="AE10326" s="417" t="s">
        <v>26464</v>
      </c>
      <c r="AF10326" s="416" t="s">
        <v>26465</v>
      </c>
    </row>
    <row r="10327" spans="31:32">
      <c r="AE10327" s="417" t="s">
        <v>26466</v>
      </c>
      <c r="AF10327" s="416" t="s">
        <v>26467</v>
      </c>
    </row>
    <row r="10328" spans="31:32">
      <c r="AE10328" s="417" t="s">
        <v>26468</v>
      </c>
      <c r="AF10328" s="416" t="s">
        <v>26469</v>
      </c>
    </row>
    <row r="10329" spans="31:32">
      <c r="AE10329" s="417" t="s">
        <v>26470</v>
      </c>
      <c r="AF10329" s="416" t="s">
        <v>26471</v>
      </c>
    </row>
    <row r="10330" spans="31:32">
      <c r="AE10330" s="417" t="s">
        <v>26472</v>
      </c>
      <c r="AF10330" s="416" t="s">
        <v>26473</v>
      </c>
    </row>
    <row r="10331" spans="31:32">
      <c r="AE10331" s="417" t="s">
        <v>26474</v>
      </c>
      <c r="AF10331" s="416" t="s">
        <v>26475</v>
      </c>
    </row>
    <row r="10332" spans="31:32">
      <c r="AE10332" s="417" t="s">
        <v>26476</v>
      </c>
      <c r="AF10332" s="416" t="s">
        <v>26477</v>
      </c>
    </row>
    <row r="10333" spans="31:32">
      <c r="AE10333" s="417" t="s">
        <v>26478</v>
      </c>
      <c r="AF10333" s="416" t="s">
        <v>26479</v>
      </c>
    </row>
    <row r="10334" spans="31:32">
      <c r="AE10334" s="417" t="s">
        <v>26480</v>
      </c>
      <c r="AF10334" s="416" t="s">
        <v>26481</v>
      </c>
    </row>
    <row r="10335" spans="31:32">
      <c r="AE10335" s="417" t="s">
        <v>26482</v>
      </c>
      <c r="AF10335" s="416" t="s">
        <v>26483</v>
      </c>
    </row>
    <row r="10336" spans="31:32">
      <c r="AE10336" s="417" t="s">
        <v>26484</v>
      </c>
      <c r="AF10336" s="416" t="s">
        <v>26485</v>
      </c>
    </row>
    <row r="10337" spans="31:32">
      <c r="AE10337" s="417" t="s">
        <v>26486</v>
      </c>
      <c r="AF10337" s="416" t="s">
        <v>26487</v>
      </c>
    </row>
    <row r="10338" spans="31:32">
      <c r="AE10338" s="417" t="s">
        <v>26488</v>
      </c>
      <c r="AF10338" s="416" t="s">
        <v>26489</v>
      </c>
    </row>
    <row r="10339" spans="31:32">
      <c r="AE10339" s="417" t="s">
        <v>26490</v>
      </c>
      <c r="AF10339" s="416" t="s">
        <v>26491</v>
      </c>
    </row>
    <row r="10340" spans="31:32">
      <c r="AE10340" s="417" t="s">
        <v>26492</v>
      </c>
      <c r="AF10340" s="416" t="s">
        <v>26493</v>
      </c>
    </row>
    <row r="10341" spans="31:32">
      <c r="AE10341" s="417" t="s">
        <v>26494</v>
      </c>
      <c r="AF10341" s="416" t="s">
        <v>26495</v>
      </c>
    </row>
    <row r="10342" spans="31:32">
      <c r="AE10342" s="417" t="s">
        <v>26496</v>
      </c>
      <c r="AF10342" s="416" t="s">
        <v>26497</v>
      </c>
    </row>
    <row r="10343" spans="31:32">
      <c r="AE10343" s="417" t="s">
        <v>26498</v>
      </c>
      <c r="AF10343" s="416" t="s">
        <v>26499</v>
      </c>
    </row>
    <row r="10344" spans="31:32">
      <c r="AE10344" s="417" t="s">
        <v>26500</v>
      </c>
      <c r="AF10344" s="416" t="s">
        <v>26501</v>
      </c>
    </row>
    <row r="10345" spans="31:32">
      <c r="AE10345" s="417" t="s">
        <v>26502</v>
      </c>
      <c r="AF10345" s="416" t="s">
        <v>26503</v>
      </c>
    </row>
    <row r="10346" spans="31:32">
      <c r="AE10346" s="417" t="s">
        <v>26504</v>
      </c>
      <c r="AF10346" s="416" t="s">
        <v>26505</v>
      </c>
    </row>
    <row r="10347" spans="31:32">
      <c r="AE10347" s="417" t="s">
        <v>26506</v>
      </c>
      <c r="AF10347" s="416" t="s">
        <v>26507</v>
      </c>
    </row>
    <row r="10348" spans="31:32">
      <c r="AE10348" s="417" t="s">
        <v>26508</v>
      </c>
      <c r="AF10348" s="416" t="s">
        <v>26509</v>
      </c>
    </row>
    <row r="10349" spans="31:32">
      <c r="AE10349" s="417" t="s">
        <v>26510</v>
      </c>
      <c r="AF10349" s="416" t="s">
        <v>26511</v>
      </c>
    </row>
    <row r="10350" spans="31:32">
      <c r="AE10350" s="417" t="s">
        <v>26512</v>
      </c>
      <c r="AF10350" s="416" t="s">
        <v>26513</v>
      </c>
    </row>
    <row r="10351" spans="31:32">
      <c r="AE10351" s="417" t="s">
        <v>26514</v>
      </c>
      <c r="AF10351" s="416" t="s">
        <v>26515</v>
      </c>
    </row>
    <row r="10352" spans="31:32">
      <c r="AE10352" s="417" t="s">
        <v>26516</v>
      </c>
      <c r="AF10352" s="416" t="s">
        <v>26517</v>
      </c>
    </row>
    <row r="10353" spans="31:32">
      <c r="AE10353" s="417" t="s">
        <v>26518</v>
      </c>
      <c r="AF10353" s="416" t="s">
        <v>26519</v>
      </c>
    </row>
    <row r="10354" spans="31:32">
      <c r="AE10354" s="417" t="s">
        <v>26520</v>
      </c>
      <c r="AF10354" s="416" t="s">
        <v>26521</v>
      </c>
    </row>
    <row r="10355" spans="31:32">
      <c r="AE10355" s="417" t="s">
        <v>26522</v>
      </c>
      <c r="AF10355" s="416" t="s">
        <v>26523</v>
      </c>
    </row>
    <row r="10356" spans="31:32">
      <c r="AE10356" s="417" t="s">
        <v>26524</v>
      </c>
      <c r="AF10356" s="416" t="s">
        <v>26525</v>
      </c>
    </row>
    <row r="10357" spans="31:32">
      <c r="AE10357" s="417" t="s">
        <v>26526</v>
      </c>
      <c r="AF10357" s="416" t="s">
        <v>26527</v>
      </c>
    </row>
    <row r="10358" spans="31:32">
      <c r="AE10358" s="417" t="s">
        <v>26528</v>
      </c>
      <c r="AF10358" s="416" t="s">
        <v>26529</v>
      </c>
    </row>
    <row r="10359" spans="31:32">
      <c r="AE10359" s="417" t="s">
        <v>26530</v>
      </c>
      <c r="AF10359" s="416" t="s">
        <v>26531</v>
      </c>
    </row>
    <row r="10360" spans="31:32">
      <c r="AE10360" s="417" t="s">
        <v>26532</v>
      </c>
      <c r="AF10360" s="416" t="s">
        <v>26533</v>
      </c>
    </row>
    <row r="10361" spans="31:32">
      <c r="AE10361" s="417" t="s">
        <v>26534</v>
      </c>
      <c r="AF10361" s="416" t="s">
        <v>26535</v>
      </c>
    </row>
    <row r="10362" spans="31:32">
      <c r="AE10362" s="417" t="s">
        <v>26536</v>
      </c>
      <c r="AF10362" s="416" t="s">
        <v>26537</v>
      </c>
    </row>
    <row r="10363" spans="31:32">
      <c r="AE10363" s="417" t="s">
        <v>26538</v>
      </c>
      <c r="AF10363" s="416" t="s">
        <v>26539</v>
      </c>
    </row>
    <row r="10364" spans="31:32">
      <c r="AE10364" s="417" t="s">
        <v>26540</v>
      </c>
      <c r="AF10364" s="416" t="s">
        <v>26541</v>
      </c>
    </row>
    <row r="10365" spans="31:32">
      <c r="AE10365" s="417" t="s">
        <v>26542</v>
      </c>
      <c r="AF10365" s="416" t="s">
        <v>26543</v>
      </c>
    </row>
    <row r="10366" spans="31:32">
      <c r="AE10366" s="417" t="s">
        <v>26544</v>
      </c>
      <c r="AF10366" s="416" t="s">
        <v>26545</v>
      </c>
    </row>
    <row r="10367" spans="31:32">
      <c r="AE10367" s="417" t="s">
        <v>26546</v>
      </c>
      <c r="AF10367" s="416" t="s">
        <v>26547</v>
      </c>
    </row>
    <row r="10368" spans="31:32">
      <c r="AE10368" s="417" t="s">
        <v>26548</v>
      </c>
      <c r="AF10368" s="416" t="s">
        <v>26549</v>
      </c>
    </row>
    <row r="10369" spans="31:32">
      <c r="AE10369" s="417" t="s">
        <v>26550</v>
      </c>
      <c r="AF10369" s="416" t="s">
        <v>26551</v>
      </c>
    </row>
    <row r="10370" spans="31:32">
      <c r="AE10370" s="417" t="s">
        <v>26552</v>
      </c>
      <c r="AF10370" s="416" t="s">
        <v>26553</v>
      </c>
    </row>
    <row r="10371" spans="31:32">
      <c r="AE10371" s="417" t="s">
        <v>26554</v>
      </c>
      <c r="AF10371" s="416" t="s">
        <v>26555</v>
      </c>
    </row>
    <row r="10372" spans="31:32">
      <c r="AE10372" s="417" t="s">
        <v>26556</v>
      </c>
      <c r="AF10372" s="416" t="s">
        <v>26557</v>
      </c>
    </row>
    <row r="10373" spans="31:32">
      <c r="AE10373" s="417" t="s">
        <v>26558</v>
      </c>
      <c r="AF10373" s="416" t="s">
        <v>26559</v>
      </c>
    </row>
    <row r="10374" spans="31:32">
      <c r="AE10374" s="417" t="s">
        <v>26560</v>
      </c>
      <c r="AF10374" s="416" t="s">
        <v>26561</v>
      </c>
    </row>
    <row r="10375" spans="31:32">
      <c r="AE10375" s="417" t="s">
        <v>26562</v>
      </c>
      <c r="AF10375" s="416" t="s">
        <v>26563</v>
      </c>
    </row>
    <row r="10376" spans="31:32">
      <c r="AE10376" s="417" t="s">
        <v>26564</v>
      </c>
      <c r="AF10376" s="416" t="s">
        <v>26565</v>
      </c>
    </row>
    <row r="10377" spans="31:32">
      <c r="AE10377" s="417" t="s">
        <v>26566</v>
      </c>
      <c r="AF10377" s="416" t="s">
        <v>26567</v>
      </c>
    </row>
    <row r="10378" spans="31:32">
      <c r="AE10378" s="417" t="s">
        <v>26568</v>
      </c>
      <c r="AF10378" s="416" t="s">
        <v>26569</v>
      </c>
    </row>
    <row r="10379" spans="31:32">
      <c r="AE10379" s="417" t="s">
        <v>26570</v>
      </c>
      <c r="AF10379" s="416" t="s">
        <v>26571</v>
      </c>
    </row>
    <row r="10380" spans="31:32">
      <c r="AE10380" s="417" t="s">
        <v>26572</v>
      </c>
      <c r="AF10380" s="416" t="s">
        <v>26573</v>
      </c>
    </row>
    <row r="10381" spans="31:32">
      <c r="AE10381" s="417" t="s">
        <v>26574</v>
      </c>
      <c r="AF10381" s="416" t="s">
        <v>26575</v>
      </c>
    </row>
    <row r="10382" spans="31:32">
      <c r="AE10382" s="417" t="s">
        <v>26576</v>
      </c>
      <c r="AF10382" s="416" t="s">
        <v>26577</v>
      </c>
    </row>
    <row r="10383" spans="31:32">
      <c r="AE10383" s="417" t="s">
        <v>26578</v>
      </c>
      <c r="AF10383" s="416" t="s">
        <v>26579</v>
      </c>
    </row>
    <row r="10384" spans="31:32">
      <c r="AE10384" s="417" t="s">
        <v>26580</v>
      </c>
      <c r="AF10384" s="416" t="s">
        <v>26581</v>
      </c>
    </row>
    <row r="10385" spans="31:32">
      <c r="AE10385" s="417" t="s">
        <v>26582</v>
      </c>
      <c r="AF10385" s="416" t="s">
        <v>26583</v>
      </c>
    </row>
    <row r="10386" spans="31:32">
      <c r="AE10386" s="417" t="s">
        <v>26584</v>
      </c>
      <c r="AF10386" s="416" t="s">
        <v>26585</v>
      </c>
    </row>
    <row r="10387" spans="31:32">
      <c r="AE10387" s="417" t="s">
        <v>26586</v>
      </c>
      <c r="AF10387" s="416" t="s">
        <v>26587</v>
      </c>
    </row>
    <row r="10388" spans="31:32">
      <c r="AE10388" s="417" t="s">
        <v>26588</v>
      </c>
      <c r="AF10388" s="416" t="s">
        <v>26589</v>
      </c>
    </row>
    <row r="10389" spans="31:32">
      <c r="AE10389" s="417" t="s">
        <v>26590</v>
      </c>
      <c r="AF10389" s="416" t="s">
        <v>26591</v>
      </c>
    </row>
    <row r="10390" spans="31:32">
      <c r="AE10390" s="417" t="s">
        <v>26592</v>
      </c>
      <c r="AF10390" s="416" t="s">
        <v>26593</v>
      </c>
    </row>
    <row r="10391" spans="31:32">
      <c r="AE10391" s="417" t="s">
        <v>26594</v>
      </c>
      <c r="AF10391" s="416" t="s">
        <v>26595</v>
      </c>
    </row>
    <row r="10392" spans="31:32">
      <c r="AE10392" s="417" t="s">
        <v>26596</v>
      </c>
      <c r="AF10392" s="416" t="s">
        <v>26597</v>
      </c>
    </row>
    <row r="10393" spans="31:32">
      <c r="AE10393" s="417" t="s">
        <v>26598</v>
      </c>
      <c r="AF10393" s="416" t="s">
        <v>26599</v>
      </c>
    </row>
    <row r="10394" spans="31:32">
      <c r="AE10394" s="417" t="s">
        <v>26600</v>
      </c>
      <c r="AF10394" s="416" t="s">
        <v>26601</v>
      </c>
    </row>
    <row r="10395" spans="31:32">
      <c r="AE10395" s="417" t="s">
        <v>26602</v>
      </c>
      <c r="AF10395" s="416" t="s">
        <v>26603</v>
      </c>
    </row>
    <row r="10396" spans="31:32">
      <c r="AE10396" s="417" t="s">
        <v>26604</v>
      </c>
      <c r="AF10396" s="416" t="s">
        <v>26605</v>
      </c>
    </row>
    <row r="10397" spans="31:32">
      <c r="AE10397" s="417" t="s">
        <v>26606</v>
      </c>
      <c r="AF10397" s="416" t="s">
        <v>26607</v>
      </c>
    </row>
    <row r="10398" spans="31:32">
      <c r="AE10398" s="417" t="s">
        <v>26608</v>
      </c>
      <c r="AF10398" s="416" t="s">
        <v>26609</v>
      </c>
    </row>
    <row r="10399" spans="31:32">
      <c r="AE10399" s="417" t="s">
        <v>26610</v>
      </c>
      <c r="AF10399" s="416" t="s">
        <v>26611</v>
      </c>
    </row>
    <row r="10400" spans="31:32">
      <c r="AE10400" s="417" t="s">
        <v>26612</v>
      </c>
      <c r="AF10400" s="416" t="s">
        <v>26613</v>
      </c>
    </row>
    <row r="10401" spans="31:32">
      <c r="AE10401" s="417" t="s">
        <v>26614</v>
      </c>
      <c r="AF10401" s="416" t="s">
        <v>26615</v>
      </c>
    </row>
    <row r="10402" spans="31:32">
      <c r="AE10402" s="417" t="s">
        <v>26616</v>
      </c>
      <c r="AF10402" s="416" t="s">
        <v>26617</v>
      </c>
    </row>
    <row r="10403" spans="31:32">
      <c r="AE10403" s="417" t="s">
        <v>26618</v>
      </c>
      <c r="AF10403" s="416" t="s">
        <v>26619</v>
      </c>
    </row>
    <row r="10404" spans="31:32">
      <c r="AE10404" s="417" t="s">
        <v>26620</v>
      </c>
      <c r="AF10404" s="416" t="s">
        <v>26621</v>
      </c>
    </row>
    <row r="10405" spans="31:32">
      <c r="AE10405" s="417" t="s">
        <v>26622</v>
      </c>
      <c r="AF10405" s="416" t="s">
        <v>26623</v>
      </c>
    </row>
    <row r="10406" spans="31:32">
      <c r="AE10406" s="417" t="s">
        <v>26624</v>
      </c>
      <c r="AF10406" s="416" t="s">
        <v>26625</v>
      </c>
    </row>
    <row r="10407" spans="31:32">
      <c r="AE10407" s="417" t="s">
        <v>26626</v>
      </c>
      <c r="AF10407" s="416" t="s">
        <v>26627</v>
      </c>
    </row>
    <row r="10408" spans="31:32">
      <c r="AE10408" s="417" t="s">
        <v>26628</v>
      </c>
      <c r="AF10408" s="416" t="s">
        <v>26629</v>
      </c>
    </row>
    <row r="10409" spans="31:32">
      <c r="AE10409" s="417" t="s">
        <v>26630</v>
      </c>
      <c r="AF10409" s="416" t="s">
        <v>26631</v>
      </c>
    </row>
    <row r="10410" spans="31:32">
      <c r="AE10410" s="417" t="s">
        <v>26632</v>
      </c>
      <c r="AF10410" s="416" t="s">
        <v>26633</v>
      </c>
    </row>
    <row r="10411" spans="31:32">
      <c r="AE10411" s="417" t="s">
        <v>26634</v>
      </c>
      <c r="AF10411" s="416" t="s">
        <v>26635</v>
      </c>
    </row>
    <row r="10412" spans="31:32">
      <c r="AE10412" s="417" t="s">
        <v>26636</v>
      </c>
      <c r="AF10412" s="416" t="s">
        <v>26637</v>
      </c>
    </row>
    <row r="10413" spans="31:32">
      <c r="AE10413" s="417" t="s">
        <v>26638</v>
      </c>
      <c r="AF10413" s="416" t="s">
        <v>26639</v>
      </c>
    </row>
    <row r="10414" spans="31:32">
      <c r="AE10414" s="417" t="s">
        <v>26640</v>
      </c>
      <c r="AF10414" s="416" t="s">
        <v>26641</v>
      </c>
    </row>
    <row r="10415" spans="31:32">
      <c r="AE10415" s="417" t="s">
        <v>26642</v>
      </c>
      <c r="AF10415" s="416" t="s">
        <v>26643</v>
      </c>
    </row>
    <row r="10416" spans="31:32">
      <c r="AE10416" s="417" t="s">
        <v>26644</v>
      </c>
      <c r="AF10416" s="416" t="s">
        <v>26645</v>
      </c>
    </row>
    <row r="10417" spans="31:32">
      <c r="AE10417" s="417" t="s">
        <v>26646</v>
      </c>
      <c r="AF10417" s="416" t="s">
        <v>26647</v>
      </c>
    </row>
    <row r="10418" spans="31:32">
      <c r="AE10418" s="417" t="s">
        <v>26648</v>
      </c>
      <c r="AF10418" s="416" t="s">
        <v>26649</v>
      </c>
    </row>
    <row r="10419" spans="31:32">
      <c r="AE10419" s="417" t="s">
        <v>26650</v>
      </c>
      <c r="AF10419" s="416" t="s">
        <v>26651</v>
      </c>
    </row>
    <row r="10420" spans="31:32">
      <c r="AE10420" s="417" t="s">
        <v>26652</v>
      </c>
      <c r="AF10420" s="416" t="s">
        <v>26653</v>
      </c>
    </row>
    <row r="10421" spans="31:32">
      <c r="AE10421" s="417" t="s">
        <v>26654</v>
      </c>
      <c r="AF10421" s="416" t="s">
        <v>26655</v>
      </c>
    </row>
    <row r="10422" spans="31:32">
      <c r="AE10422" s="417" t="s">
        <v>26656</v>
      </c>
      <c r="AF10422" s="416" t="s">
        <v>26657</v>
      </c>
    </row>
    <row r="10423" spans="31:32">
      <c r="AE10423" s="417" t="s">
        <v>26658</v>
      </c>
      <c r="AF10423" s="416" t="s">
        <v>26659</v>
      </c>
    </row>
    <row r="10424" spans="31:32">
      <c r="AE10424" s="417" t="s">
        <v>26660</v>
      </c>
      <c r="AF10424" s="416" t="s">
        <v>26661</v>
      </c>
    </row>
    <row r="10425" spans="31:32">
      <c r="AE10425" s="417" t="s">
        <v>26662</v>
      </c>
      <c r="AF10425" s="416" t="s">
        <v>26663</v>
      </c>
    </row>
    <row r="10426" spans="31:32">
      <c r="AE10426" s="417" t="s">
        <v>26664</v>
      </c>
      <c r="AF10426" s="416" t="s">
        <v>26665</v>
      </c>
    </row>
    <row r="10427" spans="31:32">
      <c r="AE10427" s="417" t="s">
        <v>26666</v>
      </c>
      <c r="AF10427" s="416" t="s">
        <v>26667</v>
      </c>
    </row>
    <row r="10428" spans="31:32">
      <c r="AE10428" s="417" t="s">
        <v>26668</v>
      </c>
      <c r="AF10428" s="416" t="s">
        <v>26669</v>
      </c>
    </row>
    <row r="10429" spans="31:32">
      <c r="AE10429" s="417" t="s">
        <v>26670</v>
      </c>
      <c r="AF10429" s="416" t="s">
        <v>26671</v>
      </c>
    </row>
    <row r="10430" spans="31:32">
      <c r="AE10430" s="417" t="s">
        <v>26672</v>
      </c>
      <c r="AF10430" s="416" t="s">
        <v>26673</v>
      </c>
    </row>
    <row r="10431" spans="31:32">
      <c r="AE10431" s="417" t="s">
        <v>26674</v>
      </c>
      <c r="AF10431" s="416" t="s">
        <v>26675</v>
      </c>
    </row>
    <row r="10432" spans="31:32">
      <c r="AE10432" s="417" t="s">
        <v>26676</v>
      </c>
      <c r="AF10432" s="416" t="s">
        <v>26677</v>
      </c>
    </row>
    <row r="10433" spans="31:32">
      <c r="AE10433" s="417" t="s">
        <v>26678</v>
      </c>
      <c r="AF10433" s="416" t="s">
        <v>26679</v>
      </c>
    </row>
    <row r="10434" spans="31:32">
      <c r="AE10434" s="417" t="s">
        <v>26680</v>
      </c>
      <c r="AF10434" s="416" t="s">
        <v>26681</v>
      </c>
    </row>
    <row r="10435" spans="31:32">
      <c r="AE10435" s="417" t="s">
        <v>26682</v>
      </c>
      <c r="AF10435" s="416" t="s">
        <v>26683</v>
      </c>
    </row>
    <row r="10436" spans="31:32">
      <c r="AE10436" s="417" t="s">
        <v>26684</v>
      </c>
      <c r="AF10436" s="416" t="s">
        <v>26685</v>
      </c>
    </row>
    <row r="10437" spans="31:32">
      <c r="AE10437" s="417" t="s">
        <v>26686</v>
      </c>
      <c r="AF10437" s="416" t="s">
        <v>26687</v>
      </c>
    </row>
    <row r="10438" spans="31:32">
      <c r="AE10438" s="417" t="s">
        <v>26688</v>
      </c>
      <c r="AF10438" s="416" t="s">
        <v>26689</v>
      </c>
    </row>
    <row r="10439" spans="31:32">
      <c r="AE10439" s="417" t="s">
        <v>26690</v>
      </c>
      <c r="AF10439" s="416" t="s">
        <v>26691</v>
      </c>
    </row>
    <row r="10440" spans="31:32">
      <c r="AE10440" s="417" t="s">
        <v>26692</v>
      </c>
      <c r="AF10440" s="416" t="s">
        <v>26693</v>
      </c>
    </row>
    <row r="10441" spans="31:32">
      <c r="AE10441" s="417" t="s">
        <v>26694</v>
      </c>
      <c r="AF10441" s="416" t="s">
        <v>26695</v>
      </c>
    </row>
    <row r="10442" spans="31:32">
      <c r="AE10442" s="417" t="s">
        <v>26696</v>
      </c>
      <c r="AF10442" s="416" t="s">
        <v>26697</v>
      </c>
    </row>
    <row r="10443" spans="31:32">
      <c r="AE10443" s="417" t="s">
        <v>26698</v>
      </c>
      <c r="AF10443" s="416" t="s">
        <v>26699</v>
      </c>
    </row>
    <row r="10444" spans="31:32">
      <c r="AE10444" s="417" t="s">
        <v>26700</v>
      </c>
      <c r="AF10444" s="416" t="s">
        <v>26701</v>
      </c>
    </row>
    <row r="10445" spans="31:32">
      <c r="AE10445" s="417" t="s">
        <v>26702</v>
      </c>
      <c r="AF10445" s="416" t="s">
        <v>26703</v>
      </c>
    </row>
    <row r="10446" spans="31:32">
      <c r="AE10446" s="417" t="s">
        <v>26704</v>
      </c>
      <c r="AF10446" s="416" t="s">
        <v>26705</v>
      </c>
    </row>
    <row r="10447" spans="31:32">
      <c r="AE10447" s="417" t="s">
        <v>26706</v>
      </c>
      <c r="AF10447" s="416" t="s">
        <v>26707</v>
      </c>
    </row>
    <row r="10448" spans="31:32">
      <c r="AE10448" s="417" t="s">
        <v>26708</v>
      </c>
      <c r="AF10448" s="416" t="s">
        <v>26709</v>
      </c>
    </row>
    <row r="10449" spans="31:32">
      <c r="AE10449" s="417" t="s">
        <v>26710</v>
      </c>
      <c r="AF10449" s="416" t="s">
        <v>26711</v>
      </c>
    </row>
    <row r="10450" spans="31:32">
      <c r="AE10450" s="417" t="s">
        <v>26712</v>
      </c>
      <c r="AF10450" s="416" t="s">
        <v>26713</v>
      </c>
    </row>
    <row r="10451" spans="31:32">
      <c r="AE10451" s="417" t="s">
        <v>26714</v>
      </c>
      <c r="AF10451" s="416" t="s">
        <v>26715</v>
      </c>
    </row>
    <row r="10452" spans="31:32">
      <c r="AE10452" s="417" t="s">
        <v>26716</v>
      </c>
      <c r="AF10452" s="416" t="s">
        <v>26717</v>
      </c>
    </row>
    <row r="10453" spans="31:32">
      <c r="AE10453" s="417" t="s">
        <v>26718</v>
      </c>
      <c r="AF10453" s="416" t="s">
        <v>26719</v>
      </c>
    </row>
    <row r="10454" spans="31:32">
      <c r="AE10454" s="417" t="s">
        <v>26720</v>
      </c>
      <c r="AF10454" s="416" t="s">
        <v>26721</v>
      </c>
    </row>
    <row r="10455" spans="31:32">
      <c r="AE10455" s="417" t="s">
        <v>26722</v>
      </c>
      <c r="AF10455" s="416" t="s">
        <v>26723</v>
      </c>
    </row>
    <row r="10456" spans="31:32">
      <c r="AE10456" s="417" t="s">
        <v>26724</v>
      </c>
      <c r="AF10456" s="416" t="s">
        <v>26725</v>
      </c>
    </row>
    <row r="10457" spans="31:32">
      <c r="AE10457" s="417" t="s">
        <v>26726</v>
      </c>
      <c r="AF10457" s="416" t="s">
        <v>26727</v>
      </c>
    </row>
    <row r="10458" spans="31:32">
      <c r="AE10458" s="417" t="s">
        <v>26728</v>
      </c>
      <c r="AF10458" s="416" t="s">
        <v>26729</v>
      </c>
    </row>
    <row r="10459" spans="31:32">
      <c r="AE10459" s="417" t="s">
        <v>26730</v>
      </c>
      <c r="AF10459" s="416" t="s">
        <v>26731</v>
      </c>
    </row>
    <row r="10460" spans="31:32">
      <c r="AE10460" s="417" t="s">
        <v>26732</v>
      </c>
      <c r="AF10460" s="416" t="s">
        <v>26733</v>
      </c>
    </row>
    <row r="10461" spans="31:32">
      <c r="AE10461" s="417" t="s">
        <v>26734</v>
      </c>
      <c r="AF10461" s="416" t="s">
        <v>26735</v>
      </c>
    </row>
    <row r="10462" spans="31:32">
      <c r="AE10462" s="417" t="s">
        <v>26736</v>
      </c>
      <c r="AF10462" s="416" t="s">
        <v>26737</v>
      </c>
    </row>
    <row r="10463" spans="31:32">
      <c r="AE10463" s="417" t="s">
        <v>26738</v>
      </c>
      <c r="AF10463" s="416" t="s">
        <v>26739</v>
      </c>
    </row>
    <row r="10464" spans="31:32">
      <c r="AE10464" s="417" t="s">
        <v>26740</v>
      </c>
      <c r="AF10464" s="416" t="s">
        <v>26741</v>
      </c>
    </row>
    <row r="10465" spans="31:32">
      <c r="AE10465" s="417" t="s">
        <v>26742</v>
      </c>
      <c r="AF10465" s="416" t="s">
        <v>26743</v>
      </c>
    </row>
    <row r="10466" spans="31:32">
      <c r="AE10466" s="417" t="s">
        <v>26744</v>
      </c>
      <c r="AF10466" s="416" t="s">
        <v>26745</v>
      </c>
    </row>
    <row r="10467" spans="31:32">
      <c r="AE10467" s="417" t="s">
        <v>26746</v>
      </c>
      <c r="AF10467" s="416" t="s">
        <v>26747</v>
      </c>
    </row>
    <row r="10468" spans="31:32">
      <c r="AE10468" s="417" t="s">
        <v>26748</v>
      </c>
      <c r="AF10468" s="416" t="s">
        <v>26749</v>
      </c>
    </row>
    <row r="10469" spans="31:32">
      <c r="AE10469" s="417" t="s">
        <v>26750</v>
      </c>
      <c r="AF10469" s="416" t="s">
        <v>26751</v>
      </c>
    </row>
    <row r="10470" spans="31:32">
      <c r="AE10470" s="417" t="s">
        <v>26752</v>
      </c>
      <c r="AF10470" s="416" t="s">
        <v>26753</v>
      </c>
    </row>
    <row r="10471" spans="31:32">
      <c r="AE10471" s="417" t="s">
        <v>26754</v>
      </c>
      <c r="AF10471" s="416" t="s">
        <v>26755</v>
      </c>
    </row>
    <row r="10472" spans="31:32">
      <c r="AE10472" s="417" t="s">
        <v>26756</v>
      </c>
      <c r="AF10472" s="416" t="s">
        <v>26757</v>
      </c>
    </row>
    <row r="10473" spans="31:32">
      <c r="AE10473" s="417" t="s">
        <v>26758</v>
      </c>
      <c r="AF10473" s="416" t="s">
        <v>26759</v>
      </c>
    </row>
    <row r="10474" spans="31:32">
      <c r="AE10474" s="417" t="s">
        <v>26760</v>
      </c>
      <c r="AF10474" s="416" t="s">
        <v>26761</v>
      </c>
    </row>
    <row r="10475" spans="31:32">
      <c r="AE10475" s="417" t="s">
        <v>26762</v>
      </c>
      <c r="AF10475" s="416" t="s">
        <v>26763</v>
      </c>
    </row>
    <row r="10476" spans="31:32">
      <c r="AE10476" s="417" t="s">
        <v>26764</v>
      </c>
      <c r="AF10476" s="416" t="s">
        <v>26765</v>
      </c>
    </row>
    <row r="10477" spans="31:32">
      <c r="AE10477" s="417" t="s">
        <v>26766</v>
      </c>
      <c r="AF10477" s="416" t="s">
        <v>26767</v>
      </c>
    </row>
    <row r="10478" spans="31:32">
      <c r="AE10478" s="417" t="s">
        <v>26768</v>
      </c>
      <c r="AF10478" s="416" t="s">
        <v>26769</v>
      </c>
    </row>
    <row r="10479" spans="31:32">
      <c r="AE10479" s="417" t="s">
        <v>26770</v>
      </c>
      <c r="AF10479" s="416" t="s">
        <v>26771</v>
      </c>
    </row>
    <row r="10480" spans="31:32">
      <c r="AE10480" s="417" t="s">
        <v>26772</v>
      </c>
      <c r="AF10480" s="416" t="s">
        <v>26773</v>
      </c>
    </row>
    <row r="10481" spans="31:32">
      <c r="AE10481" s="417" t="s">
        <v>26774</v>
      </c>
      <c r="AF10481" s="416" t="s">
        <v>26775</v>
      </c>
    </row>
    <row r="10482" spans="31:32">
      <c r="AE10482" s="417" t="s">
        <v>26776</v>
      </c>
      <c r="AF10482" s="416" t="s">
        <v>26777</v>
      </c>
    </row>
    <row r="10483" spans="31:32">
      <c r="AE10483" s="417" t="s">
        <v>26778</v>
      </c>
      <c r="AF10483" s="416" t="s">
        <v>26779</v>
      </c>
    </row>
    <row r="10484" spans="31:32">
      <c r="AE10484" s="417" t="s">
        <v>26780</v>
      </c>
      <c r="AF10484" s="416" t="s">
        <v>26781</v>
      </c>
    </row>
    <row r="10485" spans="31:32">
      <c r="AE10485" s="417" t="s">
        <v>26782</v>
      </c>
      <c r="AF10485" s="416" t="s">
        <v>26783</v>
      </c>
    </row>
    <row r="10486" spans="31:32">
      <c r="AE10486" s="417" t="s">
        <v>26784</v>
      </c>
      <c r="AF10486" s="416" t="s">
        <v>26785</v>
      </c>
    </row>
    <row r="10487" spans="31:32">
      <c r="AE10487" s="417" t="s">
        <v>26786</v>
      </c>
      <c r="AF10487" s="416" t="s">
        <v>26787</v>
      </c>
    </row>
    <row r="10488" spans="31:32">
      <c r="AE10488" s="417" t="s">
        <v>26788</v>
      </c>
      <c r="AF10488" s="416" t="s">
        <v>26789</v>
      </c>
    </row>
    <row r="10489" spans="31:32">
      <c r="AE10489" s="417" t="s">
        <v>26790</v>
      </c>
      <c r="AF10489" s="416" t="s">
        <v>26791</v>
      </c>
    </row>
    <row r="10490" spans="31:32">
      <c r="AE10490" s="417" t="s">
        <v>26792</v>
      </c>
      <c r="AF10490" s="416" t="s">
        <v>26793</v>
      </c>
    </row>
    <row r="10491" spans="31:32">
      <c r="AE10491" s="417" t="s">
        <v>26794</v>
      </c>
      <c r="AF10491" s="416" t="s">
        <v>26795</v>
      </c>
    </row>
    <row r="10492" spans="31:32">
      <c r="AE10492" s="417" t="s">
        <v>26796</v>
      </c>
      <c r="AF10492" s="416" t="s">
        <v>26797</v>
      </c>
    </row>
    <row r="10493" spans="31:32">
      <c r="AE10493" s="417" t="s">
        <v>26798</v>
      </c>
      <c r="AF10493" s="416" t="s">
        <v>26799</v>
      </c>
    </row>
    <row r="10494" spans="31:32">
      <c r="AE10494" s="417" t="s">
        <v>26800</v>
      </c>
      <c r="AF10494" s="416" t="s">
        <v>26801</v>
      </c>
    </row>
    <row r="10495" spans="31:32">
      <c r="AE10495" s="417" t="s">
        <v>26802</v>
      </c>
      <c r="AF10495" s="416" t="s">
        <v>26803</v>
      </c>
    </row>
    <row r="10496" spans="31:32">
      <c r="AE10496" s="417" t="s">
        <v>26804</v>
      </c>
      <c r="AF10496" s="416" t="s">
        <v>26805</v>
      </c>
    </row>
    <row r="10497" spans="31:32">
      <c r="AE10497" s="417" t="s">
        <v>26806</v>
      </c>
      <c r="AF10497" s="416" t="s">
        <v>26807</v>
      </c>
    </row>
    <row r="10498" spans="31:32">
      <c r="AE10498" s="417" t="s">
        <v>26808</v>
      </c>
      <c r="AF10498" s="416" t="s">
        <v>26809</v>
      </c>
    </row>
    <row r="10499" spans="31:32">
      <c r="AE10499" s="417" t="s">
        <v>26810</v>
      </c>
      <c r="AF10499" s="416" t="s">
        <v>26811</v>
      </c>
    </row>
    <row r="10500" spans="31:32">
      <c r="AE10500" s="417" t="s">
        <v>26812</v>
      </c>
      <c r="AF10500" s="416" t="s">
        <v>26813</v>
      </c>
    </row>
    <row r="10501" spans="31:32">
      <c r="AE10501" s="417" t="s">
        <v>26814</v>
      </c>
      <c r="AF10501" s="416" t="s">
        <v>26815</v>
      </c>
    </row>
    <row r="10502" spans="31:32">
      <c r="AE10502" s="417" t="s">
        <v>26816</v>
      </c>
      <c r="AF10502" s="416" t="s">
        <v>26817</v>
      </c>
    </row>
    <row r="10503" spans="31:32">
      <c r="AE10503" s="417" t="s">
        <v>26818</v>
      </c>
      <c r="AF10503" s="416" t="s">
        <v>26819</v>
      </c>
    </row>
    <row r="10504" spans="31:32">
      <c r="AE10504" s="417" t="s">
        <v>26820</v>
      </c>
      <c r="AF10504" s="416" t="s">
        <v>26821</v>
      </c>
    </row>
    <row r="10505" spans="31:32">
      <c r="AE10505" s="417" t="s">
        <v>26822</v>
      </c>
      <c r="AF10505" s="416" t="s">
        <v>26823</v>
      </c>
    </row>
    <row r="10506" spans="31:32">
      <c r="AE10506" s="417" t="s">
        <v>26824</v>
      </c>
      <c r="AF10506" s="416" t="s">
        <v>26825</v>
      </c>
    </row>
    <row r="10507" spans="31:32">
      <c r="AE10507" s="417" t="s">
        <v>26826</v>
      </c>
      <c r="AF10507" s="416" t="s">
        <v>26827</v>
      </c>
    </row>
    <row r="10508" spans="31:32">
      <c r="AE10508" s="417" t="s">
        <v>26828</v>
      </c>
      <c r="AF10508" s="416" t="s">
        <v>26829</v>
      </c>
    </row>
    <row r="10509" spans="31:32">
      <c r="AE10509" s="417" t="s">
        <v>26830</v>
      </c>
      <c r="AF10509" s="416" t="s">
        <v>26831</v>
      </c>
    </row>
    <row r="10510" spans="31:32">
      <c r="AE10510" s="417" t="s">
        <v>26832</v>
      </c>
      <c r="AF10510" s="416" t="s">
        <v>26833</v>
      </c>
    </row>
    <row r="10511" spans="31:32">
      <c r="AE10511" s="417" t="s">
        <v>26834</v>
      </c>
      <c r="AF10511" s="416" t="s">
        <v>26835</v>
      </c>
    </row>
    <row r="10512" spans="31:32">
      <c r="AE10512" s="417" t="s">
        <v>26836</v>
      </c>
      <c r="AF10512" s="416" t="s">
        <v>26837</v>
      </c>
    </row>
    <row r="10513" spans="31:32">
      <c r="AE10513" s="417" t="s">
        <v>26838</v>
      </c>
      <c r="AF10513" s="416" t="s">
        <v>26839</v>
      </c>
    </row>
    <row r="10514" spans="31:32">
      <c r="AE10514" s="417" t="s">
        <v>26840</v>
      </c>
      <c r="AF10514" s="416" t="s">
        <v>26841</v>
      </c>
    </row>
    <row r="10515" spans="31:32">
      <c r="AE10515" s="417" t="s">
        <v>26842</v>
      </c>
      <c r="AF10515" s="416" t="s">
        <v>26843</v>
      </c>
    </row>
    <row r="10516" spans="31:32">
      <c r="AE10516" s="417" t="s">
        <v>26844</v>
      </c>
      <c r="AF10516" s="416" t="s">
        <v>26845</v>
      </c>
    </row>
    <row r="10517" spans="31:32">
      <c r="AE10517" s="417" t="s">
        <v>26846</v>
      </c>
      <c r="AF10517" s="416" t="s">
        <v>26847</v>
      </c>
    </row>
    <row r="10518" spans="31:32">
      <c r="AE10518" s="417" t="s">
        <v>26848</v>
      </c>
      <c r="AF10518" s="416" t="s">
        <v>26849</v>
      </c>
    </row>
    <row r="10519" spans="31:32">
      <c r="AE10519" s="417" t="s">
        <v>26850</v>
      </c>
      <c r="AF10519" s="416" t="s">
        <v>26851</v>
      </c>
    </row>
    <row r="10520" spans="31:32">
      <c r="AE10520" s="417" t="s">
        <v>26852</v>
      </c>
      <c r="AF10520" s="416" t="s">
        <v>26853</v>
      </c>
    </row>
    <row r="10521" spans="31:32">
      <c r="AE10521" s="417" t="s">
        <v>26854</v>
      </c>
      <c r="AF10521" s="416" t="s">
        <v>26855</v>
      </c>
    </row>
    <row r="10522" spans="31:32">
      <c r="AE10522" s="417" t="s">
        <v>26856</v>
      </c>
      <c r="AF10522" s="416" t="s">
        <v>26857</v>
      </c>
    </row>
    <row r="10523" spans="31:32">
      <c r="AE10523" s="417" t="s">
        <v>26858</v>
      </c>
      <c r="AF10523" s="416" t="s">
        <v>26859</v>
      </c>
    </row>
    <row r="10524" spans="31:32">
      <c r="AE10524" s="417" t="s">
        <v>26860</v>
      </c>
      <c r="AF10524" s="416" t="s">
        <v>26861</v>
      </c>
    </row>
    <row r="10525" spans="31:32">
      <c r="AE10525" s="417" t="s">
        <v>26862</v>
      </c>
      <c r="AF10525" s="416" t="s">
        <v>26863</v>
      </c>
    </row>
    <row r="10526" spans="31:32">
      <c r="AE10526" s="417" t="s">
        <v>26864</v>
      </c>
      <c r="AF10526" s="416" t="s">
        <v>26865</v>
      </c>
    </row>
    <row r="10527" spans="31:32">
      <c r="AE10527" s="417" t="s">
        <v>26866</v>
      </c>
      <c r="AF10527" s="416" t="s">
        <v>26867</v>
      </c>
    </row>
    <row r="10528" spans="31:32">
      <c r="AE10528" s="417" t="s">
        <v>26868</v>
      </c>
      <c r="AF10528" s="416" t="s">
        <v>26869</v>
      </c>
    </row>
    <row r="10529" spans="31:32">
      <c r="AE10529" s="417" t="s">
        <v>26870</v>
      </c>
      <c r="AF10529" s="416" t="s">
        <v>26871</v>
      </c>
    </row>
    <row r="10530" spans="31:32">
      <c r="AE10530" s="417" t="s">
        <v>26872</v>
      </c>
      <c r="AF10530" s="416" t="s">
        <v>26873</v>
      </c>
    </row>
    <row r="10531" spans="31:32">
      <c r="AE10531" s="417" t="s">
        <v>26874</v>
      </c>
      <c r="AF10531" s="416" t="s">
        <v>26875</v>
      </c>
    </row>
    <row r="10532" spans="31:32">
      <c r="AE10532" s="417" t="s">
        <v>26876</v>
      </c>
      <c r="AF10532" s="416" t="s">
        <v>26877</v>
      </c>
    </row>
    <row r="10533" spans="31:32">
      <c r="AE10533" s="417" t="s">
        <v>26878</v>
      </c>
      <c r="AF10533" s="416" t="s">
        <v>26879</v>
      </c>
    </row>
    <row r="10534" spans="31:32">
      <c r="AE10534" s="417" t="s">
        <v>26880</v>
      </c>
      <c r="AF10534" s="416" t="s">
        <v>26881</v>
      </c>
    </row>
    <row r="10535" spans="31:32">
      <c r="AE10535" s="417" t="s">
        <v>26882</v>
      </c>
      <c r="AF10535" s="416" t="s">
        <v>26883</v>
      </c>
    </row>
    <row r="10536" spans="31:32">
      <c r="AE10536" s="417" t="s">
        <v>26884</v>
      </c>
      <c r="AF10536" s="416" t="s">
        <v>26885</v>
      </c>
    </row>
    <row r="10537" spans="31:32">
      <c r="AE10537" s="417" t="s">
        <v>26886</v>
      </c>
      <c r="AF10537" s="416" t="s">
        <v>26887</v>
      </c>
    </row>
    <row r="10538" spans="31:32">
      <c r="AE10538" s="417" t="s">
        <v>26888</v>
      </c>
      <c r="AF10538" s="416" t="s">
        <v>26889</v>
      </c>
    </row>
    <row r="10539" spans="31:32">
      <c r="AE10539" s="417" t="s">
        <v>26890</v>
      </c>
      <c r="AF10539" s="416" t="s">
        <v>26891</v>
      </c>
    </row>
    <row r="10540" spans="31:32">
      <c r="AE10540" s="417" t="s">
        <v>26892</v>
      </c>
      <c r="AF10540" s="416" t="s">
        <v>26893</v>
      </c>
    </row>
    <row r="10541" spans="31:32">
      <c r="AE10541" s="417" t="s">
        <v>26894</v>
      </c>
      <c r="AF10541" s="416" t="s">
        <v>26895</v>
      </c>
    </row>
    <row r="10542" spans="31:32">
      <c r="AE10542" s="417" t="s">
        <v>26896</v>
      </c>
      <c r="AF10542" s="416" t="s">
        <v>26897</v>
      </c>
    </row>
    <row r="10543" spans="31:32">
      <c r="AE10543" s="417" t="s">
        <v>26898</v>
      </c>
      <c r="AF10543" s="416" t="s">
        <v>26899</v>
      </c>
    </row>
    <row r="10544" spans="31:32">
      <c r="AE10544" s="417" t="s">
        <v>26900</v>
      </c>
      <c r="AF10544" s="416" t="s">
        <v>26901</v>
      </c>
    </row>
    <row r="10545" spans="31:32">
      <c r="AE10545" s="417" t="s">
        <v>26902</v>
      </c>
      <c r="AF10545" s="416" t="s">
        <v>26903</v>
      </c>
    </row>
    <row r="10546" spans="31:32">
      <c r="AE10546" s="417" t="s">
        <v>26904</v>
      </c>
      <c r="AF10546" s="416" t="s">
        <v>26905</v>
      </c>
    </row>
    <row r="10547" spans="31:32">
      <c r="AE10547" s="417" t="s">
        <v>26906</v>
      </c>
      <c r="AF10547" s="416" t="s">
        <v>26907</v>
      </c>
    </row>
    <row r="10548" spans="31:32">
      <c r="AE10548" s="417" t="s">
        <v>26908</v>
      </c>
      <c r="AF10548" s="416" t="s">
        <v>26909</v>
      </c>
    </row>
    <row r="10549" spans="31:32">
      <c r="AE10549" s="417" t="s">
        <v>26910</v>
      </c>
      <c r="AF10549" s="416" t="s">
        <v>26911</v>
      </c>
    </row>
    <row r="10550" spans="31:32">
      <c r="AE10550" s="417" t="s">
        <v>26912</v>
      </c>
      <c r="AF10550" s="416" t="s">
        <v>26913</v>
      </c>
    </row>
    <row r="10551" spans="31:32">
      <c r="AE10551" s="417" t="s">
        <v>26914</v>
      </c>
      <c r="AF10551" s="416" t="s">
        <v>26915</v>
      </c>
    </row>
    <row r="10552" spans="31:32">
      <c r="AE10552" s="417" t="s">
        <v>26916</v>
      </c>
      <c r="AF10552" s="416" t="s">
        <v>26917</v>
      </c>
    </row>
    <row r="10553" spans="31:32">
      <c r="AE10553" s="417" t="s">
        <v>26918</v>
      </c>
      <c r="AF10553" s="416" t="s">
        <v>26919</v>
      </c>
    </row>
    <row r="10554" spans="31:32">
      <c r="AE10554" s="417" t="s">
        <v>26920</v>
      </c>
      <c r="AF10554" s="416" t="s">
        <v>26921</v>
      </c>
    </row>
    <row r="10555" spans="31:32">
      <c r="AE10555" s="417" t="s">
        <v>26922</v>
      </c>
      <c r="AF10555" s="416" t="s">
        <v>26923</v>
      </c>
    </row>
    <row r="10556" spans="31:32">
      <c r="AE10556" s="417" t="s">
        <v>26924</v>
      </c>
      <c r="AF10556" s="416" t="s">
        <v>26925</v>
      </c>
    </row>
    <row r="10557" spans="31:32">
      <c r="AE10557" s="417" t="s">
        <v>26926</v>
      </c>
      <c r="AF10557" s="416" t="s">
        <v>26927</v>
      </c>
    </row>
    <row r="10558" spans="31:32">
      <c r="AE10558" s="417" t="s">
        <v>26928</v>
      </c>
      <c r="AF10558" s="416" t="s">
        <v>26929</v>
      </c>
    </row>
    <row r="10559" spans="31:32">
      <c r="AE10559" s="417" t="s">
        <v>26930</v>
      </c>
      <c r="AF10559" s="416" t="s">
        <v>26931</v>
      </c>
    </row>
    <row r="10560" spans="31:32">
      <c r="AE10560" s="417" t="s">
        <v>26932</v>
      </c>
      <c r="AF10560" s="416" t="s">
        <v>26933</v>
      </c>
    </row>
    <row r="10561" spans="31:32">
      <c r="AE10561" s="417" t="s">
        <v>26934</v>
      </c>
      <c r="AF10561" s="416" t="s">
        <v>26935</v>
      </c>
    </row>
    <row r="10562" spans="31:32">
      <c r="AE10562" s="417" t="s">
        <v>26936</v>
      </c>
      <c r="AF10562" s="416" t="s">
        <v>26937</v>
      </c>
    </row>
    <row r="10563" spans="31:32">
      <c r="AE10563" s="417" t="s">
        <v>26938</v>
      </c>
      <c r="AF10563" s="416" t="s">
        <v>26939</v>
      </c>
    </row>
    <row r="10564" spans="31:32">
      <c r="AE10564" s="417" t="s">
        <v>26940</v>
      </c>
      <c r="AF10564" s="416" t="s">
        <v>26941</v>
      </c>
    </row>
    <row r="10565" spans="31:32">
      <c r="AE10565" s="417" t="s">
        <v>26942</v>
      </c>
      <c r="AF10565" s="416" t="s">
        <v>26943</v>
      </c>
    </row>
    <row r="10566" spans="31:32">
      <c r="AE10566" s="417" t="s">
        <v>26944</v>
      </c>
      <c r="AF10566" s="416" t="s">
        <v>26945</v>
      </c>
    </row>
    <row r="10567" spans="31:32">
      <c r="AE10567" s="417" t="s">
        <v>26946</v>
      </c>
      <c r="AF10567" s="416" t="s">
        <v>26947</v>
      </c>
    </row>
    <row r="10568" spans="31:32">
      <c r="AE10568" s="417" t="s">
        <v>26948</v>
      </c>
      <c r="AF10568" s="416" t="s">
        <v>26949</v>
      </c>
    </row>
    <row r="10569" spans="31:32">
      <c r="AE10569" s="417" t="s">
        <v>26950</v>
      </c>
      <c r="AF10569" s="416" t="s">
        <v>26951</v>
      </c>
    </row>
    <row r="10570" spans="31:32">
      <c r="AE10570" s="417" t="s">
        <v>26952</v>
      </c>
      <c r="AF10570" s="416" t="s">
        <v>26953</v>
      </c>
    </row>
    <row r="10571" spans="31:32">
      <c r="AE10571" s="417" t="s">
        <v>26954</v>
      </c>
      <c r="AF10571" s="416" t="s">
        <v>26955</v>
      </c>
    </row>
    <row r="10572" spans="31:32">
      <c r="AE10572" s="417" t="s">
        <v>26956</v>
      </c>
      <c r="AF10572" s="416" t="s">
        <v>26957</v>
      </c>
    </row>
    <row r="10573" spans="31:32">
      <c r="AE10573" s="417" t="s">
        <v>26958</v>
      </c>
      <c r="AF10573" s="416" t="s">
        <v>26959</v>
      </c>
    </row>
    <row r="10574" spans="31:32">
      <c r="AE10574" s="417" t="s">
        <v>26960</v>
      </c>
      <c r="AF10574" s="416" t="s">
        <v>26961</v>
      </c>
    </row>
    <row r="10575" spans="31:32">
      <c r="AE10575" s="417" t="s">
        <v>26962</v>
      </c>
      <c r="AF10575" s="416" t="s">
        <v>26963</v>
      </c>
    </row>
    <row r="10576" spans="31:32">
      <c r="AE10576" s="417" t="s">
        <v>26964</v>
      </c>
      <c r="AF10576" s="416" t="s">
        <v>26965</v>
      </c>
    </row>
    <row r="10577" spans="31:32">
      <c r="AE10577" s="417" t="s">
        <v>26966</v>
      </c>
      <c r="AF10577" s="416" t="s">
        <v>26967</v>
      </c>
    </row>
    <row r="10578" spans="31:32">
      <c r="AE10578" s="417" t="s">
        <v>26968</v>
      </c>
      <c r="AF10578" s="416" t="s">
        <v>26969</v>
      </c>
    </row>
    <row r="10579" spans="31:32">
      <c r="AE10579" s="417" t="s">
        <v>26970</v>
      </c>
      <c r="AF10579" s="416" t="s">
        <v>26971</v>
      </c>
    </row>
    <row r="10580" spans="31:32">
      <c r="AE10580" s="417" t="s">
        <v>26972</v>
      </c>
      <c r="AF10580" s="416" t="s">
        <v>26973</v>
      </c>
    </row>
    <row r="10581" spans="31:32">
      <c r="AE10581" s="417" t="s">
        <v>26974</v>
      </c>
      <c r="AF10581" s="416" t="s">
        <v>26975</v>
      </c>
    </row>
    <row r="10582" spans="31:32">
      <c r="AE10582" s="417" t="s">
        <v>26976</v>
      </c>
      <c r="AF10582" s="416" t="s">
        <v>26977</v>
      </c>
    </row>
    <row r="10583" spans="31:32">
      <c r="AE10583" s="417" t="s">
        <v>26978</v>
      </c>
      <c r="AF10583" s="416" t="s">
        <v>26979</v>
      </c>
    </row>
    <row r="10584" spans="31:32">
      <c r="AE10584" s="417" t="s">
        <v>26980</v>
      </c>
      <c r="AF10584" s="416" t="s">
        <v>26981</v>
      </c>
    </row>
    <row r="10585" spans="31:32">
      <c r="AE10585" s="417" t="s">
        <v>26982</v>
      </c>
      <c r="AF10585" s="416" t="s">
        <v>26983</v>
      </c>
    </row>
    <row r="10586" spans="31:32">
      <c r="AE10586" s="417" t="s">
        <v>26984</v>
      </c>
      <c r="AF10586" s="416" t="s">
        <v>26985</v>
      </c>
    </row>
    <row r="10587" spans="31:32">
      <c r="AE10587" s="417" t="s">
        <v>26986</v>
      </c>
      <c r="AF10587" s="416" t="s">
        <v>26987</v>
      </c>
    </row>
    <row r="10588" spans="31:32">
      <c r="AE10588" s="417" t="s">
        <v>26988</v>
      </c>
      <c r="AF10588" s="416" t="s">
        <v>26989</v>
      </c>
    </row>
    <row r="10589" spans="31:32">
      <c r="AE10589" s="417" t="s">
        <v>26990</v>
      </c>
      <c r="AF10589" s="416" t="s">
        <v>26991</v>
      </c>
    </row>
    <row r="10590" spans="31:32">
      <c r="AE10590" s="417" t="s">
        <v>26992</v>
      </c>
      <c r="AF10590" s="416" t="s">
        <v>26993</v>
      </c>
    </row>
    <row r="10591" spans="31:32">
      <c r="AE10591" s="417" t="s">
        <v>26994</v>
      </c>
      <c r="AF10591" s="416" t="s">
        <v>26995</v>
      </c>
    </row>
    <row r="10592" spans="31:32">
      <c r="AE10592" s="417" t="s">
        <v>26996</v>
      </c>
      <c r="AF10592" s="416" t="s">
        <v>26997</v>
      </c>
    </row>
    <row r="10593" spans="31:32">
      <c r="AE10593" s="417" t="s">
        <v>26998</v>
      </c>
      <c r="AF10593" s="416" t="s">
        <v>26999</v>
      </c>
    </row>
    <row r="10594" spans="31:32">
      <c r="AE10594" s="417" t="s">
        <v>27000</v>
      </c>
      <c r="AF10594" s="416" t="s">
        <v>27001</v>
      </c>
    </row>
    <row r="10595" spans="31:32">
      <c r="AE10595" s="417" t="s">
        <v>27002</v>
      </c>
      <c r="AF10595" s="416" t="s">
        <v>27003</v>
      </c>
    </row>
    <row r="10596" spans="31:32">
      <c r="AE10596" s="417" t="s">
        <v>27004</v>
      </c>
      <c r="AF10596" s="416" t="s">
        <v>27005</v>
      </c>
    </row>
    <row r="10597" spans="31:32">
      <c r="AE10597" s="417" t="s">
        <v>27006</v>
      </c>
      <c r="AF10597" s="416" t="s">
        <v>27007</v>
      </c>
    </row>
    <row r="10598" spans="31:32">
      <c r="AE10598" s="417" t="s">
        <v>27008</v>
      </c>
      <c r="AF10598" s="416" t="s">
        <v>27009</v>
      </c>
    </row>
    <row r="10599" spans="31:32">
      <c r="AE10599" s="417" t="s">
        <v>27010</v>
      </c>
      <c r="AF10599" s="416" t="s">
        <v>27011</v>
      </c>
    </row>
    <row r="10600" spans="31:32">
      <c r="AE10600" s="417" t="s">
        <v>27012</v>
      </c>
      <c r="AF10600" s="416" t="s">
        <v>27013</v>
      </c>
    </row>
    <row r="10601" spans="31:32">
      <c r="AE10601" s="417" t="s">
        <v>27014</v>
      </c>
      <c r="AF10601" s="416" t="s">
        <v>27015</v>
      </c>
    </row>
    <row r="10602" spans="31:32">
      <c r="AE10602" s="417" t="s">
        <v>27016</v>
      </c>
      <c r="AF10602" s="416" t="s">
        <v>27017</v>
      </c>
    </row>
    <row r="10603" spans="31:32">
      <c r="AE10603" s="417" t="s">
        <v>27018</v>
      </c>
      <c r="AF10603" s="416" t="s">
        <v>27019</v>
      </c>
    </row>
    <row r="10604" spans="31:32">
      <c r="AE10604" s="417" t="s">
        <v>27020</v>
      </c>
      <c r="AF10604" s="416" t="s">
        <v>27021</v>
      </c>
    </row>
    <row r="10605" spans="31:32">
      <c r="AE10605" s="417" t="s">
        <v>27022</v>
      </c>
      <c r="AF10605" s="416" t="s">
        <v>27023</v>
      </c>
    </row>
    <row r="10606" spans="31:32">
      <c r="AE10606" s="417" t="s">
        <v>27024</v>
      </c>
      <c r="AF10606" s="416" t="s">
        <v>27025</v>
      </c>
    </row>
    <row r="10607" spans="31:32">
      <c r="AE10607" s="417" t="s">
        <v>27026</v>
      </c>
      <c r="AF10607" s="416" t="s">
        <v>27027</v>
      </c>
    </row>
    <row r="10608" spans="31:32">
      <c r="AE10608" s="417" t="s">
        <v>27028</v>
      </c>
      <c r="AF10608" s="416" t="s">
        <v>27029</v>
      </c>
    </row>
    <row r="10609" spans="31:32">
      <c r="AE10609" s="417" t="s">
        <v>27030</v>
      </c>
      <c r="AF10609" s="416" t="s">
        <v>27031</v>
      </c>
    </row>
    <row r="10610" spans="31:32">
      <c r="AE10610" s="417" t="s">
        <v>27032</v>
      </c>
      <c r="AF10610" s="416" t="s">
        <v>27033</v>
      </c>
    </row>
    <row r="10611" spans="31:32">
      <c r="AE10611" s="417" t="s">
        <v>27034</v>
      </c>
      <c r="AF10611" s="416" t="s">
        <v>27035</v>
      </c>
    </row>
    <row r="10612" spans="31:32">
      <c r="AE10612" s="417" t="s">
        <v>27036</v>
      </c>
      <c r="AF10612" s="416" t="s">
        <v>27037</v>
      </c>
    </row>
    <row r="10613" spans="31:32">
      <c r="AE10613" s="417" t="s">
        <v>27038</v>
      </c>
      <c r="AF10613" s="416" t="s">
        <v>27039</v>
      </c>
    </row>
    <row r="10614" spans="31:32">
      <c r="AE10614" s="417" t="s">
        <v>27040</v>
      </c>
      <c r="AF10614" s="416" t="s">
        <v>27041</v>
      </c>
    </row>
    <row r="10615" spans="31:32">
      <c r="AE10615" s="417" t="s">
        <v>27042</v>
      </c>
      <c r="AF10615" s="416" t="s">
        <v>27043</v>
      </c>
    </row>
    <row r="10616" spans="31:32">
      <c r="AE10616" s="417" t="s">
        <v>27044</v>
      </c>
      <c r="AF10616" s="416" t="s">
        <v>27045</v>
      </c>
    </row>
    <row r="10617" spans="31:32">
      <c r="AE10617" s="417" t="s">
        <v>27046</v>
      </c>
      <c r="AF10617" s="416" t="s">
        <v>27047</v>
      </c>
    </row>
    <row r="10618" spans="31:32">
      <c r="AE10618" s="417" t="s">
        <v>27048</v>
      </c>
      <c r="AF10618" s="416" t="s">
        <v>27049</v>
      </c>
    </row>
    <row r="10619" spans="31:32">
      <c r="AE10619" s="417" t="s">
        <v>27050</v>
      </c>
      <c r="AF10619" s="416" t="s">
        <v>26707</v>
      </c>
    </row>
    <row r="10620" spans="31:32">
      <c r="AE10620" s="417" t="s">
        <v>27051</v>
      </c>
      <c r="AF10620" s="416" t="s">
        <v>26709</v>
      </c>
    </row>
    <row r="10621" spans="31:32">
      <c r="AE10621" s="417" t="s">
        <v>27052</v>
      </c>
      <c r="AF10621" s="416" t="s">
        <v>26711</v>
      </c>
    </row>
    <row r="10622" spans="31:32">
      <c r="AE10622" s="417" t="s">
        <v>27053</v>
      </c>
      <c r="AF10622" s="416" t="s">
        <v>27054</v>
      </c>
    </row>
    <row r="10623" spans="31:32">
      <c r="AE10623" s="417" t="s">
        <v>27055</v>
      </c>
      <c r="AF10623" s="416" t="s">
        <v>27056</v>
      </c>
    </row>
    <row r="10624" spans="31:32">
      <c r="AE10624" s="417" t="s">
        <v>27057</v>
      </c>
      <c r="AF10624" s="416" t="s">
        <v>27058</v>
      </c>
    </row>
    <row r="10625" spans="31:32">
      <c r="AE10625" s="417" t="s">
        <v>27059</v>
      </c>
      <c r="AF10625" s="416" t="s">
        <v>27060</v>
      </c>
    </row>
    <row r="10626" spans="31:32">
      <c r="AE10626" s="417" t="s">
        <v>27061</v>
      </c>
      <c r="AF10626" s="416" t="s">
        <v>27062</v>
      </c>
    </row>
    <row r="10627" spans="31:32">
      <c r="AE10627" s="417" t="s">
        <v>27063</v>
      </c>
      <c r="AF10627" s="416" t="s">
        <v>27064</v>
      </c>
    </row>
    <row r="10628" spans="31:32">
      <c r="AE10628" s="417" t="s">
        <v>27065</v>
      </c>
      <c r="AF10628" s="416" t="s">
        <v>27066</v>
      </c>
    </row>
    <row r="10629" spans="31:32">
      <c r="AE10629" s="417" t="s">
        <v>27067</v>
      </c>
      <c r="AF10629" s="416" t="s">
        <v>27068</v>
      </c>
    </row>
    <row r="10630" spans="31:32">
      <c r="AE10630" s="417" t="s">
        <v>27069</v>
      </c>
      <c r="AF10630" s="416" t="s">
        <v>27070</v>
      </c>
    </row>
    <row r="10631" spans="31:32">
      <c r="AE10631" s="417" t="s">
        <v>27071</v>
      </c>
      <c r="AF10631" s="416" t="s">
        <v>27072</v>
      </c>
    </row>
    <row r="10632" spans="31:32">
      <c r="AE10632" s="417" t="s">
        <v>27073</v>
      </c>
      <c r="AF10632" s="416" t="s">
        <v>27074</v>
      </c>
    </row>
    <row r="10633" spans="31:32">
      <c r="AE10633" s="417" t="s">
        <v>27075</v>
      </c>
      <c r="AF10633" s="416" t="s">
        <v>27076</v>
      </c>
    </row>
    <row r="10634" spans="31:32">
      <c r="AE10634" s="417" t="s">
        <v>27077</v>
      </c>
      <c r="AF10634" s="416" t="s">
        <v>27078</v>
      </c>
    </row>
    <row r="10635" spans="31:32">
      <c r="AE10635" s="417" t="s">
        <v>27079</v>
      </c>
      <c r="AF10635" s="416" t="s">
        <v>27080</v>
      </c>
    </row>
    <row r="10636" spans="31:32">
      <c r="AE10636" s="417" t="s">
        <v>27081</v>
      </c>
      <c r="AF10636" s="416" t="s">
        <v>27082</v>
      </c>
    </row>
    <row r="10637" spans="31:32">
      <c r="AE10637" s="417" t="s">
        <v>27083</v>
      </c>
      <c r="AF10637" s="416" t="s">
        <v>27084</v>
      </c>
    </row>
    <row r="10638" spans="31:32">
      <c r="AE10638" s="417" t="s">
        <v>27085</v>
      </c>
      <c r="AF10638" s="416" t="s">
        <v>27086</v>
      </c>
    </row>
    <row r="10639" spans="31:32">
      <c r="AE10639" s="417" t="s">
        <v>27087</v>
      </c>
      <c r="AF10639" s="416" t="s">
        <v>27088</v>
      </c>
    </row>
    <row r="10640" spans="31:32">
      <c r="AE10640" s="417" t="s">
        <v>27089</v>
      </c>
      <c r="AF10640" s="416" t="s">
        <v>27090</v>
      </c>
    </row>
    <row r="10641" spans="31:32">
      <c r="AE10641" s="417" t="s">
        <v>27091</v>
      </c>
      <c r="AF10641" s="416" t="s">
        <v>27092</v>
      </c>
    </row>
    <row r="10642" spans="31:32">
      <c r="AE10642" s="417" t="s">
        <v>27093</v>
      </c>
      <c r="AF10642" s="416" t="s">
        <v>27094</v>
      </c>
    </row>
    <row r="10643" spans="31:32">
      <c r="AE10643" s="417" t="s">
        <v>27095</v>
      </c>
      <c r="AF10643" s="416" t="s">
        <v>27096</v>
      </c>
    </row>
    <row r="10644" spans="31:32">
      <c r="AE10644" s="417" t="s">
        <v>27097</v>
      </c>
      <c r="AF10644" s="416" t="s">
        <v>27098</v>
      </c>
    </row>
    <row r="10645" spans="31:32">
      <c r="AE10645" s="417" t="s">
        <v>27099</v>
      </c>
      <c r="AF10645" s="416" t="s">
        <v>27100</v>
      </c>
    </row>
    <row r="10646" spans="31:32">
      <c r="AE10646" s="417" t="s">
        <v>27101</v>
      </c>
      <c r="AF10646" s="416" t="s">
        <v>27102</v>
      </c>
    </row>
    <row r="10647" spans="31:32">
      <c r="AE10647" s="417" t="s">
        <v>27103</v>
      </c>
      <c r="AF10647" s="416" t="s">
        <v>27104</v>
      </c>
    </row>
    <row r="10648" spans="31:32">
      <c r="AE10648" s="417" t="s">
        <v>27105</v>
      </c>
      <c r="AF10648" s="416" t="s">
        <v>27106</v>
      </c>
    </row>
    <row r="10649" spans="31:32">
      <c r="AE10649" s="417" t="s">
        <v>27107</v>
      </c>
      <c r="AF10649" s="416" t="s">
        <v>27108</v>
      </c>
    </row>
    <row r="10650" spans="31:32">
      <c r="AE10650" s="417" t="s">
        <v>27109</v>
      </c>
      <c r="AF10650" s="416" t="s">
        <v>27110</v>
      </c>
    </row>
    <row r="10651" spans="31:32">
      <c r="AE10651" s="417" t="s">
        <v>27111</v>
      </c>
      <c r="AF10651" s="416" t="s">
        <v>27112</v>
      </c>
    </row>
    <row r="10652" spans="31:32">
      <c r="AE10652" s="417" t="s">
        <v>27113</v>
      </c>
      <c r="AF10652" s="416" t="s">
        <v>27114</v>
      </c>
    </row>
    <row r="10653" spans="31:32">
      <c r="AE10653" s="417" t="s">
        <v>27115</v>
      </c>
      <c r="AF10653" s="416" t="s">
        <v>27116</v>
      </c>
    </row>
    <row r="10654" spans="31:32">
      <c r="AE10654" s="417" t="s">
        <v>27117</v>
      </c>
      <c r="AF10654" s="416" t="s">
        <v>27118</v>
      </c>
    </row>
    <row r="10655" spans="31:32">
      <c r="AE10655" s="417" t="s">
        <v>27119</v>
      </c>
      <c r="AF10655" s="416" t="s">
        <v>27120</v>
      </c>
    </row>
    <row r="10656" spans="31:32">
      <c r="AE10656" s="417" t="s">
        <v>27121</v>
      </c>
      <c r="AF10656" s="416" t="s">
        <v>27122</v>
      </c>
    </row>
    <row r="10657" spans="31:32">
      <c r="AE10657" s="417" t="s">
        <v>27123</v>
      </c>
      <c r="AF10657" s="416" t="s">
        <v>27124</v>
      </c>
    </row>
    <row r="10658" spans="31:32">
      <c r="AE10658" s="417" t="s">
        <v>27125</v>
      </c>
      <c r="AF10658" s="416" t="s">
        <v>27126</v>
      </c>
    </row>
    <row r="10659" spans="31:32">
      <c r="AE10659" s="417" t="s">
        <v>27127</v>
      </c>
      <c r="AF10659" s="416" t="s">
        <v>27128</v>
      </c>
    </row>
    <row r="10660" spans="31:32">
      <c r="AE10660" s="417" t="s">
        <v>27129</v>
      </c>
      <c r="AF10660" s="416" t="s">
        <v>27130</v>
      </c>
    </row>
    <row r="10661" spans="31:32">
      <c r="AE10661" s="417" t="s">
        <v>27131</v>
      </c>
      <c r="AF10661" s="416" t="s">
        <v>27132</v>
      </c>
    </row>
    <row r="10662" spans="31:32">
      <c r="AE10662" s="417" t="s">
        <v>27133</v>
      </c>
      <c r="AF10662" s="416" t="s">
        <v>27134</v>
      </c>
    </row>
    <row r="10663" spans="31:32">
      <c r="AE10663" s="417" t="s">
        <v>27135</v>
      </c>
      <c r="AF10663" s="416" t="s">
        <v>27136</v>
      </c>
    </row>
    <row r="10664" spans="31:32">
      <c r="AE10664" s="417" t="s">
        <v>27137</v>
      </c>
      <c r="AF10664" s="416" t="s">
        <v>27138</v>
      </c>
    </row>
    <row r="10665" spans="31:32">
      <c r="AE10665" s="417" t="s">
        <v>27139</v>
      </c>
      <c r="AF10665" s="416" t="s">
        <v>27140</v>
      </c>
    </row>
    <row r="10666" spans="31:32">
      <c r="AE10666" s="417" t="s">
        <v>27141</v>
      </c>
      <c r="AF10666" s="416" t="s">
        <v>27142</v>
      </c>
    </row>
    <row r="10667" spans="31:32">
      <c r="AE10667" s="417" t="s">
        <v>27143</v>
      </c>
      <c r="AF10667" s="416" t="s">
        <v>27144</v>
      </c>
    </row>
    <row r="10668" spans="31:32">
      <c r="AE10668" s="417" t="s">
        <v>27145</v>
      </c>
      <c r="AF10668" s="416" t="s">
        <v>27146</v>
      </c>
    </row>
    <row r="10669" spans="31:32">
      <c r="AE10669" s="417" t="s">
        <v>27147</v>
      </c>
      <c r="AF10669" s="416" t="s">
        <v>27148</v>
      </c>
    </row>
    <row r="10670" spans="31:32">
      <c r="AE10670" s="417" t="s">
        <v>27149</v>
      </c>
      <c r="AF10670" s="416" t="s">
        <v>27150</v>
      </c>
    </row>
    <row r="10671" spans="31:32">
      <c r="AE10671" s="417" t="s">
        <v>27151</v>
      </c>
      <c r="AF10671" s="416" t="s">
        <v>27152</v>
      </c>
    </row>
    <row r="10672" spans="31:32">
      <c r="AE10672" s="417" t="s">
        <v>27153</v>
      </c>
      <c r="AF10672" s="416" t="s">
        <v>27154</v>
      </c>
    </row>
    <row r="10673" spans="31:32">
      <c r="AE10673" s="417" t="s">
        <v>27155</v>
      </c>
      <c r="AF10673" s="416" t="s">
        <v>27156</v>
      </c>
    </row>
    <row r="10674" spans="31:32">
      <c r="AE10674" s="417" t="s">
        <v>27157</v>
      </c>
      <c r="AF10674" s="416" t="s">
        <v>27158</v>
      </c>
    </row>
    <row r="10675" spans="31:32">
      <c r="AE10675" s="417" t="s">
        <v>27159</v>
      </c>
      <c r="AF10675" s="416" t="s">
        <v>27160</v>
      </c>
    </row>
    <row r="10676" spans="31:32">
      <c r="AE10676" s="417" t="s">
        <v>27161</v>
      </c>
      <c r="AF10676" s="416" t="s">
        <v>27162</v>
      </c>
    </row>
    <row r="10677" spans="31:32">
      <c r="AE10677" s="417" t="s">
        <v>27163</v>
      </c>
      <c r="AF10677" s="416" t="s">
        <v>27164</v>
      </c>
    </row>
    <row r="10678" spans="31:32">
      <c r="AE10678" s="417" t="s">
        <v>27165</v>
      </c>
      <c r="AF10678" s="416" t="s">
        <v>27166</v>
      </c>
    </row>
    <row r="10679" spans="31:32">
      <c r="AE10679" s="417" t="s">
        <v>27167</v>
      </c>
      <c r="AF10679" s="416" t="s">
        <v>27168</v>
      </c>
    </row>
    <row r="10680" spans="31:32">
      <c r="AE10680" s="417" t="s">
        <v>27169</v>
      </c>
      <c r="AF10680" s="416" t="s">
        <v>27170</v>
      </c>
    </row>
    <row r="10681" spans="31:32">
      <c r="AE10681" s="417" t="s">
        <v>27171</v>
      </c>
      <c r="AF10681" s="416" t="s">
        <v>27172</v>
      </c>
    </row>
    <row r="10682" spans="31:32">
      <c r="AE10682" s="417" t="s">
        <v>27173</v>
      </c>
      <c r="AF10682" s="416" t="s">
        <v>27174</v>
      </c>
    </row>
    <row r="10683" spans="31:32">
      <c r="AE10683" s="417" t="s">
        <v>27175</v>
      </c>
      <c r="AF10683" s="416" t="s">
        <v>27176</v>
      </c>
    </row>
    <row r="10684" spans="31:32">
      <c r="AE10684" s="417" t="s">
        <v>27177</v>
      </c>
      <c r="AF10684" s="416" t="s">
        <v>27178</v>
      </c>
    </row>
    <row r="10685" spans="31:32">
      <c r="AE10685" s="417" t="s">
        <v>27179</v>
      </c>
      <c r="AF10685" s="416" t="s">
        <v>27180</v>
      </c>
    </row>
    <row r="10686" spans="31:32">
      <c r="AE10686" s="417" t="s">
        <v>27181</v>
      </c>
      <c r="AF10686" s="416" t="s">
        <v>27182</v>
      </c>
    </row>
    <row r="10687" spans="31:32">
      <c r="AE10687" s="417" t="s">
        <v>27183</v>
      </c>
      <c r="AF10687" s="416" t="s">
        <v>27184</v>
      </c>
    </row>
    <row r="10688" spans="31:32">
      <c r="AE10688" s="417" t="s">
        <v>27185</v>
      </c>
      <c r="AF10688" s="416" t="s">
        <v>27186</v>
      </c>
    </row>
    <row r="10689" spans="31:32">
      <c r="AE10689" s="417" t="s">
        <v>27187</v>
      </c>
      <c r="AF10689" s="416" t="s">
        <v>27188</v>
      </c>
    </row>
    <row r="10690" spans="31:32">
      <c r="AE10690" s="417" t="s">
        <v>27189</v>
      </c>
      <c r="AF10690" s="416" t="s">
        <v>27190</v>
      </c>
    </row>
    <row r="10691" spans="31:32">
      <c r="AE10691" s="417" t="s">
        <v>27191</v>
      </c>
      <c r="AF10691" s="416" t="s">
        <v>27192</v>
      </c>
    </row>
    <row r="10692" spans="31:32">
      <c r="AE10692" s="417" t="s">
        <v>27193</v>
      </c>
      <c r="AF10692" s="416" t="s">
        <v>27194</v>
      </c>
    </row>
    <row r="10693" spans="31:32">
      <c r="AE10693" s="417" t="s">
        <v>27195</v>
      </c>
      <c r="AF10693" s="416" t="s">
        <v>27196</v>
      </c>
    </row>
    <row r="10694" spans="31:32">
      <c r="AE10694" s="417" t="s">
        <v>27197</v>
      </c>
      <c r="AF10694" s="416" t="s">
        <v>27198</v>
      </c>
    </row>
    <row r="10695" spans="31:32">
      <c r="AE10695" s="417" t="s">
        <v>27199</v>
      </c>
      <c r="AF10695" s="416" t="s">
        <v>27200</v>
      </c>
    </row>
    <row r="10696" spans="31:32">
      <c r="AE10696" s="417" t="s">
        <v>27201</v>
      </c>
      <c r="AF10696" s="416" t="s">
        <v>27202</v>
      </c>
    </row>
    <row r="10697" spans="31:32">
      <c r="AE10697" s="417" t="s">
        <v>27203</v>
      </c>
      <c r="AF10697" s="416" t="s">
        <v>27204</v>
      </c>
    </row>
    <row r="10698" spans="31:32">
      <c r="AE10698" s="417" t="s">
        <v>27205</v>
      </c>
      <c r="AF10698" s="416" t="s">
        <v>27206</v>
      </c>
    </row>
    <row r="10699" spans="31:32">
      <c r="AE10699" s="417" t="s">
        <v>27207</v>
      </c>
      <c r="AF10699" s="416" t="s">
        <v>27208</v>
      </c>
    </row>
    <row r="10700" spans="31:32">
      <c r="AE10700" s="417" t="s">
        <v>27209</v>
      </c>
      <c r="AF10700" s="416" t="s">
        <v>27210</v>
      </c>
    </row>
    <row r="10701" spans="31:32">
      <c r="AE10701" s="417" t="s">
        <v>27211</v>
      </c>
      <c r="AF10701" s="416" t="s">
        <v>27212</v>
      </c>
    </row>
    <row r="10702" spans="31:32">
      <c r="AE10702" s="417" t="s">
        <v>27213</v>
      </c>
      <c r="AF10702" s="416" t="s">
        <v>27214</v>
      </c>
    </row>
    <row r="10703" spans="31:32">
      <c r="AE10703" s="417" t="s">
        <v>27215</v>
      </c>
      <c r="AF10703" s="416" t="s">
        <v>27216</v>
      </c>
    </row>
    <row r="10704" spans="31:32">
      <c r="AE10704" s="417" t="s">
        <v>27217</v>
      </c>
      <c r="AF10704" s="416" t="s">
        <v>27218</v>
      </c>
    </row>
    <row r="10705" spans="31:32">
      <c r="AE10705" s="417" t="s">
        <v>27219</v>
      </c>
      <c r="AF10705" s="416" t="s">
        <v>27220</v>
      </c>
    </row>
    <row r="10706" spans="31:32">
      <c r="AE10706" s="417" t="s">
        <v>27221</v>
      </c>
      <c r="AF10706" s="416" t="s">
        <v>27222</v>
      </c>
    </row>
    <row r="10707" spans="31:32">
      <c r="AE10707" s="417" t="s">
        <v>27223</v>
      </c>
      <c r="AF10707" s="416" t="s">
        <v>27224</v>
      </c>
    </row>
    <row r="10708" spans="31:32">
      <c r="AE10708" s="417" t="s">
        <v>27225</v>
      </c>
      <c r="AF10708" s="416" t="s">
        <v>27226</v>
      </c>
    </row>
    <row r="10709" spans="31:32">
      <c r="AE10709" s="417" t="s">
        <v>27227</v>
      </c>
      <c r="AF10709" s="416" t="s">
        <v>27228</v>
      </c>
    </row>
    <row r="10710" spans="31:32">
      <c r="AE10710" s="417" t="s">
        <v>27229</v>
      </c>
      <c r="AF10710" s="416" t="s">
        <v>27230</v>
      </c>
    </row>
    <row r="10711" spans="31:32">
      <c r="AE10711" s="417" t="s">
        <v>27231</v>
      </c>
      <c r="AF10711" s="416" t="s">
        <v>27232</v>
      </c>
    </row>
    <row r="10712" spans="31:32">
      <c r="AE10712" s="417" t="s">
        <v>27233</v>
      </c>
      <c r="AF10712" s="416" t="s">
        <v>27234</v>
      </c>
    </row>
    <row r="10713" spans="31:32">
      <c r="AE10713" s="417" t="s">
        <v>27235</v>
      </c>
      <c r="AF10713" s="416" t="s">
        <v>27236</v>
      </c>
    </row>
    <row r="10714" spans="31:32">
      <c r="AE10714" s="417" t="s">
        <v>27237</v>
      </c>
      <c r="AF10714" s="416" t="s">
        <v>27238</v>
      </c>
    </row>
    <row r="10715" spans="31:32">
      <c r="AE10715" s="417" t="s">
        <v>27239</v>
      </c>
      <c r="AF10715" s="416" t="s">
        <v>27240</v>
      </c>
    </row>
    <row r="10716" spans="31:32">
      <c r="AE10716" s="417" t="s">
        <v>27241</v>
      </c>
      <c r="AF10716" s="416" t="s">
        <v>27242</v>
      </c>
    </row>
    <row r="10717" spans="31:32">
      <c r="AE10717" s="417" t="s">
        <v>27243</v>
      </c>
      <c r="AF10717" s="416" t="s">
        <v>27244</v>
      </c>
    </row>
    <row r="10718" spans="31:32">
      <c r="AE10718" s="417" t="s">
        <v>27245</v>
      </c>
      <c r="AF10718" s="416" t="s">
        <v>27246</v>
      </c>
    </row>
    <row r="10719" spans="31:32">
      <c r="AE10719" s="417" t="s">
        <v>27247</v>
      </c>
      <c r="AF10719" s="416" t="s">
        <v>27248</v>
      </c>
    </row>
    <row r="10720" spans="31:32">
      <c r="AE10720" s="417" t="s">
        <v>27249</v>
      </c>
      <c r="AF10720" s="416" t="s">
        <v>27250</v>
      </c>
    </row>
    <row r="10721" spans="31:32">
      <c r="AE10721" s="417" t="s">
        <v>27251</v>
      </c>
      <c r="AF10721" s="416" t="s">
        <v>27252</v>
      </c>
    </row>
    <row r="10722" spans="31:32">
      <c r="AE10722" s="417" t="s">
        <v>27253</v>
      </c>
      <c r="AF10722" s="416" t="s">
        <v>27254</v>
      </c>
    </row>
    <row r="10723" spans="31:32">
      <c r="AE10723" s="417" t="s">
        <v>27255</v>
      </c>
      <c r="AF10723" s="416" t="s">
        <v>27256</v>
      </c>
    </row>
    <row r="10724" spans="31:32">
      <c r="AE10724" s="417" t="s">
        <v>27257</v>
      </c>
      <c r="AF10724" s="416" t="s">
        <v>27258</v>
      </c>
    </row>
    <row r="10725" spans="31:32">
      <c r="AE10725" s="417" t="s">
        <v>27259</v>
      </c>
      <c r="AF10725" s="416" t="s">
        <v>27260</v>
      </c>
    </row>
    <row r="10726" spans="31:32">
      <c r="AE10726" s="417" t="s">
        <v>27261</v>
      </c>
      <c r="AF10726" s="416" t="s">
        <v>27262</v>
      </c>
    </row>
    <row r="10727" spans="31:32">
      <c r="AE10727" s="417" t="s">
        <v>27263</v>
      </c>
      <c r="AF10727" s="416" t="s">
        <v>27264</v>
      </c>
    </row>
    <row r="10728" spans="31:32">
      <c r="AE10728" s="417" t="s">
        <v>27265</v>
      </c>
      <c r="AF10728" s="416" t="s">
        <v>27266</v>
      </c>
    </row>
    <row r="10729" spans="31:32">
      <c r="AE10729" s="417" t="s">
        <v>27267</v>
      </c>
      <c r="AF10729" s="416" t="s">
        <v>27268</v>
      </c>
    </row>
    <row r="10730" spans="31:32">
      <c r="AE10730" s="417" t="s">
        <v>27269</v>
      </c>
      <c r="AF10730" s="416" t="s">
        <v>27270</v>
      </c>
    </row>
    <row r="10731" spans="31:32">
      <c r="AE10731" s="417" t="s">
        <v>27271</v>
      </c>
      <c r="AF10731" s="416" t="s">
        <v>27272</v>
      </c>
    </row>
    <row r="10732" spans="31:32">
      <c r="AE10732" s="417" t="s">
        <v>27273</v>
      </c>
      <c r="AF10732" s="416" t="s">
        <v>27274</v>
      </c>
    </row>
    <row r="10733" spans="31:32">
      <c r="AE10733" s="417" t="s">
        <v>27275</v>
      </c>
      <c r="AF10733" s="416" t="s">
        <v>27276</v>
      </c>
    </row>
    <row r="10734" spans="31:32">
      <c r="AE10734" s="417" t="s">
        <v>27277</v>
      </c>
      <c r="AF10734" s="416" t="s">
        <v>27278</v>
      </c>
    </row>
    <row r="10735" spans="31:32">
      <c r="AE10735" s="417" t="s">
        <v>27279</v>
      </c>
      <c r="AF10735" s="416" t="s">
        <v>27280</v>
      </c>
    </row>
    <row r="10736" spans="31:32">
      <c r="AE10736" s="417" t="s">
        <v>27281</v>
      </c>
      <c r="AF10736" s="416" t="s">
        <v>27282</v>
      </c>
    </row>
    <row r="10737" spans="31:32">
      <c r="AE10737" s="417" t="s">
        <v>27283</v>
      </c>
      <c r="AF10737" s="416" t="s">
        <v>27284</v>
      </c>
    </row>
    <row r="10738" spans="31:32">
      <c r="AE10738" s="417" t="s">
        <v>27285</v>
      </c>
      <c r="AF10738" s="416" t="s">
        <v>27286</v>
      </c>
    </row>
    <row r="10739" spans="31:32">
      <c r="AE10739" s="417" t="s">
        <v>27287</v>
      </c>
      <c r="AF10739" s="416" t="s">
        <v>27288</v>
      </c>
    </row>
    <row r="10740" spans="31:32">
      <c r="AE10740" s="417" t="s">
        <v>27289</v>
      </c>
      <c r="AF10740" s="416" t="s">
        <v>27290</v>
      </c>
    </row>
    <row r="10741" spans="31:32">
      <c r="AE10741" s="417" t="s">
        <v>27291</v>
      </c>
      <c r="AF10741" s="416" t="s">
        <v>27292</v>
      </c>
    </row>
    <row r="10742" spans="31:32">
      <c r="AE10742" s="417" t="s">
        <v>27293</v>
      </c>
      <c r="AF10742" s="416" t="s">
        <v>27294</v>
      </c>
    </row>
    <row r="10743" spans="31:32">
      <c r="AE10743" s="417" t="s">
        <v>27295</v>
      </c>
      <c r="AF10743" s="416" t="s">
        <v>27296</v>
      </c>
    </row>
    <row r="10744" spans="31:32">
      <c r="AE10744" s="417" t="s">
        <v>27297</v>
      </c>
      <c r="AF10744" s="416" t="s">
        <v>27298</v>
      </c>
    </row>
    <row r="10745" spans="31:32">
      <c r="AE10745" s="417" t="s">
        <v>27299</v>
      </c>
      <c r="AF10745" s="416" t="s">
        <v>27300</v>
      </c>
    </row>
    <row r="10746" spans="31:32">
      <c r="AE10746" s="417" t="s">
        <v>27301</v>
      </c>
      <c r="AF10746" s="416" t="s">
        <v>27302</v>
      </c>
    </row>
    <row r="10747" spans="31:32">
      <c r="AE10747" s="417" t="s">
        <v>27303</v>
      </c>
      <c r="AF10747" s="416" t="s">
        <v>27304</v>
      </c>
    </row>
    <row r="10748" spans="31:32">
      <c r="AE10748" s="417" t="s">
        <v>27305</v>
      </c>
      <c r="AF10748" s="416" t="s">
        <v>27306</v>
      </c>
    </row>
    <row r="10749" spans="31:32">
      <c r="AE10749" s="417" t="s">
        <v>27307</v>
      </c>
      <c r="AF10749" s="416" t="s">
        <v>27308</v>
      </c>
    </row>
    <row r="10750" spans="31:32">
      <c r="AE10750" s="417" t="s">
        <v>27309</v>
      </c>
      <c r="AF10750" s="416" t="s">
        <v>27310</v>
      </c>
    </row>
    <row r="10751" spans="31:32">
      <c r="AE10751" s="417" t="s">
        <v>27311</v>
      </c>
      <c r="AF10751" s="416" t="s">
        <v>27312</v>
      </c>
    </row>
    <row r="10752" spans="31:32">
      <c r="AE10752" s="417" t="s">
        <v>27313</v>
      </c>
      <c r="AF10752" s="416" t="s">
        <v>27314</v>
      </c>
    </row>
    <row r="10753" spans="31:32">
      <c r="AE10753" s="417" t="s">
        <v>27315</v>
      </c>
      <c r="AF10753" s="416" t="s">
        <v>27316</v>
      </c>
    </row>
    <row r="10754" spans="31:32">
      <c r="AE10754" s="417" t="s">
        <v>27317</v>
      </c>
      <c r="AF10754" s="416" t="s">
        <v>27318</v>
      </c>
    </row>
    <row r="10755" spans="31:32">
      <c r="AE10755" s="417" t="s">
        <v>27319</v>
      </c>
      <c r="AF10755" s="416" t="s">
        <v>27320</v>
      </c>
    </row>
    <row r="10756" spans="31:32">
      <c r="AE10756" s="417" t="s">
        <v>27321</v>
      </c>
      <c r="AF10756" s="416" t="s">
        <v>27322</v>
      </c>
    </row>
    <row r="10757" spans="31:32">
      <c r="AE10757" s="417" t="s">
        <v>27323</v>
      </c>
      <c r="AF10757" s="416" t="s">
        <v>27324</v>
      </c>
    </row>
    <row r="10758" spans="31:32">
      <c r="AE10758" s="417" t="s">
        <v>27325</v>
      </c>
      <c r="AF10758" s="416" t="s">
        <v>27326</v>
      </c>
    </row>
    <row r="10759" spans="31:32">
      <c r="AE10759" s="417" t="s">
        <v>27327</v>
      </c>
      <c r="AF10759" s="416" t="s">
        <v>27328</v>
      </c>
    </row>
    <row r="10760" spans="31:32">
      <c r="AE10760" s="417" t="s">
        <v>27329</v>
      </c>
      <c r="AF10760" s="416" t="s">
        <v>27330</v>
      </c>
    </row>
    <row r="10761" spans="31:32">
      <c r="AE10761" s="417" t="s">
        <v>27331</v>
      </c>
      <c r="AF10761" s="416" t="s">
        <v>27332</v>
      </c>
    </row>
    <row r="10762" spans="31:32">
      <c r="AE10762" s="417" t="s">
        <v>27333</v>
      </c>
      <c r="AF10762" s="416" t="s">
        <v>27334</v>
      </c>
    </row>
    <row r="10763" spans="31:32">
      <c r="AE10763" s="417" t="s">
        <v>27335</v>
      </c>
      <c r="AF10763" s="416" t="s">
        <v>27336</v>
      </c>
    </row>
    <row r="10764" spans="31:32">
      <c r="AE10764" s="417" t="s">
        <v>27337</v>
      </c>
      <c r="AF10764" s="416" t="s">
        <v>27338</v>
      </c>
    </row>
    <row r="10765" spans="31:32">
      <c r="AE10765" s="417" t="s">
        <v>27339</v>
      </c>
      <c r="AF10765" s="416" t="s">
        <v>27340</v>
      </c>
    </row>
    <row r="10766" spans="31:32">
      <c r="AE10766" s="417" t="s">
        <v>27341</v>
      </c>
      <c r="AF10766" s="416" t="s">
        <v>27342</v>
      </c>
    </row>
    <row r="10767" spans="31:32">
      <c r="AE10767" s="417" t="s">
        <v>27343</v>
      </c>
      <c r="AF10767" s="416" t="s">
        <v>27344</v>
      </c>
    </row>
    <row r="10768" spans="31:32">
      <c r="AE10768" s="417" t="s">
        <v>27345</v>
      </c>
      <c r="AF10768" s="416" t="s">
        <v>27346</v>
      </c>
    </row>
    <row r="10769" spans="31:32">
      <c r="AE10769" s="417" t="s">
        <v>27347</v>
      </c>
      <c r="AF10769" s="416" t="s">
        <v>27348</v>
      </c>
    </row>
    <row r="10770" spans="31:32">
      <c r="AE10770" s="417" t="s">
        <v>27349</v>
      </c>
      <c r="AF10770" s="416" t="s">
        <v>27350</v>
      </c>
    </row>
    <row r="10771" spans="31:32">
      <c r="AE10771" s="417" t="s">
        <v>27351</v>
      </c>
      <c r="AF10771" s="416" t="s">
        <v>27352</v>
      </c>
    </row>
    <row r="10772" spans="31:32">
      <c r="AE10772" s="417" t="s">
        <v>27353</v>
      </c>
      <c r="AF10772" s="416" t="s">
        <v>27354</v>
      </c>
    </row>
    <row r="10773" spans="31:32">
      <c r="AE10773" s="417" t="s">
        <v>27355</v>
      </c>
      <c r="AF10773" s="416" t="s">
        <v>27356</v>
      </c>
    </row>
    <row r="10774" spans="31:32">
      <c r="AE10774" s="417" t="s">
        <v>27357</v>
      </c>
      <c r="AF10774" s="416" t="s">
        <v>27358</v>
      </c>
    </row>
    <row r="10775" spans="31:32">
      <c r="AE10775" s="417" t="s">
        <v>27359</v>
      </c>
      <c r="AF10775" s="416" t="s">
        <v>27360</v>
      </c>
    </row>
    <row r="10776" spans="31:32">
      <c r="AE10776" s="417" t="s">
        <v>27361</v>
      </c>
      <c r="AF10776" s="416" t="s">
        <v>27362</v>
      </c>
    </row>
    <row r="10777" spans="31:32">
      <c r="AE10777" s="417" t="s">
        <v>27363</v>
      </c>
      <c r="AF10777" s="416" t="s">
        <v>27364</v>
      </c>
    </row>
    <row r="10778" spans="31:32">
      <c r="AE10778" s="417" t="s">
        <v>27365</v>
      </c>
      <c r="AF10778" s="416" t="s">
        <v>27366</v>
      </c>
    </row>
    <row r="10779" spans="31:32">
      <c r="AE10779" s="417" t="s">
        <v>27367</v>
      </c>
      <c r="AF10779" s="416" t="s">
        <v>27368</v>
      </c>
    </row>
    <row r="10780" spans="31:32">
      <c r="AE10780" s="417" t="s">
        <v>27369</v>
      </c>
      <c r="AF10780" s="416" t="s">
        <v>27370</v>
      </c>
    </row>
    <row r="10781" spans="31:32">
      <c r="AE10781" s="417" t="s">
        <v>27371</v>
      </c>
      <c r="AF10781" s="416" t="s">
        <v>27372</v>
      </c>
    </row>
    <row r="10782" spans="31:32">
      <c r="AE10782" s="417" t="s">
        <v>27373</v>
      </c>
      <c r="AF10782" s="416" t="s">
        <v>27374</v>
      </c>
    </row>
    <row r="10783" spans="31:32">
      <c r="AE10783" s="417" t="s">
        <v>27375</v>
      </c>
      <c r="AF10783" s="416" t="s">
        <v>27376</v>
      </c>
    </row>
    <row r="10784" spans="31:32">
      <c r="AE10784" s="417" t="s">
        <v>27377</v>
      </c>
      <c r="AF10784" s="416" t="s">
        <v>27378</v>
      </c>
    </row>
    <row r="10785" spans="31:32">
      <c r="AE10785" s="417" t="s">
        <v>27379</v>
      </c>
      <c r="AF10785" s="416" t="s">
        <v>27380</v>
      </c>
    </row>
    <row r="10786" spans="31:32">
      <c r="AE10786" s="417" t="s">
        <v>27381</v>
      </c>
      <c r="AF10786" s="416" t="s">
        <v>27382</v>
      </c>
    </row>
    <row r="10787" spans="31:32">
      <c r="AE10787" s="417" t="s">
        <v>27383</v>
      </c>
      <c r="AF10787" s="416" t="s">
        <v>27384</v>
      </c>
    </row>
    <row r="10788" spans="31:32">
      <c r="AE10788" s="417" t="s">
        <v>27385</v>
      </c>
      <c r="AF10788" s="416" t="s">
        <v>27386</v>
      </c>
    </row>
    <row r="10789" spans="31:32">
      <c r="AE10789" s="417" t="s">
        <v>27387</v>
      </c>
      <c r="AF10789" s="416" t="s">
        <v>27388</v>
      </c>
    </row>
    <row r="10790" spans="31:32">
      <c r="AE10790" s="417" t="s">
        <v>27389</v>
      </c>
      <c r="AF10790" s="416" t="s">
        <v>27390</v>
      </c>
    </row>
    <row r="10791" spans="31:32">
      <c r="AE10791" s="417" t="s">
        <v>27391</v>
      </c>
      <c r="AF10791" s="416" t="s">
        <v>27392</v>
      </c>
    </row>
    <row r="10792" spans="31:32">
      <c r="AE10792" s="417" t="s">
        <v>27393</v>
      </c>
      <c r="AF10792" s="416" t="s">
        <v>27394</v>
      </c>
    </row>
    <row r="10793" spans="31:32">
      <c r="AE10793" s="417" t="s">
        <v>27395</v>
      </c>
      <c r="AF10793" s="416" t="s">
        <v>27396</v>
      </c>
    </row>
    <row r="10794" spans="31:32">
      <c r="AE10794" s="417" t="s">
        <v>27397</v>
      </c>
      <c r="AF10794" s="416" t="s">
        <v>27398</v>
      </c>
    </row>
    <row r="10795" spans="31:32">
      <c r="AE10795" s="417" t="s">
        <v>27399</v>
      </c>
      <c r="AF10795" s="416" t="s">
        <v>27400</v>
      </c>
    </row>
    <row r="10796" spans="31:32">
      <c r="AE10796" s="417" t="s">
        <v>27401</v>
      </c>
      <c r="AF10796" s="416" t="s">
        <v>27402</v>
      </c>
    </row>
    <row r="10797" spans="31:32">
      <c r="AE10797" s="417" t="s">
        <v>27403</v>
      </c>
      <c r="AF10797" s="416" t="s">
        <v>27404</v>
      </c>
    </row>
    <row r="10798" spans="31:32">
      <c r="AE10798" s="417" t="s">
        <v>27405</v>
      </c>
      <c r="AF10798" s="416" t="s">
        <v>27406</v>
      </c>
    </row>
    <row r="10799" spans="31:32">
      <c r="AE10799" s="417" t="s">
        <v>27407</v>
      </c>
      <c r="AF10799" s="416" t="s">
        <v>27408</v>
      </c>
    </row>
    <row r="10800" spans="31:32">
      <c r="AE10800" s="417" t="s">
        <v>27409</v>
      </c>
      <c r="AF10800" s="416" t="s">
        <v>27410</v>
      </c>
    </row>
    <row r="10801" spans="31:32">
      <c r="AE10801" s="417" t="s">
        <v>27411</v>
      </c>
      <c r="AF10801" s="416" t="s">
        <v>27412</v>
      </c>
    </row>
    <row r="10802" spans="31:32">
      <c r="AE10802" s="417" t="s">
        <v>27413</v>
      </c>
      <c r="AF10802" s="416" t="s">
        <v>27414</v>
      </c>
    </row>
    <row r="10803" spans="31:32">
      <c r="AE10803" s="417" t="s">
        <v>27415</v>
      </c>
      <c r="AF10803" s="416" t="s">
        <v>27416</v>
      </c>
    </row>
    <row r="10804" spans="31:32">
      <c r="AE10804" s="417" t="s">
        <v>27417</v>
      </c>
      <c r="AF10804" s="416" t="s">
        <v>27418</v>
      </c>
    </row>
    <row r="10805" spans="31:32">
      <c r="AE10805" s="417" t="s">
        <v>27419</v>
      </c>
      <c r="AF10805" s="416" t="s">
        <v>27420</v>
      </c>
    </row>
    <row r="10806" spans="31:32">
      <c r="AE10806" s="417" t="s">
        <v>27421</v>
      </c>
      <c r="AF10806" s="416" t="s">
        <v>27422</v>
      </c>
    </row>
    <row r="10807" spans="31:32">
      <c r="AE10807" s="417" t="s">
        <v>27423</v>
      </c>
      <c r="AF10807" s="416" t="s">
        <v>27424</v>
      </c>
    </row>
    <row r="10808" spans="31:32">
      <c r="AE10808" s="417" t="s">
        <v>27425</v>
      </c>
      <c r="AF10808" s="416" t="s">
        <v>27426</v>
      </c>
    </row>
    <row r="10809" spans="31:32">
      <c r="AE10809" s="417" t="s">
        <v>27427</v>
      </c>
      <c r="AF10809" s="416" t="s">
        <v>27428</v>
      </c>
    </row>
    <row r="10810" spans="31:32">
      <c r="AE10810" s="417" t="s">
        <v>27429</v>
      </c>
      <c r="AF10810" s="416" t="s">
        <v>27430</v>
      </c>
    </row>
    <row r="10811" spans="31:32">
      <c r="AE10811" s="417" t="s">
        <v>27431</v>
      </c>
      <c r="AF10811" s="416" t="s">
        <v>27432</v>
      </c>
    </row>
    <row r="10812" spans="31:32">
      <c r="AE10812" s="417" t="s">
        <v>27433</v>
      </c>
      <c r="AF10812" s="416" t="s">
        <v>27434</v>
      </c>
    </row>
    <row r="10813" spans="31:32">
      <c r="AE10813" s="417" t="s">
        <v>27435</v>
      </c>
      <c r="AF10813" s="416" t="s">
        <v>27436</v>
      </c>
    </row>
    <row r="10814" spans="31:32">
      <c r="AE10814" s="417" t="s">
        <v>27437</v>
      </c>
      <c r="AF10814" s="416" t="s">
        <v>27438</v>
      </c>
    </row>
    <row r="10815" spans="31:32">
      <c r="AE10815" s="417" t="s">
        <v>27439</v>
      </c>
      <c r="AF10815" s="416" t="s">
        <v>27440</v>
      </c>
    </row>
    <row r="10816" spans="31:32">
      <c r="AE10816" s="417" t="s">
        <v>27441</v>
      </c>
      <c r="AF10816" s="416" t="s">
        <v>27442</v>
      </c>
    </row>
    <row r="10817" spans="31:32">
      <c r="AE10817" s="417" t="s">
        <v>27443</v>
      </c>
      <c r="AF10817" s="416" t="s">
        <v>27444</v>
      </c>
    </row>
    <row r="10818" spans="31:32">
      <c r="AE10818" s="417" t="s">
        <v>27445</v>
      </c>
      <c r="AF10818" s="416" t="s">
        <v>27446</v>
      </c>
    </row>
    <row r="10819" spans="31:32">
      <c r="AE10819" s="417" t="s">
        <v>27447</v>
      </c>
      <c r="AF10819" s="416" t="s">
        <v>27448</v>
      </c>
    </row>
    <row r="10820" spans="31:32">
      <c r="AE10820" s="417" t="s">
        <v>27449</v>
      </c>
      <c r="AF10820" s="416" t="s">
        <v>27450</v>
      </c>
    </row>
    <row r="10821" spans="31:32">
      <c r="AE10821" s="417" t="s">
        <v>27451</v>
      </c>
      <c r="AF10821" s="416" t="s">
        <v>27452</v>
      </c>
    </row>
    <row r="10822" spans="31:32">
      <c r="AE10822" s="417" t="s">
        <v>27453</v>
      </c>
      <c r="AF10822" s="416" t="s">
        <v>27454</v>
      </c>
    </row>
    <row r="10823" spans="31:32">
      <c r="AE10823" s="417" t="s">
        <v>27455</v>
      </c>
      <c r="AF10823" s="416" t="s">
        <v>27456</v>
      </c>
    </row>
    <row r="10824" spans="31:32">
      <c r="AE10824" s="417" t="s">
        <v>27457</v>
      </c>
      <c r="AF10824" s="416" t="s">
        <v>27458</v>
      </c>
    </row>
    <row r="10825" spans="31:32">
      <c r="AE10825" s="417" t="s">
        <v>27459</v>
      </c>
      <c r="AF10825" s="416" t="s">
        <v>27460</v>
      </c>
    </row>
    <row r="10826" spans="31:32">
      <c r="AE10826" s="417" t="s">
        <v>27461</v>
      </c>
      <c r="AF10826" s="416" t="s">
        <v>27462</v>
      </c>
    </row>
    <row r="10827" spans="31:32">
      <c r="AE10827" s="417" t="s">
        <v>27463</v>
      </c>
      <c r="AF10827" s="416" t="s">
        <v>27464</v>
      </c>
    </row>
    <row r="10828" spans="31:32">
      <c r="AE10828" s="417" t="s">
        <v>27465</v>
      </c>
      <c r="AF10828" s="416" t="s">
        <v>27466</v>
      </c>
    </row>
    <row r="10829" spans="31:32">
      <c r="AE10829" s="417" t="s">
        <v>27467</v>
      </c>
      <c r="AF10829" s="416" t="s">
        <v>27468</v>
      </c>
    </row>
    <row r="10830" spans="31:32">
      <c r="AE10830" s="417" t="s">
        <v>27469</v>
      </c>
      <c r="AF10830" s="416" t="s">
        <v>27470</v>
      </c>
    </row>
    <row r="10831" spans="31:32">
      <c r="AE10831" s="417" t="s">
        <v>27471</v>
      </c>
      <c r="AF10831" s="416" t="s">
        <v>27472</v>
      </c>
    </row>
    <row r="10832" spans="31:32">
      <c r="AE10832" s="417" t="s">
        <v>27473</v>
      </c>
      <c r="AF10832" s="416" t="s">
        <v>27474</v>
      </c>
    </row>
    <row r="10833" spans="31:32">
      <c r="AE10833" s="417" t="s">
        <v>27475</v>
      </c>
      <c r="AF10833" s="416" t="s">
        <v>27476</v>
      </c>
    </row>
    <row r="10834" spans="31:32">
      <c r="AE10834" s="417" t="s">
        <v>27477</v>
      </c>
      <c r="AF10834" s="416" t="s">
        <v>27478</v>
      </c>
    </row>
    <row r="10835" spans="31:32">
      <c r="AE10835" s="417" t="s">
        <v>27479</v>
      </c>
      <c r="AF10835" s="416" t="s">
        <v>27480</v>
      </c>
    </row>
    <row r="10836" spans="31:32">
      <c r="AE10836" s="417" t="s">
        <v>27481</v>
      </c>
      <c r="AF10836" s="416" t="s">
        <v>27482</v>
      </c>
    </row>
    <row r="10837" spans="31:32">
      <c r="AE10837" s="417" t="s">
        <v>27483</v>
      </c>
      <c r="AF10837" s="416" t="s">
        <v>27484</v>
      </c>
    </row>
    <row r="10838" spans="31:32">
      <c r="AE10838" s="417" t="s">
        <v>27485</v>
      </c>
      <c r="AF10838" s="416" t="s">
        <v>27486</v>
      </c>
    </row>
    <row r="10839" spans="31:32">
      <c r="AE10839" s="417" t="s">
        <v>27487</v>
      </c>
      <c r="AF10839" s="416" t="s">
        <v>27488</v>
      </c>
    </row>
    <row r="10840" spans="31:32">
      <c r="AE10840" s="417" t="s">
        <v>27489</v>
      </c>
      <c r="AF10840" s="416" t="s">
        <v>27490</v>
      </c>
    </row>
    <row r="10841" spans="31:32">
      <c r="AE10841" s="417" t="s">
        <v>27491</v>
      </c>
      <c r="AF10841" s="416" t="s">
        <v>27492</v>
      </c>
    </row>
    <row r="10842" spans="31:32">
      <c r="AE10842" s="417" t="s">
        <v>27493</v>
      </c>
      <c r="AF10842" s="416" t="s">
        <v>27494</v>
      </c>
    </row>
    <row r="10843" spans="31:32">
      <c r="AE10843" s="417" t="s">
        <v>27495</v>
      </c>
      <c r="AF10843" s="416" t="s">
        <v>27496</v>
      </c>
    </row>
    <row r="10844" spans="31:32">
      <c r="AE10844" s="417" t="s">
        <v>27497</v>
      </c>
      <c r="AF10844" s="416" t="s">
        <v>27498</v>
      </c>
    </row>
    <row r="10845" spans="31:32">
      <c r="AE10845" s="417" t="s">
        <v>27499</v>
      </c>
      <c r="AF10845" s="416" t="s">
        <v>27500</v>
      </c>
    </row>
    <row r="10846" spans="31:32">
      <c r="AE10846" s="417" t="s">
        <v>27501</v>
      </c>
      <c r="AF10846" s="416" t="s">
        <v>27502</v>
      </c>
    </row>
    <row r="10847" spans="31:32">
      <c r="AE10847" s="417" t="s">
        <v>27503</v>
      </c>
      <c r="AF10847" s="416" t="s">
        <v>27504</v>
      </c>
    </row>
    <row r="10848" spans="31:32">
      <c r="AE10848" s="417" t="s">
        <v>27505</v>
      </c>
      <c r="AF10848" s="416" t="s">
        <v>27506</v>
      </c>
    </row>
    <row r="10849" spans="31:32">
      <c r="AE10849" s="417" t="s">
        <v>27507</v>
      </c>
      <c r="AF10849" s="416" t="s">
        <v>27508</v>
      </c>
    </row>
    <row r="10850" spans="31:32">
      <c r="AE10850" s="417" t="s">
        <v>27509</v>
      </c>
      <c r="AF10850" s="416" t="s">
        <v>27510</v>
      </c>
    </row>
    <row r="10851" spans="31:32">
      <c r="AE10851" s="417" t="s">
        <v>27511</v>
      </c>
      <c r="AF10851" s="416" t="s">
        <v>27512</v>
      </c>
    </row>
    <row r="10852" spans="31:32">
      <c r="AE10852" s="417" t="s">
        <v>27513</v>
      </c>
      <c r="AF10852" s="416" t="s">
        <v>27514</v>
      </c>
    </row>
    <row r="10853" spans="31:32">
      <c r="AE10853" s="417" t="s">
        <v>27515</v>
      </c>
      <c r="AF10853" s="416" t="s">
        <v>27516</v>
      </c>
    </row>
    <row r="10854" spans="31:32">
      <c r="AE10854" s="417" t="s">
        <v>27517</v>
      </c>
      <c r="AF10854" s="416" t="s">
        <v>27518</v>
      </c>
    </row>
    <row r="10855" spans="31:32">
      <c r="AE10855" s="417" t="s">
        <v>27519</v>
      </c>
      <c r="AF10855" s="416" t="s">
        <v>27520</v>
      </c>
    </row>
    <row r="10856" spans="31:32">
      <c r="AE10856" s="417" t="s">
        <v>27521</v>
      </c>
      <c r="AF10856" s="416" t="s">
        <v>27522</v>
      </c>
    </row>
    <row r="10857" spans="31:32">
      <c r="AE10857" s="417" t="s">
        <v>27523</v>
      </c>
      <c r="AF10857" s="416" t="s">
        <v>27524</v>
      </c>
    </row>
    <row r="10858" spans="31:32">
      <c r="AE10858" s="417" t="s">
        <v>27525</v>
      </c>
      <c r="AF10858" s="416" t="s">
        <v>27526</v>
      </c>
    </row>
    <row r="10859" spans="31:32">
      <c r="AE10859" s="417" t="s">
        <v>27527</v>
      </c>
      <c r="AF10859" s="416" t="s">
        <v>27528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F2E8D-9938-4623-9854-997E752EEB78}">
  <dimension ref="A1"/>
  <sheetViews>
    <sheetView workbookViewId="0">
      <selection activeCell="M18" sqref="M18"/>
    </sheetView>
  </sheetViews>
  <sheetFormatPr defaultRowHeight="14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8F67-61E7-4962-8354-58C16912E172}">
  <sheetPr codeName="Sheet3"/>
  <dimension ref="A1:FS31"/>
  <sheetViews>
    <sheetView tabSelected="1" zoomScale="70" zoomScaleNormal="70" workbookViewId="0">
      <pane xSplit="1" ySplit="3" topLeftCell="I8" activePane="bottomRight" state="frozen"/>
      <selection pane="bottomRight" activeCell="O10" sqref="O10"/>
      <selection pane="bottomLeft" activeCell="A4" sqref="A4"/>
      <selection pane="topRight" activeCell="B1" sqref="B1"/>
    </sheetView>
  </sheetViews>
  <sheetFormatPr defaultColWidth="9.25" defaultRowHeight="14.25"/>
  <cols>
    <col min="1" max="1" width="22" style="177" customWidth="1"/>
    <col min="2" max="2" width="20.75" style="176" customWidth="1"/>
    <col min="3" max="3" width="22.75" style="176" customWidth="1"/>
    <col min="4" max="4" width="24.25" style="176" customWidth="1"/>
    <col min="5" max="5" width="17.75" style="176" customWidth="1"/>
    <col min="6" max="6" width="39.875" style="176" customWidth="1"/>
    <col min="7" max="7" width="38.75" style="176" customWidth="1"/>
    <col min="8" max="8" width="41.75" style="176" bestFit="1" customWidth="1"/>
    <col min="9" max="9" width="37.875" style="176" customWidth="1"/>
    <col min="10" max="10" width="45.875" style="176" customWidth="1"/>
    <col min="11" max="11" width="43.625" style="176" customWidth="1"/>
    <col min="12" max="12" width="19.875" style="176" customWidth="1"/>
    <col min="13" max="13" width="22.25" style="176" customWidth="1"/>
    <col min="14" max="14" width="17.75" style="176" customWidth="1"/>
    <col min="15" max="15" width="14" style="176" customWidth="1"/>
    <col min="16" max="16" width="18.625" style="176" customWidth="1"/>
    <col min="17" max="17" width="31.875" style="176" bestFit="1" customWidth="1"/>
    <col min="18" max="18" width="24.75" style="176" customWidth="1"/>
    <col min="19" max="19" width="28.625" style="176" customWidth="1"/>
    <col min="20" max="20" width="15.625" style="176" customWidth="1"/>
    <col min="21" max="21" width="21.375" style="176" customWidth="1"/>
    <col min="22" max="22" width="16.625" style="176" customWidth="1"/>
    <col min="23" max="23" width="17.375" style="176" customWidth="1"/>
    <col min="24" max="24" width="16.75" style="176" bestFit="1" customWidth="1"/>
    <col min="25" max="25" width="24.375" style="176" customWidth="1"/>
    <col min="26" max="26" width="24.625" style="176" customWidth="1"/>
    <col min="27" max="27" width="36.625" style="176" bestFit="1" customWidth="1"/>
    <col min="28" max="28" width="40.375" style="176" customWidth="1"/>
    <col min="29" max="29" width="38.375" style="176" customWidth="1"/>
    <col min="30" max="30" width="43.125" style="176" customWidth="1"/>
    <col min="31" max="31" width="19.625" style="176" bestFit="1" customWidth="1"/>
    <col min="32" max="32" width="22.25" style="176" customWidth="1"/>
    <col min="33" max="33" width="17.375" style="176" customWidth="1"/>
    <col min="34" max="34" width="41.875" style="176" customWidth="1"/>
    <col min="35" max="35" width="30.125" style="176" customWidth="1"/>
    <col min="36" max="36" width="41.625" style="176" customWidth="1"/>
    <col min="37" max="37" width="30.375" style="176" customWidth="1"/>
    <col min="38" max="39" width="19.625" style="176" customWidth="1"/>
    <col min="40" max="41" width="16.375" style="176" customWidth="1"/>
    <col min="42" max="43" width="17" style="176" customWidth="1"/>
    <col min="44" max="44" width="20.375" style="176" customWidth="1"/>
    <col min="45" max="45" width="19.625" style="176" customWidth="1"/>
    <col min="46" max="46" width="23.625" style="176" customWidth="1"/>
    <col min="47" max="47" width="38.625" style="176" customWidth="1"/>
    <col min="48" max="48" width="22" style="176" customWidth="1"/>
    <col min="49" max="49" width="17.25" style="176" customWidth="1"/>
    <col min="50" max="50" width="31.25" style="176" customWidth="1"/>
    <col min="51" max="52" width="23.375" style="176" bestFit="1" customWidth="1"/>
    <col min="53" max="53" width="29.375" style="176" bestFit="1" customWidth="1"/>
    <col min="54" max="54" width="18.75" style="176" customWidth="1"/>
    <col min="55" max="56" width="18.25" style="176" customWidth="1"/>
    <col min="57" max="57" width="25.75" style="176" customWidth="1"/>
    <col min="58" max="58" width="20.25" style="176" customWidth="1"/>
    <col min="59" max="59" width="16.25" style="176" customWidth="1"/>
    <col min="60" max="60" width="14.75" style="176" customWidth="1"/>
    <col min="61" max="62" width="15.75" style="176" customWidth="1"/>
    <col min="63" max="63" width="17.75" style="176" customWidth="1"/>
    <col min="64" max="64" width="18.75" style="176" customWidth="1"/>
    <col min="65" max="65" width="22.375" style="176" customWidth="1"/>
    <col min="66" max="66" width="19.625" style="176" customWidth="1"/>
    <col min="67" max="67" width="20.75" style="176" customWidth="1"/>
    <col min="68" max="68" width="25.625" style="176" customWidth="1"/>
    <col min="69" max="69" width="35" style="176" bestFit="1" customWidth="1"/>
    <col min="70" max="70" width="35.75" style="176" customWidth="1"/>
    <col min="71" max="71" width="20.375" style="176" customWidth="1"/>
    <col min="72" max="72" width="29.125" style="176" customWidth="1"/>
    <col min="73" max="73" width="19.625" style="176" customWidth="1"/>
    <col min="74" max="74" width="19.75" style="176" customWidth="1"/>
    <col min="75" max="75" width="17.375" style="176" customWidth="1"/>
    <col min="76" max="76" width="32" style="176" customWidth="1"/>
    <col min="77" max="77" width="31.875" style="176" customWidth="1"/>
    <col min="78" max="78" width="19.375" style="176" customWidth="1"/>
    <col min="79" max="79" width="18.25" style="176" customWidth="1"/>
    <col min="80" max="81" width="16.75" style="176" bestFit="1" customWidth="1"/>
    <col min="82" max="82" width="36.125" style="176" customWidth="1"/>
    <col min="83" max="83" width="36.75" style="176" customWidth="1"/>
    <col min="84" max="84" width="17.75" style="176" bestFit="1" customWidth="1"/>
    <col min="85" max="85" width="18.25" style="176" customWidth="1"/>
    <col min="86" max="87" width="16.75" style="176" bestFit="1" customWidth="1"/>
    <col min="88" max="88" width="36.875" style="176" customWidth="1"/>
    <col min="89" max="89" width="33.375" style="176" customWidth="1"/>
    <col min="90" max="90" width="18" style="176" customWidth="1"/>
    <col min="91" max="91" width="19.625" style="176" customWidth="1"/>
    <col min="92" max="92" width="13.625" style="176" customWidth="1"/>
    <col min="93" max="93" width="19.25" style="176" customWidth="1"/>
    <col min="94" max="94" width="35.75" style="176" customWidth="1"/>
    <col min="95" max="95" width="35.375" style="176" customWidth="1"/>
    <col min="96" max="96" width="18.75" style="176" customWidth="1"/>
    <col min="97" max="97" width="20.375" style="176" customWidth="1"/>
    <col min="98" max="98" width="14.75" style="176" customWidth="1"/>
    <col min="99" max="99" width="16.25" style="176" customWidth="1"/>
    <col min="100" max="100" width="35.125" style="176" customWidth="1"/>
    <col min="101" max="101" width="34.75" style="176" customWidth="1"/>
    <col min="102" max="102" width="22.625" style="176" customWidth="1"/>
    <col min="103" max="103" width="20.375" style="176" customWidth="1"/>
    <col min="104" max="104" width="14.375" style="176" customWidth="1"/>
    <col min="105" max="105" width="19.25" style="176" customWidth="1"/>
    <col min="106" max="106" width="41.875" style="176" customWidth="1"/>
    <col min="107" max="107" width="35.375" style="176" customWidth="1"/>
    <col min="108" max="108" width="16.25" style="176" customWidth="1"/>
    <col min="109" max="109" width="15.75" style="176" customWidth="1"/>
    <col min="110" max="110" width="14.25" style="176" customWidth="1"/>
    <col min="111" max="111" width="19.25" style="176" customWidth="1"/>
    <col min="112" max="112" width="33.125" style="176" customWidth="1"/>
    <col min="113" max="113" width="39.875" style="176" customWidth="1"/>
    <col min="114" max="114" width="17.75" style="176" customWidth="1"/>
    <col min="115" max="115" width="20.375" style="176" customWidth="1"/>
    <col min="116" max="116" width="14" style="176" customWidth="1"/>
    <col min="117" max="117" width="19.25" style="176" customWidth="1"/>
    <col min="118" max="118" width="41.375" style="176" customWidth="1"/>
    <col min="119" max="119" width="36.125" style="176" customWidth="1"/>
    <col min="120" max="120" width="13.25" style="176" customWidth="1"/>
    <col min="121" max="122" width="14.375" style="176" customWidth="1"/>
    <col min="123" max="123" width="15.625" style="176" customWidth="1"/>
    <col min="124" max="124" width="44.25" style="176" customWidth="1"/>
    <col min="125" max="125" width="40.25" style="176" customWidth="1"/>
    <col min="126" max="126" width="17.375" style="176" customWidth="1"/>
    <col min="127" max="127" width="16.25" style="176" customWidth="1"/>
    <col min="128" max="128" width="13.375" style="176" customWidth="1"/>
    <col min="129" max="129" width="15.25" style="176" customWidth="1"/>
    <col min="130" max="130" width="39.375" style="176" customWidth="1"/>
    <col min="131" max="131" width="36.625" style="176" customWidth="1"/>
    <col min="132" max="132" width="15" style="176" customWidth="1"/>
    <col min="133" max="133" width="17.25" style="176" customWidth="1"/>
    <col min="134" max="135" width="18.625" style="176" customWidth="1"/>
    <col min="136" max="136" width="21.625" style="176" customWidth="1"/>
    <col min="137" max="137" width="32.875" style="176" customWidth="1"/>
    <col min="138" max="138" width="22.625" style="1" customWidth="1"/>
    <col min="139" max="139" width="34.375" style="1" customWidth="1"/>
    <col min="140" max="141" width="21.625" style="176" customWidth="1"/>
    <col min="142" max="142" width="22" style="176" customWidth="1"/>
    <col min="143" max="143" width="24.75" style="176" customWidth="1"/>
    <col min="144" max="144" width="22.75" style="1" customWidth="1"/>
    <col min="145" max="145" width="22.625" style="176" bestFit="1" customWidth="1"/>
    <col min="146" max="146" width="20.75" style="176" customWidth="1"/>
    <col min="147" max="148" width="17.75" style="176" customWidth="1"/>
    <col min="149" max="149" width="31.875" style="176" bestFit="1" customWidth="1"/>
    <col min="150" max="150" width="32.25" style="176" bestFit="1" customWidth="1"/>
    <col min="151" max="151" width="16.75" style="176" customWidth="1"/>
    <col min="152" max="152" width="33.125" style="176" customWidth="1"/>
    <col min="153" max="153" width="26.75" style="176" customWidth="1"/>
    <col min="154" max="154" width="29.75" style="176" customWidth="1"/>
    <col min="155" max="155" width="26" style="176" bestFit="1" customWidth="1"/>
    <col min="156" max="156" width="41.375" style="176" customWidth="1"/>
    <col min="157" max="157" width="34.625" style="176" customWidth="1"/>
    <col min="158" max="158" width="51.875" style="176" customWidth="1"/>
    <col min="159" max="159" width="44" style="176" bestFit="1" customWidth="1"/>
    <col min="160" max="160" width="31.75" style="176" customWidth="1"/>
    <col min="161" max="161" width="17.25" style="176" customWidth="1"/>
    <col min="162" max="162" width="30.875" style="176" customWidth="1"/>
    <col min="163" max="163" width="33.375" style="176" customWidth="1"/>
    <col min="164" max="164" width="46.625" style="176" customWidth="1"/>
    <col min="165" max="165" width="47.375" style="176" customWidth="1"/>
    <col min="166" max="166" width="37.75" style="176" customWidth="1"/>
    <col min="167" max="167" width="17.25" style="176" customWidth="1"/>
    <col min="168" max="168" width="31.125" style="176" customWidth="1"/>
    <col min="169" max="169" width="33.25" style="176" customWidth="1"/>
    <col min="170" max="170" width="48.25" style="176" customWidth="1"/>
    <col min="171" max="171" width="46.375" style="176" customWidth="1"/>
    <col min="172" max="172" width="18.625" style="176" customWidth="1"/>
    <col min="173" max="173" width="17.75" style="176" customWidth="1"/>
    <col min="174" max="174" width="34.125" style="176" hidden="1" customWidth="1"/>
    <col min="175" max="175" width="37.375" style="176" hidden="1" customWidth="1"/>
    <col min="176" max="16384" width="9.25" style="176"/>
  </cols>
  <sheetData>
    <row r="1" spans="1:175" s="392" customFormat="1" ht="31.5" customHeight="1">
      <c r="A1" s="454" t="s">
        <v>27529</v>
      </c>
      <c r="F1" s="456" t="s">
        <v>27530</v>
      </c>
      <c r="G1" s="457"/>
      <c r="H1" s="458" t="s">
        <v>27531</v>
      </c>
      <c r="I1" s="458"/>
      <c r="J1" s="458"/>
      <c r="K1" s="458"/>
      <c r="L1" s="458"/>
      <c r="M1" s="458"/>
      <c r="N1" s="458"/>
      <c r="O1" s="458"/>
      <c r="P1" s="458"/>
      <c r="Q1" s="458"/>
      <c r="R1" s="458"/>
      <c r="S1" s="458"/>
      <c r="T1" s="458"/>
      <c r="U1" s="458"/>
      <c r="V1" s="458"/>
      <c r="W1" s="458"/>
      <c r="X1" s="458"/>
      <c r="Y1" s="458"/>
      <c r="Z1" s="458"/>
      <c r="AA1" s="458"/>
      <c r="AB1" s="458"/>
      <c r="AC1" s="458"/>
      <c r="AD1" s="458"/>
      <c r="AE1" s="458"/>
      <c r="AF1" s="458"/>
      <c r="AG1" s="458"/>
      <c r="AH1" s="458"/>
      <c r="AI1" s="458"/>
      <c r="AJ1" s="458"/>
      <c r="AK1" s="458"/>
      <c r="AL1" s="458"/>
      <c r="AM1" s="458"/>
      <c r="AN1" s="458"/>
      <c r="AO1" s="458"/>
      <c r="AP1" s="458"/>
      <c r="AQ1" s="458"/>
      <c r="AR1" s="458"/>
      <c r="AS1" s="59"/>
      <c r="AT1" s="60" t="s">
        <v>27532</v>
      </c>
      <c r="AU1" s="60"/>
      <c r="AV1" s="61" t="s">
        <v>27533</v>
      </c>
      <c r="AW1" s="62"/>
      <c r="AX1" s="61" t="s">
        <v>27534</v>
      </c>
      <c r="AY1" s="63"/>
      <c r="AZ1" s="63"/>
      <c r="BA1" s="63"/>
      <c r="BB1" s="63"/>
      <c r="BC1" s="63"/>
      <c r="BD1" s="63"/>
      <c r="BE1" s="63"/>
      <c r="BF1" s="63"/>
      <c r="BG1" s="63"/>
      <c r="BH1" s="63"/>
      <c r="BI1" s="63"/>
      <c r="BJ1" s="63"/>
      <c r="BK1" s="63"/>
      <c r="BL1" s="64" t="s">
        <v>27535</v>
      </c>
      <c r="BM1" s="65"/>
      <c r="BN1" s="65"/>
      <c r="BO1" s="65"/>
      <c r="BP1" s="66"/>
      <c r="BQ1" s="65"/>
      <c r="BR1" s="65"/>
      <c r="BS1" s="67"/>
      <c r="BT1" s="68" t="s">
        <v>27536</v>
      </c>
      <c r="BU1" s="69" t="s">
        <v>27537</v>
      </c>
      <c r="BV1" s="70"/>
      <c r="BW1" s="71"/>
      <c r="BX1" s="72" t="s">
        <v>27538</v>
      </c>
      <c r="BY1" s="65"/>
      <c r="BZ1" s="65"/>
      <c r="CA1" s="65"/>
      <c r="CB1" s="65"/>
      <c r="CC1" s="65"/>
      <c r="CD1" s="69" t="s">
        <v>27539</v>
      </c>
      <c r="CE1" s="70"/>
      <c r="CF1" s="70"/>
      <c r="CG1" s="70"/>
      <c r="CH1" s="70"/>
      <c r="CI1" s="71"/>
      <c r="CJ1" s="65" t="s">
        <v>27540</v>
      </c>
      <c r="CK1" s="65"/>
      <c r="CL1" s="65"/>
      <c r="CM1" s="65"/>
      <c r="CN1" s="65"/>
      <c r="CO1" s="65"/>
      <c r="CP1" s="69" t="s">
        <v>27541</v>
      </c>
      <c r="CQ1" s="70"/>
      <c r="CR1" s="70"/>
      <c r="CS1" s="70"/>
      <c r="CT1" s="70"/>
      <c r="CU1" s="71"/>
      <c r="CV1" s="69" t="s">
        <v>27542</v>
      </c>
      <c r="CW1" s="70"/>
      <c r="CX1" s="70"/>
      <c r="CY1" s="70"/>
      <c r="CZ1" s="70"/>
      <c r="DA1" s="71"/>
      <c r="DB1" s="69" t="s">
        <v>27543</v>
      </c>
      <c r="DC1" s="70"/>
      <c r="DD1" s="70"/>
      <c r="DE1" s="70"/>
      <c r="DF1" s="70"/>
      <c r="DG1" s="71"/>
      <c r="DH1" s="69" t="s">
        <v>27544</v>
      </c>
      <c r="DI1" s="70"/>
      <c r="DJ1" s="70"/>
      <c r="DK1" s="70"/>
      <c r="DL1" s="70"/>
      <c r="DM1" s="71"/>
      <c r="DN1" s="69" t="s">
        <v>27545</v>
      </c>
      <c r="DO1" s="70"/>
      <c r="DP1" s="70"/>
      <c r="DQ1" s="70"/>
      <c r="DR1" s="70"/>
      <c r="DS1" s="71"/>
      <c r="DT1" s="69" t="s">
        <v>27546</v>
      </c>
      <c r="DU1" s="70"/>
      <c r="DV1" s="70"/>
      <c r="DW1" s="70"/>
      <c r="DX1" s="70"/>
      <c r="DY1" s="71"/>
      <c r="DZ1" s="69" t="s">
        <v>27547</v>
      </c>
      <c r="EA1" s="70"/>
      <c r="EB1" s="70"/>
      <c r="EC1" s="70"/>
      <c r="ED1" s="70"/>
      <c r="EE1" s="71"/>
      <c r="EF1" s="459" t="s">
        <v>27548</v>
      </c>
      <c r="EG1" s="460"/>
      <c r="EH1" s="73" t="s">
        <v>27549</v>
      </c>
      <c r="EI1" s="74"/>
      <c r="EJ1" s="75"/>
      <c r="EK1" s="75" t="s">
        <v>27550</v>
      </c>
      <c r="EL1" s="76" t="s">
        <v>27551</v>
      </c>
      <c r="EM1" s="68" t="s">
        <v>27552</v>
      </c>
      <c r="EN1" s="461" t="s">
        <v>27553</v>
      </c>
      <c r="EO1" s="462"/>
      <c r="EP1" s="462"/>
      <c r="EQ1" s="463"/>
      <c r="ER1" s="73" t="s">
        <v>27554</v>
      </c>
      <c r="ES1" s="74"/>
      <c r="ET1" s="74"/>
      <c r="EU1" s="77"/>
      <c r="EV1" s="73" t="s">
        <v>27555</v>
      </c>
      <c r="EW1" s="77"/>
      <c r="EX1" s="73" t="s">
        <v>27556</v>
      </c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3"/>
      <c r="FL1" s="73"/>
      <c r="FM1" s="73"/>
      <c r="FN1" s="73"/>
      <c r="FO1" s="73"/>
      <c r="FP1" s="464" t="s">
        <v>27557</v>
      </c>
      <c r="FQ1" s="465"/>
      <c r="FR1" s="78"/>
      <c r="FS1" s="78"/>
    </row>
    <row r="2" spans="1:175" s="393" customFormat="1" ht="29.25" customHeight="1">
      <c r="A2" s="455"/>
      <c r="B2" s="466" t="s">
        <v>27558</v>
      </c>
      <c r="C2" s="467"/>
      <c r="D2" s="79"/>
      <c r="E2" s="79"/>
      <c r="F2" s="456" t="s">
        <v>27559</v>
      </c>
      <c r="G2" s="457"/>
      <c r="H2" s="458" t="s">
        <v>27560</v>
      </c>
      <c r="I2" s="458"/>
      <c r="J2" s="458"/>
      <c r="K2" s="458"/>
      <c r="L2" s="458"/>
      <c r="M2" s="458"/>
      <c r="N2" s="458"/>
      <c r="O2" s="458"/>
      <c r="P2" s="458"/>
      <c r="Q2" s="458"/>
      <c r="R2" s="458"/>
      <c r="S2" s="458"/>
      <c r="T2" s="458"/>
      <c r="U2" s="458"/>
      <c r="V2" s="458"/>
      <c r="W2" s="458"/>
      <c r="X2" s="458"/>
      <c r="Y2" s="458"/>
      <c r="Z2" s="458"/>
      <c r="AA2" s="458"/>
      <c r="AB2" s="458"/>
      <c r="AC2" s="458"/>
      <c r="AD2" s="458"/>
      <c r="AE2" s="458"/>
      <c r="AF2" s="458"/>
      <c r="AG2" s="458"/>
      <c r="AH2" s="458"/>
      <c r="AI2" s="458"/>
      <c r="AJ2" s="458"/>
      <c r="AK2" s="458"/>
      <c r="AL2" s="458"/>
      <c r="AM2" s="458"/>
      <c r="AN2" s="458"/>
      <c r="AO2" s="458"/>
      <c r="AP2" s="458"/>
      <c r="AQ2" s="458"/>
      <c r="AR2" s="458"/>
      <c r="AS2" s="58"/>
      <c r="AT2" s="80"/>
      <c r="AU2" s="81"/>
      <c r="AV2" s="80" t="s">
        <v>27561</v>
      </c>
      <c r="AW2" s="81"/>
      <c r="AX2" s="80" t="s">
        <v>27561</v>
      </c>
      <c r="AY2" s="82"/>
      <c r="AZ2" s="82"/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3" t="s">
        <v>27562</v>
      </c>
      <c r="BM2" s="84"/>
      <c r="BN2" s="468" t="s">
        <v>27563</v>
      </c>
      <c r="BO2" s="469"/>
      <c r="BP2" s="85" t="s">
        <v>27564</v>
      </c>
      <c r="BQ2" s="83" t="s">
        <v>27565</v>
      </c>
      <c r="BR2" s="84"/>
      <c r="BS2" s="86"/>
      <c r="BT2" s="87" t="s">
        <v>27566</v>
      </c>
      <c r="BU2" s="83" t="s">
        <v>27567</v>
      </c>
      <c r="BV2" s="84"/>
      <c r="BW2" s="88"/>
      <c r="BX2" s="83" t="s">
        <v>27568</v>
      </c>
      <c r="BY2" s="84"/>
      <c r="BZ2" s="84"/>
      <c r="CA2" s="84"/>
      <c r="CB2" s="84"/>
      <c r="CC2" s="84"/>
      <c r="CD2" s="83" t="s">
        <v>27568</v>
      </c>
      <c r="CE2" s="84"/>
      <c r="CF2" s="84"/>
      <c r="CG2" s="84"/>
      <c r="CH2" s="84"/>
      <c r="CI2" s="84"/>
      <c r="CJ2" s="83" t="s">
        <v>27568</v>
      </c>
      <c r="CK2" s="84"/>
      <c r="CL2" s="84"/>
      <c r="CM2" s="84"/>
      <c r="CN2" s="84"/>
      <c r="CO2" s="84"/>
      <c r="CP2" s="83" t="s">
        <v>27568</v>
      </c>
      <c r="CQ2" s="84"/>
      <c r="CR2" s="84"/>
      <c r="CS2" s="84"/>
      <c r="CT2" s="84"/>
      <c r="CU2" s="84"/>
      <c r="CV2" s="83" t="s">
        <v>27568</v>
      </c>
      <c r="CW2" s="84"/>
      <c r="CX2" s="84"/>
      <c r="CY2" s="84"/>
      <c r="CZ2" s="84"/>
      <c r="DA2" s="84"/>
      <c r="DB2" s="83" t="s">
        <v>27568</v>
      </c>
      <c r="DC2" s="84"/>
      <c r="DD2" s="84"/>
      <c r="DE2" s="84"/>
      <c r="DF2" s="84"/>
      <c r="DG2" s="84"/>
      <c r="DH2" s="83" t="s">
        <v>27568</v>
      </c>
      <c r="DI2" s="84"/>
      <c r="DJ2" s="84"/>
      <c r="DK2" s="84"/>
      <c r="DL2" s="84"/>
      <c r="DM2" s="84"/>
      <c r="DN2" s="83" t="s">
        <v>27568</v>
      </c>
      <c r="DO2" s="84"/>
      <c r="DP2" s="84"/>
      <c r="DQ2" s="84"/>
      <c r="DR2" s="84"/>
      <c r="DS2" s="84"/>
      <c r="DT2" s="83" t="s">
        <v>27568</v>
      </c>
      <c r="DU2" s="84"/>
      <c r="DV2" s="84"/>
      <c r="DW2" s="84"/>
      <c r="DX2" s="84"/>
      <c r="DY2" s="84"/>
      <c r="DZ2" s="83" t="s">
        <v>27568</v>
      </c>
      <c r="EA2" s="84"/>
      <c r="EB2" s="84"/>
      <c r="EC2" s="84"/>
      <c r="ED2" s="84"/>
      <c r="EE2" s="84"/>
      <c r="EF2" s="452" t="s">
        <v>27569</v>
      </c>
      <c r="EG2" s="453"/>
      <c r="EH2" s="91" t="s">
        <v>27570</v>
      </c>
      <c r="EI2" s="91" t="s">
        <v>27571</v>
      </c>
      <c r="EJ2" s="92" t="s">
        <v>27571</v>
      </c>
      <c r="EK2" s="92" t="s">
        <v>272</v>
      </c>
      <c r="EL2" s="87" t="s">
        <v>27572</v>
      </c>
      <c r="EM2" s="93" t="s">
        <v>27552</v>
      </c>
      <c r="EN2" s="89" t="s">
        <v>27573</v>
      </c>
      <c r="EO2" s="93"/>
      <c r="EP2" s="90"/>
      <c r="EQ2" s="93" t="s">
        <v>27574</v>
      </c>
      <c r="ER2" s="93" t="s">
        <v>27575</v>
      </c>
      <c r="ES2" s="93"/>
      <c r="ET2" s="93"/>
      <c r="EU2" s="90"/>
      <c r="EV2" s="87" t="s">
        <v>27576</v>
      </c>
      <c r="EW2" s="89" t="s">
        <v>27577</v>
      </c>
      <c r="EX2" s="89" t="s">
        <v>27578</v>
      </c>
      <c r="EY2" s="89"/>
      <c r="EZ2" s="89"/>
      <c r="FA2" s="89"/>
      <c r="FB2" s="89"/>
      <c r="FC2" s="89"/>
      <c r="FD2" s="89"/>
      <c r="FE2" s="89"/>
      <c r="FF2" s="89"/>
      <c r="FG2" s="89"/>
      <c r="FH2" s="89"/>
      <c r="FI2" s="89"/>
      <c r="FJ2" s="89"/>
      <c r="FK2" s="89"/>
      <c r="FL2" s="89"/>
      <c r="FM2" s="89"/>
      <c r="FN2" s="89"/>
      <c r="FO2" s="89"/>
      <c r="FP2" s="452" t="s">
        <v>27579</v>
      </c>
      <c r="FQ2" s="453"/>
      <c r="FR2" s="79"/>
      <c r="FS2" s="79"/>
    </row>
    <row r="3" spans="1:175" s="394" customFormat="1" ht="28.5">
      <c r="A3" s="94" t="s">
        <v>27580</v>
      </c>
      <c r="B3" s="95" t="s">
        <v>27581</v>
      </c>
      <c r="C3" s="95" t="s">
        <v>27582</v>
      </c>
      <c r="D3" s="95" t="s">
        <v>315</v>
      </c>
      <c r="E3" s="96" t="s">
        <v>339</v>
      </c>
      <c r="F3" s="96" t="s">
        <v>153</v>
      </c>
      <c r="G3" s="96" t="s">
        <v>160</v>
      </c>
      <c r="H3" s="97" t="s">
        <v>27583</v>
      </c>
      <c r="I3" s="95" t="s">
        <v>27584</v>
      </c>
      <c r="J3" s="95" t="s">
        <v>27585</v>
      </c>
      <c r="K3" s="95" t="s">
        <v>27586</v>
      </c>
      <c r="L3" s="95" t="s">
        <v>27587</v>
      </c>
      <c r="M3" s="95" t="s">
        <v>27588</v>
      </c>
      <c r="N3" s="95" t="s">
        <v>27589</v>
      </c>
      <c r="O3" s="95" t="s">
        <v>27590</v>
      </c>
      <c r="P3" s="95" t="s">
        <v>27591</v>
      </c>
      <c r="Q3" s="95" t="s">
        <v>27592</v>
      </c>
      <c r="R3" s="95" t="s">
        <v>27593</v>
      </c>
      <c r="S3" s="95" t="s">
        <v>27594</v>
      </c>
      <c r="T3" s="95" t="s">
        <v>47</v>
      </c>
      <c r="U3" s="95" t="s">
        <v>53</v>
      </c>
      <c r="V3" s="95" t="s">
        <v>51</v>
      </c>
      <c r="W3" s="95" t="s">
        <v>41</v>
      </c>
      <c r="X3" s="95" t="s">
        <v>58</v>
      </c>
      <c r="Y3" s="95" t="s">
        <v>63</v>
      </c>
      <c r="Z3" s="95" t="s">
        <v>27595</v>
      </c>
      <c r="AA3" s="95" t="s">
        <v>27596</v>
      </c>
      <c r="AB3" s="95" t="s">
        <v>27597</v>
      </c>
      <c r="AC3" s="95" t="s">
        <v>27598</v>
      </c>
      <c r="AD3" s="95" t="s">
        <v>27599</v>
      </c>
      <c r="AE3" s="95" t="s">
        <v>27600</v>
      </c>
      <c r="AF3" s="95" t="s">
        <v>96</v>
      </c>
      <c r="AG3" s="95" t="s">
        <v>27601</v>
      </c>
      <c r="AH3" s="98" t="s">
        <v>27602</v>
      </c>
      <c r="AI3" s="98" t="s">
        <v>27603</v>
      </c>
      <c r="AJ3" s="98" t="s">
        <v>27604</v>
      </c>
      <c r="AK3" s="98" t="s">
        <v>27605</v>
      </c>
      <c r="AL3" s="98" t="s">
        <v>27606</v>
      </c>
      <c r="AM3" s="98" t="s">
        <v>27607</v>
      </c>
      <c r="AN3" s="98" t="s">
        <v>27608</v>
      </c>
      <c r="AO3" s="98" t="s">
        <v>27609</v>
      </c>
      <c r="AP3" s="98" t="s">
        <v>27610</v>
      </c>
      <c r="AQ3" s="98" t="s">
        <v>27611</v>
      </c>
      <c r="AR3" s="95" t="s">
        <v>99</v>
      </c>
      <c r="AS3" s="95" t="s">
        <v>27612</v>
      </c>
      <c r="AT3" s="95" t="s">
        <v>38</v>
      </c>
      <c r="AU3" s="95" t="s">
        <v>27613</v>
      </c>
      <c r="AV3" s="96" t="s">
        <v>153</v>
      </c>
      <c r="AW3" s="96" t="s">
        <v>160</v>
      </c>
      <c r="AX3" s="95" t="s">
        <v>27583</v>
      </c>
      <c r="AY3" s="95" t="s">
        <v>27584</v>
      </c>
      <c r="AZ3" s="95" t="s">
        <v>27585</v>
      </c>
      <c r="BA3" s="95" t="s">
        <v>27586</v>
      </c>
      <c r="BB3" s="95" t="s">
        <v>27587</v>
      </c>
      <c r="BC3" s="95" t="s">
        <v>27588</v>
      </c>
      <c r="BD3" s="95" t="s">
        <v>27591</v>
      </c>
      <c r="BE3" s="95" t="s">
        <v>27592</v>
      </c>
      <c r="BF3" s="95" t="s">
        <v>27593</v>
      </c>
      <c r="BG3" s="95" t="s">
        <v>27594</v>
      </c>
      <c r="BH3" s="95" t="s">
        <v>47</v>
      </c>
      <c r="BI3" s="95" t="s">
        <v>53</v>
      </c>
      <c r="BJ3" s="95" t="s">
        <v>51</v>
      </c>
      <c r="BK3" s="95" t="s">
        <v>41</v>
      </c>
      <c r="BL3" s="95" t="s">
        <v>188</v>
      </c>
      <c r="BM3" s="95" t="s">
        <v>27614</v>
      </c>
      <c r="BN3" s="95" t="s">
        <v>27615</v>
      </c>
      <c r="BO3" s="95" t="s">
        <v>27616</v>
      </c>
      <c r="BP3" s="95" t="s">
        <v>27617</v>
      </c>
      <c r="BQ3" s="95" t="s">
        <v>27618</v>
      </c>
      <c r="BR3" s="95" t="s">
        <v>27619</v>
      </c>
      <c r="BS3" s="95" t="s">
        <v>122</v>
      </c>
      <c r="BT3" s="95" t="s">
        <v>27620</v>
      </c>
      <c r="BU3" s="95" t="s">
        <v>27621</v>
      </c>
      <c r="BV3" s="95" t="s">
        <v>27622</v>
      </c>
      <c r="BW3" s="95" t="s">
        <v>27623</v>
      </c>
      <c r="BX3" s="99" t="s">
        <v>27624</v>
      </c>
      <c r="BY3" s="95" t="s">
        <v>27625</v>
      </c>
      <c r="BZ3" s="95" t="s">
        <v>27626</v>
      </c>
      <c r="CA3" s="95" t="s">
        <v>27627</v>
      </c>
      <c r="CB3" s="95" t="s">
        <v>27628</v>
      </c>
      <c r="CC3" s="95" t="s">
        <v>27629</v>
      </c>
      <c r="CD3" s="99" t="s">
        <v>27630</v>
      </c>
      <c r="CE3" s="95" t="s">
        <v>27631</v>
      </c>
      <c r="CF3" s="95" t="s">
        <v>27632</v>
      </c>
      <c r="CG3" s="95" t="s">
        <v>27633</v>
      </c>
      <c r="CH3" s="95" t="s">
        <v>27634</v>
      </c>
      <c r="CI3" s="95" t="s">
        <v>27635</v>
      </c>
      <c r="CJ3" s="99" t="s">
        <v>27636</v>
      </c>
      <c r="CK3" s="95" t="s">
        <v>27637</v>
      </c>
      <c r="CL3" s="95" t="s">
        <v>27638</v>
      </c>
      <c r="CM3" s="95" t="s">
        <v>27639</v>
      </c>
      <c r="CN3" s="95" t="s">
        <v>27640</v>
      </c>
      <c r="CO3" s="95" t="s">
        <v>27641</v>
      </c>
      <c r="CP3" s="99" t="s">
        <v>27642</v>
      </c>
      <c r="CQ3" s="95" t="s">
        <v>27643</v>
      </c>
      <c r="CR3" s="95" t="s">
        <v>27644</v>
      </c>
      <c r="CS3" s="95" t="s">
        <v>27645</v>
      </c>
      <c r="CT3" s="95" t="s">
        <v>27646</v>
      </c>
      <c r="CU3" s="95" t="s">
        <v>27647</v>
      </c>
      <c r="CV3" s="99" t="s">
        <v>27648</v>
      </c>
      <c r="CW3" s="95" t="s">
        <v>27649</v>
      </c>
      <c r="CX3" s="95" t="s">
        <v>27650</v>
      </c>
      <c r="CY3" s="95" t="s">
        <v>27651</v>
      </c>
      <c r="CZ3" s="95" t="s">
        <v>27652</v>
      </c>
      <c r="DA3" s="95" t="s">
        <v>27653</v>
      </c>
      <c r="DB3" s="99" t="s">
        <v>27654</v>
      </c>
      <c r="DC3" s="95" t="s">
        <v>27655</v>
      </c>
      <c r="DD3" s="95" t="s">
        <v>27656</v>
      </c>
      <c r="DE3" s="95" t="s">
        <v>27657</v>
      </c>
      <c r="DF3" s="95" t="s">
        <v>27658</v>
      </c>
      <c r="DG3" s="95" t="s">
        <v>27659</v>
      </c>
      <c r="DH3" s="99" t="s">
        <v>27660</v>
      </c>
      <c r="DI3" s="95" t="s">
        <v>27661</v>
      </c>
      <c r="DJ3" s="95" t="s">
        <v>27662</v>
      </c>
      <c r="DK3" s="95" t="s">
        <v>27663</v>
      </c>
      <c r="DL3" s="95" t="s">
        <v>27664</v>
      </c>
      <c r="DM3" s="95" t="s">
        <v>27665</v>
      </c>
      <c r="DN3" s="99" t="s">
        <v>27666</v>
      </c>
      <c r="DO3" s="95" t="s">
        <v>27667</v>
      </c>
      <c r="DP3" s="95" t="s">
        <v>27668</v>
      </c>
      <c r="DQ3" s="95" t="s">
        <v>27669</v>
      </c>
      <c r="DR3" s="95" t="s">
        <v>27670</v>
      </c>
      <c r="DS3" s="95" t="s">
        <v>27671</v>
      </c>
      <c r="DT3" s="99" t="s">
        <v>27672</v>
      </c>
      <c r="DU3" s="95" t="s">
        <v>27673</v>
      </c>
      <c r="DV3" s="95" t="s">
        <v>27674</v>
      </c>
      <c r="DW3" s="95" t="s">
        <v>27675</v>
      </c>
      <c r="DX3" s="95" t="s">
        <v>27676</v>
      </c>
      <c r="DY3" s="95" t="s">
        <v>27677</v>
      </c>
      <c r="DZ3" s="99" t="s">
        <v>27678</v>
      </c>
      <c r="EA3" s="95" t="s">
        <v>27679</v>
      </c>
      <c r="EB3" s="95" t="s">
        <v>27680</v>
      </c>
      <c r="EC3" s="95" t="s">
        <v>27681</v>
      </c>
      <c r="ED3" s="95" t="s">
        <v>27682</v>
      </c>
      <c r="EE3" s="95" t="s">
        <v>27683</v>
      </c>
      <c r="EF3" s="95" t="s">
        <v>27684</v>
      </c>
      <c r="EG3" s="95" t="s">
        <v>27685</v>
      </c>
      <c r="EH3" s="95" t="s">
        <v>340</v>
      </c>
      <c r="EI3" s="95" t="s">
        <v>27686</v>
      </c>
      <c r="EJ3" s="95" t="s">
        <v>27687</v>
      </c>
      <c r="EK3" s="95" t="s">
        <v>341</v>
      </c>
      <c r="EL3" s="100" t="s">
        <v>27688</v>
      </c>
      <c r="EM3" s="95" t="s">
        <v>13</v>
      </c>
      <c r="EN3" s="95" t="s">
        <v>324</v>
      </c>
      <c r="EO3" s="95" t="s">
        <v>27689</v>
      </c>
      <c r="EP3" s="95" t="s">
        <v>27690</v>
      </c>
      <c r="EQ3" s="95" t="s">
        <v>11</v>
      </c>
      <c r="ER3" s="95" t="s">
        <v>140</v>
      </c>
      <c r="ES3" s="95" t="s">
        <v>27691</v>
      </c>
      <c r="ET3" s="95" t="s">
        <v>27692</v>
      </c>
      <c r="EU3" s="95" t="s">
        <v>27693</v>
      </c>
      <c r="EV3" s="95" t="s">
        <v>27694</v>
      </c>
      <c r="EW3" s="95" t="s">
        <v>27695</v>
      </c>
      <c r="EX3" s="95" t="s">
        <v>27696</v>
      </c>
      <c r="EY3" s="95" t="s">
        <v>289</v>
      </c>
      <c r="EZ3" s="95" t="s">
        <v>27697</v>
      </c>
      <c r="FA3" s="95" t="s">
        <v>27698</v>
      </c>
      <c r="FB3" s="95" t="s">
        <v>27699</v>
      </c>
      <c r="FC3" s="95" t="s">
        <v>27700</v>
      </c>
      <c r="FD3" s="95" t="s">
        <v>27696</v>
      </c>
      <c r="FE3" s="95" t="s">
        <v>289</v>
      </c>
      <c r="FF3" s="95" t="s">
        <v>27697</v>
      </c>
      <c r="FG3" s="95" t="s">
        <v>27698</v>
      </c>
      <c r="FH3" s="95" t="s">
        <v>27699</v>
      </c>
      <c r="FI3" s="95" t="s">
        <v>27700</v>
      </c>
      <c r="FJ3" s="95" t="s">
        <v>27696</v>
      </c>
      <c r="FK3" s="95" t="s">
        <v>289</v>
      </c>
      <c r="FL3" s="95" t="s">
        <v>27697</v>
      </c>
      <c r="FM3" s="95" t="s">
        <v>27698</v>
      </c>
      <c r="FN3" s="95" t="s">
        <v>27699</v>
      </c>
      <c r="FO3" s="95" t="s">
        <v>27700</v>
      </c>
      <c r="FP3" s="95" t="s">
        <v>27701</v>
      </c>
      <c r="FQ3" s="95" t="s">
        <v>338</v>
      </c>
      <c r="FR3" s="101" t="s">
        <v>27702</v>
      </c>
      <c r="FS3" s="101" t="s">
        <v>27703</v>
      </c>
    </row>
    <row r="4" spans="1:175" s="351" customFormat="1" ht="29.25" customHeight="1">
      <c r="A4" s="102" t="s">
        <v>27704</v>
      </c>
      <c r="B4" s="103" t="s">
        <v>27705</v>
      </c>
      <c r="C4" s="103" t="s">
        <v>27705</v>
      </c>
      <c r="D4" s="103" t="s">
        <v>27705</v>
      </c>
      <c r="E4" s="104" t="s">
        <v>27706</v>
      </c>
      <c r="F4" s="104" t="s">
        <v>27706</v>
      </c>
      <c r="G4" s="104" t="s">
        <v>27706</v>
      </c>
      <c r="H4" s="105" t="s">
        <v>27706</v>
      </c>
      <c r="I4" s="105" t="s">
        <v>27706</v>
      </c>
      <c r="J4" s="105" t="s">
        <v>27706</v>
      </c>
      <c r="K4" s="105" t="s">
        <v>27706</v>
      </c>
      <c r="L4" s="105" t="s">
        <v>27707</v>
      </c>
      <c r="M4" s="105" t="s">
        <v>27707</v>
      </c>
      <c r="N4" s="106" t="s">
        <v>27708</v>
      </c>
      <c r="O4" s="106" t="s">
        <v>27708</v>
      </c>
      <c r="P4" s="106" t="s">
        <v>27708</v>
      </c>
      <c r="Q4" s="107" t="s">
        <v>27709</v>
      </c>
      <c r="R4" s="107" t="s">
        <v>27709</v>
      </c>
      <c r="S4" s="107" t="s">
        <v>27709</v>
      </c>
      <c r="T4" s="107" t="s">
        <v>27709</v>
      </c>
      <c r="U4" s="107" t="s">
        <v>27709</v>
      </c>
      <c r="V4" s="107" t="s">
        <v>27709</v>
      </c>
      <c r="W4" s="107" t="s">
        <v>27709</v>
      </c>
      <c r="X4" s="107" t="s">
        <v>27709</v>
      </c>
      <c r="Y4" s="107" t="s">
        <v>27709</v>
      </c>
      <c r="Z4" s="107" t="s">
        <v>27710</v>
      </c>
      <c r="AA4" s="107" t="s">
        <v>27711</v>
      </c>
      <c r="AB4" s="107" t="s">
        <v>27711</v>
      </c>
      <c r="AC4" s="107" t="s">
        <v>27711</v>
      </c>
      <c r="AD4" s="107" t="s">
        <v>27711</v>
      </c>
      <c r="AE4" s="107" t="s">
        <v>27711</v>
      </c>
      <c r="AF4" s="107" t="s">
        <v>27711</v>
      </c>
      <c r="AG4" s="107" t="s">
        <v>27711</v>
      </c>
      <c r="AH4" s="107" t="s">
        <v>27711</v>
      </c>
      <c r="AI4" s="107" t="s">
        <v>27711</v>
      </c>
      <c r="AJ4" s="107" t="s">
        <v>27711</v>
      </c>
      <c r="AK4" s="107" t="s">
        <v>27711</v>
      </c>
      <c r="AL4" s="107" t="s">
        <v>27711</v>
      </c>
      <c r="AM4" s="107" t="s">
        <v>27711</v>
      </c>
      <c r="AN4" s="107" t="s">
        <v>27711</v>
      </c>
      <c r="AO4" s="107" t="s">
        <v>27711</v>
      </c>
      <c r="AP4" s="107" t="s">
        <v>27711</v>
      </c>
      <c r="AQ4" s="107" t="s">
        <v>27711</v>
      </c>
      <c r="AR4" s="107" t="s">
        <v>27712</v>
      </c>
      <c r="AS4" s="108" t="s">
        <v>27707</v>
      </c>
      <c r="AT4" s="108"/>
      <c r="AU4" s="108"/>
      <c r="AV4" s="104" t="s">
        <v>27713</v>
      </c>
      <c r="AW4" s="104" t="s">
        <v>27713</v>
      </c>
      <c r="AX4" s="105" t="s">
        <v>27708</v>
      </c>
      <c r="AY4" s="105" t="s">
        <v>27708</v>
      </c>
      <c r="AZ4" s="105" t="s">
        <v>27708</v>
      </c>
      <c r="BA4" s="108" t="s">
        <v>27708</v>
      </c>
      <c r="BB4" s="109" t="s">
        <v>27709</v>
      </c>
      <c r="BC4" s="108" t="s">
        <v>27708</v>
      </c>
      <c r="BD4" s="106" t="s">
        <v>27708</v>
      </c>
      <c r="BE4" s="109" t="s">
        <v>27709</v>
      </c>
      <c r="BF4" s="109" t="s">
        <v>27709</v>
      </c>
      <c r="BG4" s="109" t="s">
        <v>27709</v>
      </c>
      <c r="BH4" s="109" t="s">
        <v>27709</v>
      </c>
      <c r="BI4" s="109" t="s">
        <v>27709</v>
      </c>
      <c r="BJ4" s="109" t="s">
        <v>27709</v>
      </c>
      <c r="BK4" s="109" t="s">
        <v>27709</v>
      </c>
      <c r="BL4" s="108" t="s">
        <v>27706</v>
      </c>
      <c r="BM4" s="108" t="s">
        <v>27706</v>
      </c>
      <c r="BN4" s="108" t="s">
        <v>27707</v>
      </c>
      <c r="BO4" s="108" t="s">
        <v>27707</v>
      </c>
      <c r="BP4" s="108" t="s">
        <v>27706</v>
      </c>
      <c r="BQ4" s="108" t="s">
        <v>27706</v>
      </c>
      <c r="BR4" s="108" t="s">
        <v>27714</v>
      </c>
      <c r="BS4" s="110" t="s">
        <v>27714</v>
      </c>
      <c r="BT4" s="110" t="s">
        <v>27715</v>
      </c>
      <c r="BU4" s="110" t="s">
        <v>27707</v>
      </c>
      <c r="BV4" s="110" t="s">
        <v>27716</v>
      </c>
      <c r="BW4" s="110" t="s">
        <v>27716</v>
      </c>
      <c r="BX4" s="111" t="s">
        <v>27717</v>
      </c>
      <c r="BY4" s="106" t="s">
        <v>27717</v>
      </c>
      <c r="BZ4" s="106" t="s">
        <v>27717</v>
      </c>
      <c r="CA4" s="106" t="s">
        <v>27717</v>
      </c>
      <c r="CB4" s="106" t="s">
        <v>27717</v>
      </c>
      <c r="CC4" s="106" t="s">
        <v>27717</v>
      </c>
      <c r="CD4" s="111" t="s">
        <v>27717</v>
      </c>
      <c r="CE4" s="106" t="s">
        <v>27717</v>
      </c>
      <c r="CF4" s="106" t="s">
        <v>27717</v>
      </c>
      <c r="CG4" s="106" t="s">
        <v>27717</v>
      </c>
      <c r="CH4" s="106" t="s">
        <v>27717</v>
      </c>
      <c r="CI4" s="106" t="s">
        <v>27717</v>
      </c>
      <c r="CJ4" s="111" t="s">
        <v>27717</v>
      </c>
      <c r="CK4" s="106" t="s">
        <v>27717</v>
      </c>
      <c r="CL4" s="106" t="s">
        <v>27717</v>
      </c>
      <c r="CM4" s="106" t="s">
        <v>27717</v>
      </c>
      <c r="CN4" s="106" t="s">
        <v>27717</v>
      </c>
      <c r="CO4" s="106" t="s">
        <v>27717</v>
      </c>
      <c r="CP4" s="111" t="s">
        <v>27717</v>
      </c>
      <c r="CQ4" s="106" t="s">
        <v>27717</v>
      </c>
      <c r="CR4" s="106" t="s">
        <v>27717</v>
      </c>
      <c r="CS4" s="106" t="s">
        <v>27717</v>
      </c>
      <c r="CT4" s="106" t="s">
        <v>27717</v>
      </c>
      <c r="CU4" s="106" t="s">
        <v>27717</v>
      </c>
      <c r="CV4" s="111" t="s">
        <v>27717</v>
      </c>
      <c r="CW4" s="106" t="s">
        <v>27717</v>
      </c>
      <c r="CX4" s="106" t="s">
        <v>27717</v>
      </c>
      <c r="CY4" s="106" t="s">
        <v>27717</v>
      </c>
      <c r="CZ4" s="106" t="s">
        <v>27717</v>
      </c>
      <c r="DA4" s="106" t="s">
        <v>27717</v>
      </c>
      <c r="DB4" s="111" t="s">
        <v>27717</v>
      </c>
      <c r="DC4" s="106" t="s">
        <v>27717</v>
      </c>
      <c r="DD4" s="106" t="s">
        <v>27717</v>
      </c>
      <c r="DE4" s="106" t="s">
        <v>27717</v>
      </c>
      <c r="DF4" s="106" t="s">
        <v>27717</v>
      </c>
      <c r="DG4" s="106" t="s">
        <v>27717</v>
      </c>
      <c r="DH4" s="111" t="s">
        <v>27717</v>
      </c>
      <c r="DI4" s="106" t="s">
        <v>27717</v>
      </c>
      <c r="DJ4" s="106" t="s">
        <v>27717</v>
      </c>
      <c r="DK4" s="106" t="s">
        <v>27717</v>
      </c>
      <c r="DL4" s="106" t="s">
        <v>27717</v>
      </c>
      <c r="DM4" s="106" t="s">
        <v>27717</v>
      </c>
      <c r="DN4" s="111" t="s">
        <v>27717</v>
      </c>
      <c r="DO4" s="106" t="s">
        <v>27717</v>
      </c>
      <c r="DP4" s="106" t="s">
        <v>27717</v>
      </c>
      <c r="DQ4" s="106" t="s">
        <v>27717</v>
      </c>
      <c r="DR4" s="106" t="s">
        <v>27717</v>
      </c>
      <c r="DS4" s="106" t="s">
        <v>27717</v>
      </c>
      <c r="DT4" s="111" t="s">
        <v>27717</v>
      </c>
      <c r="DU4" s="106" t="s">
        <v>27717</v>
      </c>
      <c r="DV4" s="106" t="s">
        <v>27717</v>
      </c>
      <c r="DW4" s="106" t="s">
        <v>27717</v>
      </c>
      <c r="DX4" s="106" t="s">
        <v>27717</v>
      </c>
      <c r="DY4" s="106" t="s">
        <v>27717</v>
      </c>
      <c r="DZ4" s="111" t="s">
        <v>27717</v>
      </c>
      <c r="EA4" s="106" t="s">
        <v>27717</v>
      </c>
      <c r="EB4" s="106" t="s">
        <v>27717</v>
      </c>
      <c r="EC4" s="106" t="s">
        <v>27717</v>
      </c>
      <c r="ED4" s="106" t="s">
        <v>27717</v>
      </c>
      <c r="EE4" s="106" t="s">
        <v>27717</v>
      </c>
      <c r="EF4" s="103" t="s">
        <v>27718</v>
      </c>
      <c r="EG4" s="108" t="s">
        <v>27718</v>
      </c>
      <c r="EH4" s="108" t="s">
        <v>27718</v>
      </c>
      <c r="EI4" s="108" t="s">
        <v>27718</v>
      </c>
      <c r="EJ4" s="103" t="s">
        <v>27718</v>
      </c>
      <c r="EK4" s="103" t="s">
        <v>27719</v>
      </c>
      <c r="EL4" s="103"/>
      <c r="EM4" s="103" t="s">
        <v>27720</v>
      </c>
      <c r="EN4" s="108" t="s">
        <v>27721</v>
      </c>
      <c r="EO4" s="108" t="s">
        <v>27721</v>
      </c>
      <c r="EP4" s="108" t="s">
        <v>27721</v>
      </c>
      <c r="EQ4" s="108" t="s">
        <v>27721</v>
      </c>
      <c r="ER4" s="108" t="s">
        <v>27721</v>
      </c>
      <c r="ES4" s="108" t="s">
        <v>27721</v>
      </c>
      <c r="ET4" s="108" t="s">
        <v>27721</v>
      </c>
      <c r="EU4" s="108" t="s">
        <v>27721</v>
      </c>
      <c r="EV4" s="108" t="s">
        <v>27722</v>
      </c>
      <c r="EW4" s="108" t="s">
        <v>27721</v>
      </c>
      <c r="EX4" s="108" t="s">
        <v>27723</v>
      </c>
      <c r="EY4" s="108" t="s">
        <v>27723</v>
      </c>
      <c r="EZ4" s="108" t="s">
        <v>27723</v>
      </c>
      <c r="FA4" s="108" t="s">
        <v>27723</v>
      </c>
      <c r="FB4" s="108" t="s">
        <v>27723</v>
      </c>
      <c r="FC4" s="108" t="s">
        <v>27723</v>
      </c>
      <c r="FD4" s="108" t="s">
        <v>27723</v>
      </c>
      <c r="FE4" s="108" t="s">
        <v>27723</v>
      </c>
      <c r="FF4" s="108" t="s">
        <v>27723</v>
      </c>
      <c r="FG4" s="108" t="s">
        <v>27723</v>
      </c>
      <c r="FH4" s="108" t="s">
        <v>27723</v>
      </c>
      <c r="FI4" s="108" t="s">
        <v>27723</v>
      </c>
      <c r="FJ4" s="108" t="s">
        <v>27723</v>
      </c>
      <c r="FK4" s="108" t="s">
        <v>27723</v>
      </c>
      <c r="FL4" s="108" t="s">
        <v>27723</v>
      </c>
      <c r="FM4" s="108" t="s">
        <v>27723</v>
      </c>
      <c r="FN4" s="108" t="s">
        <v>27723</v>
      </c>
      <c r="FO4" s="108" t="s">
        <v>27723</v>
      </c>
      <c r="FP4" s="108" t="s">
        <v>27724</v>
      </c>
      <c r="FQ4" s="108" t="s">
        <v>27724</v>
      </c>
      <c r="FR4" s="112"/>
      <c r="FS4" s="112"/>
    </row>
    <row r="5" spans="1:175" s="351" customFormat="1" ht="27.75" customHeight="1">
      <c r="A5" s="102" t="s">
        <v>27725</v>
      </c>
      <c r="B5" s="103" t="s">
        <v>27726</v>
      </c>
      <c r="C5" s="108" t="s">
        <v>27727</v>
      </c>
      <c r="D5" s="108" t="s">
        <v>27728</v>
      </c>
      <c r="E5" s="104" t="s">
        <v>27729</v>
      </c>
      <c r="F5" s="108" t="s">
        <v>27730</v>
      </c>
      <c r="G5" s="108" t="s">
        <v>27731</v>
      </c>
      <c r="H5" s="108" t="s">
        <v>27732</v>
      </c>
      <c r="I5" s="108" t="s">
        <v>27733</v>
      </c>
      <c r="J5" s="108" t="s">
        <v>27734</v>
      </c>
      <c r="K5" s="108" t="s">
        <v>27735</v>
      </c>
      <c r="L5" s="108" t="s">
        <v>27736</v>
      </c>
      <c r="M5" s="108" t="s">
        <v>27737</v>
      </c>
      <c r="N5" s="106" t="s">
        <v>27738</v>
      </c>
      <c r="O5" s="106" t="s">
        <v>27739</v>
      </c>
      <c r="P5" s="106" t="s">
        <v>27740</v>
      </c>
      <c r="Q5" s="108" t="s">
        <v>27741</v>
      </c>
      <c r="R5" s="108" t="s">
        <v>27742</v>
      </c>
      <c r="S5" s="108" t="s">
        <v>27743</v>
      </c>
      <c r="T5" s="108" t="s">
        <v>27744</v>
      </c>
      <c r="U5" s="108" t="s">
        <v>27745</v>
      </c>
      <c r="V5" s="108" t="s">
        <v>27746</v>
      </c>
      <c r="W5" s="108" t="s">
        <v>27747</v>
      </c>
      <c r="X5" s="108" t="s">
        <v>27748</v>
      </c>
      <c r="Y5" s="108" t="s">
        <v>27749</v>
      </c>
      <c r="Z5" s="108" t="s">
        <v>27750</v>
      </c>
      <c r="AA5" s="108" t="s">
        <v>27751</v>
      </c>
      <c r="AB5" s="108" t="s">
        <v>27752</v>
      </c>
      <c r="AC5" s="108" t="s">
        <v>27751</v>
      </c>
      <c r="AD5" s="108" t="s">
        <v>27752</v>
      </c>
      <c r="AE5" s="108" t="s">
        <v>27753</v>
      </c>
      <c r="AF5" s="108" t="s">
        <v>27754</v>
      </c>
      <c r="AG5" s="108" t="s">
        <v>27755</v>
      </c>
      <c r="AH5" s="108" t="s">
        <v>27756</v>
      </c>
      <c r="AI5" s="108" t="s">
        <v>27757</v>
      </c>
      <c r="AJ5" s="108" t="s">
        <v>27756</v>
      </c>
      <c r="AK5" s="108" t="s">
        <v>27757</v>
      </c>
      <c r="AL5" s="108" t="s">
        <v>27756</v>
      </c>
      <c r="AM5" s="108" t="s">
        <v>27757</v>
      </c>
      <c r="AN5" s="108" t="s">
        <v>27756</v>
      </c>
      <c r="AO5" s="108" t="s">
        <v>27757</v>
      </c>
      <c r="AP5" s="108" t="s">
        <v>27756</v>
      </c>
      <c r="AQ5" s="108" t="s">
        <v>27757</v>
      </c>
      <c r="AR5" s="108" t="s">
        <v>27758</v>
      </c>
      <c r="AS5" s="103" t="s">
        <v>27759</v>
      </c>
      <c r="AT5" s="108"/>
      <c r="AU5" s="108"/>
      <c r="AV5" s="108" t="s">
        <v>27730</v>
      </c>
      <c r="AW5" s="108" t="s">
        <v>27731</v>
      </c>
      <c r="AX5" s="108" t="s">
        <v>27760</v>
      </c>
      <c r="AY5" s="108" t="s">
        <v>27761</v>
      </c>
      <c r="AZ5" s="108" t="s">
        <v>27762</v>
      </c>
      <c r="BA5" s="108" t="s">
        <v>27763</v>
      </c>
      <c r="BB5" s="103" t="s">
        <v>27764</v>
      </c>
      <c r="BC5" s="108" t="s">
        <v>27765</v>
      </c>
      <c r="BD5" s="106" t="s">
        <v>27740</v>
      </c>
      <c r="BE5" s="108" t="s">
        <v>27741</v>
      </c>
      <c r="BF5" s="108" t="s">
        <v>27742</v>
      </c>
      <c r="BG5" s="108" t="s">
        <v>27743</v>
      </c>
      <c r="BH5" s="108" t="s">
        <v>27744</v>
      </c>
      <c r="BI5" s="108" t="s">
        <v>27745</v>
      </c>
      <c r="BJ5" s="108" t="s">
        <v>27746</v>
      </c>
      <c r="BK5" s="108" t="s">
        <v>27747</v>
      </c>
      <c r="BL5" s="15" t="s">
        <v>27766</v>
      </c>
      <c r="BM5" s="108" t="s">
        <v>27767</v>
      </c>
      <c r="BN5" s="108" t="s">
        <v>27768</v>
      </c>
      <c r="BO5" s="108" t="s">
        <v>27769</v>
      </c>
      <c r="BP5" s="108" t="s">
        <v>27770</v>
      </c>
      <c r="BQ5" s="108" t="s">
        <v>27771</v>
      </c>
      <c r="BR5" s="108" t="s">
        <v>27772</v>
      </c>
      <c r="BS5" s="108" t="s">
        <v>27773</v>
      </c>
      <c r="BT5" s="108" t="s">
        <v>27774</v>
      </c>
      <c r="BU5" s="108" t="s">
        <v>27775</v>
      </c>
      <c r="BV5" s="108" t="s">
        <v>27776</v>
      </c>
      <c r="BW5" s="108" t="s">
        <v>27777</v>
      </c>
      <c r="BX5" s="106" t="s">
        <v>27778</v>
      </c>
      <c r="BY5" s="106" t="s">
        <v>27779</v>
      </c>
      <c r="BZ5" s="106" t="s">
        <v>27780</v>
      </c>
      <c r="CA5" s="106" t="s">
        <v>27781</v>
      </c>
      <c r="CB5" s="106" t="s">
        <v>27782</v>
      </c>
      <c r="CC5" s="106" t="s">
        <v>27783</v>
      </c>
      <c r="CD5" s="106" t="s">
        <v>27784</v>
      </c>
      <c r="CE5" s="106" t="s">
        <v>27785</v>
      </c>
      <c r="CF5" s="106" t="s">
        <v>27786</v>
      </c>
      <c r="CG5" s="106" t="s">
        <v>27787</v>
      </c>
      <c r="CH5" s="106" t="s">
        <v>27788</v>
      </c>
      <c r="CI5" s="106" t="s">
        <v>27789</v>
      </c>
      <c r="CJ5" s="106" t="s">
        <v>27790</v>
      </c>
      <c r="CK5" s="106" t="s">
        <v>27791</v>
      </c>
      <c r="CL5" s="106" t="s">
        <v>27792</v>
      </c>
      <c r="CM5" s="106" t="s">
        <v>27793</v>
      </c>
      <c r="CN5" s="106" t="s">
        <v>27794</v>
      </c>
      <c r="CO5" s="106" t="s">
        <v>27795</v>
      </c>
      <c r="CP5" s="106" t="s">
        <v>27796</v>
      </c>
      <c r="CQ5" s="106" t="s">
        <v>27797</v>
      </c>
      <c r="CR5" s="106" t="s">
        <v>27798</v>
      </c>
      <c r="CS5" s="106" t="s">
        <v>27799</v>
      </c>
      <c r="CT5" s="106" t="s">
        <v>27800</v>
      </c>
      <c r="CU5" s="106" t="s">
        <v>27801</v>
      </c>
      <c r="CV5" s="106" t="s">
        <v>27796</v>
      </c>
      <c r="CW5" s="106" t="s">
        <v>27797</v>
      </c>
      <c r="CX5" s="106" t="s">
        <v>27802</v>
      </c>
      <c r="CY5" s="106" t="s">
        <v>27799</v>
      </c>
      <c r="CZ5" s="106" t="s">
        <v>27800</v>
      </c>
      <c r="DA5" s="106" t="s">
        <v>27801</v>
      </c>
      <c r="DB5" s="106" t="s">
        <v>27796</v>
      </c>
      <c r="DC5" s="106" t="s">
        <v>27797</v>
      </c>
      <c r="DD5" s="106" t="s">
        <v>27803</v>
      </c>
      <c r="DE5" s="106" t="s">
        <v>27799</v>
      </c>
      <c r="DF5" s="106" t="s">
        <v>27800</v>
      </c>
      <c r="DG5" s="106" t="s">
        <v>27801</v>
      </c>
      <c r="DH5" s="106" t="s">
        <v>27796</v>
      </c>
      <c r="DI5" s="106" t="s">
        <v>27797</v>
      </c>
      <c r="DJ5" s="106" t="s">
        <v>27804</v>
      </c>
      <c r="DK5" s="106" t="s">
        <v>27799</v>
      </c>
      <c r="DL5" s="106" t="s">
        <v>27800</v>
      </c>
      <c r="DM5" s="106" t="s">
        <v>27801</v>
      </c>
      <c r="DN5" s="106" t="s">
        <v>27796</v>
      </c>
      <c r="DO5" s="106" t="s">
        <v>27797</v>
      </c>
      <c r="DP5" s="106" t="s">
        <v>27805</v>
      </c>
      <c r="DQ5" s="106" t="s">
        <v>27799</v>
      </c>
      <c r="DR5" s="106" t="s">
        <v>27800</v>
      </c>
      <c r="DS5" s="106" t="s">
        <v>27801</v>
      </c>
      <c r="DT5" s="106" t="s">
        <v>27796</v>
      </c>
      <c r="DU5" s="106" t="s">
        <v>27797</v>
      </c>
      <c r="DV5" s="106" t="s">
        <v>27806</v>
      </c>
      <c r="DW5" s="106" t="s">
        <v>27799</v>
      </c>
      <c r="DX5" s="106" t="s">
        <v>27800</v>
      </c>
      <c r="DY5" s="106" t="s">
        <v>27801</v>
      </c>
      <c r="DZ5" s="106" t="s">
        <v>27796</v>
      </c>
      <c r="EA5" s="106" t="s">
        <v>27797</v>
      </c>
      <c r="EB5" s="106" t="s">
        <v>27807</v>
      </c>
      <c r="EC5" s="106" t="s">
        <v>27799</v>
      </c>
      <c r="ED5" s="106" t="s">
        <v>27800</v>
      </c>
      <c r="EE5" s="106" t="s">
        <v>27801</v>
      </c>
      <c r="EF5" s="103" t="s">
        <v>27808</v>
      </c>
      <c r="EG5" s="108" t="s">
        <v>27809</v>
      </c>
      <c r="EH5" s="108" t="s">
        <v>27810</v>
      </c>
      <c r="EI5" s="108" t="s">
        <v>27811</v>
      </c>
      <c r="EJ5" s="103" t="s">
        <v>27812</v>
      </c>
      <c r="EK5" s="103" t="s">
        <v>27813</v>
      </c>
      <c r="EL5" s="103"/>
      <c r="EM5" s="103" t="s">
        <v>27814</v>
      </c>
      <c r="EN5" s="108" t="s">
        <v>27815</v>
      </c>
      <c r="EO5" s="108" t="s">
        <v>27816</v>
      </c>
      <c r="EP5" s="108" t="s">
        <v>27817</v>
      </c>
      <c r="EQ5" s="108" t="s">
        <v>27818</v>
      </c>
      <c r="ER5" s="108" t="s">
        <v>27819</v>
      </c>
      <c r="ES5" s="108" t="s">
        <v>27820</v>
      </c>
      <c r="ET5" s="108" t="s">
        <v>27821</v>
      </c>
      <c r="EU5" s="108" t="s">
        <v>27822</v>
      </c>
      <c r="EV5" s="108" t="s">
        <v>27823</v>
      </c>
      <c r="EW5" s="108" t="s">
        <v>27824</v>
      </c>
      <c r="EX5" s="108" t="s">
        <v>27825</v>
      </c>
      <c r="EY5" s="108" t="s">
        <v>27826</v>
      </c>
      <c r="EZ5" s="108" t="s">
        <v>27827</v>
      </c>
      <c r="FA5" s="108" t="s">
        <v>27828</v>
      </c>
      <c r="FB5" s="108" t="s">
        <v>27829</v>
      </c>
      <c r="FC5" s="108" t="s">
        <v>27830</v>
      </c>
      <c r="FD5" s="108" t="s">
        <v>27831</v>
      </c>
      <c r="FE5" s="108" t="s">
        <v>27832</v>
      </c>
      <c r="FF5" s="108" t="s">
        <v>27827</v>
      </c>
      <c r="FG5" s="108" t="s">
        <v>27828</v>
      </c>
      <c r="FH5" s="108" t="s">
        <v>27833</v>
      </c>
      <c r="FI5" s="108" t="s">
        <v>27834</v>
      </c>
      <c r="FJ5" s="108" t="s">
        <v>27835</v>
      </c>
      <c r="FK5" s="108" t="s">
        <v>27836</v>
      </c>
      <c r="FL5" s="108" t="s">
        <v>27827</v>
      </c>
      <c r="FM5" s="108" t="s">
        <v>27828</v>
      </c>
      <c r="FN5" s="108" t="s">
        <v>27837</v>
      </c>
      <c r="FO5" s="108" t="s">
        <v>27838</v>
      </c>
      <c r="FP5" s="108" t="s">
        <v>27839</v>
      </c>
      <c r="FQ5" s="108" t="s">
        <v>27840</v>
      </c>
      <c r="FR5" s="112"/>
      <c r="FS5" s="112"/>
    </row>
    <row r="6" spans="1:175" s="395" customFormat="1" ht="22.5" customHeight="1">
      <c r="A6" s="113" t="s">
        <v>27841</v>
      </c>
      <c r="B6" s="114" t="s">
        <v>113</v>
      </c>
      <c r="C6" s="114" t="s">
        <v>113</v>
      </c>
      <c r="D6" s="114" t="s">
        <v>113</v>
      </c>
      <c r="E6" s="114" t="s">
        <v>113</v>
      </c>
      <c r="F6" s="115"/>
      <c r="G6" s="115"/>
      <c r="H6" s="114" t="s">
        <v>113</v>
      </c>
      <c r="I6" s="115"/>
      <c r="J6" s="115"/>
      <c r="K6" s="115"/>
      <c r="L6" s="114" t="s">
        <v>113</v>
      </c>
      <c r="M6" s="115"/>
      <c r="N6" s="116"/>
      <c r="O6" s="116"/>
      <c r="P6" s="116"/>
      <c r="Q6" s="115" t="s">
        <v>113</v>
      </c>
      <c r="R6" s="115"/>
      <c r="S6" s="115"/>
      <c r="T6" s="115"/>
      <c r="U6" s="115" t="s">
        <v>113</v>
      </c>
      <c r="V6" s="115"/>
      <c r="W6" s="115" t="s">
        <v>113</v>
      </c>
      <c r="X6" s="115"/>
      <c r="Y6" s="115"/>
      <c r="Z6" s="115" t="s">
        <v>113</v>
      </c>
      <c r="AA6" s="115"/>
      <c r="AB6" s="115"/>
      <c r="AC6" s="115"/>
      <c r="AD6" s="115"/>
      <c r="AE6" s="115"/>
      <c r="AF6" s="115"/>
      <c r="AG6" s="115"/>
      <c r="AH6" s="115"/>
      <c r="AI6" s="115"/>
      <c r="AJ6" s="115"/>
      <c r="AK6" s="115"/>
      <c r="AL6" s="115"/>
      <c r="AM6" s="115"/>
      <c r="AN6" s="115"/>
      <c r="AO6" s="115"/>
      <c r="AP6" s="115"/>
      <c r="AQ6" s="115"/>
      <c r="AR6" s="115"/>
      <c r="AS6" s="115"/>
      <c r="AT6" s="115"/>
      <c r="AU6" s="115"/>
      <c r="AV6" s="115"/>
      <c r="AW6" s="115"/>
      <c r="AX6" s="115"/>
      <c r="AY6" s="115"/>
      <c r="AZ6" s="115"/>
      <c r="BA6" s="115"/>
      <c r="BB6" s="115"/>
      <c r="BC6" s="115"/>
      <c r="BD6" s="116"/>
      <c r="BE6" s="115" t="s">
        <v>113</v>
      </c>
      <c r="BF6" s="115"/>
      <c r="BG6" s="115"/>
      <c r="BH6" s="115"/>
      <c r="BI6" s="115" t="s">
        <v>113</v>
      </c>
      <c r="BJ6" s="115"/>
      <c r="BK6" s="115" t="s">
        <v>113</v>
      </c>
      <c r="BL6" s="115"/>
      <c r="BM6" s="115"/>
      <c r="BN6" s="115"/>
      <c r="BO6" s="117"/>
      <c r="BP6" s="115"/>
      <c r="BQ6" s="115"/>
      <c r="BR6" s="115"/>
      <c r="BS6" s="115"/>
      <c r="BT6" s="115"/>
      <c r="BU6" s="115"/>
      <c r="BV6" s="115"/>
      <c r="BW6" s="115"/>
      <c r="BX6" s="116"/>
      <c r="BY6" s="116"/>
      <c r="BZ6" s="116"/>
      <c r="CA6" s="116"/>
      <c r="CB6" s="116"/>
      <c r="CC6" s="116"/>
      <c r="CD6" s="116"/>
      <c r="CE6" s="116"/>
      <c r="CF6" s="116"/>
      <c r="CG6" s="116"/>
      <c r="CH6" s="116"/>
      <c r="CI6" s="116"/>
      <c r="CJ6" s="116"/>
      <c r="CK6" s="116"/>
      <c r="CL6" s="116"/>
      <c r="CM6" s="116"/>
      <c r="CN6" s="116"/>
      <c r="CO6" s="116"/>
      <c r="CP6" s="116"/>
      <c r="CQ6" s="116"/>
      <c r="CR6" s="116"/>
      <c r="CS6" s="116"/>
      <c r="CT6" s="116"/>
      <c r="CU6" s="116"/>
      <c r="CV6" s="116"/>
      <c r="CW6" s="116"/>
      <c r="CX6" s="116"/>
      <c r="CY6" s="116"/>
      <c r="CZ6" s="116"/>
      <c r="DA6" s="116"/>
      <c r="DB6" s="116"/>
      <c r="DC6" s="116"/>
      <c r="DD6" s="116"/>
      <c r="DE6" s="116"/>
      <c r="DF6" s="116"/>
      <c r="DG6" s="116"/>
      <c r="DH6" s="116"/>
      <c r="DI6" s="116"/>
      <c r="DJ6" s="116"/>
      <c r="DK6" s="116"/>
      <c r="DL6" s="116"/>
      <c r="DM6" s="116"/>
      <c r="DN6" s="116"/>
      <c r="DO6" s="116"/>
      <c r="DP6" s="116"/>
      <c r="DQ6" s="116"/>
      <c r="DR6" s="116"/>
      <c r="DS6" s="116"/>
      <c r="DT6" s="116"/>
      <c r="DU6" s="116"/>
      <c r="DV6" s="116"/>
      <c r="DW6" s="116"/>
      <c r="DX6" s="116"/>
      <c r="DY6" s="116"/>
      <c r="DZ6" s="116"/>
      <c r="EA6" s="116"/>
      <c r="EB6" s="116"/>
      <c r="EC6" s="116"/>
      <c r="ED6" s="116"/>
      <c r="EE6" s="116"/>
      <c r="EF6" s="5"/>
      <c r="EG6" s="115"/>
      <c r="EH6" s="115"/>
      <c r="EI6" s="115" t="s">
        <v>113</v>
      </c>
      <c r="EJ6" s="5"/>
      <c r="EK6" s="5"/>
      <c r="EL6" s="115" t="s">
        <v>113</v>
      </c>
      <c r="EM6" s="115" t="s">
        <v>113</v>
      </c>
      <c r="EN6" s="115" t="s">
        <v>113</v>
      </c>
      <c r="EO6" s="115"/>
      <c r="EP6" s="115"/>
      <c r="EQ6" s="115"/>
      <c r="ER6" s="115"/>
      <c r="ES6" s="115" t="s">
        <v>113</v>
      </c>
      <c r="ET6" s="115" t="s">
        <v>113</v>
      </c>
      <c r="EU6" s="115"/>
      <c r="EV6" s="115"/>
      <c r="EW6" s="115"/>
      <c r="EX6" s="115"/>
      <c r="EY6" s="115"/>
      <c r="EZ6" s="115"/>
      <c r="FA6" s="115"/>
      <c r="FB6" s="115"/>
      <c r="FC6" s="115"/>
      <c r="FD6" s="115"/>
      <c r="FE6" s="115"/>
      <c r="FF6" s="115"/>
      <c r="FG6" s="115"/>
      <c r="FH6" s="115"/>
      <c r="FI6" s="115"/>
      <c r="FJ6" s="115"/>
      <c r="FK6" s="115"/>
      <c r="FL6" s="115"/>
      <c r="FM6" s="115"/>
      <c r="FN6" s="115"/>
      <c r="FO6" s="115"/>
      <c r="FP6" s="115"/>
      <c r="FQ6" s="115"/>
      <c r="FR6" s="118"/>
      <c r="FS6" s="118"/>
    </row>
    <row r="7" spans="1:175" s="377" customFormat="1" ht="21.75" customHeight="1">
      <c r="A7" s="102" t="s">
        <v>27842</v>
      </c>
      <c r="B7" s="108" t="s">
        <v>27843</v>
      </c>
      <c r="C7" s="108" t="s">
        <v>27843</v>
      </c>
      <c r="D7" s="108" t="s">
        <v>27843</v>
      </c>
      <c r="E7" s="108" t="s">
        <v>27843</v>
      </c>
      <c r="F7" s="108" t="s">
        <v>27843</v>
      </c>
      <c r="G7" s="108" t="s">
        <v>27843</v>
      </c>
      <c r="H7" s="108" t="s">
        <v>27843</v>
      </c>
      <c r="I7" s="108" t="s">
        <v>27843</v>
      </c>
      <c r="J7" s="108" t="s">
        <v>27843</v>
      </c>
      <c r="K7" s="108" t="s">
        <v>27843</v>
      </c>
      <c r="L7" s="108" t="s">
        <v>27843</v>
      </c>
      <c r="M7" s="108" t="s">
        <v>27843</v>
      </c>
      <c r="N7" s="106" t="s">
        <v>27843</v>
      </c>
      <c r="O7" s="106" t="s">
        <v>27843</v>
      </c>
      <c r="P7" s="106" t="s">
        <v>27843</v>
      </c>
      <c r="Q7" s="108" t="s">
        <v>27843</v>
      </c>
      <c r="R7" s="108" t="s">
        <v>27843</v>
      </c>
      <c r="S7" s="108" t="s">
        <v>27843</v>
      </c>
      <c r="T7" s="108" t="s">
        <v>27843</v>
      </c>
      <c r="U7" s="108" t="s">
        <v>27843</v>
      </c>
      <c r="V7" s="108" t="s">
        <v>27843</v>
      </c>
      <c r="W7" s="108" t="s">
        <v>27843</v>
      </c>
      <c r="X7" s="108" t="s">
        <v>27843</v>
      </c>
      <c r="Y7" s="108" t="s">
        <v>27843</v>
      </c>
      <c r="Z7" s="108" t="s">
        <v>27843</v>
      </c>
      <c r="AA7" s="108" t="s">
        <v>27843</v>
      </c>
      <c r="AB7" s="108" t="s">
        <v>27843</v>
      </c>
      <c r="AC7" s="108" t="s">
        <v>27843</v>
      </c>
      <c r="AD7" s="108" t="s">
        <v>27843</v>
      </c>
      <c r="AE7" s="108" t="s">
        <v>27843</v>
      </c>
      <c r="AF7" s="108" t="s">
        <v>27843</v>
      </c>
      <c r="AG7" s="108" t="s">
        <v>27843</v>
      </c>
      <c r="AH7" s="108" t="s">
        <v>27843</v>
      </c>
      <c r="AI7" s="108" t="s">
        <v>27843</v>
      </c>
      <c r="AJ7" s="108" t="s">
        <v>27843</v>
      </c>
      <c r="AK7" s="108" t="s">
        <v>27843</v>
      </c>
      <c r="AL7" s="108" t="s">
        <v>27843</v>
      </c>
      <c r="AM7" s="108" t="s">
        <v>27843</v>
      </c>
      <c r="AN7" s="108" t="s">
        <v>27843</v>
      </c>
      <c r="AO7" s="108" t="s">
        <v>27843</v>
      </c>
      <c r="AP7" s="108" t="s">
        <v>27843</v>
      </c>
      <c r="AQ7" s="108" t="s">
        <v>27843</v>
      </c>
      <c r="AR7" s="108" t="s">
        <v>27843</v>
      </c>
      <c r="AS7" s="108" t="s">
        <v>27843</v>
      </c>
      <c r="AT7" s="108" t="s">
        <v>27843</v>
      </c>
      <c r="AU7" s="108"/>
      <c r="AV7" s="108" t="s">
        <v>27843</v>
      </c>
      <c r="AW7" s="108" t="s">
        <v>27843</v>
      </c>
      <c r="AX7" s="108" t="s">
        <v>27843</v>
      </c>
      <c r="AY7" s="108" t="s">
        <v>27843</v>
      </c>
      <c r="AZ7" s="108" t="s">
        <v>27843</v>
      </c>
      <c r="BA7" s="108" t="s">
        <v>27843</v>
      </c>
      <c r="BB7" s="108" t="s">
        <v>27843</v>
      </c>
      <c r="BC7" s="108" t="s">
        <v>27843</v>
      </c>
      <c r="BD7" s="106" t="s">
        <v>27843</v>
      </c>
      <c r="BE7" s="108" t="s">
        <v>27843</v>
      </c>
      <c r="BF7" s="108" t="s">
        <v>27843</v>
      </c>
      <c r="BG7" s="108" t="s">
        <v>27843</v>
      </c>
      <c r="BH7" s="108" t="s">
        <v>27843</v>
      </c>
      <c r="BI7" s="108" t="s">
        <v>27843</v>
      </c>
      <c r="BJ7" s="108" t="s">
        <v>27843</v>
      </c>
      <c r="BK7" s="108" t="s">
        <v>27843</v>
      </c>
      <c r="BL7" s="108" t="s">
        <v>27843</v>
      </c>
      <c r="BM7" s="108" t="s">
        <v>27843</v>
      </c>
      <c r="BN7" s="108" t="s">
        <v>27843</v>
      </c>
      <c r="BO7" s="108" t="s">
        <v>27843</v>
      </c>
      <c r="BP7" s="108" t="s">
        <v>27843</v>
      </c>
      <c r="BQ7" s="108" t="s">
        <v>27843</v>
      </c>
      <c r="BR7" s="108" t="s">
        <v>27843</v>
      </c>
      <c r="BS7" s="108" t="s">
        <v>27843</v>
      </c>
      <c r="BT7" s="108" t="s">
        <v>27843</v>
      </c>
      <c r="BU7" s="108" t="s">
        <v>27843</v>
      </c>
      <c r="BV7" s="108" t="s">
        <v>27843</v>
      </c>
      <c r="BW7" s="108" t="s">
        <v>27843</v>
      </c>
      <c r="BX7" s="106" t="s">
        <v>27843</v>
      </c>
      <c r="BY7" s="106" t="s">
        <v>27843</v>
      </c>
      <c r="BZ7" s="106" t="s">
        <v>27843</v>
      </c>
      <c r="CA7" s="106" t="s">
        <v>27843</v>
      </c>
      <c r="CB7" s="106" t="s">
        <v>27843</v>
      </c>
      <c r="CC7" s="106" t="s">
        <v>27843</v>
      </c>
      <c r="CD7" s="106" t="s">
        <v>27843</v>
      </c>
      <c r="CE7" s="106" t="s">
        <v>27843</v>
      </c>
      <c r="CF7" s="106" t="s">
        <v>27843</v>
      </c>
      <c r="CG7" s="106" t="s">
        <v>27843</v>
      </c>
      <c r="CH7" s="106" t="s">
        <v>27843</v>
      </c>
      <c r="CI7" s="106" t="s">
        <v>27843</v>
      </c>
      <c r="CJ7" s="106" t="s">
        <v>27843</v>
      </c>
      <c r="CK7" s="106" t="s">
        <v>27843</v>
      </c>
      <c r="CL7" s="106" t="s">
        <v>27843</v>
      </c>
      <c r="CM7" s="106" t="s">
        <v>27843</v>
      </c>
      <c r="CN7" s="106" t="s">
        <v>27843</v>
      </c>
      <c r="CO7" s="106" t="s">
        <v>27843</v>
      </c>
      <c r="CP7" s="106" t="s">
        <v>27843</v>
      </c>
      <c r="CQ7" s="106" t="s">
        <v>27843</v>
      </c>
      <c r="CR7" s="106" t="s">
        <v>27843</v>
      </c>
      <c r="CS7" s="106" t="s">
        <v>27843</v>
      </c>
      <c r="CT7" s="106" t="s">
        <v>27843</v>
      </c>
      <c r="CU7" s="106" t="s">
        <v>27843</v>
      </c>
      <c r="CV7" s="106" t="s">
        <v>27843</v>
      </c>
      <c r="CW7" s="106" t="s">
        <v>27843</v>
      </c>
      <c r="CX7" s="106" t="s">
        <v>27843</v>
      </c>
      <c r="CY7" s="106" t="s">
        <v>27843</v>
      </c>
      <c r="CZ7" s="106" t="s">
        <v>27843</v>
      </c>
      <c r="DA7" s="106" t="s">
        <v>27843</v>
      </c>
      <c r="DB7" s="106" t="s">
        <v>27843</v>
      </c>
      <c r="DC7" s="106" t="s">
        <v>27843</v>
      </c>
      <c r="DD7" s="106" t="s">
        <v>27843</v>
      </c>
      <c r="DE7" s="106" t="s">
        <v>27843</v>
      </c>
      <c r="DF7" s="106" t="s">
        <v>27843</v>
      </c>
      <c r="DG7" s="106" t="s">
        <v>27843</v>
      </c>
      <c r="DH7" s="106" t="s">
        <v>27843</v>
      </c>
      <c r="DI7" s="106" t="s">
        <v>27843</v>
      </c>
      <c r="DJ7" s="106" t="s">
        <v>27843</v>
      </c>
      <c r="DK7" s="106" t="s">
        <v>27843</v>
      </c>
      <c r="DL7" s="106" t="s">
        <v>27843</v>
      </c>
      <c r="DM7" s="106" t="s">
        <v>27843</v>
      </c>
      <c r="DN7" s="106" t="s">
        <v>27843</v>
      </c>
      <c r="DO7" s="106" t="s">
        <v>27843</v>
      </c>
      <c r="DP7" s="106" t="s">
        <v>27843</v>
      </c>
      <c r="DQ7" s="106" t="s">
        <v>27843</v>
      </c>
      <c r="DR7" s="106" t="s">
        <v>27843</v>
      </c>
      <c r="DS7" s="106" t="s">
        <v>27843</v>
      </c>
      <c r="DT7" s="106" t="s">
        <v>27843</v>
      </c>
      <c r="DU7" s="106" t="s">
        <v>27843</v>
      </c>
      <c r="DV7" s="106" t="s">
        <v>27843</v>
      </c>
      <c r="DW7" s="106" t="s">
        <v>27843</v>
      </c>
      <c r="DX7" s="106" t="s">
        <v>27843</v>
      </c>
      <c r="DY7" s="106" t="s">
        <v>27843</v>
      </c>
      <c r="DZ7" s="106" t="s">
        <v>27843</v>
      </c>
      <c r="EA7" s="106" t="s">
        <v>27843</v>
      </c>
      <c r="EB7" s="106" t="s">
        <v>27843</v>
      </c>
      <c r="EC7" s="106" t="s">
        <v>27843</v>
      </c>
      <c r="ED7" s="106" t="s">
        <v>27843</v>
      </c>
      <c r="EE7" s="106" t="s">
        <v>27843</v>
      </c>
      <c r="EF7" s="106" t="s">
        <v>27843</v>
      </c>
      <c r="EG7" s="106" t="s">
        <v>27843</v>
      </c>
      <c r="EH7" s="108" t="s">
        <v>27843</v>
      </c>
      <c r="EI7" s="108" t="s">
        <v>27843</v>
      </c>
      <c r="EJ7" s="103" t="s">
        <v>27843</v>
      </c>
      <c r="EK7" s="103" t="s">
        <v>27843</v>
      </c>
      <c r="EL7" s="103" t="s">
        <v>27843</v>
      </c>
      <c r="EM7" s="108" t="s">
        <v>27843</v>
      </c>
      <c r="EN7" s="108" t="s">
        <v>27843</v>
      </c>
      <c r="EO7" s="108" t="s">
        <v>27843</v>
      </c>
      <c r="EP7" s="108" t="s">
        <v>27843</v>
      </c>
      <c r="EQ7" s="108" t="s">
        <v>27843</v>
      </c>
      <c r="ER7" s="108" t="s">
        <v>27843</v>
      </c>
      <c r="ES7" s="108" t="s">
        <v>27843</v>
      </c>
      <c r="ET7" s="108" t="s">
        <v>27843</v>
      </c>
      <c r="EU7" s="108" t="s">
        <v>27843</v>
      </c>
      <c r="EV7" s="108" t="s">
        <v>27843</v>
      </c>
      <c r="EW7" s="108" t="s">
        <v>27843</v>
      </c>
      <c r="EX7" s="108" t="s">
        <v>27843</v>
      </c>
      <c r="EY7" s="108" t="s">
        <v>27843</v>
      </c>
      <c r="EZ7" s="108" t="s">
        <v>27843</v>
      </c>
      <c r="FA7" s="108" t="s">
        <v>27843</v>
      </c>
      <c r="FB7" s="108" t="s">
        <v>27843</v>
      </c>
      <c r="FC7" s="108" t="s">
        <v>27843</v>
      </c>
      <c r="FD7" s="108" t="s">
        <v>27843</v>
      </c>
      <c r="FE7" s="108" t="s">
        <v>27843</v>
      </c>
      <c r="FF7" s="108" t="s">
        <v>27843</v>
      </c>
      <c r="FG7" s="108" t="s">
        <v>27843</v>
      </c>
      <c r="FH7" s="108" t="s">
        <v>27843</v>
      </c>
      <c r="FI7" s="108" t="s">
        <v>27843</v>
      </c>
      <c r="FJ7" s="108" t="s">
        <v>27843</v>
      </c>
      <c r="FK7" s="108" t="s">
        <v>27843</v>
      </c>
      <c r="FL7" s="108" t="s">
        <v>27843</v>
      </c>
      <c r="FM7" s="108" t="s">
        <v>27843</v>
      </c>
      <c r="FN7" s="108" t="s">
        <v>27843</v>
      </c>
      <c r="FO7" s="108" t="s">
        <v>27843</v>
      </c>
      <c r="FP7" s="108" t="s">
        <v>27843</v>
      </c>
      <c r="FQ7" s="108" t="s">
        <v>27843</v>
      </c>
      <c r="FR7" s="119"/>
      <c r="FS7" s="119"/>
    </row>
    <row r="8" spans="1:175" s="351" customFormat="1" ht="21.75" customHeight="1">
      <c r="A8" s="102" t="s">
        <v>1</v>
      </c>
      <c r="B8" s="108">
        <v>132</v>
      </c>
      <c r="C8" s="108">
        <v>10</v>
      </c>
      <c r="D8" s="108">
        <v>4</v>
      </c>
      <c r="E8" s="108">
        <v>50</v>
      </c>
      <c r="F8" s="108">
        <v>40</v>
      </c>
      <c r="G8" s="108">
        <v>40</v>
      </c>
      <c r="H8" s="108">
        <v>40</v>
      </c>
      <c r="I8" s="108">
        <v>40</v>
      </c>
      <c r="J8" s="108">
        <v>40</v>
      </c>
      <c r="K8" s="108">
        <v>40</v>
      </c>
      <c r="L8" s="108">
        <v>20</v>
      </c>
      <c r="M8" s="108">
        <v>20</v>
      </c>
      <c r="N8" s="106">
        <v>20</v>
      </c>
      <c r="O8" s="106">
        <v>40</v>
      </c>
      <c r="P8" s="106">
        <v>10</v>
      </c>
      <c r="Q8" s="108">
        <v>40</v>
      </c>
      <c r="R8" s="108">
        <v>40</v>
      </c>
      <c r="S8" s="108">
        <v>40</v>
      </c>
      <c r="T8" s="108">
        <v>40</v>
      </c>
      <c r="U8" s="108">
        <v>40</v>
      </c>
      <c r="V8" s="108">
        <v>10</v>
      </c>
      <c r="W8" s="108">
        <v>2</v>
      </c>
      <c r="X8" s="108">
        <v>3</v>
      </c>
      <c r="Y8" s="108">
        <v>10</v>
      </c>
      <c r="Z8" s="108">
        <v>1</v>
      </c>
      <c r="AA8" s="108">
        <v>30</v>
      </c>
      <c r="AB8" s="108">
        <v>10</v>
      </c>
      <c r="AC8" s="108">
        <v>30</v>
      </c>
      <c r="AD8" s="108">
        <v>10</v>
      </c>
      <c r="AE8" s="108">
        <v>30</v>
      </c>
      <c r="AF8" s="108">
        <v>30</v>
      </c>
      <c r="AG8" s="108">
        <v>10</v>
      </c>
      <c r="AH8" s="120">
        <v>241</v>
      </c>
      <c r="AI8" s="120">
        <v>4</v>
      </c>
      <c r="AJ8" s="120">
        <v>241</v>
      </c>
      <c r="AK8" s="120">
        <v>4</v>
      </c>
      <c r="AL8" s="120">
        <v>241</v>
      </c>
      <c r="AM8" s="120">
        <v>4</v>
      </c>
      <c r="AN8" s="120">
        <v>241</v>
      </c>
      <c r="AO8" s="120">
        <v>4</v>
      </c>
      <c r="AP8" s="120">
        <v>241</v>
      </c>
      <c r="AQ8" s="120">
        <v>4</v>
      </c>
      <c r="AR8" s="108">
        <v>50</v>
      </c>
      <c r="AS8" s="108">
        <v>50</v>
      </c>
      <c r="AT8" s="108">
        <v>1</v>
      </c>
      <c r="AU8" s="108"/>
      <c r="AV8" s="108">
        <v>40</v>
      </c>
      <c r="AW8" s="108">
        <v>40</v>
      </c>
      <c r="AX8" s="108">
        <v>40</v>
      </c>
      <c r="AY8" s="108">
        <v>40</v>
      </c>
      <c r="AZ8" s="108">
        <v>40</v>
      </c>
      <c r="BA8" s="108">
        <v>40</v>
      </c>
      <c r="BB8" s="108">
        <v>20</v>
      </c>
      <c r="BC8" s="108">
        <v>20</v>
      </c>
      <c r="BD8" s="106">
        <v>10</v>
      </c>
      <c r="BE8" s="108">
        <v>40</v>
      </c>
      <c r="BF8" s="108">
        <v>40</v>
      </c>
      <c r="BG8" s="108">
        <v>40</v>
      </c>
      <c r="BH8" s="108">
        <v>40</v>
      </c>
      <c r="BI8" s="108">
        <v>40</v>
      </c>
      <c r="BJ8" s="108">
        <v>10</v>
      </c>
      <c r="BK8" s="108">
        <v>2</v>
      </c>
      <c r="BL8" s="108">
        <v>1</v>
      </c>
      <c r="BM8" s="108">
        <v>10</v>
      </c>
      <c r="BN8" s="108">
        <v>10</v>
      </c>
      <c r="BO8" s="108">
        <v>10</v>
      </c>
      <c r="BP8" s="108" t="s">
        <v>606</v>
      </c>
      <c r="BQ8" s="108">
        <v>1</v>
      </c>
      <c r="BR8" s="108">
        <v>3</v>
      </c>
      <c r="BS8" s="108">
        <v>13</v>
      </c>
      <c r="BT8" s="108">
        <v>6</v>
      </c>
      <c r="BU8" s="108">
        <v>4</v>
      </c>
      <c r="BV8" s="108">
        <v>132</v>
      </c>
      <c r="BW8" s="108">
        <v>132</v>
      </c>
      <c r="BX8" s="106">
        <v>4</v>
      </c>
      <c r="BY8" s="106">
        <v>3</v>
      </c>
      <c r="BZ8" s="106">
        <v>15</v>
      </c>
      <c r="CA8" s="106">
        <v>18</v>
      </c>
      <c r="CB8" s="106">
        <v>60</v>
      </c>
      <c r="CC8" s="106">
        <v>40</v>
      </c>
      <c r="CD8" s="106">
        <v>4</v>
      </c>
      <c r="CE8" s="106">
        <v>3</v>
      </c>
      <c r="CF8" s="106">
        <v>15</v>
      </c>
      <c r="CG8" s="106">
        <v>18</v>
      </c>
      <c r="CH8" s="106">
        <v>60</v>
      </c>
      <c r="CI8" s="106">
        <v>40</v>
      </c>
      <c r="CJ8" s="106">
        <v>4</v>
      </c>
      <c r="CK8" s="106">
        <v>3</v>
      </c>
      <c r="CL8" s="106">
        <v>15</v>
      </c>
      <c r="CM8" s="106">
        <v>18</v>
      </c>
      <c r="CN8" s="106">
        <v>60</v>
      </c>
      <c r="CO8" s="106">
        <v>40</v>
      </c>
      <c r="CP8" s="106">
        <v>4</v>
      </c>
      <c r="CQ8" s="106">
        <v>3</v>
      </c>
      <c r="CR8" s="106">
        <v>15</v>
      </c>
      <c r="CS8" s="106">
        <v>18</v>
      </c>
      <c r="CT8" s="106">
        <v>60</v>
      </c>
      <c r="CU8" s="106">
        <v>40</v>
      </c>
      <c r="CV8" s="106">
        <v>4</v>
      </c>
      <c r="CW8" s="106">
        <v>3</v>
      </c>
      <c r="CX8" s="106">
        <v>15</v>
      </c>
      <c r="CY8" s="106">
        <v>18</v>
      </c>
      <c r="CZ8" s="106">
        <v>60</v>
      </c>
      <c r="DA8" s="106">
        <v>40</v>
      </c>
      <c r="DB8" s="106">
        <v>4</v>
      </c>
      <c r="DC8" s="106">
        <v>3</v>
      </c>
      <c r="DD8" s="106">
        <v>15</v>
      </c>
      <c r="DE8" s="106">
        <v>18</v>
      </c>
      <c r="DF8" s="106">
        <v>60</v>
      </c>
      <c r="DG8" s="106">
        <v>40</v>
      </c>
      <c r="DH8" s="106">
        <v>4</v>
      </c>
      <c r="DI8" s="106">
        <v>3</v>
      </c>
      <c r="DJ8" s="106">
        <v>15</v>
      </c>
      <c r="DK8" s="106">
        <v>18</v>
      </c>
      <c r="DL8" s="106">
        <v>60</v>
      </c>
      <c r="DM8" s="106">
        <v>40</v>
      </c>
      <c r="DN8" s="106">
        <v>4</v>
      </c>
      <c r="DO8" s="106">
        <v>3</v>
      </c>
      <c r="DP8" s="106">
        <v>15</v>
      </c>
      <c r="DQ8" s="106">
        <v>18</v>
      </c>
      <c r="DR8" s="106">
        <v>60</v>
      </c>
      <c r="DS8" s="106">
        <v>40</v>
      </c>
      <c r="DT8" s="106">
        <v>4</v>
      </c>
      <c r="DU8" s="106">
        <v>3</v>
      </c>
      <c r="DV8" s="106">
        <v>15</v>
      </c>
      <c r="DW8" s="106">
        <v>18</v>
      </c>
      <c r="DX8" s="106">
        <v>60</v>
      </c>
      <c r="DY8" s="106">
        <v>40</v>
      </c>
      <c r="DZ8" s="106">
        <v>4</v>
      </c>
      <c r="EA8" s="106">
        <v>3</v>
      </c>
      <c r="EB8" s="106">
        <v>15</v>
      </c>
      <c r="EC8" s="106">
        <v>18</v>
      </c>
      <c r="ED8" s="106">
        <v>60</v>
      </c>
      <c r="EE8" s="106">
        <v>40</v>
      </c>
      <c r="EF8" s="106">
        <v>2</v>
      </c>
      <c r="EG8" s="106">
        <v>10</v>
      </c>
      <c r="EH8" s="108">
        <v>2</v>
      </c>
      <c r="EI8" s="108">
        <v>2</v>
      </c>
      <c r="EJ8" s="103">
        <v>2</v>
      </c>
      <c r="EK8" s="103">
        <v>18</v>
      </c>
      <c r="EL8" s="103">
        <v>1</v>
      </c>
      <c r="EM8" s="108">
        <v>4</v>
      </c>
      <c r="EN8" s="108">
        <v>10</v>
      </c>
      <c r="EO8" s="108">
        <v>3</v>
      </c>
      <c r="EP8" s="108">
        <v>10</v>
      </c>
      <c r="EQ8" s="108">
        <v>10</v>
      </c>
      <c r="ER8" s="108">
        <v>4</v>
      </c>
      <c r="ES8" s="108">
        <v>4</v>
      </c>
      <c r="ET8" s="108">
        <v>4</v>
      </c>
      <c r="EU8" s="108">
        <v>10</v>
      </c>
      <c r="EV8" s="108">
        <v>4</v>
      </c>
      <c r="EW8" s="108">
        <v>1</v>
      </c>
      <c r="EX8" s="108">
        <v>2</v>
      </c>
      <c r="EY8" s="108">
        <v>2</v>
      </c>
      <c r="EZ8" s="108">
        <v>1</v>
      </c>
      <c r="FA8" s="108">
        <v>16</v>
      </c>
      <c r="FB8" s="108">
        <v>10</v>
      </c>
      <c r="FC8" s="108">
        <v>10</v>
      </c>
      <c r="FD8" s="108">
        <v>2</v>
      </c>
      <c r="FE8" s="108">
        <v>2</v>
      </c>
      <c r="FF8" s="108">
        <v>1</v>
      </c>
      <c r="FG8" s="108">
        <v>16</v>
      </c>
      <c r="FH8" s="108">
        <v>10</v>
      </c>
      <c r="FI8" s="108">
        <v>10</v>
      </c>
      <c r="FJ8" s="108">
        <v>2</v>
      </c>
      <c r="FK8" s="108">
        <v>2</v>
      </c>
      <c r="FL8" s="108">
        <v>1</v>
      </c>
      <c r="FM8" s="108">
        <v>16</v>
      </c>
      <c r="FN8" s="108">
        <v>10</v>
      </c>
      <c r="FO8" s="108">
        <v>10</v>
      </c>
      <c r="FP8" s="108">
        <v>5</v>
      </c>
      <c r="FQ8" s="108">
        <v>40</v>
      </c>
      <c r="FR8" s="112">
        <v>50</v>
      </c>
      <c r="FS8" s="112">
        <v>50</v>
      </c>
    </row>
    <row r="9" spans="1:175" s="351" customFormat="1" ht="70.5" customHeight="1">
      <c r="A9" s="102"/>
      <c r="B9" s="121" t="s">
        <v>27844</v>
      </c>
      <c r="C9" s="15" t="s">
        <v>27845</v>
      </c>
      <c r="D9" s="15" t="s">
        <v>27846</v>
      </c>
      <c r="E9" s="15" t="s">
        <v>27847</v>
      </c>
      <c r="F9" s="108" t="s">
        <v>27848</v>
      </c>
      <c r="G9" s="108" t="s">
        <v>27849</v>
      </c>
      <c r="H9" s="108" t="s">
        <v>27850</v>
      </c>
      <c r="I9" s="108" t="s">
        <v>27850</v>
      </c>
      <c r="J9" s="108" t="s">
        <v>27850</v>
      </c>
      <c r="K9" s="108" t="s">
        <v>27850</v>
      </c>
      <c r="L9" s="108" t="s">
        <v>27851</v>
      </c>
      <c r="M9" s="108" t="s">
        <v>27852</v>
      </c>
      <c r="N9" s="108" t="s">
        <v>27853</v>
      </c>
      <c r="O9" s="108" t="s">
        <v>27854</v>
      </c>
      <c r="P9" s="108" t="s">
        <v>27855</v>
      </c>
      <c r="Q9" s="103" t="s">
        <v>27856</v>
      </c>
      <c r="R9" s="103" t="s">
        <v>27857</v>
      </c>
      <c r="S9" s="103" t="s">
        <v>27858</v>
      </c>
      <c r="T9" s="103" t="s">
        <v>27859</v>
      </c>
      <c r="U9" s="103" t="s">
        <v>27860</v>
      </c>
      <c r="V9" s="108" t="s">
        <v>27861</v>
      </c>
      <c r="W9" s="108" t="s">
        <v>27862</v>
      </c>
      <c r="X9" s="108" t="s">
        <v>27863</v>
      </c>
      <c r="Y9" s="103" t="s">
        <v>27864</v>
      </c>
      <c r="Z9" s="108" t="s">
        <v>27865</v>
      </c>
      <c r="AA9" s="108" t="s">
        <v>27866</v>
      </c>
      <c r="AB9" s="108" t="s">
        <v>27867</v>
      </c>
      <c r="AC9" s="108" t="s">
        <v>27866</v>
      </c>
      <c r="AD9" s="108" t="s">
        <v>27867</v>
      </c>
      <c r="AE9" s="108" t="s">
        <v>27868</v>
      </c>
      <c r="AF9" s="108" t="s">
        <v>27869</v>
      </c>
      <c r="AG9" s="108" t="s">
        <v>27870</v>
      </c>
      <c r="AH9" s="108" t="s">
        <v>27871</v>
      </c>
      <c r="AI9" s="108" t="s">
        <v>27603</v>
      </c>
      <c r="AJ9" s="108" t="s">
        <v>27872</v>
      </c>
      <c r="AK9" s="108" t="s">
        <v>27873</v>
      </c>
      <c r="AL9" s="108" t="s">
        <v>27874</v>
      </c>
      <c r="AM9" s="108" t="s">
        <v>27875</v>
      </c>
      <c r="AN9" s="108" t="s">
        <v>27876</v>
      </c>
      <c r="AO9" s="108" t="s">
        <v>27609</v>
      </c>
      <c r="AP9" s="108" t="s">
        <v>27877</v>
      </c>
      <c r="AQ9" s="108" t="s">
        <v>27611</v>
      </c>
      <c r="AR9" s="108" t="s">
        <v>27878</v>
      </c>
      <c r="AS9" s="108" t="s">
        <v>110</v>
      </c>
      <c r="AT9" s="103" t="s">
        <v>27879</v>
      </c>
      <c r="AU9" s="103" t="s">
        <v>27880</v>
      </c>
      <c r="AV9" s="108" t="s">
        <v>27848</v>
      </c>
      <c r="AW9" s="108" t="s">
        <v>27849</v>
      </c>
      <c r="AX9" s="108" t="s">
        <v>27850</v>
      </c>
      <c r="AY9" s="108" t="s">
        <v>27850</v>
      </c>
      <c r="AZ9" s="108" t="s">
        <v>27850</v>
      </c>
      <c r="BA9" s="108" t="s">
        <v>27850</v>
      </c>
      <c r="BB9" s="108" t="s">
        <v>27851</v>
      </c>
      <c r="BC9" s="108" t="s">
        <v>27852</v>
      </c>
      <c r="BD9" s="108" t="s">
        <v>27855</v>
      </c>
      <c r="BE9" s="103" t="s">
        <v>27856</v>
      </c>
      <c r="BF9" s="103" t="s">
        <v>27857</v>
      </c>
      <c r="BG9" s="108" t="s">
        <v>27858</v>
      </c>
      <c r="BH9" s="103" t="s">
        <v>27859</v>
      </c>
      <c r="BI9" s="103" t="s">
        <v>27860</v>
      </c>
      <c r="BJ9" s="108" t="s">
        <v>27861</v>
      </c>
      <c r="BK9" s="108"/>
      <c r="BL9" s="103" t="s">
        <v>27881</v>
      </c>
      <c r="BM9" s="103" t="s">
        <v>27882</v>
      </c>
      <c r="BN9" s="103" t="s">
        <v>27883</v>
      </c>
      <c r="BO9" s="103" t="s">
        <v>27884</v>
      </c>
      <c r="BP9" s="103" t="s">
        <v>27885</v>
      </c>
      <c r="BQ9" s="103" t="s">
        <v>27886</v>
      </c>
      <c r="BR9" s="108" t="s">
        <v>27887</v>
      </c>
      <c r="BS9" s="103" t="s">
        <v>27888</v>
      </c>
      <c r="BT9" s="103" t="s">
        <v>27889</v>
      </c>
      <c r="BU9" s="103" t="s">
        <v>27890</v>
      </c>
      <c r="BV9" s="108" t="s">
        <v>27891</v>
      </c>
      <c r="BW9" s="103" t="s">
        <v>27892</v>
      </c>
      <c r="BX9" s="108" t="s">
        <v>27893</v>
      </c>
      <c r="BY9" s="108" t="s">
        <v>27862</v>
      </c>
      <c r="BZ9" s="103" t="s">
        <v>27894</v>
      </c>
      <c r="CA9" s="108" t="s">
        <v>27895</v>
      </c>
      <c r="CB9" s="108"/>
      <c r="CC9" s="108" t="s">
        <v>27896</v>
      </c>
      <c r="CD9" s="108" t="s">
        <v>27893</v>
      </c>
      <c r="CE9" s="108" t="s">
        <v>27862</v>
      </c>
      <c r="CF9" s="108" t="s">
        <v>27894</v>
      </c>
      <c r="CG9" s="108" t="s">
        <v>27895</v>
      </c>
      <c r="CH9" s="108"/>
      <c r="CI9" s="108" t="s">
        <v>27896</v>
      </c>
      <c r="CJ9" s="108" t="s">
        <v>27893</v>
      </c>
      <c r="CK9" s="108" t="s">
        <v>27862</v>
      </c>
      <c r="CL9" s="108" t="s">
        <v>27894</v>
      </c>
      <c r="CM9" s="108" t="s">
        <v>27895</v>
      </c>
      <c r="CN9" s="108"/>
      <c r="CO9" s="108" t="s">
        <v>27896</v>
      </c>
      <c r="CP9" s="108" t="s">
        <v>27893</v>
      </c>
      <c r="CQ9" s="108" t="s">
        <v>27862</v>
      </c>
      <c r="CR9" s="108" t="s">
        <v>27894</v>
      </c>
      <c r="CS9" s="108" t="s">
        <v>27895</v>
      </c>
      <c r="CT9" s="108"/>
      <c r="CU9" s="108" t="s">
        <v>27896</v>
      </c>
      <c r="CV9" s="108" t="s">
        <v>27893</v>
      </c>
      <c r="CW9" s="108" t="s">
        <v>27862</v>
      </c>
      <c r="CX9" s="103" t="s">
        <v>27894</v>
      </c>
      <c r="CY9" s="108" t="s">
        <v>27895</v>
      </c>
      <c r="CZ9" s="108"/>
      <c r="DA9" s="108" t="s">
        <v>27896</v>
      </c>
      <c r="DB9" s="108" t="s">
        <v>27893</v>
      </c>
      <c r="DC9" s="108" t="s">
        <v>27862</v>
      </c>
      <c r="DD9" s="108" t="s">
        <v>27894</v>
      </c>
      <c r="DE9" s="108" t="s">
        <v>27895</v>
      </c>
      <c r="DF9" s="108"/>
      <c r="DG9" s="108" t="s">
        <v>27896</v>
      </c>
      <c r="DH9" s="108" t="s">
        <v>27893</v>
      </c>
      <c r="DI9" s="108" t="s">
        <v>27862</v>
      </c>
      <c r="DJ9" s="103" t="s">
        <v>27894</v>
      </c>
      <c r="DK9" s="108" t="s">
        <v>27895</v>
      </c>
      <c r="DL9" s="108"/>
      <c r="DM9" s="108" t="s">
        <v>27896</v>
      </c>
      <c r="DN9" s="108" t="s">
        <v>27893</v>
      </c>
      <c r="DO9" s="108" t="s">
        <v>27862</v>
      </c>
      <c r="DP9" s="103" t="s">
        <v>27894</v>
      </c>
      <c r="DQ9" s="108" t="s">
        <v>27895</v>
      </c>
      <c r="DR9" s="108"/>
      <c r="DS9" s="108" t="s">
        <v>27896</v>
      </c>
      <c r="DT9" s="108" t="s">
        <v>27893</v>
      </c>
      <c r="DU9" s="108" t="s">
        <v>27862</v>
      </c>
      <c r="DV9" s="103" t="s">
        <v>27894</v>
      </c>
      <c r="DW9" s="108" t="s">
        <v>27895</v>
      </c>
      <c r="DX9" s="108"/>
      <c r="DY9" s="108" t="s">
        <v>27896</v>
      </c>
      <c r="DZ9" s="108" t="s">
        <v>27893</v>
      </c>
      <c r="EA9" s="108" t="s">
        <v>27862</v>
      </c>
      <c r="EB9" s="103" t="s">
        <v>27894</v>
      </c>
      <c r="EC9" s="108" t="s">
        <v>27895</v>
      </c>
      <c r="ED9" s="108"/>
      <c r="EE9" s="108" t="s">
        <v>27896</v>
      </c>
      <c r="EF9" s="103" t="s">
        <v>27897</v>
      </c>
      <c r="EG9" s="103" t="s">
        <v>27898</v>
      </c>
      <c r="EH9" s="103" t="s">
        <v>27899</v>
      </c>
      <c r="EI9" s="103" t="s">
        <v>27900</v>
      </c>
      <c r="EJ9" s="103" t="s">
        <v>27901</v>
      </c>
      <c r="EK9" s="103" t="s">
        <v>27902</v>
      </c>
      <c r="EL9" s="103" t="s">
        <v>27903</v>
      </c>
      <c r="EM9" s="103" t="s">
        <v>27904</v>
      </c>
      <c r="EN9" s="108" t="s">
        <v>27905</v>
      </c>
      <c r="EO9" s="108" t="s">
        <v>27906</v>
      </c>
      <c r="EP9" s="103" t="s">
        <v>27907</v>
      </c>
      <c r="EQ9" s="103" t="s">
        <v>27908</v>
      </c>
      <c r="ER9" s="103" t="s">
        <v>27909</v>
      </c>
      <c r="ES9" s="108" t="s">
        <v>27910</v>
      </c>
      <c r="ET9" s="108" t="s">
        <v>27911</v>
      </c>
      <c r="EU9" s="103" t="s">
        <v>27912</v>
      </c>
      <c r="EV9" s="108" t="s">
        <v>27910</v>
      </c>
      <c r="EW9" s="103" t="s">
        <v>27913</v>
      </c>
      <c r="EX9" s="103" t="s">
        <v>27914</v>
      </c>
      <c r="EY9" s="103" t="s">
        <v>27914</v>
      </c>
      <c r="EZ9" s="103" t="s">
        <v>27911</v>
      </c>
      <c r="FA9" s="103" t="s">
        <v>27915</v>
      </c>
      <c r="FB9" s="103" t="s">
        <v>27916</v>
      </c>
      <c r="FC9" s="103" t="s">
        <v>27917</v>
      </c>
      <c r="FD9" s="103" t="s">
        <v>27914</v>
      </c>
      <c r="FE9" s="103" t="s">
        <v>27914</v>
      </c>
      <c r="FF9" s="103" t="s">
        <v>27911</v>
      </c>
      <c r="FG9" s="103" t="s">
        <v>27915</v>
      </c>
      <c r="FH9" s="103" t="s">
        <v>27916</v>
      </c>
      <c r="FI9" s="103" t="s">
        <v>27917</v>
      </c>
      <c r="FJ9" s="103" t="s">
        <v>27914</v>
      </c>
      <c r="FK9" s="103" t="s">
        <v>27914</v>
      </c>
      <c r="FL9" s="103" t="s">
        <v>27911</v>
      </c>
      <c r="FM9" s="103" t="s">
        <v>27915</v>
      </c>
      <c r="FN9" s="103" t="s">
        <v>27916</v>
      </c>
      <c r="FO9" s="103" t="s">
        <v>27917</v>
      </c>
      <c r="FP9" s="108" t="s">
        <v>27918</v>
      </c>
      <c r="FQ9" s="108" t="s">
        <v>27919</v>
      </c>
      <c r="FR9" s="112"/>
      <c r="FS9" s="112"/>
    </row>
    <row r="10" spans="1:175" s="377" customFormat="1" ht="28.15" customHeight="1">
      <c r="A10" s="397"/>
      <c r="B10" s="398" t="s">
        <v>27920</v>
      </c>
      <c r="C10" s="361" t="s">
        <v>27921</v>
      </c>
      <c r="D10" s="361" t="s">
        <v>316</v>
      </c>
      <c r="E10" s="361">
        <v>2</v>
      </c>
      <c r="H10" s="399" t="s">
        <v>27922</v>
      </c>
      <c r="I10" s="399"/>
      <c r="J10" s="399"/>
      <c r="K10" s="399"/>
      <c r="L10" s="397" t="s">
        <v>27923</v>
      </c>
      <c r="M10" s="397"/>
      <c r="N10" s="377" t="s">
        <v>27924</v>
      </c>
      <c r="Q10" s="397" t="s">
        <v>27925</v>
      </c>
      <c r="R10" s="397" t="s">
        <v>336</v>
      </c>
      <c r="S10" s="397" t="s">
        <v>336</v>
      </c>
      <c r="T10" s="400" t="s">
        <v>27926</v>
      </c>
      <c r="U10" s="400" t="s">
        <v>27927</v>
      </c>
      <c r="V10" s="23" t="s">
        <v>336</v>
      </c>
      <c r="W10" s="23" t="s">
        <v>2422</v>
      </c>
      <c r="X10" s="23" t="s">
        <v>270</v>
      </c>
      <c r="Y10" s="363" t="s">
        <v>1661</v>
      </c>
      <c r="Z10" s="399" t="s">
        <v>318</v>
      </c>
      <c r="AA10" s="401" t="s">
        <v>27928</v>
      </c>
      <c r="AB10" s="401"/>
      <c r="AC10" s="401"/>
      <c r="AD10" s="401"/>
      <c r="AE10" s="401"/>
      <c r="AF10" s="399" t="s">
        <v>27929</v>
      </c>
      <c r="AG10" s="401"/>
      <c r="AH10" s="399"/>
      <c r="AI10" s="399"/>
      <c r="AJ10" s="399"/>
      <c r="AK10" s="399"/>
      <c r="AL10" s="399"/>
      <c r="AM10" s="399"/>
      <c r="AN10" s="399"/>
      <c r="AO10" s="399"/>
      <c r="AP10" s="399"/>
      <c r="AQ10" s="399"/>
      <c r="AT10" s="361" t="s">
        <v>113</v>
      </c>
      <c r="AU10" s="361" t="s">
        <v>27930</v>
      </c>
      <c r="AV10" s="399"/>
      <c r="AW10" s="399"/>
      <c r="AX10" s="399" t="s">
        <v>27931</v>
      </c>
      <c r="AY10" s="399"/>
      <c r="AZ10" s="399"/>
      <c r="BA10" s="399"/>
      <c r="BB10" s="397" t="s">
        <v>27931</v>
      </c>
      <c r="BC10" s="397"/>
      <c r="BE10" s="397" t="s">
        <v>17</v>
      </c>
      <c r="BF10" s="397" t="s">
        <v>27932</v>
      </c>
      <c r="BG10" s="397" t="s">
        <v>27933</v>
      </c>
      <c r="BH10" s="399" t="s">
        <v>1662</v>
      </c>
      <c r="BI10" s="399" t="s">
        <v>1404</v>
      </c>
      <c r="BJ10" s="399">
        <v>70000</v>
      </c>
      <c r="BK10" s="399" t="s">
        <v>318</v>
      </c>
      <c r="BN10" s="399" t="s">
        <v>27934</v>
      </c>
      <c r="BO10" s="361" t="s">
        <v>27935</v>
      </c>
      <c r="BP10" s="399">
        <v>11000435</v>
      </c>
      <c r="BQ10" s="361" t="s">
        <v>113</v>
      </c>
      <c r="BR10" s="399" t="s">
        <v>27936</v>
      </c>
      <c r="BS10" s="399" t="s">
        <v>27937</v>
      </c>
      <c r="BU10" s="377" t="s">
        <v>27938</v>
      </c>
      <c r="BX10" s="398" t="s">
        <v>205</v>
      </c>
      <c r="BY10" s="361" t="s">
        <v>318</v>
      </c>
      <c r="BZ10" s="399" t="s">
        <v>11460</v>
      </c>
      <c r="CA10" s="399" t="s">
        <v>27939</v>
      </c>
      <c r="CB10" s="399"/>
      <c r="CC10" s="399"/>
      <c r="CD10" s="402"/>
      <c r="CE10" s="399"/>
      <c r="CF10" s="399"/>
      <c r="CG10" s="399"/>
      <c r="CH10" s="399"/>
      <c r="CI10" s="399"/>
      <c r="CJ10" s="399"/>
      <c r="CK10" s="399"/>
      <c r="CL10" s="399"/>
      <c r="CM10" s="399"/>
      <c r="CN10" s="399"/>
      <c r="CO10" s="399"/>
      <c r="CP10" s="399"/>
      <c r="CQ10" s="399"/>
      <c r="CR10" s="399"/>
      <c r="CS10" s="399"/>
      <c r="CT10" s="399"/>
      <c r="CU10" s="399"/>
      <c r="CV10" s="399"/>
      <c r="CW10" s="399"/>
      <c r="CX10" s="399"/>
      <c r="CY10" s="399"/>
      <c r="CZ10" s="399"/>
      <c r="DA10" s="399"/>
      <c r="DB10" s="399"/>
      <c r="DC10" s="399"/>
      <c r="DD10" s="399"/>
      <c r="DE10" s="399"/>
      <c r="DF10" s="399"/>
      <c r="DG10" s="399"/>
      <c r="DH10" s="399"/>
      <c r="DI10" s="399"/>
      <c r="DJ10" s="399"/>
      <c r="DK10" s="399"/>
      <c r="DL10" s="399"/>
      <c r="DM10" s="399"/>
      <c r="DN10" s="399"/>
      <c r="DO10" s="399"/>
      <c r="DP10" s="399"/>
      <c r="DQ10" s="399"/>
      <c r="DR10" s="399"/>
      <c r="DS10" s="399"/>
      <c r="DT10" s="399"/>
      <c r="DU10" s="399"/>
      <c r="DV10" s="399"/>
      <c r="DW10" s="399"/>
      <c r="DX10" s="399"/>
      <c r="DY10" s="399"/>
      <c r="DZ10" s="399"/>
      <c r="EA10" s="399"/>
      <c r="EB10" s="399"/>
      <c r="EC10" s="399"/>
      <c r="ED10" s="399"/>
      <c r="EE10" s="399"/>
      <c r="EF10" s="399"/>
      <c r="EG10" s="398" t="s">
        <v>27940</v>
      </c>
      <c r="EH10" s="399"/>
      <c r="EI10" s="361" t="s">
        <v>130</v>
      </c>
      <c r="EJ10" s="361"/>
      <c r="EK10" s="399"/>
      <c r="EL10" s="361" t="s">
        <v>113</v>
      </c>
      <c r="EM10" s="399">
        <v>1100</v>
      </c>
      <c r="EN10" s="399">
        <v>12000030</v>
      </c>
      <c r="EO10" s="402" t="s">
        <v>27941</v>
      </c>
      <c r="EP10" s="399" t="s">
        <v>27942</v>
      </c>
      <c r="EQ10" s="399"/>
      <c r="ER10" s="361" t="s">
        <v>743</v>
      </c>
      <c r="ES10" s="361">
        <v>1100</v>
      </c>
      <c r="ET10" s="361" t="s">
        <v>113</v>
      </c>
      <c r="EU10" s="399"/>
      <c r="EV10" s="361">
        <v>1100</v>
      </c>
      <c r="EW10" s="361">
        <v>1</v>
      </c>
      <c r="EX10" s="399" t="s">
        <v>516</v>
      </c>
      <c r="EY10" s="398" t="s">
        <v>290</v>
      </c>
      <c r="EZ10" s="361" t="s">
        <v>113</v>
      </c>
      <c r="FA10" s="361"/>
      <c r="FB10" s="399" t="s">
        <v>27934</v>
      </c>
      <c r="FC10" s="399" t="s">
        <v>27935</v>
      </c>
      <c r="FD10" s="399" t="s">
        <v>27943</v>
      </c>
      <c r="FE10" s="361"/>
      <c r="FF10" s="361" t="s">
        <v>113</v>
      </c>
      <c r="FG10" s="361"/>
      <c r="FH10" s="399" t="s">
        <v>27934</v>
      </c>
      <c r="FI10" s="399" t="s">
        <v>27935</v>
      </c>
      <c r="FJ10" s="399" t="s">
        <v>305</v>
      </c>
      <c r="FK10" s="361"/>
      <c r="FL10" s="361" t="s">
        <v>113</v>
      </c>
      <c r="FM10" s="361"/>
      <c r="FN10" s="399" t="s">
        <v>27934</v>
      </c>
      <c r="FO10" s="399" t="s">
        <v>27935</v>
      </c>
      <c r="FP10" s="402" t="s">
        <v>9</v>
      </c>
      <c r="FQ10" s="402" t="s">
        <v>27944</v>
      </c>
    </row>
    <row r="11" spans="1:175" s="351" customFormat="1" ht="28.15" customHeight="1">
      <c r="A11" s="361"/>
      <c r="B11" s="398" t="s">
        <v>27945</v>
      </c>
      <c r="C11" s="361" t="s">
        <v>27945</v>
      </c>
      <c r="D11" s="361" t="s">
        <v>27945</v>
      </c>
      <c r="E11" s="361" t="s">
        <v>3233</v>
      </c>
      <c r="F11" s="351" t="s">
        <v>27945</v>
      </c>
      <c r="G11" s="351" t="s">
        <v>27945</v>
      </c>
      <c r="H11" s="361" t="s">
        <v>3233</v>
      </c>
      <c r="I11" s="361" t="s">
        <v>3233</v>
      </c>
      <c r="J11" s="361" t="s">
        <v>3233</v>
      </c>
      <c r="K11" s="361" t="s">
        <v>3233</v>
      </c>
      <c r="L11" s="361" t="s">
        <v>27945</v>
      </c>
      <c r="M11" s="361" t="s">
        <v>27945</v>
      </c>
      <c r="N11" s="351" t="s">
        <v>27945</v>
      </c>
      <c r="O11" s="351" t="s">
        <v>27945</v>
      </c>
      <c r="P11" s="351" t="s">
        <v>27945</v>
      </c>
      <c r="Q11" s="361" t="s">
        <v>3233</v>
      </c>
      <c r="R11" s="361" t="s">
        <v>3233</v>
      </c>
      <c r="S11" s="361" t="s">
        <v>3233</v>
      </c>
      <c r="T11" s="362" t="s">
        <v>3233</v>
      </c>
      <c r="U11" s="362" t="s">
        <v>3233</v>
      </c>
      <c r="V11" s="36" t="s">
        <v>3233</v>
      </c>
      <c r="W11" s="36" t="s">
        <v>27945</v>
      </c>
      <c r="X11" s="36" t="s">
        <v>3233</v>
      </c>
      <c r="Y11" s="363" t="s">
        <v>3233</v>
      </c>
      <c r="Z11" s="361" t="s">
        <v>27945</v>
      </c>
      <c r="AA11" s="403" t="s">
        <v>3233</v>
      </c>
      <c r="AB11" s="403" t="s">
        <v>3233</v>
      </c>
      <c r="AC11" s="403" t="s">
        <v>3233</v>
      </c>
      <c r="AD11" s="403" t="s">
        <v>3233</v>
      </c>
      <c r="AE11" s="403" t="s">
        <v>3233</v>
      </c>
      <c r="AF11" s="361" t="s">
        <v>3233</v>
      </c>
      <c r="AG11" s="361" t="s">
        <v>27945</v>
      </c>
      <c r="AH11" s="361" t="s">
        <v>3233</v>
      </c>
      <c r="AI11" s="361" t="s">
        <v>27945</v>
      </c>
      <c r="AJ11" s="361" t="s">
        <v>3233</v>
      </c>
      <c r="AK11" s="361" t="s">
        <v>27945</v>
      </c>
      <c r="AL11" s="361" t="s">
        <v>3233</v>
      </c>
      <c r="AM11" s="361" t="s">
        <v>27945</v>
      </c>
      <c r="AN11" s="361" t="s">
        <v>3233</v>
      </c>
      <c r="AO11" s="361" t="s">
        <v>27945</v>
      </c>
      <c r="AP11" s="361" t="s">
        <v>3233</v>
      </c>
      <c r="AQ11" s="361" t="s">
        <v>27945</v>
      </c>
      <c r="AR11" s="351" t="s">
        <v>3233</v>
      </c>
      <c r="AS11" s="361" t="s">
        <v>3233</v>
      </c>
      <c r="AT11" s="361" t="s">
        <v>3233</v>
      </c>
      <c r="AU11" s="351" t="s">
        <v>27945</v>
      </c>
      <c r="AV11" s="351" t="s">
        <v>27945</v>
      </c>
      <c r="AW11" s="351" t="s">
        <v>27945</v>
      </c>
      <c r="AX11" s="361" t="s">
        <v>3233</v>
      </c>
      <c r="AY11" s="361" t="s">
        <v>3233</v>
      </c>
      <c r="AZ11" s="361" t="s">
        <v>3233</v>
      </c>
      <c r="BA11" s="361" t="s">
        <v>3233</v>
      </c>
      <c r="BB11" s="361" t="s">
        <v>27945</v>
      </c>
      <c r="BC11" s="361" t="s">
        <v>27945</v>
      </c>
      <c r="BD11" s="361" t="s">
        <v>27945</v>
      </c>
      <c r="BE11" s="361" t="s">
        <v>3233</v>
      </c>
      <c r="BF11" s="361" t="s">
        <v>3233</v>
      </c>
      <c r="BG11" s="361" t="s">
        <v>3233</v>
      </c>
      <c r="BH11" s="361" t="s">
        <v>3233</v>
      </c>
      <c r="BI11" s="361" t="s">
        <v>3233</v>
      </c>
      <c r="BJ11" s="361" t="s">
        <v>3233</v>
      </c>
      <c r="BK11" s="361" t="s">
        <v>27945</v>
      </c>
      <c r="BL11" s="361" t="s">
        <v>27945</v>
      </c>
      <c r="BM11" s="361" t="s">
        <v>27945</v>
      </c>
      <c r="BN11" s="361" t="s">
        <v>27945</v>
      </c>
      <c r="BO11" s="361" t="s">
        <v>27945</v>
      </c>
      <c r="BP11" s="361" t="s">
        <v>27945</v>
      </c>
      <c r="BQ11" s="361" t="s">
        <v>27945</v>
      </c>
      <c r="BR11" s="361" t="s">
        <v>27945</v>
      </c>
      <c r="BS11" s="361" t="s">
        <v>3233</v>
      </c>
      <c r="BT11" s="361" t="s">
        <v>27945</v>
      </c>
      <c r="BU11" s="361" t="s">
        <v>27945</v>
      </c>
      <c r="BV11" s="361" t="s">
        <v>27945</v>
      </c>
      <c r="BW11" s="361" t="s">
        <v>27945</v>
      </c>
      <c r="BX11" s="361" t="s">
        <v>27946</v>
      </c>
      <c r="BY11" s="361" t="s">
        <v>27945</v>
      </c>
      <c r="BZ11" s="361" t="s">
        <v>27946</v>
      </c>
      <c r="CA11" s="361" t="s">
        <v>27946</v>
      </c>
      <c r="CB11" s="361" t="s">
        <v>27945</v>
      </c>
      <c r="CC11" s="361" t="s">
        <v>27946</v>
      </c>
      <c r="CD11" s="361" t="s">
        <v>27946</v>
      </c>
      <c r="CE11" s="361" t="s">
        <v>27945</v>
      </c>
      <c r="CF11" s="361" t="s">
        <v>27946</v>
      </c>
      <c r="CG11" s="361" t="s">
        <v>27946</v>
      </c>
      <c r="CH11" s="361" t="s">
        <v>27945</v>
      </c>
      <c r="CI11" s="361" t="s">
        <v>27946</v>
      </c>
      <c r="CJ11" s="361" t="s">
        <v>27946</v>
      </c>
      <c r="CK11" s="361" t="s">
        <v>27945</v>
      </c>
      <c r="CL11" s="361" t="s">
        <v>27946</v>
      </c>
      <c r="CM11" s="361" t="s">
        <v>27946</v>
      </c>
      <c r="CN11" s="361" t="s">
        <v>27945</v>
      </c>
      <c r="CO11" s="361" t="s">
        <v>27946</v>
      </c>
      <c r="CP11" s="361" t="s">
        <v>27946</v>
      </c>
      <c r="CQ11" s="361" t="s">
        <v>27945</v>
      </c>
      <c r="CR11" s="361" t="s">
        <v>27946</v>
      </c>
      <c r="CS11" s="361" t="s">
        <v>27946</v>
      </c>
      <c r="CT11" s="361" t="s">
        <v>27945</v>
      </c>
      <c r="CU11" s="361" t="s">
        <v>27946</v>
      </c>
      <c r="CV11" s="361" t="s">
        <v>27946</v>
      </c>
      <c r="CW11" s="361" t="s">
        <v>27945</v>
      </c>
      <c r="CX11" s="361" t="s">
        <v>27946</v>
      </c>
      <c r="CY11" s="361" t="s">
        <v>27946</v>
      </c>
      <c r="CZ11" s="361" t="s">
        <v>27945</v>
      </c>
      <c r="DA11" s="361" t="s">
        <v>27946</v>
      </c>
      <c r="DB11" s="361" t="s">
        <v>27946</v>
      </c>
      <c r="DC11" s="361" t="s">
        <v>27945</v>
      </c>
      <c r="DD11" s="361" t="s">
        <v>27946</v>
      </c>
      <c r="DE11" s="361" t="s">
        <v>27946</v>
      </c>
      <c r="DF11" s="361" t="s">
        <v>27945</v>
      </c>
      <c r="DG11" s="361" t="s">
        <v>27946</v>
      </c>
      <c r="DH11" s="361" t="s">
        <v>27946</v>
      </c>
      <c r="DI11" s="361" t="s">
        <v>27945</v>
      </c>
      <c r="DJ11" s="361" t="s">
        <v>27946</v>
      </c>
      <c r="DK11" s="361" t="s">
        <v>27946</v>
      </c>
      <c r="DL11" s="361" t="s">
        <v>27945</v>
      </c>
      <c r="DM11" s="361" t="s">
        <v>27946</v>
      </c>
      <c r="DN11" s="361" t="s">
        <v>27946</v>
      </c>
      <c r="DO11" s="361" t="s">
        <v>27945</v>
      </c>
      <c r="DP11" s="361" t="s">
        <v>27946</v>
      </c>
      <c r="DQ11" s="361" t="s">
        <v>27946</v>
      </c>
      <c r="DR11" s="361" t="s">
        <v>27945</v>
      </c>
      <c r="DS11" s="361" t="s">
        <v>27946</v>
      </c>
      <c r="DT11" s="361" t="s">
        <v>27946</v>
      </c>
      <c r="DU11" s="361" t="s">
        <v>27945</v>
      </c>
      <c r="DV11" s="361" t="s">
        <v>27946</v>
      </c>
      <c r="DW11" s="361" t="s">
        <v>27946</v>
      </c>
      <c r="DX11" s="361" t="s">
        <v>27945</v>
      </c>
      <c r="DY11" s="361" t="s">
        <v>27946</v>
      </c>
      <c r="DZ11" s="361" t="s">
        <v>27946</v>
      </c>
      <c r="EA11" s="361" t="s">
        <v>27945</v>
      </c>
      <c r="EB11" s="361" t="s">
        <v>27946</v>
      </c>
      <c r="EC11" s="361" t="s">
        <v>27946</v>
      </c>
      <c r="ED11" s="361" t="s">
        <v>27945</v>
      </c>
      <c r="EE11" s="361" t="s">
        <v>27946</v>
      </c>
      <c r="EF11" s="361" t="s">
        <v>27945</v>
      </c>
      <c r="EG11" s="361" t="s">
        <v>27945</v>
      </c>
      <c r="EH11" s="361" t="s">
        <v>27946</v>
      </c>
      <c r="EI11" s="361" t="s">
        <v>27945</v>
      </c>
      <c r="EJ11" s="361" t="s">
        <v>27945</v>
      </c>
      <c r="EK11" s="361" t="s">
        <v>27946</v>
      </c>
      <c r="EL11" s="361" t="s">
        <v>27945</v>
      </c>
      <c r="EM11" s="361" t="s">
        <v>27945</v>
      </c>
      <c r="EN11" s="361" t="s">
        <v>27945</v>
      </c>
      <c r="EO11" s="361" t="s">
        <v>27945</v>
      </c>
      <c r="EP11" s="361" t="s">
        <v>27945</v>
      </c>
      <c r="EQ11" s="361" t="s">
        <v>3233</v>
      </c>
      <c r="ER11" s="361" t="s">
        <v>3233</v>
      </c>
      <c r="ES11" s="361" t="s">
        <v>27945</v>
      </c>
      <c r="ET11" s="361" t="s">
        <v>27945</v>
      </c>
      <c r="EU11" s="361" t="s">
        <v>27945</v>
      </c>
      <c r="EV11" s="361" t="s">
        <v>27945</v>
      </c>
      <c r="EW11" s="361" t="s">
        <v>27945</v>
      </c>
      <c r="EX11" s="361" t="s">
        <v>27945</v>
      </c>
      <c r="EY11" s="361" t="s">
        <v>27945</v>
      </c>
      <c r="EZ11" s="361" t="s">
        <v>27945</v>
      </c>
      <c r="FA11" s="361" t="s">
        <v>27945</v>
      </c>
      <c r="FB11" s="361" t="s">
        <v>27945</v>
      </c>
      <c r="FC11" s="361" t="s">
        <v>27945</v>
      </c>
      <c r="FD11" s="361" t="s">
        <v>27945</v>
      </c>
      <c r="FE11" s="361" t="s">
        <v>27945</v>
      </c>
      <c r="FF11" s="361" t="s">
        <v>27945</v>
      </c>
      <c r="FG11" s="361" t="s">
        <v>27945</v>
      </c>
      <c r="FH11" s="361" t="s">
        <v>27945</v>
      </c>
      <c r="FI11" s="361" t="s">
        <v>27945</v>
      </c>
      <c r="FJ11" s="361" t="s">
        <v>27945</v>
      </c>
      <c r="FK11" s="361" t="s">
        <v>27945</v>
      </c>
      <c r="FL11" s="361" t="s">
        <v>27945</v>
      </c>
      <c r="FM11" s="361" t="s">
        <v>27945</v>
      </c>
      <c r="FN11" s="361" t="s">
        <v>27945</v>
      </c>
      <c r="FO11" s="361" t="s">
        <v>27945</v>
      </c>
      <c r="FP11" s="361" t="s">
        <v>3233</v>
      </c>
      <c r="FQ11" s="361" t="s">
        <v>3233</v>
      </c>
    </row>
    <row r="12" spans="1:175" s="351" customFormat="1" ht="28.15" customHeight="1">
      <c r="A12" s="361" t="s">
        <v>27947</v>
      </c>
      <c r="B12" s="398"/>
      <c r="C12" s="361"/>
      <c r="D12" s="361"/>
      <c r="E12" s="361" t="s">
        <v>20</v>
      </c>
      <c r="H12" s="361" t="s">
        <v>23</v>
      </c>
      <c r="I12" s="361" t="s">
        <v>23</v>
      </c>
      <c r="J12" s="361" t="s">
        <v>23</v>
      </c>
      <c r="K12" s="361" t="s">
        <v>23</v>
      </c>
      <c r="L12" s="361" t="s">
        <v>27948</v>
      </c>
      <c r="M12" s="361"/>
      <c r="Q12" s="361" t="s">
        <v>33</v>
      </c>
      <c r="R12" s="351" t="s">
        <v>27949</v>
      </c>
      <c r="S12" s="361" t="s">
        <v>44</v>
      </c>
      <c r="T12" s="362" t="s">
        <v>47</v>
      </c>
      <c r="U12" s="362" t="s">
        <v>53</v>
      </c>
      <c r="V12" s="36" t="s">
        <v>51</v>
      </c>
      <c r="W12" s="36"/>
      <c r="X12" s="36" t="s">
        <v>58</v>
      </c>
      <c r="Y12" s="363" t="s">
        <v>63</v>
      </c>
      <c r="Z12" s="361"/>
      <c r="AA12" s="403" t="s">
        <v>69</v>
      </c>
      <c r="AB12" s="403" t="s">
        <v>72</v>
      </c>
      <c r="AC12" s="403" t="s">
        <v>69</v>
      </c>
      <c r="AD12" s="403" t="s">
        <v>72</v>
      </c>
      <c r="AE12" s="403" t="s">
        <v>90</v>
      </c>
      <c r="AF12" s="361" t="s">
        <v>96</v>
      </c>
      <c r="AG12" s="403"/>
      <c r="AH12" s="403" t="s">
        <v>105</v>
      </c>
      <c r="AI12" s="361" t="s">
        <v>27567</v>
      </c>
      <c r="AJ12" s="403" t="s">
        <v>105</v>
      </c>
      <c r="AK12" s="361" t="s">
        <v>27567</v>
      </c>
      <c r="AL12" s="403" t="s">
        <v>105</v>
      </c>
      <c r="AM12" s="361" t="s">
        <v>27567</v>
      </c>
      <c r="AN12" s="403" t="s">
        <v>105</v>
      </c>
      <c r="AO12" s="361" t="s">
        <v>27567</v>
      </c>
      <c r="AP12" s="403" t="s">
        <v>105</v>
      </c>
      <c r="AQ12" s="361" t="s">
        <v>27567</v>
      </c>
      <c r="AR12" s="351" t="s">
        <v>99</v>
      </c>
      <c r="AS12" s="403" t="s">
        <v>110</v>
      </c>
      <c r="AT12" s="361"/>
      <c r="AU12" s="361" t="s">
        <v>27950</v>
      </c>
      <c r="AV12" s="361"/>
      <c r="AW12" s="361"/>
      <c r="AX12" s="361" t="s">
        <v>23</v>
      </c>
      <c r="AY12" s="361" t="s">
        <v>23</v>
      </c>
      <c r="AZ12" s="361" t="s">
        <v>23</v>
      </c>
      <c r="BA12" s="361" t="s">
        <v>23</v>
      </c>
      <c r="BB12" s="361" t="s">
        <v>27948</v>
      </c>
      <c r="BD12" s="361"/>
      <c r="BE12" s="361" t="s">
        <v>33</v>
      </c>
      <c r="BF12" s="351" t="s">
        <v>27949</v>
      </c>
      <c r="BG12" s="361" t="s">
        <v>44</v>
      </c>
      <c r="BH12" s="362" t="s">
        <v>47</v>
      </c>
      <c r="BI12" s="362" t="s">
        <v>53</v>
      </c>
      <c r="BJ12" s="36" t="s">
        <v>51</v>
      </c>
      <c r="BK12" s="361"/>
      <c r="BN12" s="361"/>
      <c r="BO12" s="361"/>
      <c r="BP12" s="361"/>
      <c r="BQ12" s="361"/>
      <c r="BR12" s="361"/>
      <c r="BS12" s="361" t="s">
        <v>122</v>
      </c>
      <c r="BX12" s="398" t="s">
        <v>2</v>
      </c>
      <c r="BY12" s="361"/>
      <c r="BZ12" s="361" t="s">
        <v>27951</v>
      </c>
      <c r="CA12" s="361" t="s">
        <v>27951</v>
      </c>
      <c r="CB12" s="361" t="s">
        <v>202</v>
      </c>
      <c r="CC12" s="361" t="s">
        <v>203</v>
      </c>
      <c r="CD12" s="398" t="s">
        <v>2</v>
      </c>
      <c r="CE12" s="361"/>
      <c r="CF12" s="361" t="s">
        <v>27951</v>
      </c>
      <c r="CG12" s="361" t="s">
        <v>27951</v>
      </c>
      <c r="CH12" s="361" t="s">
        <v>202</v>
      </c>
      <c r="CI12" s="361" t="s">
        <v>203</v>
      </c>
      <c r="CJ12" s="398" t="s">
        <v>2</v>
      </c>
      <c r="CK12" s="361"/>
      <c r="CL12" s="361" t="s">
        <v>27951</v>
      </c>
      <c r="CM12" s="361" t="s">
        <v>27951</v>
      </c>
      <c r="CN12" s="361" t="s">
        <v>202</v>
      </c>
      <c r="CO12" s="361" t="s">
        <v>203</v>
      </c>
      <c r="CP12" s="398" t="s">
        <v>2</v>
      </c>
      <c r="CQ12" s="361"/>
      <c r="CR12" s="361" t="s">
        <v>27951</v>
      </c>
      <c r="CS12" s="361" t="s">
        <v>27951</v>
      </c>
      <c r="CT12" s="361" t="s">
        <v>202</v>
      </c>
      <c r="CU12" s="361" t="s">
        <v>203</v>
      </c>
      <c r="CV12" s="398" t="s">
        <v>2</v>
      </c>
      <c r="CW12" s="361"/>
      <c r="CX12" s="361" t="s">
        <v>27951</v>
      </c>
      <c r="CY12" s="361" t="s">
        <v>27951</v>
      </c>
      <c r="CZ12" s="361" t="s">
        <v>202</v>
      </c>
      <c r="DA12" s="361" t="s">
        <v>203</v>
      </c>
      <c r="DB12" s="398" t="s">
        <v>2</v>
      </c>
      <c r="DC12" s="361"/>
      <c r="DD12" s="361" t="s">
        <v>27951</v>
      </c>
      <c r="DE12" s="361" t="s">
        <v>27951</v>
      </c>
      <c r="DF12" s="361" t="s">
        <v>202</v>
      </c>
      <c r="DG12" s="361" t="s">
        <v>203</v>
      </c>
      <c r="DH12" s="398" t="s">
        <v>2</v>
      </c>
      <c r="DI12" s="361"/>
      <c r="DJ12" s="361" t="s">
        <v>27951</v>
      </c>
      <c r="DK12" s="361" t="s">
        <v>27951</v>
      </c>
      <c r="DL12" s="361" t="s">
        <v>202</v>
      </c>
      <c r="DM12" s="361" t="s">
        <v>203</v>
      </c>
      <c r="DN12" s="398" t="s">
        <v>2</v>
      </c>
      <c r="DO12" s="361"/>
      <c r="DP12" s="361" t="s">
        <v>27951</v>
      </c>
      <c r="DQ12" s="361" t="s">
        <v>27951</v>
      </c>
      <c r="DR12" s="361" t="s">
        <v>202</v>
      </c>
      <c r="DS12" s="361" t="s">
        <v>203</v>
      </c>
      <c r="DT12" s="398" t="s">
        <v>2</v>
      </c>
      <c r="DU12" s="361"/>
      <c r="DV12" s="361" t="s">
        <v>27951</v>
      </c>
      <c r="DW12" s="361" t="s">
        <v>27951</v>
      </c>
      <c r="DX12" s="361" t="s">
        <v>202</v>
      </c>
      <c r="DY12" s="361" t="s">
        <v>203</v>
      </c>
      <c r="DZ12" s="398" t="s">
        <v>2</v>
      </c>
      <c r="EA12" s="361"/>
      <c r="EB12" s="361" t="s">
        <v>27951</v>
      </c>
      <c r="EC12" s="361" t="s">
        <v>27951</v>
      </c>
      <c r="ED12" s="361" t="s">
        <v>202</v>
      </c>
      <c r="EE12" s="361" t="s">
        <v>203</v>
      </c>
      <c r="EF12" s="361"/>
      <c r="EG12" s="398"/>
      <c r="EH12" s="361" t="s">
        <v>269</v>
      </c>
      <c r="EI12" s="361"/>
      <c r="EJ12" s="361"/>
      <c r="EK12" s="361" t="s">
        <v>27952</v>
      </c>
      <c r="EL12" s="361"/>
      <c r="EM12" s="361"/>
      <c r="EN12" s="361"/>
      <c r="EO12" s="398"/>
      <c r="EP12" s="361"/>
      <c r="EQ12" s="361" t="s">
        <v>11</v>
      </c>
      <c r="ER12" s="361" t="s">
        <v>140</v>
      </c>
      <c r="ES12" s="361"/>
      <c r="ET12" s="361"/>
      <c r="EU12" s="361"/>
      <c r="EV12" s="361"/>
      <c r="EW12" s="361"/>
      <c r="EX12" s="361"/>
      <c r="EY12" s="361" t="s">
        <v>289</v>
      </c>
      <c r="EZ12" s="361"/>
      <c r="FA12" s="361"/>
      <c r="FB12" s="361"/>
      <c r="FC12" s="361"/>
      <c r="FD12" s="361"/>
      <c r="FE12" s="361"/>
      <c r="FF12" s="361"/>
      <c r="FG12" s="361"/>
      <c r="FH12" s="361"/>
      <c r="FI12" s="361"/>
      <c r="FJ12" s="361"/>
      <c r="FK12" s="361"/>
      <c r="FL12" s="361"/>
      <c r="FM12" s="361"/>
      <c r="FN12" s="361"/>
      <c r="FO12" s="361"/>
      <c r="FP12" s="398" t="s">
        <v>8</v>
      </c>
      <c r="FQ12" s="398" t="s">
        <v>338</v>
      </c>
    </row>
    <row r="13" spans="1:175" s="351" customFormat="1" ht="28.15" customHeight="1">
      <c r="A13" s="361"/>
      <c r="B13" s="398"/>
      <c r="C13" s="361"/>
      <c r="D13" s="361"/>
      <c r="E13" s="361"/>
      <c r="H13" s="361"/>
      <c r="I13" s="361"/>
      <c r="J13" s="361"/>
      <c r="K13" s="361"/>
      <c r="L13" s="361"/>
      <c r="M13" s="361"/>
      <c r="Q13" s="361"/>
      <c r="R13" s="361"/>
      <c r="S13" s="361"/>
      <c r="T13" s="362"/>
      <c r="U13" s="362"/>
      <c r="V13" s="36"/>
      <c r="W13" s="36"/>
      <c r="X13" s="36"/>
      <c r="Y13" s="363"/>
      <c r="Z13" s="361"/>
      <c r="AA13" s="403"/>
      <c r="AB13" s="403"/>
      <c r="AC13" s="403"/>
      <c r="AD13" s="403"/>
      <c r="AE13" s="403"/>
      <c r="AF13" s="361"/>
      <c r="AG13" s="403"/>
      <c r="AH13" s="361"/>
      <c r="AI13" s="361" t="s">
        <v>27953</v>
      </c>
      <c r="AJ13" s="361"/>
      <c r="AK13" s="361" t="s">
        <v>27953</v>
      </c>
      <c r="AL13" s="361"/>
      <c r="AM13" s="361"/>
      <c r="AN13" s="361"/>
      <c r="AO13" s="361"/>
      <c r="AP13" s="361"/>
      <c r="AQ13" s="361"/>
      <c r="AT13" s="361"/>
      <c r="AU13" s="361"/>
      <c r="AV13" s="361"/>
      <c r="AW13" s="361"/>
      <c r="AX13" s="361"/>
      <c r="AY13" s="361"/>
      <c r="AZ13" s="361"/>
      <c r="BA13" s="361"/>
      <c r="BB13" s="361"/>
      <c r="BC13" s="361"/>
      <c r="BE13" s="361"/>
      <c r="BF13" s="361"/>
      <c r="BG13" s="361"/>
      <c r="BH13" s="361"/>
      <c r="BI13" s="361"/>
      <c r="BJ13" s="361"/>
      <c r="BK13" s="361"/>
      <c r="BN13" s="361"/>
      <c r="BO13" s="361"/>
      <c r="BP13" s="361"/>
      <c r="BQ13" s="361"/>
      <c r="BR13" s="361"/>
      <c r="BS13" s="361"/>
      <c r="BX13" s="398"/>
      <c r="BY13" s="361"/>
      <c r="BZ13" s="361"/>
      <c r="CA13" s="361"/>
      <c r="CB13" s="361"/>
      <c r="CC13" s="361"/>
      <c r="CD13" s="398"/>
      <c r="CE13" s="361"/>
      <c r="CF13" s="361"/>
      <c r="CG13" s="361"/>
      <c r="CH13" s="361"/>
      <c r="CI13" s="361"/>
      <c r="CJ13" s="361"/>
      <c r="CK13" s="361"/>
      <c r="CL13" s="361"/>
      <c r="CM13" s="361"/>
      <c r="CN13" s="361"/>
      <c r="CO13" s="361"/>
      <c r="CP13" s="361"/>
      <c r="CQ13" s="361"/>
      <c r="CR13" s="361"/>
      <c r="CS13" s="361"/>
      <c r="CT13" s="361"/>
      <c r="CU13" s="361"/>
      <c r="CV13" s="361"/>
      <c r="CW13" s="361"/>
      <c r="CX13" s="361"/>
      <c r="CY13" s="361"/>
      <c r="CZ13" s="361"/>
      <c r="DA13" s="361"/>
      <c r="DB13" s="361"/>
      <c r="DC13" s="361"/>
      <c r="DD13" s="361"/>
      <c r="DE13" s="361"/>
      <c r="DF13" s="361"/>
      <c r="DG13" s="361"/>
      <c r="DH13" s="361"/>
      <c r="DI13" s="361"/>
      <c r="DJ13" s="361"/>
      <c r="DK13" s="361"/>
      <c r="DL13" s="361"/>
      <c r="DM13" s="361"/>
      <c r="DN13" s="361"/>
      <c r="DO13" s="361"/>
      <c r="DP13" s="361"/>
      <c r="DQ13" s="361"/>
      <c r="DR13" s="361"/>
      <c r="DS13" s="361"/>
      <c r="DT13" s="361"/>
      <c r="DU13" s="361"/>
      <c r="DV13" s="361"/>
      <c r="DW13" s="361"/>
      <c r="DX13" s="361"/>
      <c r="DY13" s="361"/>
      <c r="DZ13" s="361"/>
      <c r="EA13" s="361"/>
      <c r="EB13" s="361"/>
      <c r="EC13" s="361"/>
      <c r="ED13" s="361"/>
      <c r="EE13" s="361"/>
      <c r="EF13" s="361"/>
      <c r="EG13" s="398"/>
      <c r="EH13" s="361"/>
      <c r="EI13" s="361"/>
      <c r="EJ13" s="361"/>
      <c r="EK13" s="361"/>
      <c r="EL13" s="361"/>
      <c r="EM13" s="361"/>
      <c r="EN13" s="361"/>
      <c r="EO13" s="398"/>
      <c r="EP13" s="361"/>
      <c r="EQ13" s="361"/>
      <c r="ER13" s="361"/>
      <c r="ES13" s="361"/>
      <c r="ET13" s="361"/>
      <c r="EU13" s="361"/>
      <c r="EV13" s="361"/>
      <c r="EW13" s="361"/>
      <c r="EX13" s="361"/>
      <c r="EY13" s="361"/>
      <c r="EZ13" s="361"/>
      <c r="FA13" s="361"/>
      <c r="FB13" s="361"/>
      <c r="FC13" s="361"/>
      <c r="FD13" s="361"/>
      <c r="FE13" s="361"/>
      <c r="FF13" s="361"/>
      <c r="FG13" s="361"/>
      <c r="FH13" s="361"/>
      <c r="FI13" s="361"/>
      <c r="FJ13" s="361"/>
      <c r="FK13" s="361"/>
      <c r="FL13" s="361"/>
      <c r="FM13" s="361"/>
      <c r="FN13" s="361"/>
      <c r="FO13" s="361"/>
      <c r="FP13" s="398"/>
      <c r="FQ13" s="398"/>
    </row>
    <row r="14" spans="1:175" s="351" customFormat="1" ht="28.15" customHeight="1">
      <c r="A14" s="361"/>
      <c r="B14" s="398"/>
      <c r="C14" s="361"/>
      <c r="D14" s="361"/>
      <c r="E14" s="361"/>
      <c r="H14" s="361"/>
      <c r="I14" s="361"/>
      <c r="J14" s="361"/>
      <c r="K14" s="361"/>
      <c r="L14" s="361"/>
      <c r="M14" s="361"/>
      <c r="Q14" s="361"/>
      <c r="R14" s="361"/>
      <c r="S14" s="361"/>
      <c r="T14" s="362"/>
      <c r="U14" s="362"/>
      <c r="V14" s="36"/>
      <c r="W14" s="36"/>
      <c r="X14" s="36"/>
      <c r="Y14" s="363"/>
      <c r="Z14" s="361"/>
      <c r="AA14" s="403"/>
      <c r="AB14" s="403"/>
      <c r="AC14" s="403"/>
      <c r="AD14" s="403"/>
      <c r="AE14" s="403"/>
      <c r="AF14" s="361"/>
      <c r="AG14" s="403"/>
      <c r="AH14" s="451" t="s">
        <v>27954</v>
      </c>
      <c r="AI14" s="361" t="s">
        <v>27955</v>
      </c>
      <c r="AJ14" s="451"/>
      <c r="AK14" s="361" t="s">
        <v>27955</v>
      </c>
      <c r="AL14" s="361"/>
      <c r="AM14" s="361"/>
      <c r="AN14" s="361"/>
      <c r="AO14" s="361"/>
      <c r="AP14" s="361"/>
      <c r="AQ14" s="361"/>
      <c r="AT14" s="361"/>
      <c r="AU14" s="361"/>
      <c r="AV14" s="361"/>
      <c r="AW14" s="361"/>
      <c r="AX14" s="361"/>
      <c r="AY14" s="361"/>
      <c r="AZ14" s="361"/>
      <c r="BA14" s="361"/>
      <c r="BB14" s="361"/>
      <c r="BC14" s="361"/>
      <c r="BE14" s="361"/>
      <c r="BF14" s="361"/>
      <c r="BG14" s="361"/>
      <c r="BH14" s="361"/>
      <c r="BI14" s="361"/>
      <c r="BJ14" s="361"/>
      <c r="BK14" s="361"/>
      <c r="BN14" s="361"/>
      <c r="BO14" s="361"/>
      <c r="BP14" s="361"/>
      <c r="BQ14" s="361"/>
      <c r="BR14" s="361"/>
      <c r="BS14" s="361"/>
      <c r="BX14" s="398"/>
      <c r="BY14" s="361"/>
      <c r="BZ14" s="361"/>
      <c r="CA14" s="361"/>
      <c r="CB14" s="361"/>
      <c r="CC14" s="361"/>
      <c r="CD14" s="398"/>
      <c r="CE14" s="361"/>
      <c r="CF14" s="361"/>
      <c r="CG14" s="361"/>
      <c r="CH14" s="361"/>
      <c r="CI14" s="361"/>
      <c r="CJ14" s="361"/>
      <c r="CK14" s="361"/>
      <c r="CL14" s="361"/>
      <c r="CM14" s="361"/>
      <c r="CN14" s="361"/>
      <c r="CO14" s="361"/>
      <c r="CP14" s="361"/>
      <c r="CQ14" s="361"/>
      <c r="CR14" s="361"/>
      <c r="CS14" s="361"/>
      <c r="CT14" s="361"/>
      <c r="CU14" s="361"/>
      <c r="CV14" s="361"/>
      <c r="CW14" s="361"/>
      <c r="CX14" s="361"/>
      <c r="CY14" s="361"/>
      <c r="CZ14" s="361"/>
      <c r="DA14" s="361"/>
      <c r="DB14" s="361"/>
      <c r="DC14" s="361"/>
      <c r="DD14" s="361"/>
      <c r="DE14" s="361"/>
      <c r="DF14" s="361"/>
      <c r="DG14" s="361"/>
      <c r="DH14" s="361"/>
      <c r="DI14" s="361"/>
      <c r="DJ14" s="361"/>
      <c r="DK14" s="361"/>
      <c r="DL14" s="361"/>
      <c r="DM14" s="361"/>
      <c r="DN14" s="361"/>
      <c r="DO14" s="361"/>
      <c r="DP14" s="361"/>
      <c r="DQ14" s="361"/>
      <c r="DR14" s="361"/>
      <c r="DS14" s="361"/>
      <c r="DT14" s="361"/>
      <c r="DU14" s="361"/>
      <c r="DV14" s="361"/>
      <c r="DW14" s="361"/>
      <c r="DX14" s="361"/>
      <c r="DY14" s="361"/>
      <c r="DZ14" s="361"/>
      <c r="EA14" s="361"/>
      <c r="EB14" s="361"/>
      <c r="EC14" s="361"/>
      <c r="ED14" s="361"/>
      <c r="EE14" s="361"/>
      <c r="EF14" s="361"/>
      <c r="EG14" s="398"/>
      <c r="EH14" s="361"/>
      <c r="EI14" s="361"/>
      <c r="EJ14" s="361"/>
      <c r="EK14" s="361"/>
      <c r="EL14" s="361"/>
      <c r="EM14" s="361"/>
      <c r="EN14" s="361"/>
      <c r="EO14" s="398"/>
      <c r="EP14" s="361"/>
      <c r="EQ14" s="361"/>
      <c r="ER14" s="361"/>
      <c r="ES14" s="361"/>
      <c r="ET14" s="361"/>
      <c r="EU14" s="361"/>
      <c r="EV14" s="361"/>
      <c r="EW14" s="361"/>
      <c r="EX14" s="361"/>
      <c r="EY14" s="361"/>
      <c r="EZ14" s="361"/>
      <c r="FA14" s="361"/>
      <c r="FB14" s="361"/>
      <c r="FC14" s="361"/>
      <c r="FD14" s="361"/>
      <c r="FE14" s="361"/>
      <c r="FF14" s="361"/>
      <c r="FG14" s="361"/>
      <c r="FH14" s="361"/>
      <c r="FI14" s="361"/>
      <c r="FJ14" s="361"/>
      <c r="FK14" s="361"/>
      <c r="FL14" s="361"/>
      <c r="FM14" s="361"/>
      <c r="FN14" s="361"/>
      <c r="FO14" s="361"/>
      <c r="FP14" s="398"/>
      <c r="FQ14" s="398"/>
    </row>
    <row r="15" spans="1:175" s="351" customFormat="1" ht="12" customHeight="1">
      <c r="A15" s="122"/>
      <c r="B15" s="123"/>
      <c r="C15" s="122"/>
      <c r="D15" s="122"/>
      <c r="E15" s="122"/>
      <c r="F15" s="124"/>
      <c r="G15" s="124"/>
      <c r="H15" s="122"/>
      <c r="I15" s="122"/>
      <c r="J15" s="122"/>
      <c r="K15" s="122"/>
      <c r="L15" s="122"/>
      <c r="M15" s="122"/>
      <c r="N15" s="124"/>
      <c r="O15" s="124"/>
      <c r="P15" s="124"/>
      <c r="Q15" s="122"/>
      <c r="R15" s="122"/>
      <c r="S15" s="122"/>
      <c r="T15" s="125"/>
      <c r="U15" s="125"/>
      <c r="V15" s="126"/>
      <c r="W15" s="126"/>
      <c r="X15" s="126"/>
      <c r="Y15" s="127"/>
      <c r="Z15" s="122"/>
      <c r="AA15" s="128"/>
      <c r="AB15" s="128"/>
      <c r="AC15" s="128"/>
      <c r="AD15" s="128"/>
      <c r="AE15" s="128"/>
      <c r="AF15" s="122"/>
      <c r="AG15" s="128"/>
      <c r="AH15" s="122"/>
      <c r="AI15" s="122"/>
      <c r="AJ15" s="122"/>
      <c r="AK15" s="122"/>
      <c r="AL15" s="122"/>
      <c r="AM15" s="122"/>
      <c r="AN15" s="122"/>
      <c r="AO15" s="122"/>
      <c r="AP15" s="122"/>
      <c r="AQ15" s="122"/>
      <c r="AR15" s="124"/>
      <c r="AS15" s="124"/>
      <c r="AT15" s="122"/>
      <c r="AU15" s="122"/>
      <c r="AV15" s="122"/>
      <c r="AW15" s="122"/>
      <c r="AX15" s="122"/>
      <c r="AY15" s="122"/>
      <c r="AZ15" s="122"/>
      <c r="BA15" s="122"/>
      <c r="BB15" s="122"/>
      <c r="BC15" s="122"/>
      <c r="BD15" s="124"/>
      <c r="BE15" s="122"/>
      <c r="BF15" s="122"/>
      <c r="BG15" s="122"/>
      <c r="BH15" s="122"/>
      <c r="BI15" s="122"/>
      <c r="BJ15" s="122"/>
      <c r="BK15" s="122"/>
      <c r="BL15" s="124"/>
      <c r="BM15" s="124"/>
      <c r="BN15" s="122"/>
      <c r="BO15" s="122"/>
      <c r="BP15" s="122"/>
      <c r="BQ15" s="122"/>
      <c r="BR15" s="122"/>
      <c r="BS15" s="122"/>
      <c r="BT15" s="124"/>
      <c r="BU15" s="124"/>
      <c r="BV15" s="124"/>
      <c r="BW15" s="124"/>
      <c r="BX15" s="123"/>
      <c r="BY15" s="122"/>
      <c r="BZ15" s="122"/>
      <c r="CA15" s="122"/>
      <c r="CB15" s="122"/>
      <c r="CC15" s="122"/>
      <c r="CD15" s="123"/>
      <c r="CE15" s="122"/>
      <c r="CF15" s="122"/>
      <c r="CG15" s="122"/>
      <c r="CH15" s="122"/>
      <c r="CI15" s="122"/>
      <c r="CJ15" s="122"/>
      <c r="CK15" s="122"/>
      <c r="CL15" s="122"/>
      <c r="CM15" s="122"/>
      <c r="CN15" s="122"/>
      <c r="CO15" s="122"/>
      <c r="CP15" s="122"/>
      <c r="CQ15" s="122"/>
      <c r="CR15" s="122"/>
      <c r="CS15" s="122"/>
      <c r="CT15" s="122"/>
      <c r="CU15" s="122"/>
      <c r="CV15" s="122"/>
      <c r="CW15" s="122"/>
      <c r="CX15" s="122"/>
      <c r="CY15" s="122"/>
      <c r="CZ15" s="122"/>
      <c r="DA15" s="122"/>
      <c r="DB15" s="122"/>
      <c r="DC15" s="122"/>
      <c r="DD15" s="122"/>
      <c r="DE15" s="122"/>
      <c r="DF15" s="122"/>
      <c r="DG15" s="122"/>
      <c r="DH15" s="122"/>
      <c r="DI15" s="122"/>
      <c r="DJ15" s="122"/>
      <c r="DK15" s="122"/>
      <c r="DL15" s="122"/>
      <c r="DM15" s="122"/>
      <c r="DN15" s="122"/>
      <c r="DO15" s="122"/>
      <c r="DP15" s="122"/>
      <c r="DQ15" s="122"/>
      <c r="DR15" s="122"/>
      <c r="DS15" s="122"/>
      <c r="DT15" s="122"/>
      <c r="DU15" s="122"/>
      <c r="DV15" s="122"/>
      <c r="DW15" s="122"/>
      <c r="DX15" s="122"/>
      <c r="DY15" s="122"/>
      <c r="DZ15" s="122"/>
      <c r="EA15" s="122"/>
      <c r="EB15" s="122"/>
      <c r="EC15" s="122"/>
      <c r="ED15" s="122"/>
      <c r="EE15" s="122"/>
      <c r="EF15" s="122"/>
      <c r="EG15" s="123"/>
      <c r="EH15" s="122"/>
      <c r="EI15" s="122"/>
      <c r="EJ15" s="122"/>
      <c r="EK15" s="122"/>
      <c r="EL15" s="122"/>
      <c r="EM15" s="122"/>
      <c r="EN15" s="122"/>
      <c r="EO15" s="123"/>
      <c r="EP15" s="122"/>
      <c r="EQ15" s="122"/>
      <c r="ER15" s="122"/>
      <c r="ES15" s="122"/>
      <c r="ET15" s="122"/>
      <c r="EU15" s="122"/>
      <c r="EV15" s="122"/>
      <c r="EW15" s="122"/>
      <c r="EX15" s="122"/>
      <c r="EY15" s="122"/>
      <c r="EZ15" s="122"/>
      <c r="FA15" s="122"/>
      <c r="FB15" s="122"/>
      <c r="FC15" s="122"/>
      <c r="FD15" s="122"/>
      <c r="FE15" s="122"/>
      <c r="FF15" s="122"/>
      <c r="FG15" s="122"/>
      <c r="FH15" s="122"/>
      <c r="FI15" s="122"/>
      <c r="FJ15" s="122"/>
      <c r="FK15" s="122"/>
      <c r="FL15" s="122"/>
      <c r="FM15" s="122"/>
      <c r="FN15" s="122"/>
      <c r="FO15" s="122"/>
      <c r="FP15" s="123"/>
      <c r="FQ15" s="123"/>
      <c r="FR15" s="123"/>
      <c r="FS15" s="123"/>
    </row>
    <row r="16" spans="1:175" s="375" customFormat="1" ht="29.25" customHeight="1">
      <c r="A16" s="129" t="s">
        <v>27956</v>
      </c>
      <c r="B16" s="130" t="s">
        <v>27957</v>
      </c>
      <c r="C16" s="131" t="s">
        <v>27958</v>
      </c>
      <c r="D16" s="132" t="s">
        <v>27959</v>
      </c>
      <c r="E16" s="132" t="s">
        <v>27959</v>
      </c>
      <c r="F16" s="131" t="s">
        <v>27958</v>
      </c>
      <c r="G16" s="131" t="s">
        <v>27958</v>
      </c>
      <c r="H16" s="132" t="s">
        <v>27959</v>
      </c>
      <c r="I16" s="132" t="s">
        <v>27959</v>
      </c>
      <c r="J16" s="132" t="s">
        <v>27959</v>
      </c>
      <c r="K16" s="132" t="s">
        <v>27959</v>
      </c>
      <c r="L16" s="132" t="s">
        <v>27959</v>
      </c>
      <c r="M16" s="132" t="s">
        <v>27959</v>
      </c>
      <c r="N16" s="131" t="s">
        <v>27958</v>
      </c>
      <c r="O16" s="131" t="s">
        <v>27958</v>
      </c>
      <c r="P16" s="131" t="s">
        <v>27958</v>
      </c>
      <c r="Q16" s="132" t="s">
        <v>27959</v>
      </c>
      <c r="R16" s="132" t="s">
        <v>27959</v>
      </c>
      <c r="S16" s="132" t="s">
        <v>27959</v>
      </c>
      <c r="T16" s="132" t="s">
        <v>27959</v>
      </c>
      <c r="U16" s="132" t="s">
        <v>27959</v>
      </c>
      <c r="V16" s="132" t="s">
        <v>27959</v>
      </c>
      <c r="W16" s="132" t="s">
        <v>27959</v>
      </c>
      <c r="X16" s="132" t="s">
        <v>27959</v>
      </c>
      <c r="Y16" s="132" t="s">
        <v>27959</v>
      </c>
      <c r="Z16" s="132" t="s">
        <v>27959</v>
      </c>
      <c r="AA16" s="132" t="s">
        <v>27959</v>
      </c>
      <c r="AB16" s="132" t="s">
        <v>27959</v>
      </c>
      <c r="AC16" s="132" t="s">
        <v>27959</v>
      </c>
      <c r="AD16" s="132" t="s">
        <v>27959</v>
      </c>
      <c r="AE16" s="132" t="s">
        <v>27959</v>
      </c>
      <c r="AF16" s="132" t="s">
        <v>27959</v>
      </c>
      <c r="AG16" s="131" t="s">
        <v>27958</v>
      </c>
      <c r="AH16" s="132" t="s">
        <v>27959</v>
      </c>
      <c r="AI16" s="133" t="s">
        <v>27960</v>
      </c>
      <c r="AJ16" s="132" t="s">
        <v>27959</v>
      </c>
      <c r="AK16" s="133" t="s">
        <v>27960</v>
      </c>
      <c r="AL16" s="131" t="s">
        <v>27958</v>
      </c>
      <c r="AM16" s="131" t="s">
        <v>27958</v>
      </c>
      <c r="AN16" s="131" t="s">
        <v>27958</v>
      </c>
      <c r="AO16" s="131" t="s">
        <v>27958</v>
      </c>
      <c r="AP16" s="131" t="s">
        <v>27958</v>
      </c>
      <c r="AQ16" s="131" t="s">
        <v>27958</v>
      </c>
      <c r="AR16" s="132" t="s">
        <v>27959</v>
      </c>
      <c r="AS16" s="132" t="s">
        <v>27959</v>
      </c>
      <c r="AT16" s="130" t="s">
        <v>27957</v>
      </c>
      <c r="AU16" s="133" t="s">
        <v>27960</v>
      </c>
      <c r="AV16" s="131" t="s">
        <v>27958</v>
      </c>
      <c r="AW16" s="131" t="s">
        <v>27958</v>
      </c>
      <c r="AX16" s="132" t="s">
        <v>27959</v>
      </c>
      <c r="AY16" s="132" t="s">
        <v>27959</v>
      </c>
      <c r="AZ16" s="132" t="s">
        <v>27959</v>
      </c>
      <c r="BA16" s="132" t="s">
        <v>27959</v>
      </c>
      <c r="BB16" s="132" t="s">
        <v>27959</v>
      </c>
      <c r="BC16" s="132" t="s">
        <v>27959</v>
      </c>
      <c r="BD16" s="131" t="s">
        <v>27958</v>
      </c>
      <c r="BE16" s="132" t="s">
        <v>27959</v>
      </c>
      <c r="BF16" s="132" t="s">
        <v>27959</v>
      </c>
      <c r="BG16" s="132" t="s">
        <v>27959</v>
      </c>
      <c r="BH16" s="132" t="s">
        <v>27959</v>
      </c>
      <c r="BI16" s="132" t="s">
        <v>27959</v>
      </c>
      <c r="BJ16" s="132" t="s">
        <v>27959</v>
      </c>
      <c r="BK16" s="132" t="s">
        <v>27959</v>
      </c>
      <c r="BL16" s="131" t="s">
        <v>27958</v>
      </c>
      <c r="BM16" s="131" t="s">
        <v>27958</v>
      </c>
      <c r="BN16" s="131" t="s">
        <v>27958</v>
      </c>
      <c r="BO16" s="131" t="s">
        <v>27958</v>
      </c>
      <c r="BP16" s="131" t="s">
        <v>27958</v>
      </c>
      <c r="BQ16" s="133" t="s">
        <v>27960</v>
      </c>
      <c r="BR16" s="133" t="s">
        <v>27960</v>
      </c>
      <c r="BS16" s="132" t="s">
        <v>27959</v>
      </c>
      <c r="BT16" s="132" t="s">
        <v>27959</v>
      </c>
      <c r="BU16" s="130" t="s">
        <v>27957</v>
      </c>
      <c r="BV16" s="131" t="s">
        <v>27958</v>
      </c>
      <c r="BW16" s="131" t="s">
        <v>27958</v>
      </c>
      <c r="BX16" s="132" t="s">
        <v>27959</v>
      </c>
      <c r="BY16" s="133" t="s">
        <v>27960</v>
      </c>
      <c r="BZ16" s="132" t="s">
        <v>27959</v>
      </c>
      <c r="CA16" s="132" t="s">
        <v>27959</v>
      </c>
      <c r="CB16" s="131" t="s">
        <v>27958</v>
      </c>
      <c r="CC16" s="132" t="s">
        <v>27959</v>
      </c>
      <c r="CD16" s="132" t="s">
        <v>27959</v>
      </c>
      <c r="CE16" s="133" t="s">
        <v>27960</v>
      </c>
      <c r="CF16" s="132" t="s">
        <v>27959</v>
      </c>
      <c r="CG16" s="132" t="s">
        <v>27959</v>
      </c>
      <c r="CH16" s="131" t="s">
        <v>27958</v>
      </c>
      <c r="CI16" s="132" t="s">
        <v>27959</v>
      </c>
      <c r="CJ16" s="132" t="s">
        <v>27959</v>
      </c>
      <c r="CK16" s="133" t="s">
        <v>27960</v>
      </c>
      <c r="CL16" s="132" t="s">
        <v>27959</v>
      </c>
      <c r="CM16" s="132" t="s">
        <v>27959</v>
      </c>
      <c r="CN16" s="131" t="s">
        <v>27958</v>
      </c>
      <c r="CO16" s="132" t="s">
        <v>27959</v>
      </c>
      <c r="CP16" s="132" t="s">
        <v>27959</v>
      </c>
      <c r="CQ16" s="133" t="s">
        <v>27960</v>
      </c>
      <c r="CR16" s="132" t="s">
        <v>27959</v>
      </c>
      <c r="CS16" s="132" t="s">
        <v>27959</v>
      </c>
      <c r="CT16" s="131" t="s">
        <v>27958</v>
      </c>
      <c r="CU16" s="132" t="s">
        <v>27959</v>
      </c>
      <c r="CV16" s="132" t="s">
        <v>27959</v>
      </c>
      <c r="CW16" s="133" t="s">
        <v>27960</v>
      </c>
      <c r="CX16" s="132" t="s">
        <v>27959</v>
      </c>
      <c r="CY16" s="132" t="s">
        <v>27959</v>
      </c>
      <c r="CZ16" s="131" t="s">
        <v>27958</v>
      </c>
      <c r="DA16" s="132" t="s">
        <v>27959</v>
      </c>
      <c r="DB16" s="132" t="s">
        <v>27959</v>
      </c>
      <c r="DC16" s="133" t="s">
        <v>27960</v>
      </c>
      <c r="DD16" s="132" t="s">
        <v>27959</v>
      </c>
      <c r="DE16" s="132" t="s">
        <v>27959</v>
      </c>
      <c r="DF16" s="131" t="s">
        <v>27958</v>
      </c>
      <c r="DG16" s="132" t="s">
        <v>27959</v>
      </c>
      <c r="DH16" s="132" t="s">
        <v>27959</v>
      </c>
      <c r="DI16" s="133" t="s">
        <v>27960</v>
      </c>
      <c r="DJ16" s="132" t="s">
        <v>27959</v>
      </c>
      <c r="DK16" s="132" t="s">
        <v>27959</v>
      </c>
      <c r="DL16" s="131" t="s">
        <v>27958</v>
      </c>
      <c r="DM16" s="132" t="s">
        <v>27959</v>
      </c>
      <c r="DN16" s="132" t="s">
        <v>27959</v>
      </c>
      <c r="DO16" s="133" t="s">
        <v>27960</v>
      </c>
      <c r="DP16" s="132" t="s">
        <v>27959</v>
      </c>
      <c r="DQ16" s="132" t="s">
        <v>27959</v>
      </c>
      <c r="DR16" s="131" t="s">
        <v>27958</v>
      </c>
      <c r="DS16" s="132" t="s">
        <v>27959</v>
      </c>
      <c r="DT16" s="132" t="s">
        <v>27959</v>
      </c>
      <c r="DU16" s="133" t="s">
        <v>27960</v>
      </c>
      <c r="DV16" s="132" t="s">
        <v>27959</v>
      </c>
      <c r="DW16" s="132" t="s">
        <v>27959</v>
      </c>
      <c r="DX16" s="131" t="s">
        <v>27958</v>
      </c>
      <c r="DY16" s="132" t="s">
        <v>27959</v>
      </c>
      <c r="DZ16" s="132" t="s">
        <v>27959</v>
      </c>
      <c r="EA16" s="133" t="s">
        <v>27960</v>
      </c>
      <c r="EB16" s="132" t="s">
        <v>27959</v>
      </c>
      <c r="EC16" s="132" t="s">
        <v>27959</v>
      </c>
      <c r="ED16" s="131" t="s">
        <v>27958</v>
      </c>
      <c r="EE16" s="132" t="s">
        <v>27959</v>
      </c>
      <c r="EF16" s="131" t="s">
        <v>27958</v>
      </c>
      <c r="EG16" s="133" t="s">
        <v>27960</v>
      </c>
      <c r="EH16" s="132" t="s">
        <v>27959</v>
      </c>
      <c r="EI16" s="130" t="s">
        <v>27957</v>
      </c>
      <c r="EJ16" s="131" t="s">
        <v>27958</v>
      </c>
      <c r="EK16" s="132" t="s">
        <v>27959</v>
      </c>
      <c r="EL16" s="130" t="s">
        <v>27957</v>
      </c>
      <c r="EM16" s="132" t="s">
        <v>27959</v>
      </c>
      <c r="EN16" s="132" t="s">
        <v>27959</v>
      </c>
      <c r="EO16" s="130" t="s">
        <v>27957</v>
      </c>
      <c r="EP16" s="130" t="s">
        <v>27957</v>
      </c>
      <c r="EQ16" s="132" t="s">
        <v>27959</v>
      </c>
      <c r="ER16" s="132" t="s">
        <v>27959</v>
      </c>
      <c r="ES16" s="132" t="s">
        <v>27959</v>
      </c>
      <c r="ET16" s="130" t="s">
        <v>27957</v>
      </c>
      <c r="EU16" s="131" t="s">
        <v>27958</v>
      </c>
      <c r="EV16" s="132" t="s">
        <v>27959</v>
      </c>
      <c r="EW16" s="131" t="s">
        <v>27958</v>
      </c>
      <c r="EX16" s="133" t="s">
        <v>27960</v>
      </c>
      <c r="EY16" s="132" t="s">
        <v>27959</v>
      </c>
      <c r="EZ16" s="133" t="s">
        <v>27960</v>
      </c>
      <c r="FA16" s="133" t="s">
        <v>27960</v>
      </c>
      <c r="FB16" s="133" t="s">
        <v>27960</v>
      </c>
      <c r="FC16" s="133" t="s">
        <v>27960</v>
      </c>
      <c r="FD16" s="133" t="s">
        <v>27960</v>
      </c>
      <c r="FE16" s="131" t="s">
        <v>27958</v>
      </c>
      <c r="FF16" s="133" t="s">
        <v>27960</v>
      </c>
      <c r="FG16" s="133" t="s">
        <v>27960</v>
      </c>
      <c r="FH16" s="133" t="s">
        <v>27960</v>
      </c>
      <c r="FI16" s="133" t="s">
        <v>27960</v>
      </c>
      <c r="FJ16" s="133" t="s">
        <v>27960</v>
      </c>
      <c r="FK16" s="131" t="s">
        <v>27958</v>
      </c>
      <c r="FL16" s="133" t="s">
        <v>27960</v>
      </c>
      <c r="FM16" s="133" t="s">
        <v>27960</v>
      </c>
      <c r="FN16" s="133" t="s">
        <v>27960</v>
      </c>
      <c r="FO16" s="133" t="s">
        <v>27960</v>
      </c>
      <c r="FP16" s="132" t="s">
        <v>27959</v>
      </c>
      <c r="FQ16" s="132" t="s">
        <v>27959</v>
      </c>
      <c r="FR16" s="132" t="s">
        <v>27959</v>
      </c>
      <c r="FS16" s="132" t="s">
        <v>27959</v>
      </c>
    </row>
    <row r="17" spans="1:175" s="351" customFormat="1" ht="18">
      <c r="A17" s="134"/>
      <c r="B17" s="135"/>
      <c r="C17" s="136"/>
      <c r="D17" s="137" t="str">
        <f>Web!I92</f>
        <v>VM_010</v>
      </c>
      <c r="E17" s="137" t="str">
        <f>Web!E16</f>
        <v>VS_001</v>
      </c>
      <c r="F17" s="136"/>
      <c r="G17" s="136"/>
      <c r="H17" s="137" t="str">
        <f>Web!I16</f>
        <v>VS_002</v>
      </c>
      <c r="I17" s="137" t="str">
        <f>Web!I17</f>
        <v>VS_003</v>
      </c>
      <c r="J17" s="137" t="str">
        <f>Web!I18</f>
        <v>VS_004</v>
      </c>
      <c r="K17" s="137" t="str">
        <f>Web!I19</f>
        <v>VS_005</v>
      </c>
      <c r="L17" s="137" t="str">
        <f>Web!I72</f>
        <v>VA_041</v>
      </c>
      <c r="M17" s="137" t="str">
        <f>Web!I84</f>
        <v>VM_001</v>
      </c>
      <c r="N17" s="136"/>
      <c r="O17" s="136"/>
      <c r="P17" s="136"/>
      <c r="Q17" s="137" t="str">
        <f>Web!I21</f>
        <v>VS_006</v>
      </c>
      <c r="R17" s="137" t="str">
        <f>Web!N21</f>
        <v>VS_016</v>
      </c>
      <c r="S17" s="137" t="str">
        <f>Web!I22</f>
        <v>VS_007</v>
      </c>
      <c r="T17" s="137" t="str">
        <f>Web!N22</f>
        <v>VS_017</v>
      </c>
      <c r="U17" s="137" t="str">
        <f>Web!I23</f>
        <v>VS_008</v>
      </c>
      <c r="V17" s="138" t="str">
        <f>Web!N23</f>
        <v>VS_018</v>
      </c>
      <c r="W17" s="137" t="str">
        <f>Web!I93</f>
        <v>VM_011</v>
      </c>
      <c r="X17" s="137" t="str">
        <f>Web!I24</f>
        <v>VS_009</v>
      </c>
      <c r="Y17" s="137" t="str">
        <f>Web!N24</f>
        <v>VS_019</v>
      </c>
      <c r="Z17" s="137" t="str">
        <f>Web!I94</f>
        <v>VM_012</v>
      </c>
      <c r="AA17" s="137" t="str">
        <f>Web!I25</f>
        <v>VS_010</v>
      </c>
      <c r="AB17" s="137" t="str">
        <f>Web!N25</f>
        <v>VS_020</v>
      </c>
      <c r="AC17" s="137" t="str">
        <f>Web!I26</f>
        <v>VS_011</v>
      </c>
      <c r="AD17" s="137" t="str">
        <f>Web!N26</f>
        <v>VS_021</v>
      </c>
      <c r="AE17" s="137" t="str">
        <f>Web!N27</f>
        <v>VS_022</v>
      </c>
      <c r="AF17" s="137" t="str">
        <f>Web!I28</f>
        <v>VS_013</v>
      </c>
      <c r="AG17" s="136"/>
      <c r="AH17" s="137" t="str">
        <f>Web!I29</f>
        <v>VS_014</v>
      </c>
      <c r="AI17" s="139"/>
      <c r="AJ17" s="137" t="str">
        <f>Web!N29</f>
        <v>VS_024</v>
      </c>
      <c r="AK17" s="139"/>
      <c r="AL17" s="136"/>
      <c r="AM17" s="136"/>
      <c r="AN17" s="136"/>
      <c r="AO17" s="136"/>
      <c r="AP17" s="136"/>
      <c r="AQ17" s="136"/>
      <c r="AR17" s="137" t="str">
        <f>Web!N28</f>
        <v>VS_023</v>
      </c>
      <c r="AS17" s="137" t="str">
        <f>Web!I30</f>
        <v>VS_015</v>
      </c>
      <c r="AT17" s="140"/>
      <c r="AU17" s="139"/>
      <c r="AV17" s="136"/>
      <c r="AW17" s="136"/>
      <c r="AX17" s="137" t="str">
        <f>Web!S21</f>
        <v>VS_025</v>
      </c>
      <c r="AY17" s="137" t="str">
        <f>Web!S22</f>
        <v>VS_026</v>
      </c>
      <c r="AZ17" s="137" t="str">
        <f>Web!S23</f>
        <v>VS_027</v>
      </c>
      <c r="BA17" s="137" t="str">
        <f>Web!S24</f>
        <v>VS_028</v>
      </c>
      <c r="BB17" s="137" t="str">
        <f>Web!N72</f>
        <v>VA_046</v>
      </c>
      <c r="BC17" s="137" t="str">
        <f>Web!S84</f>
        <v>VM_006</v>
      </c>
      <c r="BD17" s="136"/>
      <c r="BE17" s="137" t="str">
        <f>Web!S25</f>
        <v>VS_029</v>
      </c>
      <c r="BF17" s="137" t="str">
        <f>Web!W25</f>
        <v>VS_033</v>
      </c>
      <c r="BG17" s="137" t="str">
        <f>Web!S26</f>
        <v>VS_030</v>
      </c>
      <c r="BH17" s="137" t="str">
        <f>Web!W26</f>
        <v>VS_034</v>
      </c>
      <c r="BI17" s="137" t="str">
        <f>Web!S27</f>
        <v>VS_031</v>
      </c>
      <c r="BJ17" s="137" t="str">
        <f>Web!W27</f>
        <v>VS_035</v>
      </c>
      <c r="BK17" s="137" t="str">
        <f>Web!I93</f>
        <v>VM_011</v>
      </c>
      <c r="BL17" s="136"/>
      <c r="BM17" s="136"/>
      <c r="BN17" s="136"/>
      <c r="BO17" s="136"/>
      <c r="BP17" s="136"/>
      <c r="BQ17" s="141"/>
      <c r="BR17" s="141"/>
      <c r="BS17" s="137" t="str">
        <f>Web!S34</f>
        <v>VS_042</v>
      </c>
      <c r="BT17" s="137" t="str">
        <f>Web!I95</f>
        <v>VM_013</v>
      </c>
      <c r="BU17" s="140"/>
      <c r="BV17" s="136"/>
      <c r="BW17" s="136"/>
      <c r="BX17" s="137" t="str">
        <f>Web!I61</f>
        <v>VA_001</v>
      </c>
      <c r="BY17" s="141"/>
      <c r="BZ17" s="137" t="str">
        <f>Web!N61</f>
        <v>VA_011</v>
      </c>
      <c r="CA17" s="137" t="str">
        <f>Web!S61</f>
        <v>VA_021</v>
      </c>
      <c r="CB17" s="136"/>
      <c r="CC17" s="137" t="str">
        <f>Web!W61</f>
        <v>VA_031</v>
      </c>
      <c r="CD17" s="137" t="str">
        <f>Web!I62</f>
        <v>VA_002</v>
      </c>
      <c r="CE17" s="141"/>
      <c r="CF17" s="137" t="str">
        <f>Web!N62</f>
        <v>VA_012</v>
      </c>
      <c r="CG17" s="137" t="str">
        <f>Web!S62</f>
        <v>VA_022</v>
      </c>
      <c r="CH17" s="136"/>
      <c r="CI17" s="137" t="str">
        <f>Web!W62</f>
        <v>VA_032</v>
      </c>
      <c r="CJ17" s="137" t="str">
        <f>Web!I63</f>
        <v>VA_003</v>
      </c>
      <c r="CK17" s="141"/>
      <c r="CL17" s="137" t="str">
        <f>Web!N63</f>
        <v>VA_013</v>
      </c>
      <c r="CM17" s="137" t="str">
        <f>Web!S63</f>
        <v>VA_023</v>
      </c>
      <c r="CN17" s="136"/>
      <c r="CO17" s="137" t="str">
        <f>Web!W63</f>
        <v>VA_033</v>
      </c>
      <c r="CP17" s="137" t="str">
        <f>Web!I64</f>
        <v>VA_004</v>
      </c>
      <c r="CQ17" s="141"/>
      <c r="CR17" s="137" t="str">
        <f>Web!N64</f>
        <v>VA_014</v>
      </c>
      <c r="CS17" s="137" t="str">
        <f>Web!S64</f>
        <v>VA_024</v>
      </c>
      <c r="CT17" s="136"/>
      <c r="CU17" s="137" t="str">
        <f>Web!W64</f>
        <v>VA_034</v>
      </c>
      <c r="CV17" s="137" t="str">
        <f>Web!I65</f>
        <v>VA_005</v>
      </c>
      <c r="CW17" s="141"/>
      <c r="CX17" s="137" t="str">
        <f>Web!N65</f>
        <v>VA_015</v>
      </c>
      <c r="CY17" s="137" t="str">
        <f>Web!S65</f>
        <v>VA_025</v>
      </c>
      <c r="CZ17" s="136"/>
      <c r="DA17" s="137" t="str">
        <f>Web!W65</f>
        <v>VA_035</v>
      </c>
      <c r="DB17" s="137" t="str">
        <f>Web!I66</f>
        <v>VA_006</v>
      </c>
      <c r="DC17" s="141"/>
      <c r="DD17" s="137" t="str">
        <f>Web!N66</f>
        <v>VA_016</v>
      </c>
      <c r="DE17" s="137" t="str">
        <f>Web!S66</f>
        <v>VA_026</v>
      </c>
      <c r="DF17" s="136"/>
      <c r="DG17" s="137" t="str">
        <f>Web!W66</f>
        <v>VA_036</v>
      </c>
      <c r="DH17" s="137" t="str">
        <f>Web!I67</f>
        <v>VA_007</v>
      </c>
      <c r="DI17" s="141"/>
      <c r="DJ17" s="137" t="str">
        <f>Web!N67</f>
        <v>VA_017</v>
      </c>
      <c r="DK17" s="137" t="str">
        <f>Web!S67</f>
        <v>VA_027</v>
      </c>
      <c r="DL17" s="136"/>
      <c r="DM17" s="137" t="str">
        <f>Web!W67</f>
        <v>VA_037</v>
      </c>
      <c r="DN17" s="137" t="str">
        <f>Web!I68</f>
        <v>VA_008</v>
      </c>
      <c r="DO17" s="141"/>
      <c r="DP17" s="137" t="str">
        <f>Web!N68</f>
        <v>VA_018</v>
      </c>
      <c r="DQ17" s="137" t="str">
        <f>Web!S68</f>
        <v>VA_028</v>
      </c>
      <c r="DR17" s="136"/>
      <c r="DS17" s="137" t="str">
        <f>Web!W68</f>
        <v>VA_038</v>
      </c>
      <c r="DT17" s="137" t="str">
        <f>Web!I69</f>
        <v>VA_009</v>
      </c>
      <c r="DU17" s="141"/>
      <c r="DV17" s="137" t="str">
        <f>Web!N69</f>
        <v>VA_019</v>
      </c>
      <c r="DW17" s="137" t="str">
        <f>Web!S69</f>
        <v>VA_029</v>
      </c>
      <c r="DX17" s="136"/>
      <c r="DY17" s="137" t="str">
        <f>Web!W69</f>
        <v>VA_039</v>
      </c>
      <c r="DZ17" s="137" t="str">
        <f>Web!I70</f>
        <v>VA_010</v>
      </c>
      <c r="EA17" s="141"/>
      <c r="EB17" s="137" t="str">
        <f>Web!N70</f>
        <v>VA_020</v>
      </c>
      <c r="EC17" s="137" t="str">
        <f>Web!S70</f>
        <v>VA_030</v>
      </c>
      <c r="ED17" s="136"/>
      <c r="EE17" s="137" t="str">
        <f>Web!W70</f>
        <v>VA_040</v>
      </c>
      <c r="EF17" s="136"/>
      <c r="EG17" s="141"/>
      <c r="EH17" s="137" t="str">
        <f>Web!I73</f>
        <v>VA_042</v>
      </c>
      <c r="EI17" s="142"/>
      <c r="EJ17" s="136"/>
      <c r="EK17" s="137" t="str">
        <f>Web!N73</f>
        <v>VA_047</v>
      </c>
      <c r="EL17" s="142"/>
      <c r="EM17" s="138" t="str">
        <f>Web!E7</f>
        <v>VR_004</v>
      </c>
      <c r="EN17" s="137" t="str">
        <f>Web!I96</f>
        <v>VM_014</v>
      </c>
      <c r="EO17" s="142"/>
      <c r="EP17" s="142"/>
      <c r="EQ17" s="137" t="str">
        <f>Web!W40</f>
        <v>VS_050</v>
      </c>
      <c r="ER17" s="137" t="str">
        <f>Web!S39</f>
        <v>VS_046</v>
      </c>
      <c r="ES17" s="138" t="str">
        <f>Web!E7</f>
        <v>VR_004</v>
      </c>
      <c r="ET17" s="142"/>
      <c r="EU17" s="136"/>
      <c r="EV17" s="138" t="str">
        <f>Web!E7</f>
        <v>VR_004</v>
      </c>
      <c r="EW17" s="136"/>
      <c r="EX17" s="139"/>
      <c r="EY17" s="137" t="str">
        <f>Web!N84</f>
        <v>VM_003</v>
      </c>
      <c r="EZ17" s="139"/>
      <c r="FA17" s="139"/>
      <c r="FB17" s="139"/>
      <c r="FC17" s="139"/>
      <c r="FD17" s="139"/>
      <c r="FE17" s="136"/>
      <c r="FF17" s="139"/>
      <c r="FG17" s="139"/>
      <c r="FH17" s="139"/>
      <c r="FI17" s="139"/>
      <c r="FJ17" s="139"/>
      <c r="FK17" s="136"/>
      <c r="FL17" s="139"/>
      <c r="FM17" s="139"/>
      <c r="FN17" s="139"/>
      <c r="FO17" s="139"/>
      <c r="FP17" s="137" t="str">
        <f>Web!S38</f>
        <v>VS_045</v>
      </c>
      <c r="FQ17" s="137" t="str">
        <f>Web!W38</f>
        <v>VS_048</v>
      </c>
      <c r="FR17" s="137" t="str">
        <f>Web!I27</f>
        <v>VS_012</v>
      </c>
      <c r="FS17" s="410" t="str">
        <f>Web!I27</f>
        <v>VS_012</v>
      </c>
    </row>
    <row r="18" spans="1:175" s="375" customFormat="1" ht="30" customHeight="1">
      <c r="A18" s="129" t="s">
        <v>27961</v>
      </c>
      <c r="B18" s="135" t="s">
        <v>27920</v>
      </c>
      <c r="C18" s="143" t="s">
        <v>336</v>
      </c>
      <c r="D18" s="144" t="s">
        <v>315</v>
      </c>
      <c r="E18" s="144" t="s">
        <v>339</v>
      </c>
      <c r="F18" s="143" t="s">
        <v>336</v>
      </c>
      <c r="G18" s="143" t="s">
        <v>336</v>
      </c>
      <c r="H18" s="145" t="s">
        <v>23</v>
      </c>
      <c r="I18" s="145" t="s">
        <v>23</v>
      </c>
      <c r="J18" s="145" t="s">
        <v>23</v>
      </c>
      <c r="K18" s="145" t="s">
        <v>23</v>
      </c>
      <c r="L18" s="145" t="s">
        <v>265</v>
      </c>
      <c r="M18" s="145" t="s">
        <v>286</v>
      </c>
      <c r="N18" s="143" t="s">
        <v>336</v>
      </c>
      <c r="O18" s="143" t="s">
        <v>336</v>
      </c>
      <c r="P18" s="143" t="s">
        <v>336</v>
      </c>
      <c r="Q18" s="145" t="s">
        <v>33</v>
      </c>
      <c r="R18" s="145" t="s">
        <v>36</v>
      </c>
      <c r="S18" s="145" t="s">
        <v>44</v>
      </c>
      <c r="T18" s="145" t="s">
        <v>47</v>
      </c>
      <c r="U18" s="145" t="s">
        <v>53</v>
      </c>
      <c r="V18" s="145" t="s">
        <v>51</v>
      </c>
      <c r="W18" s="145" t="s">
        <v>41</v>
      </c>
      <c r="X18" s="145" t="s">
        <v>58</v>
      </c>
      <c r="Y18" s="145" t="s">
        <v>63</v>
      </c>
      <c r="Z18" s="145" t="s">
        <v>320</v>
      </c>
      <c r="AA18" s="145" t="s">
        <v>69</v>
      </c>
      <c r="AB18" s="145" t="s">
        <v>72</v>
      </c>
      <c r="AC18" s="145" t="s">
        <v>69</v>
      </c>
      <c r="AD18" s="145" t="s">
        <v>72</v>
      </c>
      <c r="AE18" s="145" t="s">
        <v>90</v>
      </c>
      <c r="AF18" s="145" t="s">
        <v>96</v>
      </c>
      <c r="AG18" s="143" t="s">
        <v>336</v>
      </c>
      <c r="AH18" s="145" t="s">
        <v>105</v>
      </c>
      <c r="AI18" s="146" t="s">
        <v>27962</v>
      </c>
      <c r="AJ18" s="145" t="s">
        <v>105</v>
      </c>
      <c r="AK18" s="146" t="s">
        <v>27962</v>
      </c>
      <c r="AL18" s="143" t="s">
        <v>336</v>
      </c>
      <c r="AM18" s="143" t="s">
        <v>336</v>
      </c>
      <c r="AN18" s="143" t="s">
        <v>336</v>
      </c>
      <c r="AO18" s="143" t="s">
        <v>336</v>
      </c>
      <c r="AP18" s="143"/>
      <c r="AQ18" s="143" t="s">
        <v>336</v>
      </c>
      <c r="AR18" s="145" t="s">
        <v>99</v>
      </c>
      <c r="AS18" s="145" t="s">
        <v>110</v>
      </c>
      <c r="AT18" s="140" t="s">
        <v>113</v>
      </c>
      <c r="AU18" s="146"/>
      <c r="AV18" s="143" t="s">
        <v>336</v>
      </c>
      <c r="AW18" s="143" t="s">
        <v>336</v>
      </c>
      <c r="AX18" s="145" t="s">
        <v>23</v>
      </c>
      <c r="AY18" s="145" t="s">
        <v>23</v>
      </c>
      <c r="AZ18" s="145" t="s">
        <v>23</v>
      </c>
      <c r="BA18" s="145" t="s">
        <v>23</v>
      </c>
      <c r="BB18" s="145" t="s">
        <v>265</v>
      </c>
      <c r="BC18" s="145" t="s">
        <v>286</v>
      </c>
      <c r="BD18" s="143" t="s">
        <v>336</v>
      </c>
      <c r="BE18" s="145" t="s">
        <v>33</v>
      </c>
      <c r="BF18" s="145" t="s">
        <v>36</v>
      </c>
      <c r="BG18" s="145" t="s">
        <v>44</v>
      </c>
      <c r="BH18" s="145" t="s">
        <v>47</v>
      </c>
      <c r="BI18" s="145" t="s">
        <v>53</v>
      </c>
      <c r="BJ18" s="145" t="s">
        <v>51</v>
      </c>
      <c r="BK18" s="145" t="s">
        <v>41</v>
      </c>
      <c r="BL18" s="143" t="s">
        <v>336</v>
      </c>
      <c r="BM18" s="143" t="s">
        <v>336</v>
      </c>
      <c r="BN18" s="143" t="s">
        <v>336</v>
      </c>
      <c r="BO18" s="143" t="s">
        <v>336</v>
      </c>
      <c r="BP18" s="143" t="s">
        <v>336</v>
      </c>
      <c r="BQ18" s="146"/>
      <c r="BR18" s="146"/>
      <c r="BS18" s="145" t="s">
        <v>122</v>
      </c>
      <c r="BT18" s="145" t="s">
        <v>322</v>
      </c>
      <c r="BU18" s="147" t="s">
        <v>27938</v>
      </c>
      <c r="BV18" s="143" t="s">
        <v>336</v>
      </c>
      <c r="BW18" s="143" t="s">
        <v>336</v>
      </c>
      <c r="BX18" s="145" t="s">
        <v>2</v>
      </c>
      <c r="BY18" s="146" t="s">
        <v>318</v>
      </c>
      <c r="BZ18" s="145" t="s">
        <v>201</v>
      </c>
      <c r="CA18" s="145" t="s">
        <v>202</v>
      </c>
      <c r="CB18" s="143" t="s">
        <v>336</v>
      </c>
      <c r="CC18" s="145" t="s">
        <v>203</v>
      </c>
      <c r="CD18" s="145" t="s">
        <v>2</v>
      </c>
      <c r="CE18" s="146" t="s">
        <v>318</v>
      </c>
      <c r="CF18" s="145" t="s">
        <v>201</v>
      </c>
      <c r="CG18" s="145" t="s">
        <v>202</v>
      </c>
      <c r="CH18" s="143" t="s">
        <v>336</v>
      </c>
      <c r="CI18" s="145" t="s">
        <v>203</v>
      </c>
      <c r="CJ18" s="145" t="s">
        <v>2</v>
      </c>
      <c r="CK18" s="146" t="s">
        <v>318</v>
      </c>
      <c r="CL18" s="145" t="s">
        <v>201</v>
      </c>
      <c r="CM18" s="145" t="s">
        <v>202</v>
      </c>
      <c r="CN18" s="143" t="s">
        <v>336</v>
      </c>
      <c r="CO18" s="145" t="s">
        <v>203</v>
      </c>
      <c r="CP18" s="145" t="s">
        <v>2</v>
      </c>
      <c r="CQ18" s="146" t="s">
        <v>318</v>
      </c>
      <c r="CR18" s="145" t="s">
        <v>201</v>
      </c>
      <c r="CS18" s="145" t="s">
        <v>202</v>
      </c>
      <c r="CT18" s="143" t="s">
        <v>336</v>
      </c>
      <c r="CU18" s="145" t="s">
        <v>203</v>
      </c>
      <c r="CV18" s="145" t="s">
        <v>2</v>
      </c>
      <c r="CW18" s="146" t="s">
        <v>318</v>
      </c>
      <c r="CX18" s="145" t="s">
        <v>201</v>
      </c>
      <c r="CY18" s="145" t="s">
        <v>202</v>
      </c>
      <c r="CZ18" s="143" t="s">
        <v>336</v>
      </c>
      <c r="DA18" s="145" t="s">
        <v>203</v>
      </c>
      <c r="DB18" s="145" t="s">
        <v>2</v>
      </c>
      <c r="DC18" s="146" t="s">
        <v>318</v>
      </c>
      <c r="DD18" s="145" t="s">
        <v>201</v>
      </c>
      <c r="DE18" s="145" t="s">
        <v>202</v>
      </c>
      <c r="DF18" s="143" t="s">
        <v>336</v>
      </c>
      <c r="DG18" s="145" t="s">
        <v>203</v>
      </c>
      <c r="DH18" s="145" t="s">
        <v>2</v>
      </c>
      <c r="DI18" s="146" t="s">
        <v>318</v>
      </c>
      <c r="DJ18" s="145" t="s">
        <v>201</v>
      </c>
      <c r="DK18" s="145" t="s">
        <v>202</v>
      </c>
      <c r="DL18" s="143" t="s">
        <v>336</v>
      </c>
      <c r="DM18" s="145" t="s">
        <v>203</v>
      </c>
      <c r="DN18" s="145" t="s">
        <v>2</v>
      </c>
      <c r="DO18" s="146" t="s">
        <v>318</v>
      </c>
      <c r="DP18" s="145" t="s">
        <v>201</v>
      </c>
      <c r="DQ18" s="145" t="s">
        <v>202</v>
      </c>
      <c r="DR18" s="143" t="s">
        <v>336</v>
      </c>
      <c r="DS18" s="145" t="s">
        <v>203</v>
      </c>
      <c r="DT18" s="145" t="s">
        <v>2</v>
      </c>
      <c r="DU18" s="146" t="s">
        <v>318</v>
      </c>
      <c r="DV18" s="145" t="s">
        <v>201</v>
      </c>
      <c r="DW18" s="145" t="s">
        <v>202</v>
      </c>
      <c r="DX18" s="143" t="s">
        <v>336</v>
      </c>
      <c r="DY18" s="145" t="s">
        <v>203</v>
      </c>
      <c r="DZ18" s="145" t="s">
        <v>2</v>
      </c>
      <c r="EA18" s="146" t="s">
        <v>318</v>
      </c>
      <c r="EB18" s="145" t="s">
        <v>201</v>
      </c>
      <c r="EC18" s="145" t="s">
        <v>202</v>
      </c>
      <c r="ED18" s="143" t="s">
        <v>336</v>
      </c>
      <c r="EE18" s="145" t="s">
        <v>203</v>
      </c>
      <c r="EF18" s="143" t="s">
        <v>336</v>
      </c>
      <c r="EG18" s="146"/>
      <c r="EH18" s="145" t="s">
        <v>269</v>
      </c>
      <c r="EI18" s="142" t="s">
        <v>130</v>
      </c>
      <c r="EJ18" s="143" t="s">
        <v>336</v>
      </c>
      <c r="EK18" s="145" t="s">
        <v>27952</v>
      </c>
      <c r="EL18" s="142" t="s">
        <v>113</v>
      </c>
      <c r="EM18" s="145" t="s">
        <v>27962</v>
      </c>
      <c r="EN18" s="145" t="s">
        <v>324</v>
      </c>
      <c r="EO18" s="142" t="s">
        <v>27941</v>
      </c>
      <c r="EP18" s="142" t="s">
        <v>27942</v>
      </c>
      <c r="EQ18" s="145" t="s">
        <v>11</v>
      </c>
      <c r="ER18" s="145" t="s">
        <v>140</v>
      </c>
      <c r="ES18" s="145" t="s">
        <v>27962</v>
      </c>
      <c r="ET18" s="142" t="s">
        <v>113</v>
      </c>
      <c r="EU18" s="143" t="s">
        <v>336</v>
      </c>
      <c r="EV18" s="145" t="s">
        <v>27962</v>
      </c>
      <c r="EW18" s="143" t="s">
        <v>336</v>
      </c>
      <c r="EX18" s="146"/>
      <c r="EY18" s="145" t="s">
        <v>289</v>
      </c>
      <c r="EZ18" s="146"/>
      <c r="FA18" s="146"/>
      <c r="FB18" s="146" t="s">
        <v>336</v>
      </c>
      <c r="FC18" s="146"/>
      <c r="FD18" s="146"/>
      <c r="FE18" s="143" t="s">
        <v>336</v>
      </c>
      <c r="FF18" s="146"/>
      <c r="FG18" s="146"/>
      <c r="FH18" s="146" t="s">
        <v>336</v>
      </c>
      <c r="FI18" s="146"/>
      <c r="FJ18" s="146"/>
      <c r="FK18" s="143" t="s">
        <v>336</v>
      </c>
      <c r="FL18" s="146"/>
      <c r="FM18" s="146"/>
      <c r="FN18" s="146" t="s">
        <v>336</v>
      </c>
      <c r="FO18" s="146"/>
      <c r="FP18" s="145" t="s">
        <v>2</v>
      </c>
      <c r="FQ18" s="145" t="s">
        <v>135</v>
      </c>
      <c r="FR18" s="145" t="s">
        <v>87</v>
      </c>
      <c r="FS18" s="145" t="s">
        <v>87</v>
      </c>
    </row>
    <row r="19" spans="1:175" s="376" customFormat="1" ht="142.5" customHeight="1">
      <c r="A19" s="134" t="s">
        <v>27963</v>
      </c>
      <c r="B19" s="148"/>
      <c r="C19" s="149"/>
      <c r="D19" s="150"/>
      <c r="E19" s="150"/>
      <c r="F19" s="149"/>
      <c r="G19" s="149"/>
      <c r="H19" s="151"/>
      <c r="I19" s="151"/>
      <c r="J19" s="151"/>
      <c r="K19" s="151"/>
      <c r="L19" s="150"/>
      <c r="M19" s="150"/>
      <c r="N19" s="149"/>
      <c r="O19" s="149"/>
      <c r="P19" s="149"/>
      <c r="Q19" s="152"/>
      <c r="R19" s="152"/>
      <c r="S19" s="152"/>
      <c r="T19" s="152"/>
      <c r="U19" s="152"/>
      <c r="V19" s="152"/>
      <c r="W19" s="152"/>
      <c r="X19" s="152"/>
      <c r="Y19" s="152"/>
      <c r="Z19" s="152"/>
      <c r="AA19" s="153"/>
      <c r="AB19" s="153"/>
      <c r="AC19" s="153"/>
      <c r="AD19" s="153"/>
      <c r="AE19" s="152"/>
      <c r="AF19" s="152"/>
      <c r="AG19" s="149"/>
      <c r="AH19" s="150"/>
      <c r="AI19" s="154" t="s">
        <v>27964</v>
      </c>
      <c r="AJ19" s="150"/>
      <c r="AK19" s="154" t="s">
        <v>27964</v>
      </c>
      <c r="AL19" s="149"/>
      <c r="AM19" s="149"/>
      <c r="AN19" s="149"/>
      <c r="AO19" s="149"/>
      <c r="AP19" s="149"/>
      <c r="AQ19" s="149"/>
      <c r="AR19" s="150"/>
      <c r="AS19" s="152"/>
      <c r="AT19" s="155"/>
      <c r="AU19" s="154" t="s">
        <v>27965</v>
      </c>
      <c r="AV19" s="149"/>
      <c r="AW19" s="149"/>
      <c r="AX19" s="152"/>
      <c r="AY19" s="152"/>
      <c r="AZ19" s="152"/>
      <c r="BA19" s="152"/>
      <c r="BB19" s="152"/>
      <c r="BC19" s="152"/>
      <c r="BD19" s="149"/>
      <c r="BE19" s="152"/>
      <c r="BF19" s="152"/>
      <c r="BG19" s="152"/>
      <c r="BH19" s="152"/>
      <c r="BI19" s="152"/>
      <c r="BJ19" s="152"/>
      <c r="BK19" s="152"/>
      <c r="BL19" s="149"/>
      <c r="BM19" s="149"/>
      <c r="BN19" s="149"/>
      <c r="BO19" s="149"/>
      <c r="BP19" s="149"/>
      <c r="BQ19" s="154" t="s">
        <v>27966</v>
      </c>
      <c r="BR19" s="154" t="s">
        <v>27967</v>
      </c>
      <c r="BS19" s="152"/>
      <c r="BT19" s="152"/>
      <c r="BU19" s="155"/>
      <c r="BV19" s="149"/>
      <c r="BW19" s="149"/>
      <c r="BX19" s="150" t="s">
        <v>27968</v>
      </c>
      <c r="BY19" s="154" t="s">
        <v>27969</v>
      </c>
      <c r="BZ19" s="152"/>
      <c r="CA19" s="152"/>
      <c r="CB19" s="149"/>
      <c r="CC19" s="152"/>
      <c r="CD19" s="150" t="s">
        <v>27968</v>
      </c>
      <c r="CE19" s="154" t="s">
        <v>27969</v>
      </c>
      <c r="CF19" s="152"/>
      <c r="CG19" s="152"/>
      <c r="CH19" s="149"/>
      <c r="CI19" s="152"/>
      <c r="CJ19" s="150" t="s">
        <v>27968</v>
      </c>
      <c r="CK19" s="154" t="s">
        <v>27969</v>
      </c>
      <c r="CL19" s="152"/>
      <c r="CM19" s="152"/>
      <c r="CN19" s="149"/>
      <c r="CO19" s="152"/>
      <c r="CP19" s="150" t="s">
        <v>27968</v>
      </c>
      <c r="CQ19" s="154" t="s">
        <v>27969</v>
      </c>
      <c r="CR19" s="152"/>
      <c r="CS19" s="152"/>
      <c r="CT19" s="149"/>
      <c r="CU19" s="152"/>
      <c r="CV19" s="150" t="s">
        <v>27968</v>
      </c>
      <c r="CW19" s="154" t="s">
        <v>27969</v>
      </c>
      <c r="CX19" s="152"/>
      <c r="CY19" s="152"/>
      <c r="CZ19" s="149"/>
      <c r="DA19" s="152"/>
      <c r="DB19" s="150" t="s">
        <v>27968</v>
      </c>
      <c r="DC19" s="154" t="s">
        <v>27969</v>
      </c>
      <c r="DD19" s="152"/>
      <c r="DE19" s="152"/>
      <c r="DF19" s="149"/>
      <c r="DG19" s="152"/>
      <c r="DH19" s="150" t="s">
        <v>27968</v>
      </c>
      <c r="DI19" s="154" t="s">
        <v>27969</v>
      </c>
      <c r="DJ19" s="152"/>
      <c r="DK19" s="152"/>
      <c r="DL19" s="149"/>
      <c r="DM19" s="152"/>
      <c r="DN19" s="150" t="s">
        <v>27968</v>
      </c>
      <c r="DO19" s="154" t="s">
        <v>27969</v>
      </c>
      <c r="DP19" s="152"/>
      <c r="DQ19" s="152"/>
      <c r="DR19" s="149"/>
      <c r="DS19" s="152"/>
      <c r="DT19" s="150" t="s">
        <v>27968</v>
      </c>
      <c r="DU19" s="154" t="s">
        <v>27969</v>
      </c>
      <c r="DV19" s="152"/>
      <c r="DW19" s="152"/>
      <c r="DX19" s="149"/>
      <c r="DY19" s="152"/>
      <c r="DZ19" s="150" t="s">
        <v>27968</v>
      </c>
      <c r="EA19" s="154" t="s">
        <v>27969</v>
      </c>
      <c r="EB19" s="152"/>
      <c r="EC19" s="152"/>
      <c r="ED19" s="149"/>
      <c r="EE19" s="152"/>
      <c r="EF19" s="149"/>
      <c r="EG19" s="154" t="s">
        <v>27970</v>
      </c>
      <c r="EH19" s="152"/>
      <c r="EI19" s="155"/>
      <c r="EJ19" s="149"/>
      <c r="EK19" s="152"/>
      <c r="EL19" s="155"/>
      <c r="EM19" s="150"/>
      <c r="EN19" s="150"/>
      <c r="EO19" s="155"/>
      <c r="EP19" s="155"/>
      <c r="EQ19" s="152"/>
      <c r="ER19" s="152"/>
      <c r="ES19" s="150"/>
      <c r="ET19" s="155"/>
      <c r="EU19" s="149"/>
      <c r="EV19" s="150"/>
      <c r="EW19" s="149"/>
      <c r="EX19" s="154" t="s">
        <v>27971</v>
      </c>
      <c r="EY19" s="152"/>
      <c r="EZ19" s="154" t="s">
        <v>27972</v>
      </c>
      <c r="FA19" s="154" t="s">
        <v>27973</v>
      </c>
      <c r="FB19" s="154" t="s">
        <v>27974</v>
      </c>
      <c r="FC19" s="154" t="s">
        <v>27975</v>
      </c>
      <c r="FD19" s="154" t="s">
        <v>27976</v>
      </c>
      <c r="FE19" s="149"/>
      <c r="FF19" s="154" t="s">
        <v>27972</v>
      </c>
      <c r="FG19" s="154" t="s">
        <v>27973</v>
      </c>
      <c r="FH19" s="154" t="s">
        <v>27977</v>
      </c>
      <c r="FI19" s="154" t="s">
        <v>27978</v>
      </c>
      <c r="FJ19" s="154" t="s">
        <v>27979</v>
      </c>
      <c r="FK19" s="149"/>
      <c r="FL19" s="154" t="s">
        <v>27972</v>
      </c>
      <c r="FM19" s="154" t="s">
        <v>27973</v>
      </c>
      <c r="FN19" s="154" t="s">
        <v>27977</v>
      </c>
      <c r="FO19" s="154" t="s">
        <v>27978</v>
      </c>
      <c r="FP19" s="152"/>
      <c r="FQ19" s="152" t="s">
        <v>27980</v>
      </c>
      <c r="FR19" s="151" t="s">
        <v>27981</v>
      </c>
      <c r="FS19" s="151" t="s">
        <v>27982</v>
      </c>
    </row>
    <row r="20" spans="1:175" s="377" customFormat="1" ht="28.15" customHeight="1">
      <c r="A20" s="129" t="s">
        <v>27983</v>
      </c>
      <c r="B20" s="156"/>
      <c r="C20" s="157"/>
      <c r="D20" s="158" t="s">
        <v>27984</v>
      </c>
      <c r="E20" s="158" t="s">
        <v>27984</v>
      </c>
      <c r="F20" s="157"/>
      <c r="G20" s="157"/>
      <c r="H20" s="158"/>
      <c r="I20" s="158"/>
      <c r="J20" s="158"/>
      <c r="K20" s="158"/>
      <c r="L20" s="158"/>
      <c r="M20" s="158"/>
      <c r="N20" s="157"/>
      <c r="O20" s="157"/>
      <c r="P20" s="157"/>
      <c r="Q20" s="158"/>
      <c r="R20" s="158"/>
      <c r="S20" s="158"/>
      <c r="T20" s="158"/>
      <c r="U20" s="158"/>
      <c r="V20" s="158"/>
      <c r="W20" s="158" t="s">
        <v>27984</v>
      </c>
      <c r="X20" s="158" t="s">
        <v>27984</v>
      </c>
      <c r="Y20" s="158" t="s">
        <v>27984</v>
      </c>
      <c r="Z20" s="158" t="s">
        <v>27984</v>
      </c>
      <c r="AA20" s="158"/>
      <c r="AB20" s="158"/>
      <c r="AC20" s="158"/>
      <c r="AD20" s="158"/>
      <c r="AE20" s="158"/>
      <c r="AF20" s="158"/>
      <c r="AG20" s="157"/>
      <c r="AH20" s="159"/>
      <c r="AI20" s="160" t="s">
        <v>27984</v>
      </c>
      <c r="AJ20" s="159"/>
      <c r="AK20" s="160" t="s">
        <v>27984</v>
      </c>
      <c r="AL20" s="157"/>
      <c r="AM20" s="157"/>
      <c r="AN20" s="157"/>
      <c r="AO20" s="157"/>
      <c r="AP20" s="157"/>
      <c r="AQ20" s="157"/>
      <c r="AR20" s="159"/>
      <c r="AS20" s="158"/>
      <c r="AT20" s="147"/>
      <c r="AU20" s="160"/>
      <c r="AV20" s="157"/>
      <c r="AW20" s="157"/>
      <c r="AX20" s="158"/>
      <c r="AY20" s="158"/>
      <c r="AZ20" s="158"/>
      <c r="BA20" s="158"/>
      <c r="BB20" s="158"/>
      <c r="BC20" s="158"/>
      <c r="BD20" s="157"/>
      <c r="BE20" s="158"/>
      <c r="BF20" s="158"/>
      <c r="BG20" s="158"/>
      <c r="BH20" s="158"/>
      <c r="BI20" s="158"/>
      <c r="BJ20" s="158"/>
      <c r="BK20" s="158" t="s">
        <v>27984</v>
      </c>
      <c r="BL20" s="157"/>
      <c r="BM20" s="157"/>
      <c r="BN20" s="157"/>
      <c r="BO20" s="157"/>
      <c r="BP20" s="157"/>
      <c r="BQ20" s="160"/>
      <c r="BR20" s="160"/>
      <c r="BS20" s="158"/>
      <c r="BT20" s="158" t="s">
        <v>27984</v>
      </c>
      <c r="BU20" s="147"/>
      <c r="BV20" s="157"/>
      <c r="BW20" s="157"/>
      <c r="BX20" s="158"/>
      <c r="BY20" s="160"/>
      <c r="BZ20" s="158" t="s">
        <v>27984</v>
      </c>
      <c r="CA20" s="158"/>
      <c r="CB20" s="157"/>
      <c r="CC20" s="158"/>
      <c r="CD20" s="158"/>
      <c r="CE20" s="160"/>
      <c r="CF20" s="158" t="s">
        <v>27984</v>
      </c>
      <c r="CG20" s="158"/>
      <c r="CH20" s="157"/>
      <c r="CI20" s="158"/>
      <c r="CJ20" s="158"/>
      <c r="CK20" s="160"/>
      <c r="CL20" s="158" t="s">
        <v>27984</v>
      </c>
      <c r="CM20" s="158"/>
      <c r="CN20" s="157"/>
      <c r="CO20" s="158"/>
      <c r="CP20" s="158"/>
      <c r="CQ20" s="160"/>
      <c r="CR20" s="158" t="s">
        <v>27984</v>
      </c>
      <c r="CS20" s="158"/>
      <c r="CT20" s="157"/>
      <c r="CU20" s="158"/>
      <c r="CV20" s="158"/>
      <c r="CW20" s="160"/>
      <c r="CX20" s="158" t="s">
        <v>27984</v>
      </c>
      <c r="CY20" s="158"/>
      <c r="CZ20" s="157"/>
      <c r="DA20" s="158"/>
      <c r="DB20" s="158"/>
      <c r="DC20" s="160"/>
      <c r="DD20" s="158" t="s">
        <v>27984</v>
      </c>
      <c r="DE20" s="158"/>
      <c r="DF20" s="157"/>
      <c r="DG20" s="158"/>
      <c r="DH20" s="158"/>
      <c r="DI20" s="160"/>
      <c r="DJ20" s="158" t="s">
        <v>27984</v>
      </c>
      <c r="DK20" s="158"/>
      <c r="DL20" s="157"/>
      <c r="DM20" s="158"/>
      <c r="DN20" s="158"/>
      <c r="DO20" s="160"/>
      <c r="DP20" s="158" t="s">
        <v>27984</v>
      </c>
      <c r="DQ20" s="158"/>
      <c r="DR20" s="157"/>
      <c r="DS20" s="158"/>
      <c r="DT20" s="158"/>
      <c r="DU20" s="160"/>
      <c r="DV20" s="158" t="s">
        <v>27984</v>
      </c>
      <c r="DW20" s="158"/>
      <c r="DX20" s="157"/>
      <c r="DY20" s="158"/>
      <c r="DZ20" s="158"/>
      <c r="EA20" s="160"/>
      <c r="EB20" s="158" t="s">
        <v>27984</v>
      </c>
      <c r="EC20" s="158"/>
      <c r="ED20" s="157"/>
      <c r="EE20" s="158"/>
      <c r="EF20" s="157"/>
      <c r="EG20" s="160"/>
      <c r="EH20" s="158" t="s">
        <v>27984</v>
      </c>
      <c r="EI20" s="147"/>
      <c r="EJ20" s="157"/>
      <c r="EK20" s="158" t="s">
        <v>27984</v>
      </c>
      <c r="EL20" s="147"/>
      <c r="EM20" s="158" t="s">
        <v>27984</v>
      </c>
      <c r="EN20" s="158" t="s">
        <v>27984</v>
      </c>
      <c r="EO20" s="147"/>
      <c r="EP20" s="147"/>
      <c r="EQ20" s="158"/>
      <c r="ER20" s="158" t="s">
        <v>27984</v>
      </c>
      <c r="ES20" s="158" t="s">
        <v>27984</v>
      </c>
      <c r="ET20" s="147"/>
      <c r="EU20" s="157"/>
      <c r="EV20" s="158" t="s">
        <v>27984</v>
      </c>
      <c r="EW20" s="157"/>
      <c r="EX20" s="160"/>
      <c r="EY20" s="158" t="s">
        <v>27984</v>
      </c>
      <c r="EZ20" s="160"/>
      <c r="FA20" s="160"/>
      <c r="FB20" s="160"/>
      <c r="FC20" s="160"/>
      <c r="FD20" s="160"/>
      <c r="FE20" s="157"/>
      <c r="FF20" s="160"/>
      <c r="FG20" s="160"/>
      <c r="FH20" s="160"/>
      <c r="FI20" s="160"/>
      <c r="FJ20" s="160"/>
      <c r="FK20" s="157"/>
      <c r="FL20" s="160"/>
      <c r="FM20" s="160"/>
      <c r="FN20" s="160"/>
      <c r="FO20" s="160"/>
      <c r="FP20" s="158"/>
      <c r="FQ20" s="158"/>
      <c r="FR20" s="158"/>
      <c r="FS20" s="158"/>
    </row>
    <row r="21" spans="1:175" s="396" customFormat="1" ht="27" customHeight="1">
      <c r="A21" s="131"/>
      <c r="B21" s="131"/>
      <c r="C21" s="131"/>
      <c r="D21" s="161" t="s">
        <v>284</v>
      </c>
      <c r="E21" s="162" t="s">
        <v>18</v>
      </c>
      <c r="F21" s="131"/>
      <c r="G21" s="131"/>
      <c r="H21" s="162" t="s">
        <v>18</v>
      </c>
      <c r="I21" s="162" t="s">
        <v>18</v>
      </c>
      <c r="J21" s="162" t="s">
        <v>18</v>
      </c>
      <c r="K21" s="162" t="s">
        <v>18</v>
      </c>
      <c r="L21" s="161" t="s">
        <v>284</v>
      </c>
      <c r="M21" s="161" t="s">
        <v>284</v>
      </c>
      <c r="N21" s="131"/>
      <c r="O21" s="131"/>
      <c r="P21" s="131"/>
      <c r="Q21" s="162" t="s">
        <v>18</v>
      </c>
      <c r="R21" s="162" t="s">
        <v>18</v>
      </c>
      <c r="S21" s="162" t="s">
        <v>18</v>
      </c>
      <c r="T21" s="162" t="s">
        <v>18</v>
      </c>
      <c r="U21" s="162" t="s">
        <v>18</v>
      </c>
      <c r="V21" s="162" t="s">
        <v>18</v>
      </c>
      <c r="W21" s="161" t="s">
        <v>284</v>
      </c>
      <c r="X21" s="162" t="s">
        <v>18</v>
      </c>
      <c r="Y21" s="162" t="s">
        <v>18</v>
      </c>
      <c r="Z21" s="161" t="s">
        <v>284</v>
      </c>
      <c r="AA21" s="162" t="s">
        <v>18</v>
      </c>
      <c r="AB21" s="162" t="s">
        <v>18</v>
      </c>
      <c r="AC21" s="162" t="s">
        <v>18</v>
      </c>
      <c r="AD21" s="162" t="s">
        <v>18</v>
      </c>
      <c r="AE21" s="162" t="s">
        <v>18</v>
      </c>
      <c r="AF21" s="162" t="s">
        <v>18</v>
      </c>
      <c r="AG21" s="131"/>
      <c r="AH21" s="162" t="s">
        <v>18</v>
      </c>
      <c r="AI21" s="53" t="s">
        <v>0</v>
      </c>
      <c r="AJ21" s="162" t="s">
        <v>18</v>
      </c>
      <c r="AK21" s="53" t="s">
        <v>0</v>
      </c>
      <c r="AL21" s="131"/>
      <c r="AM21" s="131"/>
      <c r="AN21" s="131"/>
      <c r="AO21" s="131"/>
      <c r="AP21" s="131"/>
      <c r="AQ21" s="131"/>
      <c r="AR21" s="164" t="s">
        <v>199</v>
      </c>
      <c r="AS21" s="162" t="s">
        <v>18</v>
      </c>
      <c r="AT21" s="131"/>
      <c r="AU21" s="131"/>
      <c r="AV21" s="131"/>
      <c r="AW21" s="131"/>
      <c r="AX21" s="162" t="s">
        <v>18</v>
      </c>
      <c r="AY21" s="162" t="s">
        <v>18</v>
      </c>
      <c r="AZ21" s="162" t="s">
        <v>18</v>
      </c>
      <c r="BA21" s="162" t="s">
        <v>18</v>
      </c>
      <c r="BB21" s="161" t="s">
        <v>284</v>
      </c>
      <c r="BC21" s="161" t="s">
        <v>284</v>
      </c>
      <c r="BD21" s="131"/>
      <c r="BE21" s="162" t="s">
        <v>18</v>
      </c>
      <c r="BF21" s="162" t="s">
        <v>18</v>
      </c>
      <c r="BG21" s="162" t="s">
        <v>18</v>
      </c>
      <c r="BH21" s="162" t="s">
        <v>18</v>
      </c>
      <c r="BI21" s="162" t="s">
        <v>18</v>
      </c>
      <c r="BJ21" s="162" t="s">
        <v>18</v>
      </c>
      <c r="BK21" s="161" t="s">
        <v>284</v>
      </c>
      <c r="BL21" s="131"/>
      <c r="BM21" s="131"/>
      <c r="BN21" s="131"/>
      <c r="BO21" s="131"/>
      <c r="BP21" s="131"/>
      <c r="BQ21" s="131"/>
      <c r="BR21" s="131"/>
      <c r="BS21" s="165" t="s">
        <v>18</v>
      </c>
      <c r="BT21" s="161" t="s">
        <v>284</v>
      </c>
      <c r="BU21" s="131"/>
      <c r="BV21" s="131"/>
      <c r="BW21" s="131"/>
      <c r="BX21" s="164" t="s">
        <v>199</v>
      </c>
      <c r="BY21" s="131"/>
      <c r="BZ21" s="164" t="s">
        <v>199</v>
      </c>
      <c r="CA21" s="164" t="s">
        <v>199</v>
      </c>
      <c r="CB21" s="131"/>
      <c r="CC21" s="164" t="s">
        <v>199</v>
      </c>
      <c r="CD21" s="164" t="s">
        <v>199</v>
      </c>
      <c r="CE21" s="131"/>
      <c r="CF21" s="164" t="s">
        <v>199</v>
      </c>
      <c r="CG21" s="164" t="s">
        <v>199</v>
      </c>
      <c r="CH21" s="131"/>
      <c r="CI21" s="164" t="s">
        <v>199</v>
      </c>
      <c r="CJ21" s="164" t="s">
        <v>199</v>
      </c>
      <c r="CK21" s="131"/>
      <c r="CL21" s="164" t="s">
        <v>199</v>
      </c>
      <c r="CM21" s="164" t="s">
        <v>199</v>
      </c>
      <c r="CN21" s="131"/>
      <c r="CO21" s="164" t="s">
        <v>199</v>
      </c>
      <c r="CP21" s="164" t="s">
        <v>199</v>
      </c>
      <c r="CQ21" s="131"/>
      <c r="CR21" s="164" t="s">
        <v>199</v>
      </c>
      <c r="CS21" s="164" t="s">
        <v>199</v>
      </c>
      <c r="CT21" s="131"/>
      <c r="CU21" s="164" t="s">
        <v>199</v>
      </c>
      <c r="CV21" s="164" t="s">
        <v>199</v>
      </c>
      <c r="CW21" s="131"/>
      <c r="CX21" s="164" t="s">
        <v>199</v>
      </c>
      <c r="CY21" s="164" t="s">
        <v>199</v>
      </c>
      <c r="CZ21" s="131"/>
      <c r="DA21" s="164" t="s">
        <v>199</v>
      </c>
      <c r="DB21" s="164" t="s">
        <v>199</v>
      </c>
      <c r="DC21" s="131"/>
      <c r="DD21" s="164" t="s">
        <v>199</v>
      </c>
      <c r="DE21" s="164" t="s">
        <v>199</v>
      </c>
      <c r="DF21" s="131"/>
      <c r="DG21" s="164" t="s">
        <v>199</v>
      </c>
      <c r="DH21" s="164" t="s">
        <v>199</v>
      </c>
      <c r="DI21" s="131"/>
      <c r="DJ21" s="164" t="s">
        <v>199</v>
      </c>
      <c r="DK21" s="164" t="s">
        <v>199</v>
      </c>
      <c r="DL21" s="131"/>
      <c r="DM21" s="164" t="s">
        <v>199</v>
      </c>
      <c r="DN21" s="164" t="s">
        <v>199</v>
      </c>
      <c r="DO21" s="131"/>
      <c r="DP21" s="164" t="s">
        <v>199</v>
      </c>
      <c r="DQ21" s="164" t="s">
        <v>199</v>
      </c>
      <c r="DR21" s="131"/>
      <c r="DS21" s="164" t="s">
        <v>199</v>
      </c>
      <c r="DT21" s="164" t="s">
        <v>199</v>
      </c>
      <c r="DU21" s="131"/>
      <c r="DV21" s="164" t="s">
        <v>199</v>
      </c>
      <c r="DW21" s="164" t="s">
        <v>199</v>
      </c>
      <c r="DX21" s="131"/>
      <c r="DY21" s="164" t="s">
        <v>199</v>
      </c>
      <c r="DZ21" s="164" t="s">
        <v>199</v>
      </c>
      <c r="EA21" s="131"/>
      <c r="EB21" s="164" t="s">
        <v>199</v>
      </c>
      <c r="EC21" s="164" t="s">
        <v>199</v>
      </c>
      <c r="ED21" s="131"/>
      <c r="EE21" s="164" t="s">
        <v>199</v>
      </c>
      <c r="EF21" s="131"/>
      <c r="EG21" s="131"/>
      <c r="EH21" s="164" t="s">
        <v>199</v>
      </c>
      <c r="EI21" s="131"/>
      <c r="EJ21" s="131"/>
      <c r="EK21" s="164" t="s">
        <v>199</v>
      </c>
      <c r="EL21" s="131"/>
      <c r="EM21" s="53" t="s">
        <v>0</v>
      </c>
      <c r="EN21" s="161" t="s">
        <v>284</v>
      </c>
      <c r="EO21" s="131"/>
      <c r="EP21" s="131"/>
      <c r="EQ21" s="165" t="s">
        <v>18</v>
      </c>
      <c r="ER21" s="165" t="s">
        <v>18</v>
      </c>
      <c r="ES21" s="53" t="s">
        <v>0</v>
      </c>
      <c r="ET21" s="131"/>
      <c r="EU21" s="131"/>
      <c r="EV21" s="53" t="s">
        <v>0</v>
      </c>
      <c r="EW21" s="131"/>
      <c r="EX21" s="131"/>
      <c r="EY21" s="166" t="s">
        <v>284</v>
      </c>
      <c r="EZ21" s="131"/>
      <c r="FA21" s="131"/>
      <c r="FB21" s="131" t="s">
        <v>336</v>
      </c>
      <c r="FC21" s="131" t="s">
        <v>336</v>
      </c>
      <c r="FD21" s="131"/>
      <c r="FE21" s="131"/>
      <c r="FF21" s="131"/>
      <c r="FG21" s="131"/>
      <c r="FH21" s="131" t="s">
        <v>336</v>
      </c>
      <c r="FI21" s="131" t="s">
        <v>336</v>
      </c>
      <c r="FJ21" s="131"/>
      <c r="FK21" s="131"/>
      <c r="FL21" s="131"/>
      <c r="FM21" s="131"/>
      <c r="FN21" s="131" t="s">
        <v>336</v>
      </c>
      <c r="FO21" s="131" t="s">
        <v>336</v>
      </c>
      <c r="FP21" s="165" t="s">
        <v>18</v>
      </c>
      <c r="FQ21" s="165" t="s">
        <v>18</v>
      </c>
      <c r="FR21" s="165" t="s">
        <v>18</v>
      </c>
      <c r="FS21" s="165" t="s">
        <v>18</v>
      </c>
    </row>
    <row r="22" spans="1:175" ht="28.15" customHeight="1">
      <c r="A22" s="327"/>
      <c r="B22" s="328"/>
      <c r="C22" s="329"/>
      <c r="D22" s="329"/>
      <c r="E22" s="329"/>
      <c r="H22" s="331"/>
      <c r="I22" s="331"/>
      <c r="J22" s="331"/>
      <c r="K22" s="331"/>
      <c r="L22" s="327"/>
      <c r="M22" s="327"/>
      <c r="Q22" s="327"/>
      <c r="R22" s="327"/>
      <c r="S22" s="327"/>
      <c r="T22" s="331"/>
      <c r="U22" s="331"/>
      <c r="V22" s="331"/>
      <c r="W22" s="331"/>
      <c r="X22" s="347"/>
      <c r="Y22" s="347"/>
      <c r="Z22" s="331"/>
      <c r="AA22" s="330"/>
      <c r="AB22" s="330"/>
      <c r="AC22" s="330"/>
      <c r="AD22" s="330"/>
      <c r="AE22" s="330"/>
      <c r="AF22" s="331"/>
      <c r="AG22" s="330"/>
      <c r="AH22" s="391"/>
      <c r="AI22" s="331"/>
      <c r="AJ22" s="331"/>
      <c r="AK22" s="331"/>
      <c r="AL22" s="331"/>
      <c r="AM22" s="331"/>
      <c r="AN22" s="331"/>
      <c r="AO22" s="331"/>
      <c r="AP22" s="331"/>
      <c r="AQ22" s="331"/>
      <c r="AT22" s="332"/>
      <c r="AU22" s="355" t="s">
        <v>27985</v>
      </c>
      <c r="AV22" s="331"/>
      <c r="AW22" s="331"/>
      <c r="AX22" s="331"/>
      <c r="AY22" s="331"/>
      <c r="AZ22" s="331"/>
      <c r="BA22" s="331"/>
      <c r="BB22" s="327"/>
      <c r="BC22" s="327"/>
      <c r="BE22" s="327"/>
      <c r="BF22" s="327"/>
      <c r="BG22" s="327"/>
      <c r="BH22" s="331"/>
      <c r="BI22" s="331"/>
      <c r="BJ22" s="331"/>
      <c r="BK22" s="331"/>
      <c r="BN22" s="331"/>
      <c r="BO22" s="332"/>
      <c r="BP22" s="331"/>
      <c r="BQ22" s="332"/>
      <c r="BR22" s="331"/>
      <c r="BS22" s="331"/>
      <c r="BX22" s="333" t="s">
        <v>27986</v>
      </c>
      <c r="BY22" s="333"/>
      <c r="BZ22" s="333"/>
      <c r="CA22" s="333"/>
      <c r="CB22" s="333"/>
      <c r="CC22" s="333"/>
      <c r="CD22" s="334"/>
      <c r="CE22" s="331"/>
      <c r="CF22" s="331"/>
      <c r="CG22" s="331"/>
      <c r="CH22" s="331"/>
      <c r="CI22" s="331"/>
      <c r="CJ22" s="331"/>
      <c r="CK22" s="331"/>
      <c r="CL22" s="331"/>
      <c r="CM22" s="331"/>
      <c r="CN22" s="331"/>
      <c r="CO22" s="331"/>
      <c r="CP22" s="331"/>
      <c r="CQ22" s="331"/>
      <c r="CR22" s="331"/>
      <c r="CS22" s="331"/>
      <c r="CT22" s="331"/>
      <c r="CU22" s="331"/>
      <c r="CV22" s="331"/>
      <c r="CW22" s="331"/>
      <c r="CX22" s="331"/>
      <c r="CY22" s="331"/>
      <c r="CZ22" s="331"/>
      <c r="DA22" s="331"/>
      <c r="DB22" s="331"/>
      <c r="DC22" s="331"/>
      <c r="DD22" s="331"/>
      <c r="DE22" s="331"/>
      <c r="DF22" s="331"/>
      <c r="DG22" s="331"/>
      <c r="DH22" s="331"/>
      <c r="DI22" s="331"/>
      <c r="DJ22" s="331"/>
      <c r="DK22" s="331"/>
      <c r="DL22" s="331"/>
      <c r="DM22" s="331"/>
      <c r="DN22" s="331"/>
      <c r="DO22" s="331"/>
      <c r="DP22" s="331"/>
      <c r="DQ22" s="331"/>
      <c r="DR22" s="331"/>
      <c r="DS22" s="331"/>
      <c r="DT22" s="331"/>
      <c r="DU22" s="331"/>
      <c r="DV22" s="331"/>
      <c r="DW22" s="331"/>
      <c r="DX22" s="331"/>
      <c r="DY22" s="331"/>
      <c r="DZ22" s="331"/>
      <c r="EA22" s="331"/>
      <c r="EB22" s="331"/>
      <c r="EC22" s="331"/>
      <c r="ED22" s="331"/>
      <c r="EE22" s="331"/>
      <c r="EF22" s="331"/>
      <c r="EG22" s="333"/>
      <c r="EH22" s="331"/>
      <c r="EI22" s="332"/>
      <c r="EJ22" s="332"/>
      <c r="EK22" s="331"/>
      <c r="EL22" s="332"/>
      <c r="EM22" s="331"/>
      <c r="EN22" s="331"/>
      <c r="EO22" s="334"/>
      <c r="EP22" s="331"/>
      <c r="EQ22" s="331"/>
      <c r="ER22" s="332"/>
      <c r="ES22" s="329"/>
      <c r="ET22" s="329"/>
      <c r="EU22" s="331"/>
      <c r="EV22" s="329"/>
      <c r="EW22" s="332"/>
      <c r="EX22" s="335" t="s">
        <v>516</v>
      </c>
      <c r="EY22" s="328" t="s">
        <v>440</v>
      </c>
      <c r="EZ22" s="329" t="s">
        <v>113</v>
      </c>
      <c r="FA22" s="328" t="s">
        <v>440</v>
      </c>
      <c r="FB22" s="335" t="s">
        <v>27987</v>
      </c>
      <c r="FC22" s="335" t="s">
        <v>27935</v>
      </c>
      <c r="FD22" s="335" t="s">
        <v>27943</v>
      </c>
      <c r="FE22" s="329"/>
      <c r="FF22" s="329" t="s">
        <v>113</v>
      </c>
      <c r="FG22" s="328" t="s">
        <v>440</v>
      </c>
      <c r="FH22" s="335" t="s">
        <v>27988</v>
      </c>
      <c r="FI22" s="335" t="s">
        <v>27935</v>
      </c>
      <c r="FJ22" s="335" t="s">
        <v>305</v>
      </c>
      <c r="FK22" s="329"/>
      <c r="FL22" s="329" t="s">
        <v>113</v>
      </c>
      <c r="FM22" s="328" t="s">
        <v>440</v>
      </c>
      <c r="FN22" s="336" t="s">
        <v>27987</v>
      </c>
      <c r="FO22" s="335" t="s">
        <v>27935</v>
      </c>
      <c r="FP22" s="336"/>
      <c r="FQ22" s="336"/>
    </row>
    <row r="23" spans="1:175" ht="28.15" customHeight="1">
      <c r="A23" s="167"/>
      <c r="B23" s="172" t="s">
        <v>27989</v>
      </c>
      <c r="C23" s="172" t="s">
        <v>27989</v>
      </c>
      <c r="D23" s="172" t="s">
        <v>27989</v>
      </c>
      <c r="E23" s="172" t="s">
        <v>27989</v>
      </c>
      <c r="H23" s="331"/>
      <c r="I23" s="331"/>
      <c r="J23" s="331"/>
      <c r="K23" s="331"/>
      <c r="L23" s="327"/>
      <c r="M23" s="327"/>
      <c r="Q23" s="327"/>
      <c r="R23" s="327"/>
      <c r="S23" s="327"/>
      <c r="T23" s="331"/>
      <c r="U23" s="331"/>
      <c r="V23" s="331"/>
      <c r="W23" s="331"/>
      <c r="X23" s="347"/>
      <c r="Y23" s="347"/>
      <c r="AA23" s="330"/>
      <c r="AB23" s="330"/>
      <c r="AC23" s="330"/>
      <c r="AD23" s="330"/>
      <c r="AE23" s="330"/>
      <c r="AF23" s="331"/>
      <c r="AG23" s="330"/>
      <c r="AH23" s="331"/>
      <c r="AI23" s="331"/>
      <c r="AJ23" s="331"/>
      <c r="AK23" s="331"/>
      <c r="AL23" s="331"/>
      <c r="AM23" s="331"/>
      <c r="AN23" s="331"/>
      <c r="AO23" s="331"/>
      <c r="AP23" s="331"/>
      <c r="AQ23" s="331"/>
      <c r="AT23" s="332"/>
      <c r="AV23" s="331"/>
      <c r="AW23" s="331"/>
      <c r="AX23" s="331"/>
      <c r="AY23" s="331"/>
      <c r="AZ23" s="331"/>
      <c r="BA23" s="331"/>
      <c r="BB23" s="327"/>
      <c r="BC23" s="327"/>
      <c r="BE23" s="327"/>
      <c r="BF23" s="327"/>
      <c r="BG23" s="327"/>
      <c r="BH23" s="331"/>
      <c r="BI23" s="331"/>
      <c r="BJ23" s="331"/>
      <c r="BK23" s="331"/>
      <c r="BN23" s="331"/>
      <c r="BO23" s="332"/>
      <c r="BP23" s="331"/>
      <c r="BQ23" s="332"/>
      <c r="BR23" s="331"/>
      <c r="BS23" s="331"/>
      <c r="BX23" s="333"/>
      <c r="BY23" s="332"/>
      <c r="BZ23" s="331"/>
      <c r="CA23" s="331"/>
      <c r="CB23" s="331"/>
      <c r="CC23" s="331"/>
      <c r="CD23" s="334"/>
      <c r="CE23" s="331"/>
      <c r="CF23" s="331"/>
      <c r="CG23" s="331"/>
      <c r="CH23" s="331"/>
      <c r="CI23" s="331"/>
      <c r="CJ23" s="331"/>
      <c r="CK23" s="331"/>
      <c r="CL23" s="331"/>
      <c r="CM23" s="331"/>
      <c r="CN23" s="331"/>
      <c r="CO23" s="331"/>
      <c r="CP23" s="331"/>
      <c r="CQ23" s="331"/>
      <c r="CR23" s="331"/>
      <c r="CS23" s="331"/>
      <c r="CT23" s="331"/>
      <c r="CU23" s="331"/>
      <c r="CV23" s="331"/>
      <c r="CW23" s="331"/>
      <c r="CX23" s="331"/>
      <c r="CY23" s="331"/>
      <c r="CZ23" s="331"/>
      <c r="DA23" s="331"/>
      <c r="DB23" s="331"/>
      <c r="DC23" s="331"/>
      <c r="DD23" s="331"/>
      <c r="DE23" s="331"/>
      <c r="DF23" s="331"/>
      <c r="DG23" s="331"/>
      <c r="DH23" s="331"/>
      <c r="DI23" s="331"/>
      <c r="DJ23" s="331"/>
      <c r="DK23" s="331"/>
      <c r="DL23" s="331"/>
      <c r="DM23" s="331"/>
      <c r="DN23" s="331"/>
      <c r="DO23" s="331"/>
      <c r="DP23" s="331"/>
      <c r="DQ23" s="331"/>
      <c r="DR23" s="331"/>
      <c r="DS23" s="331"/>
      <c r="DT23" s="331"/>
      <c r="DU23" s="331"/>
      <c r="DV23" s="331"/>
      <c r="DW23" s="331"/>
      <c r="DX23" s="331"/>
      <c r="DY23" s="331"/>
      <c r="DZ23" s="331"/>
      <c r="EA23" s="331"/>
      <c r="EB23" s="331"/>
      <c r="EC23" s="331"/>
      <c r="ED23" s="331"/>
      <c r="EE23" s="331"/>
      <c r="EF23" s="331"/>
      <c r="EG23" s="333"/>
      <c r="EH23" s="331"/>
      <c r="EI23" s="332"/>
      <c r="EJ23" s="332"/>
      <c r="EK23" s="331"/>
      <c r="EL23" s="172" t="s">
        <v>27989</v>
      </c>
      <c r="EM23" s="172" t="s">
        <v>27989</v>
      </c>
      <c r="EN23" s="172" t="s">
        <v>27989</v>
      </c>
      <c r="EO23" s="334"/>
      <c r="EP23" s="331"/>
      <c r="EQ23" s="331"/>
      <c r="ER23" s="332"/>
      <c r="ES23" s="172" t="s">
        <v>27989</v>
      </c>
      <c r="ET23" s="172" t="s">
        <v>27989</v>
      </c>
      <c r="EU23" s="331"/>
      <c r="EV23" s="329"/>
      <c r="EW23" s="332"/>
      <c r="EX23" s="335"/>
      <c r="EY23" s="329"/>
      <c r="EZ23" s="329"/>
      <c r="FA23" s="329"/>
      <c r="FB23" s="335"/>
      <c r="FC23" s="335"/>
      <c r="FD23" s="335"/>
      <c r="FE23" s="329"/>
      <c r="FF23" s="329"/>
      <c r="FG23" s="329"/>
      <c r="FH23" s="335"/>
      <c r="FI23" s="335"/>
      <c r="FJ23" s="335"/>
      <c r="FK23" s="329"/>
      <c r="FL23" s="329"/>
      <c r="FM23" s="329"/>
      <c r="FN23" s="335"/>
      <c r="FO23" s="335"/>
      <c r="FP23" s="336"/>
      <c r="FQ23" s="336"/>
    </row>
    <row r="24" spans="1:175" ht="28.15" customHeight="1">
      <c r="A24" s="176"/>
      <c r="C24" s="329"/>
      <c r="D24" s="329"/>
      <c r="E24" s="329"/>
      <c r="AG24" s="330"/>
      <c r="AH24" s="331"/>
      <c r="AI24" s="331"/>
      <c r="AJ24" s="331"/>
      <c r="AK24" s="331"/>
      <c r="AL24" s="331"/>
      <c r="AM24" s="331"/>
      <c r="AN24" s="331"/>
      <c r="AO24" s="331"/>
      <c r="AP24" s="331"/>
      <c r="AQ24" s="331"/>
      <c r="AT24" s="332"/>
      <c r="AU24" s="332"/>
      <c r="AV24" s="331"/>
      <c r="AW24" s="331"/>
      <c r="AX24" s="331"/>
      <c r="AY24" s="331"/>
      <c r="AZ24" s="331"/>
      <c r="BA24" s="331"/>
      <c r="BB24" s="327"/>
      <c r="BC24" s="327"/>
      <c r="BE24" s="327"/>
      <c r="BF24" s="327"/>
      <c r="BG24" s="327"/>
      <c r="BH24" s="331"/>
      <c r="BI24" s="331"/>
      <c r="BJ24" s="331"/>
      <c r="BK24" s="331"/>
      <c r="BN24" s="331"/>
      <c r="BO24" s="332"/>
      <c r="BP24" s="331"/>
      <c r="BQ24" s="332"/>
      <c r="BR24" s="331"/>
      <c r="BS24" s="331"/>
      <c r="BX24" s="333"/>
      <c r="BY24" s="332"/>
      <c r="BZ24" s="331"/>
      <c r="CA24" s="331"/>
      <c r="CB24" s="331"/>
      <c r="CC24" s="331"/>
      <c r="CD24" s="334"/>
      <c r="CE24" s="331"/>
      <c r="CF24" s="331"/>
      <c r="CG24" s="331"/>
      <c r="CH24" s="331"/>
      <c r="CI24" s="331"/>
      <c r="CJ24" s="331"/>
      <c r="CK24" s="331"/>
      <c r="CL24" s="331"/>
      <c r="CM24" s="331"/>
      <c r="CN24" s="331"/>
      <c r="CO24" s="331"/>
      <c r="CP24" s="331"/>
      <c r="CQ24" s="331"/>
      <c r="CR24" s="331"/>
      <c r="CS24" s="331"/>
      <c r="CT24" s="331"/>
      <c r="CU24" s="331"/>
      <c r="CV24" s="331"/>
      <c r="CW24" s="331"/>
      <c r="CX24" s="331"/>
      <c r="CY24" s="331"/>
      <c r="CZ24" s="331"/>
      <c r="DA24" s="331"/>
      <c r="DB24" s="331"/>
      <c r="DC24" s="331"/>
      <c r="DD24" s="331"/>
      <c r="DE24" s="331"/>
      <c r="DF24" s="331"/>
      <c r="DG24" s="331"/>
      <c r="DH24" s="331"/>
      <c r="DI24" s="331"/>
      <c r="DJ24" s="331"/>
      <c r="DK24" s="331"/>
      <c r="DL24" s="331"/>
      <c r="DM24" s="331"/>
      <c r="DN24" s="331"/>
      <c r="DO24" s="331"/>
      <c r="DP24" s="331"/>
      <c r="DQ24" s="331"/>
      <c r="DR24" s="331"/>
      <c r="DS24" s="331"/>
      <c r="DT24" s="331"/>
      <c r="DU24" s="331"/>
      <c r="DV24" s="331"/>
      <c r="DW24" s="331"/>
      <c r="DX24" s="331"/>
      <c r="DY24" s="331"/>
      <c r="DZ24" s="331"/>
      <c r="EA24" s="331"/>
      <c r="EB24" s="331"/>
      <c r="EC24" s="331"/>
      <c r="ED24" s="331"/>
      <c r="EE24" s="331"/>
      <c r="EF24" s="331"/>
      <c r="EG24" s="333"/>
      <c r="EH24" s="331"/>
      <c r="EI24" s="332"/>
      <c r="EJ24" s="332"/>
      <c r="EK24" s="331"/>
      <c r="EL24" s="332"/>
      <c r="EM24" s="331"/>
      <c r="EN24" s="331"/>
      <c r="EO24" s="334"/>
      <c r="EP24" s="331"/>
      <c r="EQ24" s="331"/>
      <c r="ER24" s="332"/>
      <c r="ES24" s="329"/>
      <c r="ET24" s="329"/>
      <c r="EU24" s="331"/>
      <c r="EV24" s="329"/>
      <c r="EW24" s="332"/>
      <c r="EX24" s="335"/>
      <c r="EY24" s="329"/>
      <c r="EZ24" s="329"/>
      <c r="FA24" s="329"/>
      <c r="FB24" s="335"/>
      <c r="FC24" s="335"/>
      <c r="FD24" s="335"/>
      <c r="FE24" s="329"/>
      <c r="FF24" s="329"/>
      <c r="FG24" s="329"/>
      <c r="FH24" s="335"/>
      <c r="FI24" s="335"/>
      <c r="FJ24" s="335"/>
      <c r="FK24" s="329"/>
      <c r="FL24" s="329"/>
      <c r="FM24" s="329"/>
      <c r="FN24" s="335"/>
      <c r="FO24" s="335"/>
      <c r="FP24" s="336"/>
      <c r="FQ24" s="336"/>
    </row>
    <row r="25" spans="1:175" ht="28.15" customHeight="1">
      <c r="A25" s="176"/>
      <c r="C25" s="173" t="s">
        <v>27990</v>
      </c>
      <c r="D25" s="329"/>
      <c r="E25" s="329"/>
      <c r="H25" s="173" t="s">
        <v>27990</v>
      </c>
      <c r="I25" s="173" t="s">
        <v>27990</v>
      </c>
      <c r="J25" s="173" t="s">
        <v>27990</v>
      </c>
      <c r="K25" s="173" t="s">
        <v>27990</v>
      </c>
      <c r="Q25" s="173" t="s">
        <v>27990</v>
      </c>
      <c r="R25" s="173" t="s">
        <v>27990</v>
      </c>
      <c r="S25" s="173" t="s">
        <v>27990</v>
      </c>
      <c r="T25" s="173" t="s">
        <v>27990</v>
      </c>
      <c r="U25" s="173" t="s">
        <v>27990</v>
      </c>
      <c r="V25" s="173" t="s">
        <v>27990</v>
      </c>
      <c r="W25" s="413" t="s">
        <v>27990</v>
      </c>
      <c r="X25" s="173" t="s">
        <v>27990</v>
      </c>
      <c r="AA25" s="173" t="s">
        <v>27990</v>
      </c>
      <c r="AE25" s="173" t="s">
        <v>27990</v>
      </c>
      <c r="AF25" s="173" t="s">
        <v>27990</v>
      </c>
      <c r="AG25" s="169"/>
      <c r="AH25" s="173" t="s">
        <v>27990</v>
      </c>
      <c r="AI25" s="331"/>
      <c r="AJ25" s="331"/>
      <c r="AK25" s="331"/>
      <c r="AL25" s="331"/>
      <c r="AM25" s="331"/>
      <c r="AN25" s="331"/>
      <c r="AO25" s="331"/>
      <c r="AP25" s="331"/>
      <c r="AQ25" s="331"/>
      <c r="AT25" s="332"/>
      <c r="AU25" s="332"/>
      <c r="AV25" s="331"/>
      <c r="AW25" s="331"/>
      <c r="AX25" s="331"/>
      <c r="AY25" s="331"/>
      <c r="AZ25" s="331"/>
      <c r="BA25" s="331"/>
      <c r="BB25" s="327"/>
      <c r="BC25" s="327"/>
      <c r="BE25" s="327"/>
      <c r="BF25" s="327"/>
      <c r="BG25" s="327"/>
      <c r="BH25" s="331"/>
      <c r="BI25" s="331"/>
      <c r="BJ25" s="331"/>
      <c r="BK25" s="331"/>
      <c r="BN25" s="331"/>
      <c r="BO25" s="332"/>
      <c r="BP25" s="331"/>
      <c r="BQ25" s="332"/>
      <c r="BR25" s="331"/>
      <c r="BS25" s="173" t="s">
        <v>27990</v>
      </c>
      <c r="BX25" s="333"/>
      <c r="BY25" s="332"/>
      <c r="BZ25" s="331"/>
      <c r="CA25" s="331"/>
      <c r="CB25" s="331"/>
      <c r="CC25" s="331"/>
      <c r="CD25" s="334"/>
      <c r="CE25" s="331"/>
      <c r="CF25" s="331"/>
      <c r="CG25" s="331"/>
      <c r="CH25" s="331"/>
      <c r="CI25" s="331"/>
      <c r="CJ25" s="331"/>
      <c r="CK25" s="331"/>
      <c r="CL25" s="331"/>
      <c r="CM25" s="331"/>
      <c r="CN25" s="331"/>
      <c r="CO25" s="331"/>
      <c r="CP25" s="331"/>
      <c r="CQ25" s="331"/>
      <c r="CR25" s="331"/>
      <c r="CS25" s="331"/>
      <c r="CT25" s="331"/>
      <c r="CU25" s="331"/>
      <c r="CV25" s="331"/>
      <c r="CW25" s="331"/>
      <c r="CX25" s="331"/>
      <c r="CY25" s="331"/>
      <c r="CZ25" s="331"/>
      <c r="DA25" s="331"/>
      <c r="DB25" s="331"/>
      <c r="DC25" s="331"/>
      <c r="DD25" s="331"/>
      <c r="DE25" s="331"/>
      <c r="DF25" s="331"/>
      <c r="DG25" s="331"/>
      <c r="DH25" s="331"/>
      <c r="DI25" s="331"/>
      <c r="DJ25" s="331"/>
      <c r="DK25" s="331"/>
      <c r="DL25" s="331"/>
      <c r="DM25" s="331"/>
      <c r="DN25" s="331"/>
      <c r="DO25" s="331"/>
      <c r="DP25" s="331"/>
      <c r="DQ25" s="331"/>
      <c r="DR25" s="331"/>
      <c r="DS25" s="331"/>
      <c r="DT25" s="331"/>
      <c r="DU25" s="331"/>
      <c r="DV25" s="331"/>
      <c r="DW25" s="331"/>
      <c r="DX25" s="331"/>
      <c r="DY25" s="331"/>
      <c r="DZ25" s="331"/>
      <c r="EA25" s="331"/>
      <c r="EB25" s="331"/>
      <c r="EC25" s="331"/>
      <c r="ED25" s="331"/>
      <c r="EE25" s="331"/>
      <c r="EF25" s="331"/>
      <c r="EG25" s="333"/>
      <c r="EH25" s="331"/>
      <c r="EI25" s="332"/>
      <c r="EJ25" s="332"/>
      <c r="EK25" s="331"/>
      <c r="EL25" s="332"/>
      <c r="EM25" s="331"/>
      <c r="EN25" s="331"/>
      <c r="EO25" s="334"/>
      <c r="EP25" s="168"/>
      <c r="EQ25" s="173" t="s">
        <v>27990</v>
      </c>
      <c r="ER25" s="173" t="s">
        <v>27990</v>
      </c>
      <c r="ES25" s="329"/>
      <c r="ET25" s="329"/>
      <c r="EU25" s="331"/>
      <c r="EV25" s="329"/>
      <c r="EW25" s="332"/>
      <c r="EX25" s="335"/>
      <c r="EY25" s="329"/>
      <c r="EZ25" s="329"/>
      <c r="FA25" s="329"/>
      <c r="FB25" s="335"/>
      <c r="FC25" s="335"/>
      <c r="FD25" s="335"/>
      <c r="FE25" s="329"/>
      <c r="FF25" s="329"/>
      <c r="FG25" s="329"/>
      <c r="FH25" s="335"/>
      <c r="FI25" s="335"/>
      <c r="FJ25" s="335"/>
      <c r="FK25" s="329"/>
      <c r="FL25" s="329"/>
      <c r="FM25" s="329"/>
      <c r="FN25" s="335"/>
      <c r="FO25" s="335"/>
      <c r="FP25" s="173" t="s">
        <v>27990</v>
      </c>
      <c r="FQ25" s="170"/>
      <c r="FR25" s="171"/>
      <c r="FS25" s="171"/>
    </row>
    <row r="26" spans="1:175" ht="28.15" customHeight="1">
      <c r="A26" s="176"/>
      <c r="C26" s="329"/>
      <c r="D26" s="329"/>
      <c r="E26" s="329"/>
      <c r="AG26" s="330"/>
      <c r="AH26" s="331"/>
      <c r="AI26" s="331"/>
      <c r="AJ26" s="331"/>
      <c r="AK26" s="331"/>
      <c r="AL26" s="331"/>
      <c r="AM26" s="331"/>
      <c r="AN26" s="331"/>
      <c r="AO26" s="331"/>
      <c r="AP26" s="331"/>
      <c r="AQ26" s="331"/>
      <c r="AT26" s="332"/>
      <c r="AU26" s="332"/>
      <c r="AV26" s="331"/>
      <c r="AW26" s="331"/>
      <c r="AX26" s="331"/>
      <c r="AY26" s="331"/>
      <c r="AZ26" s="331"/>
      <c r="BA26" s="331"/>
      <c r="BB26" s="327"/>
      <c r="BC26" s="327"/>
      <c r="BE26" s="327"/>
      <c r="BF26" s="327"/>
      <c r="BG26" s="327"/>
      <c r="BH26" s="331"/>
      <c r="BI26" s="331"/>
      <c r="BJ26" s="331"/>
      <c r="BK26" s="331"/>
      <c r="BN26" s="331"/>
      <c r="BO26" s="332"/>
      <c r="BP26" s="331"/>
      <c r="BQ26" s="332"/>
      <c r="BR26" s="331"/>
      <c r="BS26" s="331"/>
      <c r="BX26" s="333"/>
      <c r="BY26" s="332"/>
      <c r="BZ26" s="331"/>
      <c r="CA26" s="331"/>
      <c r="CB26" s="331"/>
      <c r="CC26" s="331"/>
      <c r="CD26" s="334"/>
      <c r="CE26" s="331"/>
      <c r="CF26" s="331"/>
      <c r="CG26" s="331"/>
      <c r="CH26" s="331"/>
      <c r="CI26" s="331"/>
      <c r="CJ26" s="331"/>
      <c r="CK26" s="331"/>
      <c r="CL26" s="331"/>
      <c r="CM26" s="331"/>
      <c r="CN26" s="331"/>
      <c r="CO26" s="331"/>
      <c r="CP26" s="331"/>
      <c r="CQ26" s="331"/>
      <c r="CR26" s="331"/>
      <c r="CS26" s="331"/>
      <c r="CT26" s="331"/>
      <c r="CU26" s="331"/>
      <c r="CV26" s="331"/>
      <c r="CW26" s="331"/>
      <c r="CX26" s="331"/>
      <c r="CY26" s="331"/>
      <c r="CZ26" s="331"/>
      <c r="DA26" s="331"/>
      <c r="DB26" s="331"/>
      <c r="DC26" s="331"/>
      <c r="DD26" s="331"/>
      <c r="DE26" s="331"/>
      <c r="DF26" s="331"/>
      <c r="DG26" s="331"/>
      <c r="DH26" s="331"/>
      <c r="DI26" s="331"/>
      <c r="DJ26" s="331"/>
      <c r="DK26" s="331"/>
      <c r="DL26" s="331"/>
      <c r="DM26" s="331"/>
      <c r="DN26" s="331"/>
      <c r="DO26" s="331"/>
      <c r="DP26" s="331"/>
      <c r="DQ26" s="331"/>
      <c r="DR26" s="331"/>
      <c r="DS26" s="331"/>
      <c r="DT26" s="331"/>
      <c r="DU26" s="331"/>
      <c r="DV26" s="331"/>
      <c r="DW26" s="331"/>
      <c r="DX26" s="331"/>
      <c r="DY26" s="331"/>
      <c r="DZ26" s="331"/>
      <c r="EA26" s="331"/>
      <c r="EB26" s="331"/>
      <c r="EC26" s="331"/>
      <c r="ED26" s="331"/>
      <c r="EE26" s="331"/>
      <c r="EF26" s="331"/>
      <c r="EG26" s="333"/>
      <c r="EH26" s="331"/>
      <c r="EI26" s="332"/>
      <c r="EJ26" s="332"/>
      <c r="EK26" s="331"/>
      <c r="EL26" s="332"/>
      <c r="EM26" s="331"/>
      <c r="EN26" s="331"/>
      <c r="EO26" s="334"/>
      <c r="EP26" s="331"/>
      <c r="EQ26" s="331"/>
      <c r="ER26" s="332"/>
      <c r="ES26" s="329"/>
      <c r="ET26" s="329"/>
      <c r="EU26" s="331"/>
      <c r="EV26" s="329"/>
      <c r="EW26" s="332"/>
      <c r="EX26" s="335"/>
      <c r="EY26" s="329"/>
      <c r="EZ26" s="329"/>
      <c r="FA26" s="329"/>
      <c r="FB26" s="335"/>
      <c r="FC26" s="335"/>
      <c r="FD26" s="335"/>
      <c r="FE26" s="329"/>
      <c r="FF26" s="329"/>
      <c r="FG26" s="329"/>
      <c r="FH26" s="335"/>
      <c r="FI26" s="335"/>
      <c r="FJ26" s="335"/>
      <c r="FK26" s="329"/>
      <c r="FL26" s="329"/>
      <c r="FM26" s="329"/>
      <c r="FN26" s="335"/>
      <c r="FO26" s="335"/>
      <c r="FP26" s="336"/>
      <c r="FQ26" s="336"/>
    </row>
    <row r="27" spans="1:175" ht="28.15" customHeight="1">
      <c r="A27" s="167"/>
      <c r="B27" s="174" t="s">
        <v>27991</v>
      </c>
      <c r="C27" s="174" t="s">
        <v>27991</v>
      </c>
      <c r="D27" s="174" t="s">
        <v>27991</v>
      </c>
      <c r="E27" s="174" t="s">
        <v>27991</v>
      </c>
      <c r="F27" s="174" t="s">
        <v>27991</v>
      </c>
      <c r="G27" s="174" t="s">
        <v>27991</v>
      </c>
      <c r="H27" s="174" t="s">
        <v>27991</v>
      </c>
      <c r="I27" s="174" t="s">
        <v>27991</v>
      </c>
      <c r="J27" s="174" t="s">
        <v>27991</v>
      </c>
      <c r="K27" s="174" t="s">
        <v>27991</v>
      </c>
      <c r="L27" s="174" t="s">
        <v>27991</v>
      </c>
      <c r="M27" s="174" t="s">
        <v>27991</v>
      </c>
      <c r="N27" s="174" t="s">
        <v>27991</v>
      </c>
      <c r="O27" s="174" t="s">
        <v>27991</v>
      </c>
      <c r="P27" s="174" t="s">
        <v>27991</v>
      </c>
      <c r="Q27" s="174" t="s">
        <v>27991</v>
      </c>
      <c r="R27" s="174" t="s">
        <v>27991</v>
      </c>
      <c r="S27" s="174" t="s">
        <v>27991</v>
      </c>
      <c r="T27" s="174" t="s">
        <v>27991</v>
      </c>
      <c r="U27" s="174" t="s">
        <v>27991</v>
      </c>
      <c r="V27" s="174" t="s">
        <v>27991</v>
      </c>
      <c r="W27" s="174" t="s">
        <v>27991</v>
      </c>
      <c r="X27" s="174" t="s">
        <v>27991</v>
      </c>
      <c r="Y27" s="174" t="s">
        <v>27991</v>
      </c>
      <c r="Z27" s="174" t="s">
        <v>27991</v>
      </c>
      <c r="AA27" s="174" t="s">
        <v>27991</v>
      </c>
      <c r="AB27" s="174" t="s">
        <v>27991</v>
      </c>
      <c r="AC27" s="174" t="s">
        <v>27991</v>
      </c>
      <c r="AD27" s="174" t="s">
        <v>27991</v>
      </c>
      <c r="AE27" s="174" t="s">
        <v>27991</v>
      </c>
      <c r="AF27" s="174" t="s">
        <v>27991</v>
      </c>
      <c r="AG27" s="174" t="s">
        <v>27991</v>
      </c>
      <c r="AH27" s="174" t="s">
        <v>27991</v>
      </c>
      <c r="AI27" s="174" t="s">
        <v>27991</v>
      </c>
      <c r="AJ27" s="174" t="s">
        <v>27991</v>
      </c>
      <c r="AK27" s="174" t="s">
        <v>27991</v>
      </c>
      <c r="AL27" s="174" t="s">
        <v>27991</v>
      </c>
      <c r="AM27" s="174" t="s">
        <v>27991</v>
      </c>
      <c r="AN27" s="174" t="s">
        <v>27991</v>
      </c>
      <c r="AO27" s="174" t="s">
        <v>27991</v>
      </c>
      <c r="AP27" s="174" t="s">
        <v>27991</v>
      </c>
      <c r="AQ27" s="174" t="s">
        <v>27991</v>
      </c>
      <c r="AR27" s="174" t="s">
        <v>27991</v>
      </c>
      <c r="AS27" s="174" t="s">
        <v>27991</v>
      </c>
      <c r="AT27" s="174" t="s">
        <v>27991</v>
      </c>
      <c r="AU27" s="174" t="s">
        <v>27991</v>
      </c>
      <c r="AV27" s="174" t="s">
        <v>27991</v>
      </c>
      <c r="AW27" s="174" t="s">
        <v>27991</v>
      </c>
      <c r="AX27" s="174" t="s">
        <v>27991</v>
      </c>
      <c r="AY27" s="174" t="s">
        <v>27991</v>
      </c>
      <c r="AZ27" s="174" t="s">
        <v>27991</v>
      </c>
      <c r="BA27" s="174" t="s">
        <v>27991</v>
      </c>
      <c r="BB27" s="174" t="s">
        <v>27991</v>
      </c>
      <c r="BC27" s="174" t="s">
        <v>27991</v>
      </c>
      <c r="BD27" s="174" t="s">
        <v>27991</v>
      </c>
      <c r="BE27" s="174" t="s">
        <v>27991</v>
      </c>
      <c r="BF27" s="174" t="s">
        <v>27991</v>
      </c>
      <c r="BG27" s="174" t="s">
        <v>27991</v>
      </c>
      <c r="BH27" s="174" t="s">
        <v>27991</v>
      </c>
      <c r="BI27" s="174" t="s">
        <v>27991</v>
      </c>
      <c r="BJ27" s="174" t="s">
        <v>27991</v>
      </c>
      <c r="BK27" s="174" t="s">
        <v>27991</v>
      </c>
      <c r="BL27" s="174" t="s">
        <v>27991</v>
      </c>
      <c r="BM27" s="174" t="s">
        <v>27991</v>
      </c>
      <c r="BN27" s="174" t="s">
        <v>27991</v>
      </c>
      <c r="BO27" s="174" t="s">
        <v>27991</v>
      </c>
      <c r="BP27" s="174" t="s">
        <v>27991</v>
      </c>
      <c r="BQ27" s="174" t="s">
        <v>27991</v>
      </c>
      <c r="BR27" s="174" t="s">
        <v>27991</v>
      </c>
      <c r="BS27" s="174" t="s">
        <v>27991</v>
      </c>
      <c r="BT27" s="174" t="s">
        <v>27991</v>
      </c>
      <c r="BU27" s="174" t="s">
        <v>27991</v>
      </c>
      <c r="BV27" s="174" t="s">
        <v>27991</v>
      </c>
      <c r="BW27" s="174" t="s">
        <v>27991</v>
      </c>
      <c r="BX27" s="174" t="s">
        <v>27991</v>
      </c>
      <c r="BY27" s="174" t="s">
        <v>27991</v>
      </c>
      <c r="BZ27" s="174" t="s">
        <v>27991</v>
      </c>
      <c r="CA27" s="174" t="s">
        <v>27991</v>
      </c>
      <c r="CB27" s="174" t="s">
        <v>27991</v>
      </c>
      <c r="CC27" s="174" t="s">
        <v>27991</v>
      </c>
      <c r="CD27" s="174" t="s">
        <v>27991</v>
      </c>
      <c r="CE27" s="174" t="s">
        <v>27991</v>
      </c>
      <c r="CF27" s="174" t="s">
        <v>27991</v>
      </c>
      <c r="CG27" s="174" t="s">
        <v>27991</v>
      </c>
      <c r="CH27" s="174" t="s">
        <v>27991</v>
      </c>
      <c r="CI27" s="174" t="s">
        <v>27991</v>
      </c>
      <c r="CJ27" s="174" t="s">
        <v>27991</v>
      </c>
      <c r="CK27" s="174" t="s">
        <v>27991</v>
      </c>
      <c r="CL27" s="174" t="s">
        <v>27991</v>
      </c>
      <c r="CM27" s="174" t="s">
        <v>27991</v>
      </c>
      <c r="CN27" s="174" t="s">
        <v>27991</v>
      </c>
      <c r="CO27" s="174" t="s">
        <v>27991</v>
      </c>
      <c r="CP27" s="174" t="s">
        <v>27991</v>
      </c>
      <c r="CQ27" s="174" t="s">
        <v>27991</v>
      </c>
      <c r="CR27" s="174" t="s">
        <v>27991</v>
      </c>
      <c r="CS27" s="174" t="s">
        <v>27991</v>
      </c>
      <c r="CT27" s="174" t="s">
        <v>27991</v>
      </c>
      <c r="CU27" s="174" t="s">
        <v>27991</v>
      </c>
      <c r="CV27" s="174" t="s">
        <v>27991</v>
      </c>
      <c r="CW27" s="174" t="s">
        <v>27991</v>
      </c>
      <c r="CX27" s="174" t="s">
        <v>27991</v>
      </c>
      <c r="CY27" s="174" t="s">
        <v>27991</v>
      </c>
      <c r="CZ27" s="174" t="s">
        <v>27991</v>
      </c>
      <c r="DA27" s="174" t="s">
        <v>27991</v>
      </c>
      <c r="DB27" s="174" t="s">
        <v>27991</v>
      </c>
      <c r="DC27" s="174" t="s">
        <v>27991</v>
      </c>
      <c r="DD27" s="174" t="s">
        <v>27991</v>
      </c>
      <c r="DE27" s="174" t="s">
        <v>27991</v>
      </c>
      <c r="DF27" s="174" t="s">
        <v>27991</v>
      </c>
      <c r="DG27" s="174" t="s">
        <v>27991</v>
      </c>
      <c r="DH27" s="174" t="s">
        <v>27991</v>
      </c>
      <c r="DI27" s="174" t="s">
        <v>27991</v>
      </c>
      <c r="DJ27" s="174" t="s">
        <v>27991</v>
      </c>
      <c r="DK27" s="174" t="s">
        <v>27991</v>
      </c>
      <c r="DL27" s="174" t="s">
        <v>27991</v>
      </c>
      <c r="DM27" s="174" t="s">
        <v>27991</v>
      </c>
      <c r="DN27" s="174" t="s">
        <v>27991</v>
      </c>
      <c r="DO27" s="174" t="s">
        <v>27991</v>
      </c>
      <c r="DP27" s="174" t="s">
        <v>27991</v>
      </c>
      <c r="DQ27" s="174" t="s">
        <v>27991</v>
      </c>
      <c r="DR27" s="174" t="s">
        <v>27991</v>
      </c>
      <c r="DS27" s="174" t="s">
        <v>27991</v>
      </c>
      <c r="DT27" s="174" t="s">
        <v>27991</v>
      </c>
      <c r="DU27" s="174" t="s">
        <v>27991</v>
      </c>
      <c r="DV27" s="174" t="s">
        <v>27991</v>
      </c>
      <c r="DW27" s="174" t="s">
        <v>27991</v>
      </c>
      <c r="DX27" s="174" t="s">
        <v>27991</v>
      </c>
      <c r="DY27" s="174" t="s">
        <v>27991</v>
      </c>
      <c r="DZ27" s="174" t="s">
        <v>27991</v>
      </c>
      <c r="EA27" s="174" t="s">
        <v>27991</v>
      </c>
      <c r="EB27" s="174" t="s">
        <v>27991</v>
      </c>
      <c r="EC27" s="174" t="s">
        <v>27991</v>
      </c>
      <c r="ED27" s="174" t="s">
        <v>27991</v>
      </c>
      <c r="EE27" s="174" t="s">
        <v>27991</v>
      </c>
      <c r="EF27" s="174" t="s">
        <v>27991</v>
      </c>
      <c r="EG27" s="174" t="s">
        <v>27991</v>
      </c>
      <c r="EH27" s="174" t="s">
        <v>27991</v>
      </c>
      <c r="EI27" s="174" t="s">
        <v>27991</v>
      </c>
      <c r="EJ27" s="174" t="s">
        <v>27991</v>
      </c>
      <c r="EK27" s="174" t="s">
        <v>27991</v>
      </c>
      <c r="EL27" s="175" t="s">
        <v>27962</v>
      </c>
      <c r="EM27" s="175" t="s">
        <v>27962</v>
      </c>
      <c r="EN27" s="175" t="s">
        <v>27962</v>
      </c>
      <c r="EO27" s="175" t="s">
        <v>27962</v>
      </c>
      <c r="EP27" s="175" t="s">
        <v>27962</v>
      </c>
      <c r="EQ27" s="175" t="s">
        <v>27962</v>
      </c>
      <c r="ER27" s="175" t="s">
        <v>27962</v>
      </c>
      <c r="ES27" s="175" t="s">
        <v>27962</v>
      </c>
      <c r="ET27" s="175" t="s">
        <v>27962</v>
      </c>
      <c r="EU27" s="175" t="s">
        <v>27962</v>
      </c>
      <c r="EV27" s="175" t="s">
        <v>27962</v>
      </c>
      <c r="EW27" s="175" t="s">
        <v>27962</v>
      </c>
      <c r="EX27" s="175" t="s">
        <v>27962</v>
      </c>
      <c r="EY27" s="175" t="s">
        <v>27962</v>
      </c>
      <c r="EZ27" s="175" t="s">
        <v>27962</v>
      </c>
      <c r="FA27" s="175" t="s">
        <v>27962</v>
      </c>
      <c r="FB27" s="175" t="s">
        <v>27962</v>
      </c>
      <c r="FC27" s="175" t="s">
        <v>27962</v>
      </c>
      <c r="FD27" s="175" t="s">
        <v>27962</v>
      </c>
      <c r="FE27" s="175" t="s">
        <v>27962</v>
      </c>
      <c r="FF27" s="175" t="s">
        <v>27962</v>
      </c>
      <c r="FG27" s="175" t="s">
        <v>27962</v>
      </c>
      <c r="FH27" s="175" t="s">
        <v>27962</v>
      </c>
      <c r="FI27" s="175" t="s">
        <v>27962</v>
      </c>
      <c r="FJ27" s="175" t="s">
        <v>27962</v>
      </c>
      <c r="FK27" s="175" t="s">
        <v>27962</v>
      </c>
      <c r="FL27" s="175" t="s">
        <v>27962</v>
      </c>
      <c r="FM27" s="175" t="s">
        <v>27962</v>
      </c>
      <c r="FN27" s="175" t="s">
        <v>27962</v>
      </c>
      <c r="FO27" s="175" t="s">
        <v>27962</v>
      </c>
      <c r="FP27" s="175" t="s">
        <v>27962</v>
      </c>
      <c r="FQ27" s="175" t="s">
        <v>27962</v>
      </c>
      <c r="FR27" s="174" t="s">
        <v>27991</v>
      </c>
      <c r="FS27" s="174" t="s">
        <v>27991</v>
      </c>
    </row>
    <row r="28" spans="1:175" ht="28.15" customHeight="1">
      <c r="A28" s="176"/>
      <c r="C28" s="329"/>
      <c r="D28" s="329"/>
      <c r="E28" s="329"/>
      <c r="AG28" s="330"/>
      <c r="AH28" s="331"/>
      <c r="AI28" s="331"/>
      <c r="AJ28" s="331"/>
      <c r="AK28" s="331"/>
      <c r="AL28" s="331"/>
      <c r="AM28" s="331"/>
      <c r="AN28" s="331"/>
      <c r="AO28" s="331"/>
      <c r="AP28" s="331"/>
      <c r="AQ28" s="331"/>
      <c r="AT28" s="332"/>
      <c r="AU28" s="332"/>
      <c r="AV28" s="331"/>
      <c r="AW28" s="331"/>
      <c r="AX28" s="331"/>
      <c r="AY28" s="331"/>
      <c r="AZ28" s="331"/>
      <c r="BA28" s="331"/>
      <c r="BB28" s="327"/>
      <c r="BC28" s="327"/>
      <c r="BE28" s="327"/>
      <c r="BF28" s="327"/>
      <c r="BG28" s="327"/>
      <c r="BH28" s="331"/>
      <c r="BI28" s="331"/>
      <c r="BJ28" s="331"/>
      <c r="BK28" s="331"/>
      <c r="BN28" s="331"/>
      <c r="BO28" s="332"/>
      <c r="BP28" s="331"/>
      <c r="BQ28" s="332"/>
      <c r="BR28" s="331"/>
      <c r="BS28" s="331"/>
      <c r="BX28" s="333"/>
      <c r="BY28" s="332"/>
      <c r="BZ28" s="331"/>
      <c r="CA28" s="331"/>
      <c r="CB28" s="331"/>
      <c r="CC28" s="331"/>
      <c r="CD28" s="334"/>
      <c r="CE28" s="331"/>
      <c r="CF28" s="331"/>
      <c r="CG28" s="331"/>
      <c r="CH28" s="331"/>
      <c r="CI28" s="331"/>
      <c r="CJ28" s="331"/>
      <c r="CK28" s="331"/>
      <c r="CL28" s="331"/>
      <c r="CM28" s="331"/>
      <c r="CN28" s="331"/>
      <c r="CO28" s="331"/>
      <c r="CP28" s="331"/>
      <c r="CQ28" s="331"/>
      <c r="CR28" s="331"/>
      <c r="CS28" s="331"/>
      <c r="CT28" s="331"/>
      <c r="CU28" s="331"/>
      <c r="CV28" s="331"/>
      <c r="CW28" s="331"/>
      <c r="CX28" s="331"/>
      <c r="CY28" s="331"/>
      <c r="CZ28" s="331"/>
      <c r="DA28" s="331"/>
      <c r="DB28" s="331"/>
      <c r="DC28" s="331"/>
      <c r="DD28" s="331"/>
      <c r="DE28" s="331"/>
      <c r="DF28" s="331"/>
      <c r="DG28" s="331"/>
      <c r="DH28" s="331"/>
      <c r="DI28" s="331"/>
      <c r="DJ28" s="331"/>
      <c r="DK28" s="331"/>
      <c r="DL28" s="331"/>
      <c r="DM28" s="331"/>
      <c r="DN28" s="331"/>
      <c r="DO28" s="331"/>
      <c r="DP28" s="331"/>
      <c r="DQ28" s="331"/>
      <c r="DR28" s="331"/>
      <c r="DS28" s="331"/>
      <c r="DT28" s="331"/>
      <c r="DU28" s="331"/>
      <c r="DV28" s="331"/>
      <c r="DW28" s="331"/>
      <c r="DX28" s="331"/>
      <c r="DY28" s="331"/>
      <c r="DZ28" s="331"/>
      <c r="EA28" s="331"/>
      <c r="EB28" s="331"/>
      <c r="EC28" s="331"/>
      <c r="ED28" s="331"/>
      <c r="EE28" s="331"/>
      <c r="EF28" s="331"/>
      <c r="EG28" s="333"/>
      <c r="EH28" s="331"/>
      <c r="EI28" s="332"/>
      <c r="EJ28" s="332"/>
      <c r="EK28" s="331"/>
      <c r="EL28" s="332"/>
      <c r="EM28" s="331"/>
      <c r="EN28" s="331"/>
      <c r="EO28" s="334"/>
      <c r="EP28" s="331"/>
      <c r="EQ28" s="331"/>
      <c r="ER28" s="332"/>
      <c r="ES28" s="329"/>
      <c r="ET28" s="329"/>
      <c r="EU28" s="331"/>
      <c r="EV28" s="329"/>
      <c r="EW28" s="332"/>
      <c r="EX28" s="335"/>
      <c r="EY28" s="329"/>
      <c r="EZ28" s="329"/>
      <c r="FA28" s="329"/>
      <c r="FB28" s="335"/>
      <c r="FC28" s="335"/>
      <c r="FD28" s="335"/>
      <c r="FE28" s="329"/>
      <c r="FF28" s="329"/>
      <c r="FG28" s="329"/>
      <c r="FH28" s="335"/>
      <c r="FI28" s="335"/>
      <c r="FJ28" s="335"/>
      <c r="FK28" s="329"/>
      <c r="FL28" s="329"/>
      <c r="FM28" s="329"/>
      <c r="FN28" s="335"/>
      <c r="FO28" s="335"/>
      <c r="FP28" s="336"/>
      <c r="FQ28" s="336"/>
    </row>
    <row r="29" spans="1:175" s="382" customFormat="1" ht="28.15" customHeight="1">
      <c r="A29" s="404" t="s">
        <v>27992</v>
      </c>
      <c r="B29" s="380"/>
      <c r="C29" s="381"/>
      <c r="D29" s="381"/>
      <c r="E29" s="381"/>
      <c r="H29" s="383"/>
      <c r="I29" s="383"/>
      <c r="J29" s="383"/>
      <c r="K29" s="383"/>
      <c r="L29" s="379"/>
      <c r="M29" s="379"/>
      <c r="Q29" s="379"/>
      <c r="R29" s="379"/>
      <c r="S29" s="379"/>
      <c r="T29" s="383"/>
      <c r="U29" s="383"/>
      <c r="V29" s="383"/>
      <c r="W29" s="383"/>
      <c r="X29" s="384"/>
      <c r="Y29" s="384"/>
      <c r="Z29" s="383"/>
      <c r="AA29" s="385"/>
      <c r="AB29" s="385"/>
      <c r="AC29" s="385"/>
      <c r="AD29" s="385"/>
      <c r="AE29" s="385"/>
      <c r="AF29" s="383"/>
      <c r="AG29" s="385"/>
      <c r="AH29" s="383"/>
      <c r="AI29" s="383"/>
      <c r="AJ29" s="383"/>
      <c r="AK29" s="383"/>
      <c r="AL29" s="383"/>
      <c r="AM29" s="383"/>
      <c r="AN29" s="383"/>
      <c r="AO29" s="383"/>
      <c r="AP29" s="383"/>
      <c r="AQ29" s="383"/>
      <c r="AT29" s="386"/>
      <c r="AU29" s="386"/>
      <c r="AV29" s="383"/>
      <c r="AW29" s="383"/>
      <c r="AX29" s="383"/>
      <c r="AY29" s="383"/>
      <c r="AZ29" s="383"/>
      <c r="BA29" s="383"/>
      <c r="BB29" s="379"/>
      <c r="BC29" s="379"/>
      <c r="BE29" s="379"/>
      <c r="BF29" s="379"/>
      <c r="BG29" s="379"/>
      <c r="BH29" s="383"/>
      <c r="BI29" s="383"/>
      <c r="BJ29" s="383"/>
      <c r="BK29" s="383"/>
      <c r="BN29" s="383"/>
      <c r="BO29" s="386"/>
      <c r="BP29" s="383"/>
      <c r="BQ29" s="386"/>
      <c r="BR29" s="383"/>
      <c r="BS29" s="383"/>
      <c r="BX29" s="387"/>
      <c r="BY29" s="386"/>
      <c r="BZ29" s="383"/>
      <c r="CA29" s="383"/>
      <c r="CB29" s="383"/>
      <c r="CC29" s="383"/>
      <c r="CD29" s="388"/>
      <c r="CE29" s="383"/>
      <c r="CF29" s="383"/>
      <c r="CG29" s="383"/>
      <c r="CH29" s="383"/>
      <c r="CI29" s="383"/>
      <c r="CJ29" s="383"/>
      <c r="CK29" s="383"/>
      <c r="CL29" s="383"/>
      <c r="CM29" s="383"/>
      <c r="CN29" s="383"/>
      <c r="CO29" s="383"/>
      <c r="CP29" s="383"/>
      <c r="CQ29" s="383"/>
      <c r="CR29" s="383"/>
      <c r="CS29" s="383"/>
      <c r="CT29" s="383"/>
      <c r="CU29" s="383"/>
      <c r="CV29" s="383"/>
      <c r="CW29" s="383"/>
      <c r="CX29" s="383"/>
      <c r="CY29" s="383"/>
      <c r="CZ29" s="383"/>
      <c r="DA29" s="383"/>
      <c r="DB29" s="383"/>
      <c r="DC29" s="383"/>
      <c r="DD29" s="383"/>
      <c r="DE29" s="383"/>
      <c r="DF29" s="383"/>
      <c r="DG29" s="383"/>
      <c r="DH29" s="383"/>
      <c r="DI29" s="383"/>
      <c r="DJ29" s="383"/>
      <c r="DK29" s="383"/>
      <c r="DL29" s="383"/>
      <c r="DM29" s="383"/>
      <c r="DN29" s="383"/>
      <c r="DO29" s="383"/>
      <c r="DP29" s="383"/>
      <c r="DQ29" s="383"/>
      <c r="DR29" s="383"/>
      <c r="DS29" s="383"/>
      <c r="DT29" s="383"/>
      <c r="DU29" s="383"/>
      <c r="DV29" s="383"/>
      <c r="DW29" s="383"/>
      <c r="DX29" s="383"/>
      <c r="DY29" s="383"/>
      <c r="DZ29" s="383"/>
      <c r="EA29" s="383"/>
      <c r="EB29" s="383"/>
      <c r="EC29" s="383"/>
      <c r="ED29" s="383"/>
      <c r="EE29" s="383"/>
      <c r="EF29" s="383"/>
      <c r="EG29" s="387"/>
      <c r="EH29" s="383"/>
      <c r="EI29" s="386"/>
      <c r="EJ29" s="386"/>
      <c r="EK29" s="383"/>
      <c r="EL29" s="386"/>
      <c r="EM29" s="383"/>
      <c r="EN29" s="383"/>
      <c r="EO29" s="388"/>
      <c r="EP29" s="383"/>
      <c r="EQ29" s="383"/>
      <c r="ER29" s="386"/>
      <c r="ES29" s="381"/>
      <c r="ET29" s="381"/>
      <c r="EU29" s="383"/>
      <c r="EV29" s="381"/>
      <c r="EW29" s="386"/>
      <c r="EX29" s="389"/>
      <c r="EY29" s="381"/>
      <c r="EZ29" s="381"/>
      <c r="FA29" s="381"/>
      <c r="FB29" s="389"/>
      <c r="FC29" s="389"/>
      <c r="FD29" s="389"/>
      <c r="FE29" s="381"/>
      <c r="FF29" s="381"/>
      <c r="FG29" s="381"/>
      <c r="FH29" s="389"/>
      <c r="FI29" s="389"/>
      <c r="FJ29" s="389"/>
      <c r="FK29" s="381"/>
      <c r="FL29" s="381"/>
      <c r="FM29" s="381"/>
      <c r="FN29" s="389"/>
      <c r="FO29" s="389"/>
      <c r="FP29" s="390"/>
      <c r="FQ29" s="390"/>
    </row>
    <row r="30" spans="1:175" s="382" customFormat="1" ht="27.75" customHeight="1">
      <c r="A30" s="379"/>
      <c r="B30" s="380"/>
      <c r="C30" s="381"/>
      <c r="D30" s="381"/>
      <c r="E30" s="381"/>
      <c r="H30" s="383"/>
      <c r="I30" s="383"/>
      <c r="J30" s="383"/>
      <c r="K30" s="383"/>
      <c r="L30" s="379"/>
      <c r="M30" s="379"/>
      <c r="Q30" s="379"/>
      <c r="R30" s="379"/>
      <c r="S30" s="379"/>
      <c r="T30" s="383"/>
      <c r="U30" s="383"/>
      <c r="V30" s="383"/>
      <c r="W30" s="383"/>
      <c r="X30" s="384"/>
      <c r="Y30" s="384"/>
      <c r="Z30" s="383"/>
      <c r="AA30" s="385"/>
      <c r="AB30" s="385"/>
      <c r="AC30" s="385"/>
      <c r="AD30" s="385"/>
      <c r="AE30" s="385"/>
      <c r="AF30" s="383"/>
      <c r="AG30" s="385"/>
      <c r="AH30" s="383"/>
      <c r="AI30" s="383"/>
      <c r="AJ30" s="383"/>
      <c r="AK30" s="383"/>
      <c r="AL30" s="383"/>
      <c r="AM30" s="383"/>
      <c r="AN30" s="383"/>
      <c r="AO30" s="383"/>
      <c r="AP30" s="383"/>
      <c r="AQ30" s="383"/>
      <c r="AT30" s="386"/>
      <c r="AU30" s="386"/>
      <c r="AV30" s="383"/>
      <c r="AW30" s="383"/>
      <c r="AX30" s="383"/>
      <c r="AY30" s="383"/>
      <c r="AZ30" s="383"/>
      <c r="BA30" s="383"/>
      <c r="BB30" s="379"/>
      <c r="BC30" s="379"/>
      <c r="BE30" s="379"/>
      <c r="BF30" s="379"/>
      <c r="BG30" s="379"/>
      <c r="BH30" s="383"/>
      <c r="BI30" s="383"/>
      <c r="BJ30" s="383"/>
      <c r="BK30" s="383"/>
      <c r="BN30" s="383"/>
      <c r="BO30" s="386"/>
      <c r="BP30" s="383"/>
      <c r="BQ30" s="386"/>
      <c r="BR30" s="383"/>
      <c r="BS30" s="383"/>
      <c r="BX30" s="387"/>
      <c r="BY30" s="386"/>
      <c r="BZ30" s="383"/>
      <c r="CA30" s="383"/>
      <c r="CB30" s="383"/>
      <c r="CC30" s="383"/>
      <c r="CD30" s="388"/>
      <c r="CE30" s="383"/>
      <c r="CF30" s="383"/>
      <c r="CG30" s="383"/>
      <c r="CH30" s="383"/>
      <c r="CI30" s="383"/>
      <c r="CJ30" s="383"/>
      <c r="CK30" s="383"/>
      <c r="CL30" s="383"/>
      <c r="CM30" s="383"/>
      <c r="CN30" s="383"/>
      <c r="CO30" s="383"/>
      <c r="CP30" s="383"/>
      <c r="CQ30" s="383"/>
      <c r="CR30" s="383"/>
      <c r="CS30" s="383"/>
      <c r="CT30" s="383"/>
      <c r="CU30" s="383"/>
      <c r="CV30" s="383"/>
      <c r="CW30" s="383"/>
      <c r="CX30" s="383"/>
      <c r="CY30" s="383"/>
      <c r="CZ30" s="383"/>
      <c r="DA30" s="383"/>
      <c r="DB30" s="383"/>
      <c r="DC30" s="383"/>
      <c r="DD30" s="383"/>
      <c r="DE30" s="383"/>
      <c r="DF30" s="383"/>
      <c r="DG30" s="383"/>
      <c r="DH30" s="383"/>
      <c r="DI30" s="383"/>
      <c r="DJ30" s="383"/>
      <c r="DK30" s="383"/>
      <c r="DL30" s="383"/>
      <c r="DM30" s="383"/>
      <c r="DN30" s="383"/>
      <c r="DO30" s="383"/>
      <c r="DP30" s="383"/>
      <c r="DQ30" s="383"/>
      <c r="DR30" s="383"/>
      <c r="DS30" s="383"/>
      <c r="DT30" s="383"/>
      <c r="DU30" s="383"/>
      <c r="DV30" s="383"/>
      <c r="DW30" s="383"/>
      <c r="DX30" s="383"/>
      <c r="DY30" s="383"/>
      <c r="DZ30" s="383"/>
      <c r="EA30" s="383"/>
      <c r="EB30" s="383"/>
      <c r="EC30" s="383"/>
      <c r="ED30" s="383"/>
      <c r="EE30" s="383"/>
      <c r="EF30" s="383"/>
      <c r="EG30" s="387"/>
      <c r="EH30" s="383"/>
      <c r="EI30" s="386"/>
      <c r="EJ30" s="386"/>
      <c r="EK30" s="383"/>
      <c r="EL30" s="386"/>
      <c r="EM30" s="383"/>
      <c r="EN30" s="383"/>
      <c r="EO30" s="388"/>
      <c r="EP30" s="383"/>
      <c r="EQ30" s="383"/>
      <c r="ER30" s="386"/>
      <c r="ES30" s="381"/>
      <c r="ET30" s="381"/>
      <c r="EU30" s="383"/>
      <c r="EV30" s="381"/>
      <c r="EW30" s="386"/>
      <c r="EX30" s="389"/>
      <c r="EY30" s="381"/>
      <c r="EZ30" s="381"/>
      <c r="FA30" s="381"/>
      <c r="FB30" s="389"/>
      <c r="FC30" s="389"/>
      <c r="FD30" s="389"/>
      <c r="FE30" s="381"/>
      <c r="FF30" s="381"/>
      <c r="FG30" s="381"/>
      <c r="FH30" s="389"/>
      <c r="FI30" s="389"/>
      <c r="FJ30" s="389"/>
      <c r="FK30" s="381"/>
      <c r="FL30" s="381"/>
      <c r="FM30" s="381"/>
      <c r="FN30" s="389"/>
      <c r="FO30" s="389"/>
      <c r="FP30" s="390"/>
      <c r="FQ30" s="390"/>
    </row>
    <row r="31" spans="1:175" s="375" customFormat="1" ht="30" customHeight="1">
      <c r="A31" s="129"/>
      <c r="B31" s="135" t="str">
        <f>B18</f>
        <v>FLCU00</v>
      </c>
      <c r="C31" s="143"/>
      <c r="D31" s="144" t="str">
        <f>IF(Web!$K$92="","",Web!$K$92)</f>
        <v>BP11</v>
      </c>
      <c r="E31" s="144" t="str">
        <f>IF(Web!G16="","",Web!G16)</f>
        <v>2</v>
      </c>
      <c r="F31" s="143"/>
      <c r="G31" s="143"/>
      <c r="H31" s="145" t="str">
        <f>IF(Web!K16="","",Web!K16)</f>
        <v>บริษัท Name COM_101_01</v>
      </c>
      <c r="I31" s="145" t="str">
        <f>IF(Web!K17="","",Web!K17)</f>
        <v>COM_Name 101_02</v>
      </c>
      <c r="J31" s="145" t="str">
        <f>IF(Web!K18="","",Web!K18)</f>
        <v>COM_Name 101_03</v>
      </c>
      <c r="K31" s="145" t="str">
        <f>IF(Web!K19="","",Web!K19)</f>
        <v>COM_Name 101_04 จำกัด</v>
      </c>
      <c r="L31" s="145" t="str">
        <f>IF(Web!K72="","",Web!K72)</f>
        <v>S_COM_101_01</v>
      </c>
      <c r="M31" s="145" t="str">
        <f>IF(Web!K84="","",Web!K84)</f>
        <v>S_COM_101_02</v>
      </c>
      <c r="N31" s="143"/>
      <c r="O31" s="143"/>
      <c r="P31" s="143"/>
      <c r="Q31" s="145" t="str">
        <f>IF(Web!K21="","",Web!K21)</f>
        <v>Address COM_101</v>
      </c>
      <c r="R31" s="145" t="str">
        <f>IF(Web!P21="","",Web!P21)</f>
        <v>Street COM_101</v>
      </c>
      <c r="S31" s="145" t="str">
        <f>IF(Web!K22="","",Web!K22)</f>
        <v>แขวง มักกะสัน</v>
      </c>
      <c r="T31" s="145" t="str">
        <f>IF(Web!P22="","",Web!P22)</f>
        <v>เขตราชเทวี</v>
      </c>
      <c r="U31" s="145" t="str">
        <f>IF(Web!K23="","",Web!K23)</f>
        <v>กรุงเทพมหานคร</v>
      </c>
      <c r="V31" s="145">
        <f>IF(Web!P23="","",Web!P23)</f>
        <v>10400</v>
      </c>
      <c r="W31" s="145" t="str">
        <f>IF(Web!K93="","",Web!K93)</f>
        <v>TH</v>
      </c>
      <c r="X31" s="145" t="str">
        <f>IF(Web!K24="","",Web!K24)</f>
        <v>01</v>
      </c>
      <c r="Y31" s="145" t="str">
        <f>IF(Web!P24="","",Web!P24)</f>
        <v>TMABKKC230</v>
      </c>
      <c r="Z31" s="145" t="str">
        <f>IF(Web!K94="","",Web!K94)</f>
        <v>TH</v>
      </c>
      <c r="AA31" s="145" t="str">
        <f>IF(Web!K25="","",Web!K25)</f>
        <v>02-888-8888</v>
      </c>
      <c r="AB31" s="145" t="str">
        <f>IF(Web!P25="","",Web!P25)</f>
        <v>08</v>
      </c>
      <c r="AC31" s="145" t="str">
        <f>IF(Web!K26="","",Web!K26)</f>
        <v>02-999-9999</v>
      </c>
      <c r="AD31" s="145" t="str">
        <f>IF(Web!P26="","",Web!P26)</f>
        <v>09</v>
      </c>
      <c r="AE31" s="145" t="str">
        <f>IF(Web!P27="","",Web!P27)</f>
        <v>099-999-9999</v>
      </c>
      <c r="AF31" s="145" t="str">
        <f>IF(Web!K28="","",Web!K28)</f>
        <v>02-111-1111</v>
      </c>
      <c r="AG31" s="143"/>
      <c r="AH31" s="145" t="str">
        <f>IF(Web!K29="","",Web!K29)</f>
        <v>Test_101_01@gmail.com</v>
      </c>
      <c r="AI31" s="146" t="str">
        <f>IF(Web!K29&lt;&gt;"",Web!G7,"")</f>
        <v>1100</v>
      </c>
      <c r="AJ31" s="145" t="str">
        <f>IF(Web!P29="","",Web!P29)</f>
        <v>Test_101_02@gmail.com</v>
      </c>
      <c r="AK31" s="146" t="str">
        <f>IF(Web!P29&lt;&gt;"",Web!G7,"")</f>
        <v>1100</v>
      </c>
      <c r="AL31" s="143"/>
      <c r="AM31" s="143"/>
      <c r="AN31" s="143"/>
      <c r="AO31" s="143"/>
      <c r="AP31" s="143"/>
      <c r="AQ31" s="143"/>
      <c r="AR31" s="145" t="str">
        <f>IF(Web!P74="","",Web!P74)</f>
        <v>Comment 101</v>
      </c>
      <c r="AS31" s="145" t="str">
        <f>IF(Web!K30="","",Web!K30)</f>
        <v>LINEID_101</v>
      </c>
      <c r="AT31" s="140" t="str">
        <f>AT18</f>
        <v>X</v>
      </c>
      <c r="AU31" s="146" t="str">
        <f>IF(OR(Web!G7="1100",Web!G7="1200"),"T",IF(Web!G7="5100","V"))</f>
        <v>T</v>
      </c>
      <c r="AV31" s="143"/>
      <c r="AW31" s="143"/>
      <c r="AX31" s="145" t="str">
        <f>IF(Web!U21="","",Web!U21)</f>
        <v>บริษัท I_COM_Name 101_01</v>
      </c>
      <c r="AY31" s="145" t="str">
        <f>IF(Web!U22="","",Web!U22)</f>
        <v>I_COM_Name 101_02</v>
      </c>
      <c r="AZ31" s="145" t="str">
        <f>IF(Web!U23="","",Web!U23)</f>
        <v>I_COM_Name 101_03</v>
      </c>
      <c r="BA31" s="145" t="str">
        <f>IF(Web!U24="","",Web!U24)</f>
        <v>I_COM_Name 101_04 จำกัด</v>
      </c>
      <c r="BB31" s="145" t="str">
        <f>IF(Web!P72="","",Web!P72)</f>
        <v>S_COM_101_01</v>
      </c>
      <c r="BC31" s="145" t="str">
        <f>IF(Web!U84="","",Web!U84)</f>
        <v>S_COM_101_01</v>
      </c>
      <c r="BD31" s="143"/>
      <c r="BE31" s="145" t="str">
        <f>IF(Web!U25="","",Web!U25)</f>
        <v>Address COM_101</v>
      </c>
      <c r="BF31" s="145" t="str">
        <f>IF(Web!Y25="","",Web!Y25)</f>
        <v>Street COM_101</v>
      </c>
      <c r="BG31" s="145" t="str">
        <f>IF(Web!U26="","",Web!U26)</f>
        <v>มักกะสัน</v>
      </c>
      <c r="BH31" s="145" t="str">
        <f>IF(Web!Y26="","",Web!Y26)</f>
        <v>เขตราชเทวี</v>
      </c>
      <c r="BI31" s="145" t="str">
        <f>IF(Web!U27="","",Web!U27)</f>
        <v>กรุงเทพมหานคร</v>
      </c>
      <c r="BJ31" s="145">
        <f>IF(Web!Y27="","",Web!Y27)</f>
        <v>10400</v>
      </c>
      <c r="BK31" s="145" t="str">
        <f>IF(Web!K93="","",Web!K93)</f>
        <v>TH</v>
      </c>
      <c r="BL31" s="143"/>
      <c r="BM31" s="143"/>
      <c r="BN31" s="143"/>
      <c r="BO31" s="143"/>
      <c r="BP31" s="143"/>
      <c r="BQ31" s="146" t="str">
        <f>IF(Web!G16="1","X","")</f>
        <v/>
      </c>
      <c r="BR31" s="146" t="str">
        <f>IF(OR(Web!G7="1100",Web!G7="1200"),"TH3",IF(Web!G7="5100","VN1"))</f>
        <v>TH3</v>
      </c>
      <c r="BS31" s="145" t="str">
        <f>IF(Web!U34="","",Web!U34)</f>
        <v>1010000000001</v>
      </c>
      <c r="BT31" s="145" t="str">
        <f>IF(Web!$K$95="","",Web!$K$95)</f>
        <v/>
      </c>
      <c r="BU31" s="147" t="str">
        <f>BU18</f>
        <v>Z001</v>
      </c>
      <c r="BV31" s="143"/>
      <c r="BW31" s="143"/>
      <c r="BX31" s="145" t="str">
        <f>IF(AND(Web!O61="",Web!T61="",Web!X61=""),"",Web!J61)</f>
        <v>0001</v>
      </c>
      <c r="BY31" s="146" t="str">
        <f>IF(AND(OR(Web!G7="1100",Web!G7="1200"),Web!T61&lt;&gt;""),"TH",IF(AND(OR(Web!G7="1100",Web!G7="1200"),Web!T61=""),"",IF(Web!G7="5100","")))</f>
        <v>TH</v>
      </c>
      <c r="BZ31" s="145" t="str">
        <f>IF(Web!O61="","",Web!O61)</f>
        <v>0020001</v>
      </c>
      <c r="CA31" s="145" t="str">
        <f>IF(Web!T61="","",Web!T61)</f>
        <v>10100001</v>
      </c>
      <c r="CB31" s="143"/>
      <c r="CC31" s="145" t="str">
        <f>IF(Web!X61="","",Web!X61)</f>
        <v>Bank 101_01</v>
      </c>
      <c r="CD31" s="145" t="str">
        <f>IF(AND(Web!O62="",Web!T62="",Web!X62=""),"",Web!J62)</f>
        <v>0002</v>
      </c>
      <c r="CE31" s="146" t="str">
        <f>IF(AND(OR(Web!G7="1100",Web!G7="1200"),Web!T62&lt;&gt;""),"TH",IF(AND(OR(Web!G7="1100",Web!G7="1200"),Web!T62=""),"",IF(Web!G7="5100","")))</f>
        <v>TH</v>
      </c>
      <c r="CF31" s="145" t="str">
        <f>IF(Web!O62="","",Web!O62)</f>
        <v>0020001</v>
      </c>
      <c r="CG31" s="145" t="str">
        <f>IF(Web!T62="","",Web!T62)</f>
        <v>10100002</v>
      </c>
      <c r="CH31" s="143"/>
      <c r="CI31" s="145" t="str">
        <f>IF(Web!T62="","",Web!X62)</f>
        <v>Bank 101_02</v>
      </c>
      <c r="CJ31" s="145" t="str">
        <f>IF(AND(Web!O63="",Web!T63="",Web!X63=""),"",Web!J63)</f>
        <v>0003</v>
      </c>
      <c r="CK31" s="146" t="str">
        <f>IF(AND(OR(Web!G7="1100",Web!G7="1200"),Web!T63&lt;&gt;""),"TH",IF(AND(OR(Web!G7="1100",Web!G7="1200"),Web!T63=""),"",IF(Web!G7="5100","")))</f>
        <v>TH</v>
      </c>
      <c r="CL31" s="145" t="str">
        <f>IF(Web!O63="","",Web!O63)</f>
        <v>0020001</v>
      </c>
      <c r="CM31" s="145" t="str">
        <f>IF(Web!T63="","",Web!T63)</f>
        <v>10100003</v>
      </c>
      <c r="CN31" s="143"/>
      <c r="CO31" s="145" t="str">
        <f>IF(Web!X63="","",Web!X63)</f>
        <v>Bank 101_03</v>
      </c>
      <c r="CP31" s="145" t="str">
        <f>IF(AND(Web!O64="",Web!T64="",Web!X64=""),"",Web!J64)</f>
        <v>0004</v>
      </c>
      <c r="CQ31" s="146" t="str">
        <f>IF(AND(OR(Web!G7="1100",Web!G7="1200"),Web!T64&lt;&gt;""),"TH",IF(AND(OR(Web!G7="1100",Web!G7="1200"),Web!T64=""),"",IF(Web!G7="5100","")))</f>
        <v>TH</v>
      </c>
      <c r="CR31" s="145" t="str">
        <f>IF(Web!O64="","",Web!O64)</f>
        <v>0020001</v>
      </c>
      <c r="CS31" s="145" t="str">
        <f>IF(Web!T64="","",Web!T64)</f>
        <v>10100004</v>
      </c>
      <c r="CT31" s="143"/>
      <c r="CU31" s="145" t="str">
        <f>IF(Web!X64="","",Web!X64)</f>
        <v>Bank 101_04</v>
      </c>
      <c r="CV31" s="145" t="str">
        <f>IF(AND(Web!O65="",Web!T65="",Web!X65=""),"",Web!$J$65)</f>
        <v/>
      </c>
      <c r="CW31" s="146" t="str">
        <f>IF(AND(OR(Web!G7="1100",Web!G7="1200"),Web!$O$65&lt;&gt;""),"TH",IF(AND(OR(Web!G7="1100",Web!G7="1200"),Web!$O$65=""),"",IF(Web!G7="5100","")))</f>
        <v/>
      </c>
      <c r="CX31" s="145" t="str">
        <f>IF(Web!$O$65="","",Web!O65)</f>
        <v/>
      </c>
      <c r="CY31" s="145" t="str">
        <f>IF(Web!$O$65="","",Web!T65)</f>
        <v/>
      </c>
      <c r="CZ31" s="143"/>
      <c r="DA31" s="145" t="str">
        <f>IF(Web!$O$65="","",Web!X65)</f>
        <v/>
      </c>
      <c r="DB31" s="145" t="str">
        <f>IF(AND(Web!O66="",Web!T66="",Web!X66=""),"",Web!J66)</f>
        <v/>
      </c>
      <c r="DC31" s="146" t="str">
        <f>IF(AND(OR(Web!G7="1100",Web!G7="1200"),Web!$O$66&lt;&gt;""),"TH",IF(AND(OR(Web!G7="1100",Web!G7="1200"),Web!$O$66=""),"",IF(Web!G7="5100","")))</f>
        <v/>
      </c>
      <c r="DD31" s="145" t="str">
        <f>IF(Web!$O$66="","",Web!O66)</f>
        <v/>
      </c>
      <c r="DE31" s="145" t="str">
        <f>IF(Web!$O$66="","",Web!T66)</f>
        <v/>
      </c>
      <c r="DF31" s="143"/>
      <c r="DG31" s="145" t="str">
        <f>IF(Web!X66="","",Web!X66)</f>
        <v/>
      </c>
      <c r="DH31" s="145" t="str">
        <f>IF(AND(Web!O67="",Web!T67="",Web!X67=""),"",Web!J67)</f>
        <v/>
      </c>
      <c r="DI31" s="146" t="str">
        <f>IF(AND(OR(Web!G7="1100",Web!G7="1200"),Web!$O$67&lt;&gt;""),"TH",IF(AND(OR(Web!G7="1100",Web!G7="1200"),Web!$O$67=""),"",IF(Web!G7="5100","")))</f>
        <v/>
      </c>
      <c r="DJ31" s="145" t="str">
        <f>IF(Web!$O$67="","",Web!O67)</f>
        <v/>
      </c>
      <c r="DK31" s="145" t="str">
        <f>IF(Web!$O$67="","",Web!T67)</f>
        <v/>
      </c>
      <c r="DL31" s="143"/>
      <c r="DM31" s="145" t="str">
        <f>IF(Web!$O$67="","",Web!X67)</f>
        <v/>
      </c>
      <c r="DN31" s="145" t="str">
        <f>IF(AND(Web!O68="",Web!T68="",Web!X68=""),"",Web!J68)</f>
        <v/>
      </c>
      <c r="DO31" s="146" t="str">
        <f>IF(AND(OR(Web!G7="1100",Web!G7="1200"),Web!$O$68&lt;&gt;""),"TH",IF(AND(OR(Web!G7="1100",Web!G7="1200"),Web!$O$68=""),"",IF(Web!G7="5100","")))</f>
        <v/>
      </c>
      <c r="DP31" s="145" t="str">
        <f>IF(Web!$O$68="","",Web!O68)</f>
        <v/>
      </c>
      <c r="DQ31" s="145" t="str">
        <f>IF(Web!T68="","",Web!T68)</f>
        <v/>
      </c>
      <c r="DR31" s="143"/>
      <c r="DS31" s="145" t="str">
        <f>IF(Web!X68="","",Web!X68)</f>
        <v/>
      </c>
      <c r="DT31" s="145" t="str">
        <f>IF(AND(Web!O69="",Web!T69="",Web!X69=""),"",Web!J69)</f>
        <v/>
      </c>
      <c r="DU31" s="146" t="str">
        <f>IF(AND(OR(Web!G7="1100",Web!G7="1200"),Web!$O$69&lt;&gt;""),"TH",IF(AND(OR(Web!G7="1100",Web!G7="1200"),Web!$O$69=""),"",IF(Web!G7="5100","")))</f>
        <v/>
      </c>
      <c r="DV31" s="145" t="str">
        <f>IF(Web!$O$69="","",Web!O69)</f>
        <v/>
      </c>
      <c r="DW31" s="145" t="str">
        <f>IF(Web!T69="","",Web!T69)</f>
        <v/>
      </c>
      <c r="DX31" s="143"/>
      <c r="DY31" s="145" t="str">
        <f>IF(Web!X69="","",Web!X69)</f>
        <v/>
      </c>
      <c r="DZ31" s="145" t="str">
        <f>IF(AND(Web!O70="",Web!T70="",Web!X70=""),"",Web!J70)</f>
        <v/>
      </c>
      <c r="EA31" s="146" t="str">
        <f>IF(AND(OR(Web!G7="1100",Web!G7="1200"),Web!$O$70&lt;&gt;""),"TH",IF(AND(OR(Web!G7="1100",Web!G7="1200"),Web!$O$70=""),"",IF(Web!G7="5100","")))</f>
        <v/>
      </c>
      <c r="EB31" s="145" t="str">
        <f>IF(Web!$O$70="","",Web!O70)</f>
        <v/>
      </c>
      <c r="EC31" s="145" t="str">
        <f>IF(Web!T70="","",Web!T70)</f>
        <v/>
      </c>
      <c r="ED31" s="143"/>
      <c r="EE31" s="145" t="str">
        <f>IF(Web!X70="","",Web!X70)</f>
        <v/>
      </c>
      <c r="EF31" s="143"/>
      <c r="EG31" s="146" t="str">
        <f>IF(Web!G8="10","005","")</f>
        <v>005</v>
      </c>
      <c r="EH31" s="145" t="str">
        <f>IF(Web!K73="","",Web!K73)</f>
        <v>11</v>
      </c>
      <c r="EI31" s="142" t="str">
        <f>EI18</f>
        <v>02</v>
      </c>
      <c r="EJ31" s="143"/>
      <c r="EK31" s="145" t="str">
        <f>IF(Web!P73="","",Web!P73)</f>
        <v>เก็บชมพูไว้บริษัท</v>
      </c>
      <c r="EL31" s="142" t="str">
        <f>EL18</f>
        <v>X</v>
      </c>
      <c r="EM31" s="145" t="str">
        <f>IF(Web!G7="","",Web!G7)</f>
        <v>1100</v>
      </c>
      <c r="EN31" s="145" t="str">
        <f>IF(Web!K96="","",Web!K96)</f>
        <v>12000030</v>
      </c>
      <c r="EO31" s="142" t="str">
        <f>EO18</f>
        <v>009</v>
      </c>
      <c r="EP31" s="142" t="str">
        <f>EP18</f>
        <v>R1</v>
      </c>
      <c r="EQ31" s="145">
        <f>IF(Web!Y40="","",Web!Y40)</f>
        <v>11011842</v>
      </c>
      <c r="ER31" s="145" t="str">
        <f>IF(Web!U39="","",Web!U39)</f>
        <v>1MED</v>
      </c>
      <c r="ES31" s="145" t="str">
        <f>IF(Web!G7="","",Web!G7)</f>
        <v>1100</v>
      </c>
      <c r="ET31" s="142" t="str">
        <f>ET18</f>
        <v>X</v>
      </c>
      <c r="EU31" s="143"/>
      <c r="EV31" s="145" t="str">
        <f>IF(Web!G7="","",Web!G7)</f>
        <v>1100</v>
      </c>
      <c r="EW31" s="143"/>
      <c r="EX31" s="146" t="str">
        <f>IF(OR(Web!G7="1100",Web!G7="1200"),"Z1",IF(Web!G7="5100",""))</f>
        <v>Z1</v>
      </c>
      <c r="EY31" s="145" t="str">
        <f>IF(Web!P84="","",Web!P84)</f>
        <v>07</v>
      </c>
      <c r="EZ31" s="146" t="str">
        <f>IF(OR(Web!G7="1100",Web!G7="1200"),"X",IF(Web!G7="5100",""))</f>
        <v>X</v>
      </c>
      <c r="FA31" s="146" t="str">
        <f>IF(AND(OR(Web!G7="1100",Web!G7="1200"),Web!G16="1"),"03",IF(AND(OR(Web!G7="1100",Web!G7="1200"),Web!G16="2"),"53",IF(Web!G7="5100","")))</f>
        <v>53</v>
      </c>
      <c r="FB31" s="178" t="str">
        <f ca="1">TEXT(TODAY(),"dd.mm.yyyy")</f>
        <v>18.09.2023</v>
      </c>
      <c r="FC31" s="146" t="str">
        <f>IF(OR(Web!G7="1100",Web!G7="1200"),"31.12.9999",IF(Web!G7="5100",""))</f>
        <v>31.12.9999</v>
      </c>
      <c r="FD31" s="146" t="str">
        <f>IF(OR(Web!G7="1100",Web!G7="1200"),"Z2",IF(Web!G7="5100",""))</f>
        <v>Z2</v>
      </c>
      <c r="FE31" s="143"/>
      <c r="FF31" s="146" t="str">
        <f>IF(OR(Web!G7="1100",Web!G7="1200"),"X",IF(Web!G7="5100",""))</f>
        <v>X</v>
      </c>
      <c r="FG31" s="146" t="str">
        <f>IF(AND(OR(Web!G7="1100",Web!G7="1200"),Web!G16="1"),"03",IF(AND(OR(Web!G7="1100",Web!G7="1200"),Web!G16="2"),"53",IF(Web!G7="5100","")))</f>
        <v>53</v>
      </c>
      <c r="FH31" s="178" t="str">
        <f ca="1">TEXT(TODAY(),"dd.mm.yyyy")</f>
        <v>18.09.2023</v>
      </c>
      <c r="FI31" s="146" t="str">
        <f>IF(OR(Web!G7="1100",Web!G7="1200"),"31.12.9999",IF(Web!G7="5100",""))</f>
        <v>31.12.9999</v>
      </c>
      <c r="FJ31" s="146" t="str">
        <f>IF(OR(Web!G7="1100",Web!G7="1200"),"Z3",IF(Web!G7="5100",""))</f>
        <v>Z3</v>
      </c>
      <c r="FK31" s="143"/>
      <c r="FL31" s="146" t="str">
        <f>IF(OR(Web!G7="1100",Web!G7="1200"),"X",IF(Web!G7="5100",""))</f>
        <v>X</v>
      </c>
      <c r="FM31" s="146" t="str">
        <f>IF(AND(OR(Web!G7="1100",Web!G7="1200"),Web!G16="1"),"03",IF(AND(OR(Web!G7="1100",Web!G7="1200"),Web!G16="2"),"53",IF(Web!G7="5100","")))</f>
        <v>53</v>
      </c>
      <c r="FN31" s="178" t="str">
        <f ca="1">TEXT(TODAY(),"dd.mm.yyyy")</f>
        <v>18.09.2023</v>
      </c>
      <c r="FO31" s="146" t="str">
        <f>IF(OR(Web!G7="1100",Web!G7="1200"),"31.12.9999",IF(Web!G7="5100",""))</f>
        <v>31.12.9999</v>
      </c>
      <c r="FP31" s="145" t="str">
        <f>IF(Web!U38="","",Web!U38)</f>
        <v>00000</v>
      </c>
      <c r="FQ31" s="145" t="str">
        <f>IF(Web!Y38="","",Web!Y38)</f>
        <v>สำนักงานใหญ่</v>
      </c>
      <c r="FR31" s="145" t="str">
        <f>IF(Web!K27="","",Web!K27)</f>
        <v>Contact 101</v>
      </c>
      <c r="FS31" s="179"/>
    </row>
  </sheetData>
  <mergeCells count="12">
    <mergeCell ref="EF2:EG2"/>
    <mergeCell ref="FP2:FQ2"/>
    <mergeCell ref="A1:A2"/>
    <mergeCell ref="F1:G1"/>
    <mergeCell ref="H1:AR1"/>
    <mergeCell ref="EF1:EG1"/>
    <mergeCell ref="EN1:EQ1"/>
    <mergeCell ref="FP1:FQ1"/>
    <mergeCell ref="B2:C2"/>
    <mergeCell ref="F2:G2"/>
    <mergeCell ref="H2:AR2"/>
    <mergeCell ref="BN2:BO2"/>
  </mergeCells>
  <conditionalFormatting sqref="D21:E21 H21:M21 Q21:AF21 AR21:AS21 AX21:BC21 BE21:BK21 BS21:BT21 BZ21:CA21 CF21:CG21 CL21:CM21 CR21:CS21 CX21:CY21 DD21:DE21 DJ21:DK21 DP21:DQ21 DV21:DW21 EB21:EC21 EE21 EH21 EK21 EM21:EN21 EQ21:ES21 EY21 FP21:FS21">
    <cfRule type="cellIs" dxfId="67" priority="25" operator="equal">
      <formula>"View Sale"</formula>
    </cfRule>
  </conditionalFormatting>
  <conditionalFormatting sqref="H3">
    <cfRule type="duplicateValues" dxfId="66" priority="32"/>
  </conditionalFormatting>
  <conditionalFormatting sqref="AH21:AK21">
    <cfRule type="cellIs" dxfId="65" priority="24" operator="equal">
      <formula>"View Sale"</formula>
    </cfRule>
  </conditionalFormatting>
  <conditionalFormatting sqref="AR3:AS3">
    <cfRule type="duplicateValues" dxfId="64" priority="33"/>
  </conditionalFormatting>
  <conditionalFormatting sqref="AT3">
    <cfRule type="duplicateValues" dxfId="63" priority="28"/>
  </conditionalFormatting>
  <conditionalFormatting sqref="AU3">
    <cfRule type="duplicateValues" dxfId="62" priority="26"/>
  </conditionalFormatting>
  <conditionalFormatting sqref="AX3">
    <cfRule type="duplicateValues" dxfId="61" priority="34"/>
  </conditionalFormatting>
  <conditionalFormatting sqref="BA4">
    <cfRule type="duplicateValues" dxfId="60" priority="29"/>
  </conditionalFormatting>
  <conditionalFormatting sqref="BC4">
    <cfRule type="duplicateValues" dxfId="59" priority="27"/>
  </conditionalFormatting>
  <conditionalFormatting sqref="BN3:BO3">
    <cfRule type="duplicateValues" dxfId="58" priority="35"/>
  </conditionalFormatting>
  <conditionalFormatting sqref="BS3">
    <cfRule type="duplicateValues" dxfId="57" priority="30"/>
  </conditionalFormatting>
  <conditionalFormatting sqref="BS4:BT4">
    <cfRule type="duplicateValues" dxfId="56" priority="31"/>
  </conditionalFormatting>
  <conditionalFormatting sqref="BX21">
    <cfRule type="cellIs" dxfId="55" priority="21" operator="equal">
      <formula>"View Sale"</formula>
    </cfRule>
  </conditionalFormatting>
  <conditionalFormatting sqref="CC21:CD21">
    <cfRule type="cellIs" dxfId="54" priority="10" operator="equal">
      <formula>"View Sale"</formula>
    </cfRule>
  </conditionalFormatting>
  <conditionalFormatting sqref="CI21:CJ21">
    <cfRule type="cellIs" dxfId="53" priority="9" operator="equal">
      <formula>"View Sale"</formula>
    </cfRule>
  </conditionalFormatting>
  <conditionalFormatting sqref="CO21:CP21">
    <cfRule type="cellIs" dxfId="52" priority="8" operator="equal">
      <formula>"View Sale"</formula>
    </cfRule>
  </conditionalFormatting>
  <conditionalFormatting sqref="CU21:CV21">
    <cfRule type="cellIs" dxfId="51" priority="7" operator="equal">
      <formula>"View Sale"</formula>
    </cfRule>
  </conditionalFormatting>
  <conditionalFormatting sqref="DA21:DB21">
    <cfRule type="cellIs" dxfId="50" priority="6" operator="equal">
      <formula>"View Sale"</formula>
    </cfRule>
  </conditionalFormatting>
  <conditionalFormatting sqref="DG21:DH21">
    <cfRule type="cellIs" dxfId="49" priority="5" operator="equal">
      <formula>"View Sale"</formula>
    </cfRule>
  </conditionalFormatting>
  <conditionalFormatting sqref="DM21:DN21">
    <cfRule type="cellIs" dxfId="48" priority="4" operator="equal">
      <formula>"View Sale"</formula>
    </cfRule>
  </conditionalFormatting>
  <conditionalFormatting sqref="DS21:DT21">
    <cfRule type="cellIs" dxfId="47" priority="3" operator="equal">
      <formula>"View Sale"</formula>
    </cfRule>
  </conditionalFormatting>
  <conditionalFormatting sqref="DY21:DZ21">
    <cfRule type="cellIs" dxfId="46" priority="2" operator="equal">
      <formula>"View Sale"</formula>
    </cfRule>
  </conditionalFormatting>
  <conditionalFormatting sqref="EV21">
    <cfRule type="cellIs" dxfId="45" priority="1" operator="equal">
      <formula>"View Sale"</formula>
    </cfRule>
  </conditionalFormatting>
  <hyperlinks>
    <hyperlink ref="AH14" r:id="rId1" xr:uid="{CED66F5C-63ED-439E-B8AB-277206EAFDE4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B0006-A790-489B-90CB-B1B99B958DF5}">
  <sheetPr codeName="Sheet4"/>
  <dimension ref="A1:FQ31"/>
  <sheetViews>
    <sheetView topLeftCell="A3" zoomScale="85" zoomScaleNormal="85" workbookViewId="0">
      <selection activeCell="Q31" sqref="Q31"/>
    </sheetView>
  </sheetViews>
  <sheetFormatPr defaultColWidth="42.375" defaultRowHeight="14.25"/>
  <cols>
    <col min="1" max="1" width="22" style="1" customWidth="1"/>
    <col min="2" max="2" width="15.375" style="1" customWidth="1"/>
    <col min="3" max="3" width="14.875" style="1" customWidth="1"/>
    <col min="4" max="4" width="40.875" style="1" customWidth="1"/>
    <col min="5" max="5" width="21.375" style="1" customWidth="1"/>
    <col min="6" max="6" width="15.125" style="1" customWidth="1"/>
    <col min="7" max="7" width="15.375" style="1" customWidth="1"/>
    <col min="8" max="8" width="19.375" style="1" customWidth="1"/>
    <col min="9" max="9" width="16.375" style="213" customWidth="1"/>
    <col min="10" max="10" width="14.25" style="213" customWidth="1"/>
    <col min="11" max="11" width="19.375" style="1" customWidth="1"/>
    <col min="12" max="12" width="22.875" style="1" customWidth="1"/>
    <col min="13" max="15" width="15.375" style="1" customWidth="1"/>
    <col min="16" max="16" width="12.25" style="1" customWidth="1"/>
    <col min="17" max="17" width="18.125" style="1" customWidth="1"/>
    <col min="18" max="18" width="22.375" style="214" customWidth="1"/>
    <col min="19" max="20" width="35" style="1" customWidth="1"/>
    <col min="21" max="21" width="23.875" style="213" bestFit="1" customWidth="1"/>
    <col min="22" max="23" width="23.875" style="1" customWidth="1"/>
    <col min="24" max="24" width="21.375" style="1" bestFit="1" customWidth="1"/>
    <col min="25" max="25" width="19.125" style="1" customWidth="1"/>
    <col min="26" max="26" width="14.625" style="1" bestFit="1" customWidth="1"/>
    <col min="27" max="27" width="18" style="1" bestFit="1" customWidth="1"/>
    <col min="28" max="28" width="32.875" style="1" bestFit="1" customWidth="1"/>
    <col min="29" max="29" width="37.125" style="1" bestFit="1" customWidth="1"/>
    <col min="30" max="30" width="36.625" style="1" bestFit="1" customWidth="1"/>
    <col min="31" max="31" width="22.375" style="1" bestFit="1" customWidth="1"/>
    <col min="32" max="32" width="21.125" style="1" bestFit="1" customWidth="1"/>
    <col min="33" max="33" width="23.75" style="1" bestFit="1" customWidth="1"/>
    <col min="34" max="35" width="21.625" style="1" bestFit="1" customWidth="1"/>
    <col min="36" max="36" width="22.75" style="1" bestFit="1" customWidth="1"/>
    <col min="37" max="37" width="24.25" style="1" bestFit="1" customWidth="1"/>
    <col min="38" max="38" width="23" style="1" bestFit="1" customWidth="1"/>
    <col min="39" max="39" width="25.125" style="1" bestFit="1" customWidth="1"/>
    <col min="40" max="40" width="26.875" style="1" customWidth="1"/>
    <col min="41" max="41" width="30.125" style="1" customWidth="1"/>
    <col min="42" max="16384" width="42.375" style="1"/>
  </cols>
  <sheetData>
    <row r="1" spans="1:41">
      <c r="A1" s="470" t="s">
        <v>27993</v>
      </c>
      <c r="B1" s="472" t="s">
        <v>27994</v>
      </c>
      <c r="C1" s="473"/>
      <c r="D1" s="476" t="s">
        <v>27995</v>
      </c>
      <c r="E1" s="476"/>
      <c r="F1" s="476"/>
      <c r="G1" s="477" t="s">
        <v>27996</v>
      </c>
      <c r="H1" s="478"/>
      <c r="I1" s="478"/>
      <c r="J1" s="478"/>
      <c r="K1" s="478"/>
      <c r="L1" s="478"/>
      <c r="M1" s="478"/>
      <c r="N1" s="478"/>
      <c r="O1" s="478"/>
      <c r="P1" s="478"/>
      <c r="Q1" s="478"/>
      <c r="R1" s="479"/>
      <c r="S1" s="480" t="s">
        <v>27997</v>
      </c>
      <c r="T1" s="481"/>
      <c r="U1" s="481"/>
      <c r="V1" s="481"/>
      <c r="W1" s="482"/>
      <c r="X1" s="495" t="s">
        <v>27998</v>
      </c>
      <c r="Y1" s="495"/>
      <c r="Z1" s="495"/>
      <c r="AA1" s="495"/>
      <c r="AB1" s="495"/>
      <c r="AC1" s="495"/>
      <c r="AD1" s="495"/>
      <c r="AE1" s="487" t="s">
        <v>27999</v>
      </c>
      <c r="AF1" s="488"/>
      <c r="AG1" s="488"/>
      <c r="AH1" s="488"/>
      <c r="AI1" s="488"/>
      <c r="AJ1" s="489" t="s">
        <v>28000</v>
      </c>
      <c r="AK1" s="489"/>
      <c r="AL1" s="489"/>
      <c r="AM1" s="489"/>
      <c r="AN1" s="489"/>
      <c r="AO1" s="489"/>
    </row>
    <row r="2" spans="1:41">
      <c r="A2" s="471"/>
      <c r="B2" s="474"/>
      <c r="C2" s="475"/>
      <c r="D2" s="476"/>
      <c r="E2" s="476"/>
      <c r="F2" s="476"/>
      <c r="G2" s="490" t="s">
        <v>28001</v>
      </c>
      <c r="H2" s="490"/>
      <c r="I2" s="490"/>
      <c r="J2" s="490"/>
      <c r="K2" s="490"/>
      <c r="L2" s="490"/>
      <c r="M2" s="490"/>
      <c r="N2" s="490"/>
      <c r="O2" s="478" t="s">
        <v>28002</v>
      </c>
      <c r="P2" s="478"/>
      <c r="Q2" s="479"/>
      <c r="R2" s="181" t="s">
        <v>27573</v>
      </c>
      <c r="S2" s="491" t="s">
        <v>28003</v>
      </c>
      <c r="T2" s="492"/>
      <c r="U2" s="493"/>
      <c r="V2" s="491" t="s">
        <v>28004</v>
      </c>
      <c r="W2" s="493"/>
      <c r="X2" s="477" t="s">
        <v>28005</v>
      </c>
      <c r="Y2" s="478"/>
      <c r="Z2" s="478"/>
      <c r="AA2" s="478"/>
      <c r="AB2" s="479"/>
      <c r="AC2" s="180" t="s">
        <v>28006</v>
      </c>
      <c r="AD2" s="180" t="s">
        <v>28007</v>
      </c>
      <c r="AE2" s="494" t="s">
        <v>127</v>
      </c>
      <c r="AF2" s="494"/>
      <c r="AG2" s="494"/>
      <c r="AH2" s="494"/>
      <c r="AI2" s="494"/>
      <c r="AJ2" s="483" t="s">
        <v>28008</v>
      </c>
      <c r="AK2" s="484"/>
      <c r="AL2" s="483" t="s">
        <v>28009</v>
      </c>
      <c r="AM2" s="484"/>
      <c r="AN2" s="483" t="s">
        <v>28010</v>
      </c>
      <c r="AO2" s="484"/>
    </row>
    <row r="3" spans="1:41" ht="36.75" customHeight="1">
      <c r="A3" s="182" t="s">
        <v>27580</v>
      </c>
      <c r="B3" s="183" t="s">
        <v>20</v>
      </c>
      <c r="C3" s="184" t="s">
        <v>27581</v>
      </c>
      <c r="D3" s="185" t="s">
        <v>28011</v>
      </c>
      <c r="E3" s="185" t="s">
        <v>343</v>
      </c>
      <c r="F3" s="185" t="s">
        <v>28012</v>
      </c>
      <c r="G3" s="186" t="s">
        <v>124</v>
      </c>
      <c r="H3" s="187" t="s">
        <v>127</v>
      </c>
      <c r="I3" s="187" t="s">
        <v>116</v>
      </c>
      <c r="J3" s="187" t="s">
        <v>119</v>
      </c>
      <c r="K3" s="187" t="s">
        <v>332</v>
      </c>
      <c r="L3" s="187" t="s">
        <v>335</v>
      </c>
      <c r="M3" s="187" t="s">
        <v>28013</v>
      </c>
      <c r="N3" s="187" t="s">
        <v>28014</v>
      </c>
      <c r="O3" s="187" t="s">
        <v>28015</v>
      </c>
      <c r="P3" s="187" t="s">
        <v>28016</v>
      </c>
      <c r="Q3" s="187" t="s">
        <v>148</v>
      </c>
      <c r="R3" s="188" t="s">
        <v>28017</v>
      </c>
      <c r="S3" s="189" t="s">
        <v>275</v>
      </c>
      <c r="T3" s="189" t="s">
        <v>28018</v>
      </c>
      <c r="U3" s="189" t="s">
        <v>344</v>
      </c>
      <c r="V3" s="189" t="s">
        <v>28019</v>
      </c>
      <c r="W3" s="189" t="s">
        <v>28020</v>
      </c>
      <c r="X3" s="187" t="s">
        <v>345</v>
      </c>
      <c r="Y3" s="187" t="s">
        <v>28021</v>
      </c>
      <c r="Z3" s="187" t="s">
        <v>28022</v>
      </c>
      <c r="AA3" s="187" t="s">
        <v>28023</v>
      </c>
      <c r="AB3" s="187" t="s">
        <v>28024</v>
      </c>
      <c r="AC3" s="187" t="s">
        <v>346</v>
      </c>
      <c r="AD3" s="187" t="s">
        <v>28025</v>
      </c>
      <c r="AE3" s="190" t="s">
        <v>28026</v>
      </c>
      <c r="AF3" s="190" t="s">
        <v>28027</v>
      </c>
      <c r="AG3" s="190" t="s">
        <v>28028</v>
      </c>
      <c r="AH3" s="190" t="s">
        <v>28029</v>
      </c>
      <c r="AI3" s="190" t="s">
        <v>28030</v>
      </c>
      <c r="AJ3" s="191" t="s">
        <v>28031</v>
      </c>
      <c r="AK3" s="191" t="s">
        <v>28032</v>
      </c>
      <c r="AL3" s="191" t="s">
        <v>28031</v>
      </c>
      <c r="AM3" s="191" t="s">
        <v>28032</v>
      </c>
      <c r="AN3" s="191" t="s">
        <v>28031</v>
      </c>
      <c r="AO3" s="191" t="s">
        <v>28032</v>
      </c>
    </row>
    <row r="4" spans="1:41">
      <c r="A4" s="192" t="s">
        <v>27704</v>
      </c>
      <c r="B4" s="103" t="s">
        <v>28033</v>
      </c>
      <c r="C4" s="103" t="s">
        <v>28034</v>
      </c>
      <c r="D4" s="103" t="s">
        <v>28033</v>
      </c>
      <c r="E4" s="103" t="s">
        <v>28033</v>
      </c>
      <c r="F4" s="103" t="s">
        <v>28033</v>
      </c>
      <c r="G4" s="108" t="s">
        <v>28033</v>
      </c>
      <c r="H4" s="103" t="s">
        <v>28033</v>
      </c>
      <c r="I4" s="103" t="s">
        <v>28033</v>
      </c>
      <c r="J4" s="103" t="s">
        <v>28033</v>
      </c>
      <c r="K4" s="103" t="s">
        <v>28033</v>
      </c>
      <c r="L4" s="103" t="s">
        <v>28033</v>
      </c>
      <c r="M4" s="103" t="s">
        <v>28033</v>
      </c>
      <c r="N4" s="193" t="s">
        <v>28033</v>
      </c>
      <c r="O4" s="193" t="s">
        <v>28033</v>
      </c>
      <c r="P4" s="103" t="s">
        <v>28033</v>
      </c>
      <c r="Q4" s="103" t="s">
        <v>28033</v>
      </c>
      <c r="R4" s="194" t="s">
        <v>28033</v>
      </c>
      <c r="S4" s="103" t="s">
        <v>28033</v>
      </c>
      <c r="T4" s="103" t="s">
        <v>28033</v>
      </c>
      <c r="U4" s="103" t="s">
        <v>28033</v>
      </c>
      <c r="V4" s="103" t="s">
        <v>28033</v>
      </c>
      <c r="W4" s="103" t="s">
        <v>28033</v>
      </c>
      <c r="X4" s="103" t="s">
        <v>28033</v>
      </c>
      <c r="Y4" s="103" t="s">
        <v>28033</v>
      </c>
      <c r="Z4" s="103" t="s">
        <v>28033</v>
      </c>
      <c r="AA4" s="103" t="s">
        <v>28033</v>
      </c>
      <c r="AB4" s="103" t="s">
        <v>28033</v>
      </c>
      <c r="AC4" s="103" t="s">
        <v>28033</v>
      </c>
      <c r="AD4" s="103" t="s">
        <v>28035</v>
      </c>
      <c r="AE4" s="103" t="s">
        <v>28033</v>
      </c>
      <c r="AF4" s="103" t="s">
        <v>28033</v>
      </c>
      <c r="AG4" s="103" t="s">
        <v>28033</v>
      </c>
      <c r="AH4" s="103" t="s">
        <v>28033</v>
      </c>
      <c r="AI4" s="103" t="s">
        <v>28033</v>
      </c>
      <c r="AJ4" s="103" t="s">
        <v>27718</v>
      </c>
      <c r="AK4" s="103" t="s">
        <v>28033</v>
      </c>
      <c r="AL4" s="103" t="s">
        <v>27718</v>
      </c>
      <c r="AM4" s="103" t="s">
        <v>28033</v>
      </c>
      <c r="AN4" s="103" t="s">
        <v>27718</v>
      </c>
      <c r="AO4" s="103" t="s">
        <v>28033</v>
      </c>
    </row>
    <row r="5" spans="1:41">
      <c r="A5" s="192" t="s">
        <v>27725</v>
      </c>
      <c r="B5" s="103" t="s">
        <v>28036</v>
      </c>
      <c r="C5" s="103" t="s">
        <v>28037</v>
      </c>
      <c r="D5" s="103" t="s">
        <v>28038</v>
      </c>
      <c r="E5" s="103" t="s">
        <v>28039</v>
      </c>
      <c r="F5" s="103" t="s">
        <v>28040</v>
      </c>
      <c r="G5" s="108" t="s">
        <v>28041</v>
      </c>
      <c r="H5" s="103" t="s">
        <v>28042</v>
      </c>
      <c r="I5" s="103" t="s">
        <v>28043</v>
      </c>
      <c r="J5" s="103" t="s">
        <v>28044</v>
      </c>
      <c r="K5" s="103" t="s">
        <v>28045</v>
      </c>
      <c r="L5" s="103" t="s">
        <v>28046</v>
      </c>
      <c r="M5" s="103" t="s">
        <v>28047</v>
      </c>
      <c r="N5" s="193" t="s">
        <v>28048</v>
      </c>
      <c r="O5" s="193" t="s">
        <v>28049</v>
      </c>
      <c r="P5" s="103" t="s">
        <v>28050</v>
      </c>
      <c r="Q5" s="103" t="s">
        <v>28051</v>
      </c>
      <c r="R5" s="194" t="s">
        <v>28052</v>
      </c>
      <c r="S5" s="103" t="s">
        <v>28053</v>
      </c>
      <c r="T5" s="103" t="s">
        <v>28054</v>
      </c>
      <c r="U5" s="103" t="s">
        <v>28055</v>
      </c>
      <c r="V5" s="103" t="s">
        <v>28056</v>
      </c>
      <c r="W5" s="103" t="s">
        <v>28057</v>
      </c>
      <c r="X5" s="103" t="s">
        <v>28058</v>
      </c>
      <c r="Y5" s="103" t="s">
        <v>28059</v>
      </c>
      <c r="Z5" s="103" t="s">
        <v>28060</v>
      </c>
      <c r="AA5" s="103" t="s">
        <v>27819</v>
      </c>
      <c r="AB5" s="103" t="s">
        <v>28061</v>
      </c>
      <c r="AC5" s="103" t="s">
        <v>28062</v>
      </c>
      <c r="AD5" s="103" t="s">
        <v>28063</v>
      </c>
      <c r="AE5" s="103" t="s">
        <v>28064</v>
      </c>
      <c r="AF5" s="103" t="s">
        <v>28065</v>
      </c>
      <c r="AG5" s="103" t="s">
        <v>28066</v>
      </c>
      <c r="AH5" s="103" t="s">
        <v>28067</v>
      </c>
      <c r="AI5" s="103" t="s">
        <v>28068</v>
      </c>
      <c r="AJ5" s="106" t="s">
        <v>28069</v>
      </c>
      <c r="AK5" s="106" t="s">
        <v>28069</v>
      </c>
      <c r="AL5" s="106" t="s">
        <v>28070</v>
      </c>
      <c r="AM5" s="106" t="s">
        <v>28070</v>
      </c>
      <c r="AN5" s="106" t="s">
        <v>28071</v>
      </c>
      <c r="AO5" s="106" t="s">
        <v>28071</v>
      </c>
    </row>
    <row r="6" spans="1:41" s="337" customFormat="1">
      <c r="A6" s="195" t="s">
        <v>27841</v>
      </c>
      <c r="B6" s="114" t="s">
        <v>113</v>
      </c>
      <c r="C6" s="114" t="s">
        <v>113</v>
      </c>
      <c r="D6" s="114" t="s">
        <v>113</v>
      </c>
      <c r="E6" s="114" t="s">
        <v>113</v>
      </c>
      <c r="F6" s="114" t="s">
        <v>113</v>
      </c>
      <c r="G6" s="114" t="s">
        <v>113</v>
      </c>
      <c r="H6" s="114"/>
      <c r="I6" s="114" t="s">
        <v>113</v>
      </c>
      <c r="J6" s="114" t="s">
        <v>113</v>
      </c>
      <c r="K6" s="114" t="s">
        <v>113</v>
      </c>
      <c r="L6" s="114"/>
      <c r="M6" s="114"/>
      <c r="N6" s="196"/>
      <c r="O6" s="196"/>
      <c r="P6" s="114" t="s">
        <v>113</v>
      </c>
      <c r="Q6" s="114"/>
      <c r="R6" s="114"/>
      <c r="S6" s="114" t="s">
        <v>113</v>
      </c>
      <c r="T6" s="114"/>
      <c r="U6" s="114" t="s">
        <v>113</v>
      </c>
      <c r="V6" s="114"/>
      <c r="W6" s="114"/>
      <c r="X6" s="114"/>
      <c r="Y6" s="114"/>
      <c r="Z6" s="114"/>
      <c r="AA6" s="114" t="s">
        <v>113</v>
      </c>
      <c r="AB6" s="114" t="s">
        <v>113</v>
      </c>
      <c r="AC6" s="114" t="s">
        <v>113</v>
      </c>
      <c r="AD6" s="114" t="s">
        <v>113</v>
      </c>
      <c r="AE6" s="114"/>
      <c r="AF6" s="114"/>
      <c r="AG6" s="114"/>
      <c r="AH6" s="114"/>
      <c r="AI6" s="114"/>
      <c r="AJ6" s="197"/>
      <c r="AK6" s="197"/>
      <c r="AL6" s="197"/>
      <c r="AM6" s="197"/>
      <c r="AN6" s="197"/>
      <c r="AO6" s="197"/>
    </row>
    <row r="7" spans="1:41">
      <c r="A7" s="192" t="s">
        <v>27842</v>
      </c>
      <c r="B7" s="103" t="s">
        <v>27843</v>
      </c>
      <c r="C7" s="103" t="s">
        <v>27843</v>
      </c>
      <c r="D7" s="103" t="s">
        <v>27843</v>
      </c>
      <c r="E7" s="103" t="s">
        <v>27843</v>
      </c>
      <c r="F7" s="103" t="s">
        <v>27843</v>
      </c>
      <c r="G7" s="108" t="s">
        <v>27843</v>
      </c>
      <c r="H7" s="103" t="s">
        <v>27843</v>
      </c>
      <c r="I7" s="103" t="s">
        <v>27843</v>
      </c>
      <c r="J7" s="103" t="s">
        <v>27843</v>
      </c>
      <c r="K7" s="103" t="s">
        <v>27843</v>
      </c>
      <c r="L7" s="103" t="s">
        <v>27843</v>
      </c>
      <c r="M7" s="103" t="s">
        <v>27843</v>
      </c>
      <c r="N7" s="193" t="s">
        <v>27843</v>
      </c>
      <c r="O7" s="193" t="s">
        <v>27843</v>
      </c>
      <c r="P7" s="103" t="s">
        <v>27843</v>
      </c>
      <c r="Q7" s="103" t="s">
        <v>27843</v>
      </c>
      <c r="R7" s="194" t="s">
        <v>27843</v>
      </c>
      <c r="S7" s="103" t="s">
        <v>27843</v>
      </c>
      <c r="T7" s="103" t="s">
        <v>27843</v>
      </c>
      <c r="U7" s="103" t="s">
        <v>27843</v>
      </c>
      <c r="V7" s="103" t="s">
        <v>27843</v>
      </c>
      <c r="W7" s="103" t="s">
        <v>27843</v>
      </c>
      <c r="X7" s="103" t="s">
        <v>27843</v>
      </c>
      <c r="Y7" s="103" t="s">
        <v>27843</v>
      </c>
      <c r="Z7" s="103" t="s">
        <v>27843</v>
      </c>
      <c r="AA7" s="103" t="s">
        <v>27843</v>
      </c>
      <c r="AB7" s="103" t="s">
        <v>27843</v>
      </c>
      <c r="AC7" s="103" t="s">
        <v>27843</v>
      </c>
      <c r="AD7" s="103" t="s">
        <v>27843</v>
      </c>
      <c r="AE7" s="103" t="s">
        <v>27843</v>
      </c>
      <c r="AF7" s="103" t="s">
        <v>27843</v>
      </c>
      <c r="AG7" s="103" t="s">
        <v>27843</v>
      </c>
      <c r="AH7" s="103" t="s">
        <v>27843</v>
      </c>
      <c r="AI7" s="103" t="s">
        <v>27843</v>
      </c>
      <c r="AJ7" s="103" t="s">
        <v>27843</v>
      </c>
      <c r="AK7" s="103" t="s">
        <v>27843</v>
      </c>
      <c r="AL7" s="103" t="s">
        <v>27843</v>
      </c>
      <c r="AM7" s="103" t="s">
        <v>27843</v>
      </c>
      <c r="AN7" s="103" t="s">
        <v>27843</v>
      </c>
      <c r="AO7" s="103" t="s">
        <v>27843</v>
      </c>
    </row>
    <row r="8" spans="1:41">
      <c r="A8" s="192" t="s">
        <v>1</v>
      </c>
      <c r="B8" s="103">
        <v>10</v>
      </c>
      <c r="C8" s="103">
        <v>6</v>
      </c>
      <c r="D8" s="103">
        <v>4</v>
      </c>
      <c r="E8" s="103">
        <v>2</v>
      </c>
      <c r="F8" s="103">
        <v>2</v>
      </c>
      <c r="G8" s="108">
        <v>6</v>
      </c>
      <c r="H8" s="103">
        <v>2</v>
      </c>
      <c r="I8" s="103">
        <v>4</v>
      </c>
      <c r="J8" s="103">
        <v>3</v>
      </c>
      <c r="K8" s="103">
        <v>5</v>
      </c>
      <c r="L8" s="103">
        <v>4</v>
      </c>
      <c r="M8" s="103">
        <v>1</v>
      </c>
      <c r="N8" s="193">
        <v>1</v>
      </c>
      <c r="O8" s="193">
        <v>2</v>
      </c>
      <c r="P8" s="103">
        <v>2</v>
      </c>
      <c r="Q8" s="103">
        <v>2</v>
      </c>
      <c r="R8" s="194">
        <v>1</v>
      </c>
      <c r="S8" s="103">
        <v>2</v>
      </c>
      <c r="T8" s="103">
        <v>1</v>
      </c>
      <c r="U8" s="103">
        <v>2</v>
      </c>
      <c r="V8" s="103">
        <v>1</v>
      </c>
      <c r="W8" s="103">
        <v>1</v>
      </c>
      <c r="X8" s="103">
        <v>3</v>
      </c>
      <c r="Y8" s="103">
        <v>70</v>
      </c>
      <c r="Z8" s="103">
        <v>70</v>
      </c>
      <c r="AA8" s="103">
        <v>4</v>
      </c>
      <c r="AB8" s="103">
        <v>4</v>
      </c>
      <c r="AC8" s="103">
        <v>2</v>
      </c>
      <c r="AD8" s="103">
        <v>1</v>
      </c>
      <c r="AE8" s="103">
        <v>3</v>
      </c>
      <c r="AF8" s="103">
        <v>3</v>
      </c>
      <c r="AG8" s="103">
        <v>3</v>
      </c>
      <c r="AH8" s="103">
        <v>3</v>
      </c>
      <c r="AI8" s="103">
        <v>3</v>
      </c>
      <c r="AJ8" s="106">
        <v>2</v>
      </c>
      <c r="AK8" s="106">
        <v>2</v>
      </c>
      <c r="AL8" s="106">
        <v>2</v>
      </c>
      <c r="AM8" s="106">
        <v>2</v>
      </c>
      <c r="AN8" s="106">
        <v>2</v>
      </c>
      <c r="AO8" s="106">
        <v>2</v>
      </c>
    </row>
    <row r="9" spans="1:41" ht="71.25">
      <c r="A9" s="192" t="s">
        <v>28072</v>
      </c>
      <c r="B9" s="103" t="s">
        <v>28073</v>
      </c>
      <c r="C9" s="198" t="s">
        <v>28074</v>
      </c>
      <c r="D9" s="485" t="s">
        <v>28075</v>
      </c>
      <c r="E9" s="486"/>
      <c r="F9" s="199" t="s">
        <v>28076</v>
      </c>
      <c r="G9" s="200" t="s">
        <v>28077</v>
      </c>
      <c r="H9" s="200" t="s">
        <v>28078</v>
      </c>
      <c r="I9" s="485" t="s">
        <v>28075</v>
      </c>
      <c r="J9" s="486"/>
      <c r="K9" s="201" t="s">
        <v>28079</v>
      </c>
      <c r="L9" s="202" t="s">
        <v>28080</v>
      </c>
      <c r="M9" s="203" t="s">
        <v>28081</v>
      </c>
      <c r="N9" s="204" t="s">
        <v>28082</v>
      </c>
      <c r="O9" s="204" t="s">
        <v>28082</v>
      </c>
      <c r="P9" s="203" t="s">
        <v>28083</v>
      </c>
      <c r="Q9" s="200" t="s">
        <v>28075</v>
      </c>
      <c r="R9" s="205" t="s">
        <v>28084</v>
      </c>
      <c r="S9" s="200" t="s">
        <v>28085</v>
      </c>
      <c r="T9" s="205" t="s">
        <v>28086</v>
      </c>
      <c r="U9" s="200" t="s">
        <v>28075</v>
      </c>
      <c r="V9" s="205" t="s">
        <v>28087</v>
      </c>
      <c r="W9" s="205" t="s">
        <v>28088</v>
      </c>
      <c r="X9" s="200" t="s">
        <v>28075</v>
      </c>
      <c r="Y9" s="103" t="s">
        <v>28089</v>
      </c>
      <c r="Z9" s="103" t="s">
        <v>28090</v>
      </c>
      <c r="AA9" s="200" t="s">
        <v>28075</v>
      </c>
      <c r="AB9" s="103" t="s">
        <v>28091</v>
      </c>
      <c r="AC9" s="200" t="s">
        <v>28075</v>
      </c>
      <c r="AD9" s="15" t="s">
        <v>28092</v>
      </c>
      <c r="AE9" s="15" t="s">
        <v>28093</v>
      </c>
      <c r="AF9" s="15" t="s">
        <v>28094</v>
      </c>
      <c r="AG9" s="15" t="s">
        <v>28095</v>
      </c>
      <c r="AH9" s="15" t="s">
        <v>28096</v>
      </c>
      <c r="AI9" s="15" t="s">
        <v>28097</v>
      </c>
      <c r="AJ9" s="206" t="s">
        <v>28098</v>
      </c>
      <c r="AK9" s="206" t="s">
        <v>28099</v>
      </c>
      <c r="AL9" s="206" t="s">
        <v>28100</v>
      </c>
      <c r="AM9" s="206" t="s">
        <v>28101</v>
      </c>
      <c r="AN9" s="206" t="s">
        <v>28102</v>
      </c>
      <c r="AO9" s="206" t="s">
        <v>28103</v>
      </c>
    </row>
    <row r="10" spans="1:41" s="36" customFormat="1" ht="22.5" customHeight="1">
      <c r="A10" s="321"/>
      <c r="F10" s="322"/>
      <c r="H10" s="322"/>
      <c r="I10" s="322"/>
      <c r="K10" s="323"/>
      <c r="R10" s="324"/>
      <c r="S10" s="322"/>
      <c r="T10" s="322"/>
      <c r="U10" s="322"/>
      <c r="V10" s="322"/>
      <c r="W10" s="322"/>
      <c r="AA10" s="325"/>
      <c r="AC10" s="322"/>
      <c r="AD10" s="322"/>
      <c r="AI10" s="322"/>
    </row>
    <row r="11" spans="1:41" ht="22.5" customHeight="1">
      <c r="B11" s="36" t="s">
        <v>27945</v>
      </c>
      <c r="C11" s="36" t="s">
        <v>27945</v>
      </c>
      <c r="D11" s="36" t="s">
        <v>27945</v>
      </c>
      <c r="E11" s="36" t="s">
        <v>27945</v>
      </c>
      <c r="F11" s="36" t="s">
        <v>27945</v>
      </c>
      <c r="G11" s="36" t="s">
        <v>3233</v>
      </c>
      <c r="H11" s="36" t="s">
        <v>3233</v>
      </c>
      <c r="I11" s="36" t="s">
        <v>3233</v>
      </c>
      <c r="J11" s="36" t="s">
        <v>3233</v>
      </c>
      <c r="K11" s="36" t="s">
        <v>27945</v>
      </c>
      <c r="L11" s="36" t="s">
        <v>27945</v>
      </c>
      <c r="M11" s="36" t="s">
        <v>27945</v>
      </c>
      <c r="N11" s="36" t="s">
        <v>27945</v>
      </c>
      <c r="O11" s="36" t="s">
        <v>27945</v>
      </c>
      <c r="P11" s="36" t="s">
        <v>27945</v>
      </c>
      <c r="Q11" s="36" t="s">
        <v>3233</v>
      </c>
      <c r="R11" s="36" t="s">
        <v>27945</v>
      </c>
      <c r="S11" s="36" t="s">
        <v>27945</v>
      </c>
      <c r="T11" s="36" t="s">
        <v>27945</v>
      </c>
      <c r="U11" s="36" t="s">
        <v>3233</v>
      </c>
      <c r="V11" s="36" t="s">
        <v>27945</v>
      </c>
      <c r="W11" s="36" t="s">
        <v>27945</v>
      </c>
      <c r="X11" s="36" t="s">
        <v>27945</v>
      </c>
      <c r="Y11" s="36" t="s">
        <v>27945</v>
      </c>
      <c r="Z11" s="36" t="s">
        <v>27945</v>
      </c>
      <c r="AA11" s="36" t="s">
        <v>27945</v>
      </c>
      <c r="AB11" s="36" t="s">
        <v>27945</v>
      </c>
      <c r="AC11" s="36" t="s">
        <v>27945</v>
      </c>
      <c r="AD11" s="36" t="s">
        <v>27945</v>
      </c>
      <c r="AE11" s="36" t="s">
        <v>27945</v>
      </c>
      <c r="AF11" s="36" t="s">
        <v>27945</v>
      </c>
      <c r="AG11" s="36" t="s">
        <v>27945</v>
      </c>
      <c r="AH11" s="36" t="s">
        <v>27945</v>
      </c>
      <c r="AI11" s="36" t="s">
        <v>27945</v>
      </c>
      <c r="AJ11" s="36" t="s">
        <v>27945</v>
      </c>
      <c r="AK11" s="36" t="s">
        <v>27945</v>
      </c>
      <c r="AL11" s="36" t="s">
        <v>27945</v>
      </c>
      <c r="AM11" s="36" t="s">
        <v>27945</v>
      </c>
      <c r="AN11" s="36" t="s">
        <v>27945</v>
      </c>
      <c r="AO11" s="36" t="s">
        <v>27945</v>
      </c>
    </row>
    <row r="12" spans="1:41" s="23" customFormat="1" ht="22.5" customHeight="1">
      <c r="A12" s="326" t="s">
        <v>27947</v>
      </c>
      <c r="B12" s="36"/>
      <c r="C12" s="36"/>
      <c r="D12" s="36"/>
      <c r="E12" s="36"/>
      <c r="F12" s="322"/>
      <c r="G12" s="36" t="s">
        <v>124</v>
      </c>
      <c r="H12" s="322" t="s">
        <v>127</v>
      </c>
      <c r="I12" s="36" t="s">
        <v>116</v>
      </c>
      <c r="J12" s="36" t="s">
        <v>119</v>
      </c>
      <c r="K12" s="323"/>
      <c r="P12" s="36"/>
      <c r="Q12" s="36" t="s">
        <v>148</v>
      </c>
      <c r="R12" s="324" t="s">
        <v>296</v>
      </c>
      <c r="S12" s="322" t="s">
        <v>275</v>
      </c>
      <c r="T12" s="322"/>
      <c r="U12" s="322" t="s">
        <v>129</v>
      </c>
      <c r="AA12" s="325"/>
      <c r="AB12" s="36"/>
      <c r="AC12" s="322" t="s">
        <v>294</v>
      </c>
      <c r="AD12" s="322" t="s">
        <v>298</v>
      </c>
    </row>
    <row r="13" spans="1:41" ht="22.5" customHeight="1">
      <c r="B13" s="36"/>
      <c r="C13" s="36"/>
      <c r="D13" s="36"/>
      <c r="E13" s="36"/>
      <c r="F13" s="322"/>
      <c r="G13" s="36"/>
      <c r="H13" s="322"/>
      <c r="K13" s="323"/>
      <c r="P13" s="36"/>
      <c r="Q13" s="36"/>
      <c r="R13" s="324"/>
      <c r="S13" s="322"/>
      <c r="T13" s="322"/>
      <c r="U13" s="322"/>
      <c r="AA13" s="325"/>
      <c r="AB13" s="36"/>
      <c r="AC13" s="322"/>
      <c r="AD13" s="322"/>
    </row>
    <row r="14" spans="1:41" ht="22.5" customHeight="1">
      <c r="B14" s="36"/>
      <c r="C14" s="36"/>
      <c r="D14" s="36"/>
      <c r="E14" s="36"/>
      <c r="F14" s="322"/>
      <c r="G14" s="36"/>
      <c r="H14" s="322"/>
      <c r="K14" s="323"/>
      <c r="P14" s="36"/>
      <c r="Q14" s="36"/>
      <c r="R14" s="324"/>
      <c r="S14" s="322"/>
      <c r="T14" s="322"/>
      <c r="U14" s="322"/>
      <c r="AA14" s="325"/>
      <c r="AB14" s="36"/>
      <c r="AC14" s="322"/>
      <c r="AD14" s="322"/>
    </row>
    <row r="15" spans="1:41">
      <c r="A15" s="122"/>
      <c r="B15" s="123"/>
      <c r="C15" s="124"/>
      <c r="D15" s="122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4"/>
      <c r="W15" s="124"/>
      <c r="X15" s="124"/>
      <c r="Y15" s="124"/>
      <c r="Z15" s="124"/>
      <c r="AA15" s="124"/>
      <c r="AB15" s="124"/>
      <c r="AC15" s="124"/>
      <c r="AD15" s="124"/>
      <c r="AE15" s="124"/>
      <c r="AF15" s="124"/>
      <c r="AG15" s="124"/>
      <c r="AH15" s="124"/>
      <c r="AI15" s="124"/>
      <c r="AJ15" s="124"/>
      <c r="AK15" s="124"/>
      <c r="AL15" s="124"/>
      <c r="AM15" s="124"/>
      <c r="AN15" s="124"/>
      <c r="AO15" s="124"/>
    </row>
    <row r="16" spans="1:41" ht="22.5" customHeight="1">
      <c r="A16" s="129" t="s">
        <v>27956</v>
      </c>
      <c r="B16" s="209" t="s">
        <v>28104</v>
      </c>
      <c r="C16" s="130" t="s">
        <v>27957</v>
      </c>
      <c r="D16" s="132" t="s">
        <v>27959</v>
      </c>
      <c r="E16" s="132" t="s">
        <v>27959</v>
      </c>
      <c r="F16" s="130" t="s">
        <v>27957</v>
      </c>
      <c r="G16" s="132" t="s">
        <v>27959</v>
      </c>
      <c r="H16" s="132" t="s">
        <v>27959</v>
      </c>
      <c r="I16" s="132" t="s">
        <v>27959</v>
      </c>
      <c r="J16" s="132" t="s">
        <v>27959</v>
      </c>
      <c r="K16" s="132" t="s">
        <v>27959</v>
      </c>
      <c r="L16" s="132" t="s">
        <v>27959</v>
      </c>
      <c r="M16" s="131" t="s">
        <v>27958</v>
      </c>
      <c r="N16" s="131" t="s">
        <v>27958</v>
      </c>
      <c r="O16" s="131" t="s">
        <v>27958</v>
      </c>
      <c r="P16" s="130" t="s">
        <v>27957</v>
      </c>
      <c r="Q16" s="132" t="s">
        <v>27959</v>
      </c>
      <c r="R16" s="132" t="s">
        <v>27959</v>
      </c>
      <c r="S16" s="132" t="s">
        <v>27959</v>
      </c>
      <c r="T16" s="131" t="s">
        <v>27958</v>
      </c>
      <c r="U16" s="132" t="s">
        <v>27959</v>
      </c>
      <c r="V16" s="131" t="s">
        <v>27958</v>
      </c>
      <c r="W16" s="131" t="s">
        <v>27958</v>
      </c>
      <c r="X16" s="132" t="s">
        <v>27959</v>
      </c>
      <c r="Y16" s="132" t="s">
        <v>27959</v>
      </c>
      <c r="Z16" s="131" t="s">
        <v>27958</v>
      </c>
      <c r="AA16" s="132" t="s">
        <v>27959</v>
      </c>
      <c r="AB16" s="132" t="s">
        <v>27959</v>
      </c>
      <c r="AC16" s="132" t="s">
        <v>27959</v>
      </c>
      <c r="AD16" s="132" t="s">
        <v>27959</v>
      </c>
      <c r="AE16" s="131" t="s">
        <v>27958</v>
      </c>
      <c r="AF16" s="131" t="s">
        <v>27958</v>
      </c>
      <c r="AG16" s="131" t="s">
        <v>27958</v>
      </c>
      <c r="AH16" s="131" t="s">
        <v>27958</v>
      </c>
      <c r="AI16" s="131" t="s">
        <v>27958</v>
      </c>
      <c r="AJ16" s="131" t="s">
        <v>27958</v>
      </c>
      <c r="AK16" s="131" t="s">
        <v>27958</v>
      </c>
      <c r="AL16" s="131" t="s">
        <v>27958</v>
      </c>
      <c r="AM16" s="131" t="s">
        <v>27958</v>
      </c>
      <c r="AN16" s="131" t="s">
        <v>27958</v>
      </c>
      <c r="AO16" s="131" t="s">
        <v>27958</v>
      </c>
    </row>
    <row r="17" spans="1:173" ht="22.5" customHeight="1">
      <c r="A17" s="134"/>
      <c r="B17" s="210"/>
      <c r="C17" s="135"/>
      <c r="D17" s="138" t="str">
        <f>Web!E7</f>
        <v>VR_004</v>
      </c>
      <c r="E17" s="138" t="str">
        <f>Web!E8</f>
        <v>VR_005</v>
      </c>
      <c r="F17" s="135"/>
      <c r="G17" s="137" t="str">
        <f>Web!I35</f>
        <v>VS_038</v>
      </c>
      <c r="H17" s="137" t="str">
        <f>Web!N35</f>
        <v>VS_041</v>
      </c>
      <c r="I17" s="137" t="str">
        <f>Web!I34</f>
        <v>VS_037</v>
      </c>
      <c r="J17" s="137" t="str">
        <f>Web!N34</f>
        <v>VS_040</v>
      </c>
      <c r="K17" s="137" t="str">
        <f>Web!I100</f>
        <v>VM_017</v>
      </c>
      <c r="L17" s="137" t="str">
        <f>Web!I101</f>
        <v>VM_018</v>
      </c>
      <c r="M17" s="136"/>
      <c r="N17" s="136"/>
      <c r="O17" s="136"/>
      <c r="P17" s="135"/>
      <c r="Q17" s="137" t="str">
        <f>Web!S40</f>
        <v>VS_047</v>
      </c>
      <c r="R17" s="137" t="str">
        <f>Web!N85</f>
        <v>VM_004</v>
      </c>
      <c r="S17" s="137" t="str">
        <f>Web!I74</f>
        <v>VA_043</v>
      </c>
      <c r="T17" s="136"/>
      <c r="U17" s="137" t="str">
        <f>Web!I36</f>
        <v>VS_039</v>
      </c>
      <c r="V17" s="136"/>
      <c r="W17" s="136"/>
      <c r="X17" s="137" t="str">
        <f>Web!I75</f>
        <v>VA_044</v>
      </c>
      <c r="Y17" s="137" t="str">
        <f>Web!N75</f>
        <v>VA_049</v>
      </c>
      <c r="Z17" s="136"/>
      <c r="AA17" s="137" t="str">
        <f>Web!S39</f>
        <v>VS_046</v>
      </c>
      <c r="AB17" s="138" t="str">
        <f>Web!E7</f>
        <v>VR_004</v>
      </c>
      <c r="AC17" s="137" t="str">
        <f>Web!I85</f>
        <v>VM_002</v>
      </c>
      <c r="AD17" s="137" t="str">
        <f>Web!N86</f>
        <v>VM_005</v>
      </c>
      <c r="AE17" s="136"/>
      <c r="AF17" s="136"/>
      <c r="AG17" s="136"/>
      <c r="AH17" s="136"/>
      <c r="AI17" s="136"/>
      <c r="AJ17" s="136"/>
      <c r="AK17" s="136"/>
      <c r="AL17" s="136"/>
      <c r="AM17" s="136"/>
      <c r="AN17" s="136"/>
      <c r="AO17" s="136"/>
    </row>
    <row r="18" spans="1:173" ht="22.5" customHeight="1">
      <c r="A18" s="129" t="s">
        <v>27961</v>
      </c>
      <c r="B18" s="210"/>
      <c r="C18" s="135" t="s">
        <v>28105</v>
      </c>
      <c r="D18" s="145" t="s">
        <v>27962</v>
      </c>
      <c r="E18" s="144" t="s">
        <v>343</v>
      </c>
      <c r="F18" s="135" t="s">
        <v>388</v>
      </c>
      <c r="G18" s="144" t="s">
        <v>124</v>
      </c>
      <c r="H18" s="144" t="s">
        <v>127</v>
      </c>
      <c r="I18" s="144" t="s">
        <v>116</v>
      </c>
      <c r="J18" s="144" t="s">
        <v>119</v>
      </c>
      <c r="K18" s="144" t="s">
        <v>332</v>
      </c>
      <c r="L18" s="144" t="s">
        <v>335</v>
      </c>
      <c r="M18" s="143"/>
      <c r="N18" s="143"/>
      <c r="O18" s="143"/>
      <c r="P18" s="135" t="s">
        <v>299</v>
      </c>
      <c r="Q18" s="144" t="s">
        <v>148</v>
      </c>
      <c r="R18" s="144" t="s">
        <v>296</v>
      </c>
      <c r="S18" s="144" t="s">
        <v>275</v>
      </c>
      <c r="T18" s="143"/>
      <c r="U18" s="144" t="s">
        <v>129</v>
      </c>
      <c r="V18" s="143"/>
      <c r="W18" s="143"/>
      <c r="X18" s="144" t="s">
        <v>345</v>
      </c>
      <c r="Y18" s="144" t="s">
        <v>28021</v>
      </c>
      <c r="Z18" s="143"/>
      <c r="AA18" s="144" t="s">
        <v>140</v>
      </c>
      <c r="AB18" s="145" t="s">
        <v>27962</v>
      </c>
      <c r="AC18" s="144" t="s">
        <v>294</v>
      </c>
      <c r="AD18" s="144" t="s">
        <v>298</v>
      </c>
      <c r="AE18" s="143"/>
      <c r="AF18" s="143"/>
      <c r="AG18" s="143"/>
      <c r="AH18" s="143"/>
      <c r="AI18" s="143"/>
      <c r="AJ18" s="143"/>
      <c r="AK18" s="143"/>
      <c r="AL18" s="143"/>
      <c r="AM18" s="143"/>
      <c r="AN18" s="143"/>
      <c r="AO18" s="143"/>
    </row>
    <row r="19" spans="1:173" ht="51" customHeight="1">
      <c r="A19" s="134" t="s">
        <v>27963</v>
      </c>
      <c r="B19" s="210"/>
      <c r="C19" s="148"/>
      <c r="D19" s="150"/>
      <c r="E19" s="150"/>
      <c r="F19" s="148"/>
      <c r="G19" s="150"/>
      <c r="H19" s="150"/>
      <c r="I19" s="150"/>
      <c r="J19" s="150"/>
      <c r="K19" s="150"/>
      <c r="L19" s="150"/>
      <c r="M19" s="149"/>
      <c r="N19" s="149"/>
      <c r="O19" s="149"/>
      <c r="P19" s="148"/>
      <c r="Q19" s="150"/>
      <c r="R19" s="150"/>
      <c r="S19" s="150"/>
      <c r="T19" s="149"/>
      <c r="U19" s="150"/>
      <c r="V19" s="149"/>
      <c r="W19" s="149"/>
      <c r="X19" s="150"/>
      <c r="Y19" s="150"/>
      <c r="Z19" s="149"/>
      <c r="AA19" s="150"/>
      <c r="AB19" s="150"/>
      <c r="AC19" s="150"/>
      <c r="AD19" s="150"/>
      <c r="AE19" s="149"/>
      <c r="AF19" s="149"/>
      <c r="AG19" s="149"/>
      <c r="AH19" s="149"/>
      <c r="AI19" s="149"/>
      <c r="AJ19" s="149"/>
      <c r="AK19" s="149"/>
      <c r="AL19" s="149"/>
      <c r="AM19" s="149"/>
      <c r="AN19" s="149"/>
      <c r="AO19" s="149"/>
    </row>
    <row r="20" spans="1:173" ht="22.5" customHeight="1">
      <c r="A20" s="129" t="s">
        <v>27983</v>
      </c>
      <c r="B20" s="210"/>
      <c r="C20" s="156"/>
      <c r="D20" s="158" t="s">
        <v>27984</v>
      </c>
      <c r="E20" s="158" t="s">
        <v>27984</v>
      </c>
      <c r="F20" s="156"/>
      <c r="G20" s="158" t="s">
        <v>27984</v>
      </c>
      <c r="H20" s="158" t="s">
        <v>27984</v>
      </c>
      <c r="I20" s="158" t="s">
        <v>27984</v>
      </c>
      <c r="J20" s="158" t="s">
        <v>27984</v>
      </c>
      <c r="K20" s="158" t="s">
        <v>27984</v>
      </c>
      <c r="L20" s="158" t="s">
        <v>27984</v>
      </c>
      <c r="M20" s="157"/>
      <c r="N20" s="157"/>
      <c r="O20" s="157"/>
      <c r="P20" s="156"/>
      <c r="Q20" s="158" t="s">
        <v>27984</v>
      </c>
      <c r="R20" s="158"/>
      <c r="S20" s="158" t="s">
        <v>27984</v>
      </c>
      <c r="T20" s="157"/>
      <c r="U20" s="158" t="s">
        <v>27984</v>
      </c>
      <c r="V20" s="157"/>
      <c r="W20" s="157"/>
      <c r="X20" s="158" t="s">
        <v>27984</v>
      </c>
      <c r="Y20" s="158"/>
      <c r="Z20" s="157"/>
      <c r="AA20" s="158" t="s">
        <v>27984</v>
      </c>
      <c r="AB20" s="158" t="s">
        <v>27984</v>
      </c>
      <c r="AC20" s="158" t="s">
        <v>27984</v>
      </c>
      <c r="AD20" s="158" t="s">
        <v>27984</v>
      </c>
      <c r="AE20" s="157"/>
      <c r="AF20" s="157"/>
      <c r="AG20" s="157"/>
      <c r="AH20" s="157"/>
      <c r="AI20" s="157"/>
      <c r="AJ20" s="157"/>
      <c r="AK20" s="157"/>
      <c r="AL20" s="157"/>
      <c r="AM20" s="157"/>
      <c r="AN20" s="157"/>
      <c r="AO20" s="157"/>
    </row>
    <row r="21" spans="1:173" ht="22.5" customHeight="1">
      <c r="A21" s="131"/>
      <c r="B21" s="131"/>
      <c r="C21" s="131"/>
      <c r="D21" s="163" t="s">
        <v>0</v>
      </c>
      <c r="E21" s="163" t="s">
        <v>0</v>
      </c>
      <c r="F21" s="131"/>
      <c r="G21" s="162" t="s">
        <v>18</v>
      </c>
      <c r="H21" s="162" t="s">
        <v>18</v>
      </c>
      <c r="I21" s="162" t="s">
        <v>18</v>
      </c>
      <c r="J21" s="162" t="s">
        <v>18</v>
      </c>
      <c r="K21" s="161" t="s">
        <v>284</v>
      </c>
      <c r="L21" s="161" t="s">
        <v>284</v>
      </c>
      <c r="M21" s="131"/>
      <c r="N21" s="131"/>
      <c r="O21" s="131"/>
      <c r="P21" s="131"/>
      <c r="Q21" s="162" t="s">
        <v>18</v>
      </c>
      <c r="R21" s="161" t="s">
        <v>284</v>
      </c>
      <c r="S21" s="164" t="s">
        <v>199</v>
      </c>
      <c r="T21" s="131"/>
      <c r="U21" s="162" t="s">
        <v>18</v>
      </c>
      <c r="V21" s="131"/>
      <c r="W21" s="131"/>
      <c r="X21" s="164" t="s">
        <v>199</v>
      </c>
      <c r="Y21" s="164" t="s">
        <v>199</v>
      </c>
      <c r="Z21" s="131"/>
      <c r="AA21" s="162" t="s">
        <v>18</v>
      </c>
      <c r="AB21" s="163" t="s">
        <v>0</v>
      </c>
      <c r="AC21" s="211" t="s">
        <v>284</v>
      </c>
      <c r="AD21" s="211" t="s">
        <v>284</v>
      </c>
      <c r="AE21" s="131"/>
      <c r="AF21" s="131"/>
      <c r="AG21" s="131"/>
      <c r="AH21" s="131"/>
      <c r="AI21" s="131"/>
      <c r="AJ21" s="131"/>
      <c r="AK21" s="131"/>
      <c r="AL21" s="131"/>
      <c r="AM21" s="131"/>
      <c r="AN21" s="131"/>
      <c r="AO21" s="131"/>
    </row>
    <row r="22" spans="1:173" ht="22.5" customHeight="1">
      <c r="B22" s="213"/>
      <c r="C22" s="36" t="s">
        <v>28105</v>
      </c>
      <c r="D22" s="36"/>
      <c r="E22" s="36"/>
      <c r="F22" s="322" t="s">
        <v>388</v>
      </c>
      <c r="G22" s="36"/>
      <c r="H22" s="322"/>
      <c r="K22" s="323" t="s">
        <v>333</v>
      </c>
      <c r="P22" s="322" t="s">
        <v>299</v>
      </c>
      <c r="Q22" s="36"/>
      <c r="R22" s="324"/>
      <c r="S22" s="322"/>
      <c r="T22" s="322"/>
      <c r="U22" s="322"/>
      <c r="AA22" s="325"/>
      <c r="AB22" s="322"/>
      <c r="AC22" s="322"/>
      <c r="AD22" s="322"/>
    </row>
    <row r="23" spans="1:173" ht="22.5" customHeight="1">
      <c r="B23" s="172" t="s">
        <v>27989</v>
      </c>
      <c r="C23" s="172" t="s">
        <v>27989</v>
      </c>
      <c r="D23" s="172" t="s">
        <v>27989</v>
      </c>
      <c r="E23" s="172" t="s">
        <v>27989</v>
      </c>
      <c r="F23" s="172" t="s">
        <v>27989</v>
      </c>
      <c r="G23" s="172" t="s">
        <v>27989</v>
      </c>
      <c r="H23" s="207"/>
      <c r="I23" s="172" t="s">
        <v>27989</v>
      </c>
      <c r="J23" s="172" t="s">
        <v>27989</v>
      </c>
      <c r="K23" s="172" t="s">
        <v>27989</v>
      </c>
      <c r="P23" s="172" t="s">
        <v>27989</v>
      </c>
      <c r="Q23" s="36"/>
      <c r="R23" s="324"/>
      <c r="S23" s="172" t="s">
        <v>27989</v>
      </c>
      <c r="T23" s="207"/>
      <c r="U23" s="172" t="s">
        <v>27989</v>
      </c>
      <c r="AA23" s="172" t="s">
        <v>27989</v>
      </c>
      <c r="AB23" s="21"/>
      <c r="AC23" s="172" t="s">
        <v>27989</v>
      </c>
      <c r="AD23" s="172" t="s">
        <v>27989</v>
      </c>
    </row>
    <row r="24" spans="1:173" ht="22.5" customHeight="1">
      <c r="B24" s="213"/>
      <c r="C24" s="36"/>
      <c r="D24" s="36"/>
      <c r="E24" s="36"/>
      <c r="F24" s="322"/>
      <c r="G24" s="36"/>
      <c r="H24" s="322"/>
      <c r="T24" s="322"/>
    </row>
    <row r="25" spans="1:173" ht="22.5" customHeight="1">
      <c r="B25" s="173" t="s">
        <v>27990</v>
      </c>
      <c r="C25" s="173" t="s">
        <v>27990</v>
      </c>
      <c r="D25" s="173" t="s">
        <v>27990</v>
      </c>
      <c r="E25" s="173" t="s">
        <v>27990</v>
      </c>
      <c r="F25" s="207"/>
      <c r="G25" s="173" t="s">
        <v>27990</v>
      </c>
      <c r="H25" s="173" t="s">
        <v>27990</v>
      </c>
      <c r="I25" s="173" t="s">
        <v>27990</v>
      </c>
      <c r="J25" s="173" t="s">
        <v>27990</v>
      </c>
      <c r="Q25" s="173" t="s">
        <v>27990</v>
      </c>
      <c r="T25" s="322"/>
      <c r="AA25" s="173" t="s">
        <v>27990</v>
      </c>
    </row>
    <row r="26" spans="1:173" ht="22.5" customHeight="1">
      <c r="B26" s="213"/>
      <c r="C26" s="36"/>
      <c r="D26" s="36"/>
      <c r="E26" s="36"/>
      <c r="F26" s="322"/>
      <c r="G26" s="36"/>
      <c r="H26" s="322"/>
      <c r="T26" s="322"/>
    </row>
    <row r="27" spans="1:173" ht="22.5" customHeight="1">
      <c r="B27" s="174" t="s">
        <v>27991</v>
      </c>
      <c r="C27" s="174" t="s">
        <v>27991</v>
      </c>
      <c r="D27" s="212" t="s">
        <v>28106</v>
      </c>
      <c r="E27" s="212" t="s">
        <v>28106</v>
      </c>
      <c r="F27" s="212" t="s">
        <v>28106</v>
      </c>
      <c r="G27" s="212" t="s">
        <v>28106</v>
      </c>
      <c r="H27" s="212" t="s">
        <v>28106</v>
      </c>
      <c r="I27" s="212" t="s">
        <v>28106</v>
      </c>
      <c r="J27" s="212" t="s">
        <v>28106</v>
      </c>
      <c r="K27" s="212" t="s">
        <v>28106</v>
      </c>
      <c r="L27" s="212" t="s">
        <v>28106</v>
      </c>
      <c r="M27" s="212" t="s">
        <v>28106</v>
      </c>
      <c r="N27" s="212" t="s">
        <v>28106</v>
      </c>
      <c r="O27" s="212" t="s">
        <v>28106</v>
      </c>
      <c r="P27" s="212" t="s">
        <v>28106</v>
      </c>
      <c r="Q27" s="212" t="s">
        <v>28106</v>
      </c>
      <c r="R27" s="212" t="s">
        <v>28106</v>
      </c>
      <c r="S27" s="212" t="s">
        <v>28106</v>
      </c>
      <c r="T27" s="212" t="s">
        <v>28106</v>
      </c>
      <c r="U27" s="212" t="s">
        <v>28106</v>
      </c>
      <c r="V27" s="212" t="s">
        <v>28106</v>
      </c>
      <c r="W27" s="212" t="s">
        <v>28106</v>
      </c>
      <c r="X27" s="212" t="s">
        <v>28106</v>
      </c>
      <c r="Y27" s="212" t="s">
        <v>28106</v>
      </c>
      <c r="Z27" s="212" t="s">
        <v>28106</v>
      </c>
      <c r="AA27" s="212" t="s">
        <v>28106</v>
      </c>
      <c r="AB27" s="212" t="s">
        <v>28106</v>
      </c>
      <c r="AC27" s="212" t="s">
        <v>28106</v>
      </c>
      <c r="AD27" s="212" t="s">
        <v>28106</v>
      </c>
      <c r="AE27" s="212" t="s">
        <v>28106</v>
      </c>
      <c r="AF27" s="212" t="s">
        <v>28106</v>
      </c>
      <c r="AG27" s="212" t="s">
        <v>28106</v>
      </c>
      <c r="AH27" s="212" t="s">
        <v>28106</v>
      </c>
      <c r="AI27" s="212" t="s">
        <v>28106</v>
      </c>
      <c r="AJ27" s="212" t="s">
        <v>28106</v>
      </c>
      <c r="AK27" s="212" t="s">
        <v>28106</v>
      </c>
      <c r="AL27" s="212" t="s">
        <v>28106</v>
      </c>
      <c r="AM27" s="212" t="s">
        <v>28106</v>
      </c>
      <c r="AN27" s="212" t="s">
        <v>28106</v>
      </c>
      <c r="AO27" s="212" t="s">
        <v>28106</v>
      </c>
    </row>
    <row r="28" spans="1:173" s="176" customFormat="1" ht="28.15" customHeight="1">
      <c r="A28" s="327"/>
      <c r="B28" s="328"/>
      <c r="C28" s="329"/>
      <c r="D28" s="329"/>
      <c r="E28" s="329"/>
      <c r="AG28" s="330"/>
      <c r="AH28" s="331"/>
      <c r="AI28" s="331"/>
      <c r="AJ28" s="331"/>
      <c r="AK28" s="331"/>
      <c r="AL28" s="331"/>
      <c r="AM28" s="331"/>
      <c r="AN28" s="331"/>
      <c r="AO28" s="331"/>
      <c r="AP28" s="331"/>
      <c r="AQ28" s="331"/>
      <c r="AT28" s="332"/>
      <c r="AU28" s="332"/>
      <c r="AV28" s="331"/>
      <c r="AW28" s="331"/>
      <c r="AX28" s="331"/>
      <c r="AY28" s="331"/>
      <c r="AZ28" s="331"/>
      <c r="BA28" s="331"/>
      <c r="BB28" s="327"/>
      <c r="BC28" s="327"/>
      <c r="BE28" s="327"/>
      <c r="BF28" s="327"/>
      <c r="BG28" s="327"/>
      <c r="BH28" s="331"/>
      <c r="BI28" s="331"/>
      <c r="BJ28" s="331"/>
      <c r="BK28" s="331"/>
      <c r="BN28" s="331"/>
      <c r="BO28" s="332"/>
      <c r="BP28" s="331"/>
      <c r="BQ28" s="332"/>
      <c r="BR28" s="331"/>
      <c r="BS28" s="331"/>
      <c r="BX28" s="333"/>
      <c r="BY28" s="332"/>
      <c r="BZ28" s="331"/>
      <c r="CA28" s="331"/>
      <c r="CB28" s="331"/>
      <c r="CC28" s="331"/>
      <c r="CD28" s="334"/>
      <c r="CE28" s="331"/>
      <c r="CF28" s="331"/>
      <c r="CG28" s="331"/>
      <c r="CH28" s="331"/>
      <c r="CI28" s="331"/>
      <c r="CJ28" s="331"/>
      <c r="CK28" s="331"/>
      <c r="CL28" s="331"/>
      <c r="CM28" s="331"/>
      <c r="CN28" s="331"/>
      <c r="CO28" s="331"/>
      <c r="CP28" s="331"/>
      <c r="CQ28" s="331"/>
      <c r="CR28" s="331"/>
      <c r="CS28" s="331"/>
      <c r="CT28" s="331"/>
      <c r="CU28" s="331"/>
      <c r="CV28" s="331"/>
      <c r="CW28" s="331"/>
      <c r="CX28" s="331"/>
      <c r="CY28" s="331"/>
      <c r="CZ28" s="331"/>
      <c r="DA28" s="331"/>
      <c r="DB28" s="331"/>
      <c r="DC28" s="331"/>
      <c r="DD28" s="331"/>
      <c r="DE28" s="331"/>
      <c r="DF28" s="331"/>
      <c r="DG28" s="331"/>
      <c r="DH28" s="331"/>
      <c r="DI28" s="331"/>
      <c r="DJ28" s="331"/>
      <c r="DK28" s="331"/>
      <c r="DL28" s="331"/>
      <c r="DM28" s="331"/>
      <c r="DN28" s="331"/>
      <c r="DO28" s="331"/>
      <c r="DP28" s="331"/>
      <c r="DQ28" s="331"/>
      <c r="DR28" s="331"/>
      <c r="DS28" s="331"/>
      <c r="DT28" s="331"/>
      <c r="DU28" s="331"/>
      <c r="DV28" s="331"/>
      <c r="DW28" s="331"/>
      <c r="DX28" s="331"/>
      <c r="DY28" s="331"/>
      <c r="DZ28" s="331"/>
      <c r="EA28" s="331"/>
      <c r="EB28" s="331"/>
      <c r="EC28" s="331"/>
      <c r="ED28" s="331"/>
      <c r="EE28" s="331"/>
      <c r="EF28" s="331"/>
      <c r="EG28" s="333"/>
      <c r="EH28" s="331"/>
      <c r="EI28" s="332"/>
      <c r="EJ28" s="332"/>
      <c r="EK28" s="331"/>
      <c r="EL28" s="332"/>
      <c r="EM28" s="331"/>
      <c r="EN28" s="331"/>
      <c r="EO28" s="334"/>
      <c r="EP28" s="331"/>
      <c r="EQ28" s="331"/>
      <c r="ER28" s="332"/>
      <c r="ES28" s="329"/>
      <c r="ET28" s="329"/>
      <c r="EU28" s="331"/>
      <c r="EV28" s="329"/>
      <c r="EW28" s="332"/>
      <c r="EX28" s="335"/>
      <c r="EY28" s="329"/>
      <c r="EZ28" s="329"/>
      <c r="FA28" s="329"/>
      <c r="FB28" s="335"/>
      <c r="FC28" s="335"/>
      <c r="FD28" s="335"/>
      <c r="FE28" s="329"/>
      <c r="FF28" s="329"/>
      <c r="FG28" s="329"/>
      <c r="FH28" s="335"/>
      <c r="FI28" s="335"/>
      <c r="FJ28" s="335"/>
      <c r="FK28" s="329"/>
      <c r="FL28" s="329"/>
      <c r="FM28" s="329"/>
      <c r="FN28" s="335"/>
      <c r="FO28" s="335"/>
      <c r="FP28" s="336"/>
      <c r="FQ28" s="336"/>
    </row>
    <row r="29" spans="1:173" s="382" customFormat="1" ht="28.15" customHeight="1">
      <c r="A29" s="404" t="s">
        <v>27992</v>
      </c>
      <c r="B29" s="380"/>
      <c r="C29" s="381"/>
      <c r="D29" s="381"/>
      <c r="E29" s="381"/>
      <c r="H29" s="383"/>
      <c r="I29" s="383"/>
      <c r="J29" s="383"/>
      <c r="K29" s="383"/>
      <c r="L29" s="379"/>
      <c r="M29" s="379"/>
      <c r="Q29" s="379"/>
      <c r="R29" s="379"/>
      <c r="S29" s="379"/>
      <c r="T29" s="383"/>
      <c r="U29" s="383"/>
      <c r="V29" s="383"/>
      <c r="W29" s="383"/>
      <c r="X29" s="384"/>
      <c r="Y29" s="384"/>
      <c r="Z29" s="383"/>
      <c r="AA29" s="385"/>
      <c r="AB29" s="385"/>
      <c r="AC29" s="385"/>
      <c r="AD29" s="385"/>
      <c r="AE29" s="385"/>
      <c r="AF29" s="383"/>
      <c r="AG29" s="385"/>
      <c r="AH29" s="383"/>
      <c r="AI29" s="383"/>
      <c r="AJ29" s="383"/>
      <c r="AK29" s="383"/>
      <c r="AL29" s="383"/>
      <c r="AM29" s="383"/>
      <c r="AN29" s="383"/>
      <c r="AO29" s="383"/>
      <c r="AP29" s="383"/>
      <c r="AQ29" s="383"/>
      <c r="AT29" s="386"/>
      <c r="AU29" s="386"/>
      <c r="AV29" s="383"/>
      <c r="AW29" s="383"/>
      <c r="AX29" s="383"/>
      <c r="AY29" s="383"/>
      <c r="AZ29" s="383"/>
      <c r="BA29" s="383"/>
      <c r="BB29" s="379"/>
      <c r="BC29" s="379"/>
      <c r="BE29" s="379"/>
      <c r="BF29" s="379"/>
      <c r="BG29" s="379"/>
      <c r="BH29" s="383"/>
      <c r="BI29" s="383"/>
      <c r="BJ29" s="383"/>
      <c r="BK29" s="383"/>
      <c r="BN29" s="383"/>
      <c r="BO29" s="386"/>
      <c r="BP29" s="383"/>
      <c r="BQ29" s="386"/>
      <c r="BR29" s="383"/>
      <c r="BS29" s="383"/>
      <c r="BX29" s="387"/>
      <c r="BY29" s="386"/>
      <c r="BZ29" s="383"/>
      <c r="CA29" s="383"/>
      <c r="CB29" s="383"/>
      <c r="CC29" s="383"/>
      <c r="CD29" s="388"/>
      <c r="CE29" s="383"/>
      <c r="CF29" s="383"/>
      <c r="CG29" s="383"/>
      <c r="CH29" s="383"/>
      <c r="CI29" s="383"/>
      <c r="CJ29" s="383"/>
      <c r="CK29" s="383"/>
      <c r="CL29" s="383"/>
      <c r="CM29" s="383"/>
      <c r="CN29" s="383"/>
      <c r="CO29" s="383"/>
      <c r="CP29" s="383"/>
      <c r="CQ29" s="383"/>
      <c r="CR29" s="383"/>
      <c r="CS29" s="383"/>
      <c r="CT29" s="383"/>
      <c r="CU29" s="383"/>
      <c r="CV29" s="383"/>
      <c r="CW29" s="383"/>
      <c r="CX29" s="383"/>
      <c r="CY29" s="383"/>
      <c r="CZ29" s="383"/>
      <c r="DA29" s="383"/>
      <c r="DB29" s="383"/>
      <c r="DC29" s="383"/>
      <c r="DD29" s="383"/>
      <c r="DE29" s="383"/>
      <c r="DF29" s="383"/>
      <c r="DG29" s="383"/>
      <c r="DH29" s="383"/>
      <c r="DI29" s="383"/>
      <c r="DJ29" s="383"/>
      <c r="DK29" s="383"/>
      <c r="DL29" s="383"/>
      <c r="DM29" s="383"/>
      <c r="DN29" s="383"/>
      <c r="DO29" s="383"/>
      <c r="DP29" s="383"/>
      <c r="DQ29" s="383"/>
      <c r="DR29" s="383"/>
      <c r="DS29" s="383"/>
      <c r="DT29" s="383"/>
      <c r="DU29" s="383"/>
      <c r="DV29" s="383"/>
      <c r="DW29" s="383"/>
      <c r="DX29" s="383"/>
      <c r="DY29" s="383"/>
      <c r="DZ29" s="383"/>
      <c r="EA29" s="383"/>
      <c r="EB29" s="383"/>
      <c r="EC29" s="383"/>
      <c r="ED29" s="383"/>
      <c r="EE29" s="383"/>
      <c r="EF29" s="383"/>
      <c r="EG29" s="387"/>
      <c r="EH29" s="383"/>
      <c r="EI29" s="386"/>
      <c r="EJ29" s="386"/>
      <c r="EK29" s="383"/>
      <c r="EL29" s="386"/>
      <c r="EM29" s="383"/>
      <c r="EN29" s="383"/>
      <c r="EO29" s="388"/>
      <c r="EP29" s="383"/>
      <c r="EQ29" s="383"/>
      <c r="ER29" s="386"/>
      <c r="ES29" s="381"/>
      <c r="ET29" s="381"/>
      <c r="EU29" s="383"/>
      <c r="EV29" s="381"/>
      <c r="EW29" s="386"/>
      <c r="EX29" s="389"/>
      <c r="EY29" s="381"/>
      <c r="EZ29" s="381"/>
      <c r="FA29" s="381"/>
      <c r="FB29" s="389"/>
      <c r="FC29" s="389"/>
      <c r="FD29" s="389"/>
      <c r="FE29" s="381"/>
      <c r="FF29" s="381"/>
      <c r="FG29" s="381"/>
      <c r="FH29" s="389"/>
      <c r="FI29" s="389"/>
      <c r="FJ29" s="389"/>
      <c r="FK29" s="381"/>
      <c r="FL29" s="381"/>
      <c r="FM29" s="381"/>
      <c r="FN29" s="389"/>
      <c r="FO29" s="389"/>
      <c r="FP29" s="390"/>
      <c r="FQ29" s="390"/>
    </row>
    <row r="30" spans="1:173" s="382" customFormat="1" ht="28.15" customHeight="1">
      <c r="A30" s="379"/>
      <c r="B30" s="380"/>
      <c r="C30" s="381"/>
      <c r="D30" s="381"/>
      <c r="E30" s="381"/>
      <c r="H30" s="383"/>
      <c r="I30" s="383"/>
      <c r="J30" s="383"/>
      <c r="K30" s="383"/>
      <c r="L30" s="379"/>
      <c r="M30" s="379"/>
      <c r="Q30" s="379"/>
      <c r="R30" s="379"/>
      <c r="S30" s="379"/>
      <c r="T30" s="383"/>
      <c r="U30" s="383"/>
      <c r="V30" s="383"/>
      <c r="W30" s="383"/>
      <c r="X30" s="384"/>
      <c r="Y30" s="384"/>
      <c r="Z30" s="383"/>
      <c r="AA30" s="385"/>
      <c r="AB30" s="385"/>
      <c r="AC30" s="385"/>
      <c r="AD30" s="385"/>
      <c r="AE30" s="385"/>
      <c r="AF30" s="383"/>
      <c r="AG30" s="385"/>
      <c r="AH30" s="383"/>
      <c r="AI30" s="383"/>
      <c r="AJ30" s="383"/>
      <c r="AK30" s="383"/>
      <c r="AL30" s="383"/>
      <c r="AM30" s="383"/>
      <c r="AN30" s="383"/>
      <c r="AO30" s="383"/>
      <c r="AP30" s="383"/>
      <c r="AQ30" s="383"/>
      <c r="AT30" s="386"/>
      <c r="AU30" s="386"/>
      <c r="AV30" s="383"/>
      <c r="AW30" s="383"/>
      <c r="AX30" s="383"/>
      <c r="AY30" s="383"/>
      <c r="AZ30" s="383"/>
      <c r="BA30" s="383"/>
      <c r="BB30" s="379"/>
      <c r="BC30" s="379"/>
      <c r="BE30" s="379"/>
      <c r="BF30" s="379"/>
      <c r="BG30" s="379"/>
      <c r="BH30" s="383"/>
      <c r="BI30" s="383"/>
      <c r="BJ30" s="383"/>
      <c r="BK30" s="383"/>
      <c r="BN30" s="383"/>
      <c r="BO30" s="386"/>
      <c r="BP30" s="383"/>
      <c r="BQ30" s="386"/>
      <c r="BR30" s="383"/>
      <c r="BS30" s="383"/>
      <c r="BX30" s="387"/>
      <c r="BY30" s="386"/>
      <c r="BZ30" s="383"/>
      <c r="CA30" s="383"/>
      <c r="CB30" s="383"/>
      <c r="CC30" s="383"/>
      <c r="CD30" s="388"/>
      <c r="CE30" s="383"/>
      <c r="CF30" s="383"/>
      <c r="CG30" s="383"/>
      <c r="CH30" s="383"/>
      <c r="CI30" s="383"/>
      <c r="CJ30" s="383"/>
      <c r="CK30" s="383"/>
      <c r="CL30" s="383"/>
      <c r="CM30" s="383"/>
      <c r="CN30" s="383"/>
      <c r="CO30" s="383"/>
      <c r="CP30" s="383"/>
      <c r="CQ30" s="383"/>
      <c r="CR30" s="383"/>
      <c r="CS30" s="383"/>
      <c r="CT30" s="383"/>
      <c r="CU30" s="383"/>
      <c r="CV30" s="383"/>
      <c r="CW30" s="383"/>
      <c r="CX30" s="383"/>
      <c r="CY30" s="383"/>
      <c r="CZ30" s="383"/>
      <c r="DA30" s="383"/>
      <c r="DB30" s="383"/>
      <c r="DC30" s="383"/>
      <c r="DD30" s="383"/>
      <c r="DE30" s="383"/>
      <c r="DF30" s="383"/>
      <c r="DG30" s="383"/>
      <c r="DH30" s="383"/>
      <c r="DI30" s="383"/>
      <c r="DJ30" s="383"/>
      <c r="DK30" s="383"/>
      <c r="DL30" s="383"/>
      <c r="DM30" s="383"/>
      <c r="DN30" s="383"/>
      <c r="DO30" s="383"/>
      <c r="DP30" s="383"/>
      <c r="DQ30" s="383"/>
      <c r="DR30" s="383"/>
      <c r="DS30" s="383"/>
      <c r="DT30" s="383"/>
      <c r="DU30" s="383"/>
      <c r="DV30" s="383"/>
      <c r="DW30" s="383"/>
      <c r="DX30" s="383"/>
      <c r="DY30" s="383"/>
      <c r="DZ30" s="383"/>
      <c r="EA30" s="383"/>
      <c r="EB30" s="383"/>
      <c r="EC30" s="383"/>
      <c r="ED30" s="383"/>
      <c r="EE30" s="383"/>
      <c r="EF30" s="383"/>
      <c r="EG30" s="387"/>
      <c r="EH30" s="383"/>
      <c r="EI30" s="386"/>
      <c r="EJ30" s="386"/>
      <c r="EK30" s="383"/>
      <c r="EL30" s="386"/>
      <c r="EM30" s="383"/>
      <c r="EN30" s="383"/>
      <c r="EO30" s="388"/>
      <c r="EP30" s="383"/>
      <c r="EQ30" s="383"/>
      <c r="ER30" s="386"/>
      <c r="ES30" s="381"/>
      <c r="ET30" s="381"/>
      <c r="EU30" s="383"/>
      <c r="EV30" s="381"/>
      <c r="EW30" s="386"/>
      <c r="EX30" s="389"/>
      <c r="EY30" s="381"/>
      <c r="EZ30" s="381"/>
      <c r="FA30" s="381"/>
      <c r="FB30" s="389"/>
      <c r="FC30" s="389"/>
      <c r="FD30" s="389"/>
      <c r="FE30" s="381"/>
      <c r="FF30" s="381"/>
      <c r="FG30" s="381"/>
      <c r="FH30" s="389"/>
      <c r="FI30" s="389"/>
      <c r="FJ30" s="389"/>
      <c r="FK30" s="381"/>
      <c r="FL30" s="381"/>
      <c r="FM30" s="381"/>
      <c r="FN30" s="389"/>
      <c r="FO30" s="389"/>
      <c r="FP30" s="390"/>
      <c r="FQ30" s="390"/>
    </row>
    <row r="31" spans="1:173" ht="22.5" customHeight="1">
      <c r="A31" s="129"/>
      <c r="B31" s="425" t="s">
        <v>28107</v>
      </c>
      <c r="C31" s="135" t="str">
        <f>C18</f>
        <v>FLCU01</v>
      </c>
      <c r="D31" s="145" t="str">
        <f>IF(Web!G7="","",Web!G7)</f>
        <v>1100</v>
      </c>
      <c r="E31" s="144" t="str">
        <f>IF(Web!G8="","",Web!G8)</f>
        <v>10</v>
      </c>
      <c r="F31" s="135" t="str">
        <f>F18</f>
        <v>00</v>
      </c>
      <c r="G31" s="144" t="str">
        <f>IF(Web!K35="","",Web!K35)</f>
        <v>115003</v>
      </c>
      <c r="H31" s="144" t="str">
        <f>IF(Web!P35="","",Web!P35)</f>
        <v>01</v>
      </c>
      <c r="I31" s="144" t="str">
        <f>IF(Web!K34="","",Web!K34)</f>
        <v>1001</v>
      </c>
      <c r="J31" s="144" t="str">
        <f>IF(Web!P34="","",Web!P34)</f>
        <v>A11</v>
      </c>
      <c r="K31" s="144" t="str">
        <f>IF(Web!K100="","",Web!K100)</f>
        <v>THB</v>
      </c>
      <c r="L31" s="144" t="str">
        <f>IF(Web!$K$101="","",Web!$K$101)</f>
        <v/>
      </c>
      <c r="M31" s="143"/>
      <c r="N31" s="143"/>
      <c r="O31" s="143"/>
      <c r="P31" s="135" t="str">
        <f>P18</f>
        <v>1</v>
      </c>
      <c r="Q31" s="144" t="str">
        <f>IF(Web!U40="","",Web!U40)</f>
        <v>SS</v>
      </c>
      <c r="R31" s="144" t="str">
        <f>IF(Web!P85="","",Web!P85)</f>
        <v>X</v>
      </c>
      <c r="S31" s="144" t="str">
        <f>IF(Web!K74="","",Web!K74)</f>
        <v>11</v>
      </c>
      <c r="T31" s="143"/>
      <c r="U31" s="144" t="str">
        <f>IF(Web!K36="","",Web!K36)</f>
        <v>02</v>
      </c>
      <c r="V31" s="143"/>
      <c r="W31" s="143"/>
      <c r="X31" s="144" t="str">
        <f>IF(Web!K75="","",Web!K75)</f>
        <v/>
      </c>
      <c r="Y31" s="144" t="str">
        <f>IF(Web!P75="","",Web!P75)</f>
        <v/>
      </c>
      <c r="Z31" s="143"/>
      <c r="AA31" s="144" t="str">
        <f>IF(Web!U39="","",Web!U39)</f>
        <v>1MED</v>
      </c>
      <c r="AB31" s="145" t="str">
        <f>IF(Web!G7="","",Web!G7)</f>
        <v>1100</v>
      </c>
      <c r="AC31" s="144" t="str">
        <f>IF(Web!K85="","",Web!K85)</f>
        <v>01</v>
      </c>
      <c r="AD31" s="144" t="str">
        <f>IF(Web!P86="","",Web!P86)</f>
        <v>1</v>
      </c>
      <c r="AE31" s="143"/>
      <c r="AF31" s="143"/>
      <c r="AG31" s="143"/>
      <c r="AH31" s="143"/>
      <c r="AI31" s="143"/>
      <c r="AJ31" s="143"/>
      <c r="AK31" s="143"/>
      <c r="AL31" s="143"/>
      <c r="AM31" s="143"/>
      <c r="AN31" s="143"/>
      <c r="AO31" s="143"/>
    </row>
  </sheetData>
  <mergeCells count="19">
    <mergeCell ref="AN2:AO2"/>
    <mergeCell ref="D9:E9"/>
    <mergeCell ref="I9:J9"/>
    <mergeCell ref="AE1:AI1"/>
    <mergeCell ref="AJ1:AO1"/>
    <mergeCell ref="G2:N2"/>
    <mergeCell ref="O2:Q2"/>
    <mergeCell ref="S2:U2"/>
    <mergeCell ref="V2:W2"/>
    <mergeCell ref="X2:AB2"/>
    <mergeCell ref="AE2:AI2"/>
    <mergeCell ref="AJ2:AK2"/>
    <mergeCell ref="AL2:AM2"/>
    <mergeCell ref="X1:AD1"/>
    <mergeCell ref="A1:A2"/>
    <mergeCell ref="B1:C2"/>
    <mergeCell ref="D1:F2"/>
    <mergeCell ref="G1:R1"/>
    <mergeCell ref="S1:W1"/>
  </mergeCells>
  <conditionalFormatting sqref="D21:E21">
    <cfRule type="cellIs" dxfId="44" priority="3" operator="equal">
      <formula>"View Sale"</formula>
    </cfRule>
  </conditionalFormatting>
  <conditionalFormatting sqref="G21:L21">
    <cfRule type="cellIs" dxfId="43" priority="6" operator="equal">
      <formula>"View Sale"</formula>
    </cfRule>
  </conditionalFormatting>
  <conditionalFormatting sqref="Q21:S21">
    <cfRule type="cellIs" dxfId="42" priority="5" operator="equal">
      <formula>"View Sale"</formula>
    </cfRule>
  </conditionalFormatting>
  <conditionalFormatting sqref="U21">
    <cfRule type="cellIs" dxfId="41" priority="7" operator="equal">
      <formula>"View Sale"</formula>
    </cfRule>
  </conditionalFormatting>
  <conditionalFormatting sqref="X21:Y21">
    <cfRule type="cellIs" dxfId="40" priority="4" operator="equal">
      <formula>"View Sale"</formula>
    </cfRule>
  </conditionalFormatting>
  <conditionalFormatting sqref="AA21:AD21">
    <cfRule type="cellIs" dxfId="39" priority="1" operator="equal">
      <formula>"View Sale"</formula>
    </cfRule>
  </conditionalFormatting>
  <hyperlinks>
    <hyperlink ref="G9" location="'Sales District (Cust Area)'!A1" display="Customer area" xr:uid="{E47BBAB0-1A12-47F5-B53F-96BD58CD2099}"/>
    <hyperlink ref="U9" location="'Shipping Condition'!A1" display="Shipping Conditions" xr:uid="{D14FB006-01B4-4275-80D4-8CB228A0B983}"/>
    <hyperlink ref="AC9" location="'Account Assignment'!A1" display="Account Assignment group" xr:uid="{8E9282FC-140B-4652-8E0D-357A6FC62163}"/>
    <hyperlink ref="X9" location="Incoterm!A1" display="Reference" xr:uid="{C8B7CB4A-402C-45F9-B7CA-D8A2E5756A88}"/>
    <hyperlink ref="I9" location="'Sales office &amp; Sales group'!A1" display="Reference" xr:uid="{A354AF6A-C71A-4A1C-ABBA-6F2EB030E321}"/>
    <hyperlink ref="H9" location="'Customer Group'!A1" display="Reference" xr:uid="{E7B71907-B45F-4F5C-8A75-281A40F836C3}"/>
    <hyperlink ref="Q9" location="'Price List'!A1" display="Reference" xr:uid="{D449C084-6000-4CC8-B192-6FBF8E239FC6}"/>
    <hyperlink ref="AA9" location="'Payment Terms'!A1" display="Reference" xr:uid="{EF318D96-B3AA-474D-B6E6-E3AD10D04FDB}"/>
    <hyperlink ref="S9" location="'Delivery Priority'!A1" display="Reference" xr:uid="{93D84631-4D5B-47DE-952A-755D775ED583}"/>
    <hyperlink ref="D9:E9" location="'Sales area'!A1" display="Reference" xr:uid="{67A02272-45B8-4B89-AC35-1C0C840FAD5B}"/>
    <hyperlink ref="I9:J9" location="'S.Office &amp; S.Group'!A1" display="Reference" xr:uid="{BB40A06F-56F9-4D10-9C9A-060B538DF6E6}"/>
    <hyperlink ref="AJ9:AO9" location="'Block Status'!A1" display="Block SO ทุก Sales area" xr:uid="{351A2602-BFEC-4C25-A1BB-B2BFA38B0F80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38AAF-E6A5-436C-AD39-EFF21076871A}">
  <sheetPr codeName="Sheet5"/>
  <dimension ref="A1:FQ313"/>
  <sheetViews>
    <sheetView topLeftCell="C45" zoomScale="70" zoomScaleNormal="70" workbookViewId="0">
      <selection activeCell="I68" sqref="I68"/>
    </sheetView>
  </sheetViews>
  <sheetFormatPr defaultColWidth="9" defaultRowHeight="12.75"/>
  <cols>
    <col min="1" max="1" width="39.25" style="338" bestFit="1" customWidth="1"/>
    <col min="2" max="2" width="39.25" style="338" customWidth="1"/>
    <col min="3" max="3" width="21" style="338" bestFit="1" customWidth="1"/>
    <col min="4" max="4" width="40.625" style="342" customWidth="1"/>
    <col min="5" max="5" width="38.375" style="342" customWidth="1"/>
    <col min="6" max="6" width="49.125" style="342" customWidth="1"/>
    <col min="7" max="7" width="41.25" style="342" customWidth="1"/>
    <col min="8" max="8" width="40.875" style="342" customWidth="1"/>
    <col min="9" max="9" width="18.25" style="342" customWidth="1"/>
    <col min="10" max="10" width="25.75" style="342" customWidth="1"/>
    <col min="11" max="11" width="32.25" style="342" customWidth="1"/>
    <col min="12" max="16384" width="9" style="338"/>
  </cols>
  <sheetData>
    <row r="1" spans="1:11" s="1" customFormat="1" ht="15" customHeight="1">
      <c r="A1" s="470" t="s">
        <v>28108</v>
      </c>
      <c r="B1" s="497"/>
      <c r="C1" s="472" t="s">
        <v>27994</v>
      </c>
      <c r="D1" s="473"/>
      <c r="E1" s="476" t="s">
        <v>27995</v>
      </c>
      <c r="F1" s="476"/>
      <c r="G1" s="476"/>
      <c r="H1" s="496" t="s">
        <v>132</v>
      </c>
      <c r="I1" s="496"/>
      <c r="J1" s="208"/>
      <c r="K1" s="36"/>
    </row>
    <row r="2" spans="1:11" s="1" customFormat="1" ht="14.25">
      <c r="A2" s="471"/>
      <c r="B2" s="498"/>
      <c r="C2" s="474"/>
      <c r="D2" s="475"/>
      <c r="E2" s="476"/>
      <c r="F2" s="476"/>
      <c r="G2" s="476"/>
      <c r="H2" s="496"/>
      <c r="I2" s="496"/>
      <c r="J2" s="208"/>
      <c r="K2" s="36"/>
    </row>
    <row r="3" spans="1:11" s="1" customFormat="1" ht="14.25">
      <c r="A3" s="182" t="s">
        <v>27580</v>
      </c>
      <c r="B3" s="215" t="s">
        <v>28109</v>
      </c>
      <c r="C3" s="183" t="s">
        <v>20</v>
      </c>
      <c r="D3" s="184" t="s">
        <v>27581</v>
      </c>
      <c r="E3" s="185" t="s">
        <v>28011</v>
      </c>
      <c r="F3" s="185" t="s">
        <v>343</v>
      </c>
      <c r="G3" s="185" t="s">
        <v>28012</v>
      </c>
      <c r="H3" s="191" t="s">
        <v>132</v>
      </c>
      <c r="I3" s="191" t="s">
        <v>28110</v>
      </c>
      <c r="J3" s="191" t="s">
        <v>28111</v>
      </c>
      <c r="K3" s="36"/>
    </row>
    <row r="4" spans="1:11" s="1" customFormat="1" ht="14.25">
      <c r="A4" s="192" t="s">
        <v>27704</v>
      </c>
      <c r="B4" s="216" t="s">
        <v>28112</v>
      </c>
      <c r="C4" s="103" t="s">
        <v>28113</v>
      </c>
      <c r="D4" s="103" t="s">
        <v>28034</v>
      </c>
      <c r="E4" s="103" t="s">
        <v>28113</v>
      </c>
      <c r="F4" s="103" t="s">
        <v>28113</v>
      </c>
      <c r="G4" s="103" t="s">
        <v>28113</v>
      </c>
      <c r="H4" s="103" t="s">
        <v>28113</v>
      </c>
      <c r="I4" s="103" t="s">
        <v>28113</v>
      </c>
      <c r="J4" s="103" t="s">
        <v>28113</v>
      </c>
      <c r="K4" s="36"/>
    </row>
    <row r="5" spans="1:11" s="1" customFormat="1" ht="14.25">
      <c r="A5" s="192" t="s">
        <v>27725</v>
      </c>
      <c r="B5" s="216" t="s">
        <v>28112</v>
      </c>
      <c r="C5" s="103" t="s">
        <v>28036</v>
      </c>
      <c r="D5" s="103" t="s">
        <v>28037</v>
      </c>
      <c r="E5" s="103" t="s">
        <v>28038</v>
      </c>
      <c r="F5" s="103" t="s">
        <v>28039</v>
      </c>
      <c r="G5" s="103" t="s">
        <v>28040</v>
      </c>
      <c r="H5" s="103" t="s">
        <v>28114</v>
      </c>
      <c r="I5" s="103" t="s">
        <v>28036</v>
      </c>
      <c r="J5" s="103" t="s">
        <v>28036</v>
      </c>
      <c r="K5" s="36"/>
    </row>
    <row r="6" spans="1:11" s="1" customFormat="1" ht="14.25">
      <c r="A6" s="192" t="s">
        <v>27841</v>
      </c>
      <c r="B6" s="216"/>
      <c r="C6" s="217" t="s">
        <v>113</v>
      </c>
      <c r="D6" s="217" t="s">
        <v>113</v>
      </c>
      <c r="E6" s="217" t="s">
        <v>113</v>
      </c>
      <c r="F6" s="217" t="s">
        <v>113</v>
      </c>
      <c r="G6" s="217" t="s">
        <v>113</v>
      </c>
      <c r="H6" s="217" t="s">
        <v>113</v>
      </c>
      <c r="I6" s="217" t="s">
        <v>113</v>
      </c>
      <c r="J6" s="217"/>
      <c r="K6" s="36"/>
    </row>
    <row r="7" spans="1:11" s="1" customFormat="1" ht="14.25">
      <c r="A7" s="192" t="s">
        <v>27842</v>
      </c>
      <c r="B7" s="216" t="s">
        <v>27843</v>
      </c>
      <c r="C7" s="103" t="s">
        <v>27843</v>
      </c>
      <c r="D7" s="103" t="s">
        <v>27843</v>
      </c>
      <c r="E7" s="103" t="s">
        <v>27843</v>
      </c>
      <c r="F7" s="103" t="s">
        <v>27843</v>
      </c>
      <c r="G7" s="103" t="s">
        <v>27843</v>
      </c>
      <c r="H7" s="103" t="s">
        <v>27843</v>
      </c>
      <c r="I7" s="103" t="s">
        <v>27843</v>
      </c>
      <c r="J7" s="103" t="s">
        <v>27843</v>
      </c>
      <c r="K7" s="36"/>
    </row>
    <row r="8" spans="1:11" s="1" customFormat="1" ht="14.25">
      <c r="A8" s="192" t="s">
        <v>1</v>
      </c>
      <c r="B8" s="216">
        <v>1</v>
      </c>
      <c r="C8" s="103">
        <v>10</v>
      </c>
      <c r="D8" s="103">
        <v>6</v>
      </c>
      <c r="E8" s="103">
        <v>4</v>
      </c>
      <c r="F8" s="103">
        <v>2</v>
      </c>
      <c r="G8" s="103">
        <v>2</v>
      </c>
      <c r="H8" s="103">
        <v>2</v>
      </c>
      <c r="I8" s="103">
        <v>10</v>
      </c>
      <c r="J8" s="103">
        <v>10</v>
      </c>
      <c r="K8" s="36"/>
    </row>
    <row r="9" spans="1:11" s="1" customFormat="1" ht="71.25">
      <c r="A9" s="192" t="s">
        <v>28072</v>
      </c>
      <c r="B9" s="218" t="s">
        <v>28115</v>
      </c>
      <c r="C9" s="206" t="s">
        <v>28116</v>
      </c>
      <c r="D9" s="198" t="s">
        <v>28074</v>
      </c>
      <c r="E9" s="485" t="s">
        <v>28075</v>
      </c>
      <c r="F9" s="486"/>
      <c r="G9" s="199" t="s">
        <v>28076</v>
      </c>
      <c r="H9" s="200" t="s">
        <v>28075</v>
      </c>
      <c r="I9" s="14" t="s">
        <v>28117</v>
      </c>
      <c r="J9" s="201" t="s">
        <v>28118</v>
      </c>
      <c r="K9" s="36" t="s">
        <v>27947</v>
      </c>
    </row>
    <row r="10" spans="1:11" ht="33.75" customHeight="1">
      <c r="B10" s="339"/>
      <c r="C10" s="340" t="s">
        <v>28119</v>
      </c>
      <c r="D10" s="341"/>
      <c r="G10" s="343"/>
      <c r="H10" s="341"/>
      <c r="I10" s="344"/>
      <c r="J10" s="344"/>
    </row>
    <row r="11" spans="1:11" s="342" customFormat="1" ht="33.75" customHeight="1">
      <c r="B11" s="341" t="s">
        <v>27945</v>
      </c>
      <c r="C11" s="341" t="s">
        <v>27945</v>
      </c>
      <c r="D11" s="341" t="s">
        <v>27945</v>
      </c>
      <c r="E11" s="341" t="s">
        <v>27945</v>
      </c>
      <c r="F11" s="341" t="s">
        <v>27945</v>
      </c>
      <c r="G11" s="341" t="s">
        <v>27945</v>
      </c>
      <c r="H11" s="344" t="s">
        <v>3163</v>
      </c>
      <c r="J11" s="411" t="s">
        <v>28120</v>
      </c>
      <c r="K11" s="342" t="s">
        <v>137</v>
      </c>
    </row>
    <row r="12" spans="1:11" s="342" customFormat="1" ht="33.75" customHeight="1">
      <c r="B12" s="341" t="s">
        <v>27945</v>
      </c>
      <c r="C12" s="341" t="s">
        <v>27945</v>
      </c>
      <c r="D12" s="341" t="s">
        <v>27945</v>
      </c>
      <c r="E12" s="341" t="s">
        <v>27945</v>
      </c>
      <c r="F12" s="341" t="s">
        <v>27945</v>
      </c>
      <c r="G12" s="341" t="s">
        <v>27945</v>
      </c>
      <c r="H12" s="344" t="s">
        <v>27946</v>
      </c>
      <c r="J12" s="412">
        <v>1100002</v>
      </c>
      <c r="K12" s="342" t="s">
        <v>283</v>
      </c>
    </row>
    <row r="13" spans="1:11" s="342" customFormat="1" ht="33.75" customHeight="1">
      <c r="B13" s="341" t="s">
        <v>27945</v>
      </c>
      <c r="C13" s="341" t="s">
        <v>27945</v>
      </c>
      <c r="D13" s="341" t="s">
        <v>27945</v>
      </c>
      <c r="E13" s="341" t="s">
        <v>27945</v>
      </c>
      <c r="F13" s="341" t="s">
        <v>27945</v>
      </c>
      <c r="G13" s="341" t="s">
        <v>27945</v>
      </c>
      <c r="H13" s="341" t="s">
        <v>516</v>
      </c>
      <c r="J13" s="411" t="s">
        <v>28121</v>
      </c>
      <c r="K13" s="342" t="s">
        <v>145</v>
      </c>
    </row>
    <row r="14" spans="1:11" s="342" customFormat="1" ht="33.75" customHeight="1">
      <c r="B14" s="341" t="s">
        <v>27945</v>
      </c>
      <c r="C14" s="341" t="s">
        <v>27945</v>
      </c>
      <c r="D14" s="341" t="s">
        <v>27945</v>
      </c>
      <c r="E14" s="341" t="s">
        <v>27945</v>
      </c>
      <c r="F14" s="341" t="s">
        <v>27945</v>
      </c>
      <c r="G14" s="341" t="s">
        <v>27945</v>
      </c>
      <c r="H14" s="341" t="s">
        <v>305</v>
      </c>
      <c r="J14" s="412">
        <v>1100004</v>
      </c>
      <c r="K14" s="342" t="s">
        <v>303</v>
      </c>
    </row>
    <row r="15" spans="1:11" ht="33.75" customHeight="1">
      <c r="B15" s="341" t="s">
        <v>27945</v>
      </c>
      <c r="C15" s="341" t="s">
        <v>27945</v>
      </c>
      <c r="D15" s="341" t="s">
        <v>27945</v>
      </c>
      <c r="E15" s="341" t="s">
        <v>27945</v>
      </c>
      <c r="F15" s="341" t="s">
        <v>27945</v>
      </c>
      <c r="G15" s="341" t="s">
        <v>27945</v>
      </c>
      <c r="H15" s="341" t="s">
        <v>309</v>
      </c>
      <c r="J15" s="411">
        <v>1100005</v>
      </c>
      <c r="K15" s="342" t="s">
        <v>307</v>
      </c>
    </row>
    <row r="16" spans="1:11" ht="33.75" customHeight="1">
      <c r="B16" s="339"/>
      <c r="C16" s="340"/>
      <c r="D16" s="341"/>
      <c r="G16" s="343"/>
      <c r="H16" s="341"/>
      <c r="J16" s="344"/>
    </row>
    <row r="17" spans="1:11" ht="14.25">
      <c r="A17" s="122"/>
      <c r="B17" s="123"/>
      <c r="C17" s="123"/>
      <c r="D17" s="123"/>
      <c r="E17" s="123"/>
      <c r="F17" s="123"/>
      <c r="G17" s="123"/>
      <c r="H17" s="123"/>
      <c r="I17" s="123"/>
      <c r="J17" s="123"/>
    </row>
    <row r="18" spans="1:11" ht="18">
      <c r="A18" s="129" t="s">
        <v>27956</v>
      </c>
      <c r="B18" s="130" t="s">
        <v>27957</v>
      </c>
      <c r="C18" s="209" t="s">
        <v>28104</v>
      </c>
      <c r="D18" s="130" t="s">
        <v>27957</v>
      </c>
      <c r="E18" s="132" t="s">
        <v>27959</v>
      </c>
      <c r="F18" s="132" t="s">
        <v>27959</v>
      </c>
      <c r="G18" s="130" t="s">
        <v>27957</v>
      </c>
      <c r="H18" s="130" t="s">
        <v>27957</v>
      </c>
      <c r="I18" s="132" t="s">
        <v>27959</v>
      </c>
      <c r="J18" s="131" t="s">
        <v>27958</v>
      </c>
    </row>
    <row r="19" spans="1:11" ht="18">
      <c r="A19" s="134"/>
      <c r="B19" s="222"/>
      <c r="C19" s="210"/>
      <c r="D19" s="222"/>
      <c r="E19" s="138" t="str">
        <f>Web!$E$7</f>
        <v>VR_004</v>
      </c>
      <c r="F19" s="138" t="str">
        <f>Web!$E$8</f>
        <v>VR_005</v>
      </c>
      <c r="G19" s="222"/>
      <c r="H19" s="222"/>
      <c r="I19" s="137" t="str">
        <f>Web!I39</f>
        <v>VS_043</v>
      </c>
      <c r="J19" s="136"/>
    </row>
    <row r="20" spans="1:11" ht="18">
      <c r="A20" s="129" t="s">
        <v>27961</v>
      </c>
      <c r="B20" s="223" t="s">
        <v>386</v>
      </c>
      <c r="C20" s="210"/>
      <c r="D20" s="223" t="s">
        <v>28105</v>
      </c>
      <c r="E20" s="145" t="s">
        <v>27962</v>
      </c>
      <c r="F20" s="144" t="s">
        <v>343</v>
      </c>
      <c r="G20" s="224" t="s">
        <v>388</v>
      </c>
      <c r="H20" s="224" t="s">
        <v>3163</v>
      </c>
      <c r="I20" s="144" t="s">
        <v>137</v>
      </c>
      <c r="J20" s="143"/>
      <c r="K20" s="342" t="s">
        <v>137</v>
      </c>
    </row>
    <row r="21" spans="1:11" ht="158.25" customHeight="1">
      <c r="A21" s="134" t="s">
        <v>27963</v>
      </c>
      <c r="B21" s="225"/>
      <c r="C21" s="210"/>
      <c r="D21" s="225"/>
      <c r="E21" s="150"/>
      <c r="F21" s="150"/>
      <c r="G21" s="225"/>
      <c r="H21" s="225"/>
      <c r="I21" s="150"/>
      <c r="J21" s="149"/>
    </row>
    <row r="22" spans="1:11" ht="18">
      <c r="A22" s="129" t="s">
        <v>27983</v>
      </c>
      <c r="B22" s="226"/>
      <c r="C22" s="210"/>
      <c r="D22" s="226"/>
      <c r="E22" s="158" t="s">
        <v>27984</v>
      </c>
      <c r="F22" s="158" t="s">
        <v>27984</v>
      </c>
      <c r="G22" s="226"/>
      <c r="H22" s="226"/>
      <c r="I22" s="158" t="s">
        <v>27984</v>
      </c>
      <c r="J22" s="157"/>
    </row>
    <row r="23" spans="1:11" ht="15">
      <c r="A23" s="131"/>
      <c r="B23" s="131"/>
      <c r="C23" s="131"/>
      <c r="D23" s="131"/>
      <c r="E23" s="163" t="s">
        <v>0</v>
      </c>
      <c r="F23" s="163" t="s">
        <v>0</v>
      </c>
      <c r="G23" s="131"/>
      <c r="H23" s="131"/>
      <c r="I23" s="165" t="s">
        <v>18</v>
      </c>
      <c r="J23" s="131"/>
    </row>
    <row r="24" spans="1:11" ht="20.25" customHeight="1">
      <c r="B24" s="339" t="s">
        <v>386</v>
      </c>
      <c r="C24" s="340"/>
      <c r="D24" s="341"/>
      <c r="G24" s="343"/>
      <c r="H24" s="341"/>
      <c r="I24" s="344"/>
      <c r="J24" s="344"/>
    </row>
    <row r="25" spans="1:11" ht="14.25">
      <c r="A25" s="122"/>
      <c r="B25" s="123"/>
      <c r="C25" s="123"/>
      <c r="D25" s="123"/>
      <c r="E25" s="123"/>
      <c r="F25" s="123"/>
      <c r="G25" s="123"/>
      <c r="H25" s="123"/>
      <c r="I25" s="123"/>
      <c r="J25" s="123"/>
    </row>
    <row r="26" spans="1:11" ht="18">
      <c r="A26" s="129" t="s">
        <v>27956</v>
      </c>
      <c r="B26" s="130" t="s">
        <v>27957</v>
      </c>
      <c r="C26" s="209" t="s">
        <v>28104</v>
      </c>
      <c r="D26" s="130" t="s">
        <v>27957</v>
      </c>
      <c r="E26" s="132" t="s">
        <v>27959</v>
      </c>
      <c r="F26" s="132" t="s">
        <v>27959</v>
      </c>
      <c r="G26" s="130" t="s">
        <v>27957</v>
      </c>
      <c r="H26" s="130" t="s">
        <v>27957</v>
      </c>
      <c r="I26" s="132" t="s">
        <v>27959</v>
      </c>
      <c r="J26" s="131" t="s">
        <v>27958</v>
      </c>
    </row>
    <row r="27" spans="1:11" ht="18">
      <c r="A27" s="134"/>
      <c r="B27" s="222"/>
      <c r="C27" s="210"/>
      <c r="D27" s="222"/>
      <c r="E27" s="138" t="str">
        <f>Web!$E$7</f>
        <v>VR_004</v>
      </c>
      <c r="F27" s="138" t="str">
        <f>Web!$E$8</f>
        <v>VR_005</v>
      </c>
      <c r="G27" s="222"/>
      <c r="H27" s="222"/>
      <c r="I27" s="137" t="str">
        <f>Web!I79</f>
        <v>VA_047</v>
      </c>
      <c r="J27" s="136"/>
    </row>
    <row r="28" spans="1:11" ht="18">
      <c r="A28" s="129" t="s">
        <v>27961</v>
      </c>
      <c r="B28" s="223" t="s">
        <v>386</v>
      </c>
      <c r="C28" s="210"/>
      <c r="D28" s="223" t="s">
        <v>28105</v>
      </c>
      <c r="E28" s="145" t="s">
        <v>27962</v>
      </c>
      <c r="F28" s="144" t="s">
        <v>343</v>
      </c>
      <c r="G28" s="224" t="s">
        <v>388</v>
      </c>
      <c r="H28" s="224" t="s">
        <v>27946</v>
      </c>
      <c r="I28" s="144" t="s">
        <v>283</v>
      </c>
      <c r="J28" s="143"/>
      <c r="K28" s="342" t="s">
        <v>283</v>
      </c>
    </row>
    <row r="29" spans="1:11" ht="161.25" customHeight="1">
      <c r="A29" s="134" t="s">
        <v>27963</v>
      </c>
      <c r="B29" s="225"/>
      <c r="C29" s="210"/>
      <c r="D29" s="225"/>
      <c r="E29" s="150"/>
      <c r="F29" s="150" t="s">
        <v>28122</v>
      </c>
      <c r="G29" s="225"/>
      <c r="H29" s="225"/>
      <c r="I29" s="150"/>
      <c r="J29" s="149"/>
    </row>
    <row r="30" spans="1:11" ht="18">
      <c r="A30" s="129" t="s">
        <v>27983</v>
      </c>
      <c r="B30" s="226"/>
      <c r="C30" s="210"/>
      <c r="D30" s="226"/>
      <c r="E30" s="158" t="s">
        <v>27984</v>
      </c>
      <c r="F30" s="158" t="s">
        <v>27984</v>
      </c>
      <c r="G30" s="226"/>
      <c r="H30" s="226"/>
      <c r="I30" s="158" t="s">
        <v>27984</v>
      </c>
      <c r="J30" s="157"/>
    </row>
    <row r="31" spans="1:11" ht="15">
      <c r="A31" s="131"/>
      <c r="B31" s="131"/>
      <c r="C31" s="131"/>
      <c r="D31" s="131"/>
      <c r="E31" s="163" t="s">
        <v>0</v>
      </c>
      <c r="F31" s="163" t="s">
        <v>0</v>
      </c>
      <c r="G31" s="131"/>
      <c r="H31" s="131"/>
      <c r="I31" s="164" t="s">
        <v>199</v>
      </c>
      <c r="J31" s="131"/>
    </row>
    <row r="32" spans="1:11" ht="20.25" customHeight="1">
      <c r="B32" s="339"/>
      <c r="C32" s="340"/>
      <c r="D32" s="341"/>
      <c r="G32" s="343"/>
      <c r="H32" s="341"/>
      <c r="I32" s="344"/>
      <c r="J32" s="344"/>
    </row>
    <row r="33" spans="1:11" ht="14.25">
      <c r="A33" s="122"/>
      <c r="B33" s="123"/>
      <c r="C33" s="123"/>
      <c r="D33" s="123"/>
      <c r="E33" s="123"/>
      <c r="F33" s="123"/>
      <c r="G33" s="123"/>
      <c r="H33" s="123"/>
      <c r="I33" s="123"/>
      <c r="J33" s="123"/>
    </row>
    <row r="34" spans="1:11" ht="18">
      <c r="A34" s="129" t="s">
        <v>27956</v>
      </c>
      <c r="B34" s="133" t="s">
        <v>27960</v>
      </c>
      <c r="C34" s="209" t="s">
        <v>28104</v>
      </c>
      <c r="D34" s="133" t="s">
        <v>27960</v>
      </c>
      <c r="E34" s="132" t="s">
        <v>27959</v>
      </c>
      <c r="F34" s="132" t="s">
        <v>27959</v>
      </c>
      <c r="G34" s="133" t="s">
        <v>27960</v>
      </c>
      <c r="H34" s="133" t="s">
        <v>27960</v>
      </c>
      <c r="I34" s="132" t="s">
        <v>27959</v>
      </c>
      <c r="J34" s="131" t="s">
        <v>27958</v>
      </c>
    </row>
    <row r="35" spans="1:11" ht="18">
      <c r="A35" s="134"/>
      <c r="B35" s="139"/>
      <c r="C35" s="210"/>
      <c r="D35" s="139"/>
      <c r="E35" s="138" t="str">
        <f>Web!$E$7</f>
        <v>VR_004</v>
      </c>
      <c r="F35" s="138" t="str">
        <f>Web!$E$8</f>
        <v>VR_005</v>
      </c>
      <c r="G35" s="139"/>
      <c r="H35" s="139"/>
      <c r="I35" s="137" t="str">
        <f>Web!I40</f>
        <v>VS_044</v>
      </c>
      <c r="J35" s="136"/>
    </row>
    <row r="36" spans="1:11" ht="18">
      <c r="A36" s="129" t="s">
        <v>27961</v>
      </c>
      <c r="B36" s="146" t="s">
        <v>386</v>
      </c>
      <c r="C36" s="210"/>
      <c r="D36" s="146" t="s">
        <v>28105</v>
      </c>
      <c r="E36" s="145" t="s">
        <v>27962</v>
      </c>
      <c r="F36" s="144" t="s">
        <v>343</v>
      </c>
      <c r="G36" s="146"/>
      <c r="H36" s="146"/>
      <c r="I36" s="144" t="s">
        <v>145</v>
      </c>
      <c r="J36" s="143"/>
      <c r="K36" s="342" t="s">
        <v>145</v>
      </c>
    </row>
    <row r="37" spans="1:11" ht="162" customHeight="1">
      <c r="A37" s="134" t="s">
        <v>27963</v>
      </c>
      <c r="B37" s="154" t="s">
        <v>28123</v>
      </c>
      <c r="C37" s="210"/>
      <c r="D37" s="154" t="s">
        <v>28124</v>
      </c>
      <c r="E37" s="150" t="s">
        <v>28125</v>
      </c>
      <c r="F37" s="150" t="s">
        <v>28126</v>
      </c>
      <c r="G37" s="154" t="s">
        <v>28127</v>
      </c>
      <c r="H37" s="154" t="s">
        <v>28128</v>
      </c>
      <c r="I37" s="150"/>
      <c r="J37" s="149"/>
    </row>
    <row r="38" spans="1:11" ht="18">
      <c r="A38" s="129" t="s">
        <v>27983</v>
      </c>
      <c r="B38" s="160"/>
      <c r="C38" s="210"/>
      <c r="D38" s="160"/>
      <c r="E38" s="158"/>
      <c r="F38" s="158" t="s">
        <v>27984</v>
      </c>
      <c r="G38" s="160"/>
      <c r="H38" s="160"/>
      <c r="I38" s="158" t="s">
        <v>27984</v>
      </c>
      <c r="J38" s="157"/>
    </row>
    <row r="39" spans="1:11" ht="15">
      <c r="A39" s="131"/>
      <c r="B39" s="131"/>
      <c r="C39" s="131"/>
      <c r="D39" s="131"/>
      <c r="E39" s="163" t="s">
        <v>0</v>
      </c>
      <c r="F39" s="163" t="s">
        <v>0</v>
      </c>
      <c r="G39" s="131"/>
      <c r="H39" s="131"/>
      <c r="I39" s="165" t="s">
        <v>18</v>
      </c>
      <c r="J39" s="131"/>
    </row>
    <row r="40" spans="1:11" ht="20.25" customHeight="1">
      <c r="B40" s="339" t="s">
        <v>386</v>
      </c>
      <c r="C40" s="340"/>
      <c r="D40" s="341" t="s">
        <v>28105</v>
      </c>
      <c r="E40" s="346" t="s">
        <v>14</v>
      </c>
      <c r="F40" s="346" t="s">
        <v>17</v>
      </c>
      <c r="G40" s="343" t="s">
        <v>388</v>
      </c>
      <c r="H40" s="341" t="s">
        <v>516</v>
      </c>
      <c r="I40" s="345">
        <v>1100003</v>
      </c>
      <c r="J40" s="344"/>
    </row>
    <row r="41" spans="1:11" ht="14.25">
      <c r="A41" s="122"/>
      <c r="B41" s="123"/>
      <c r="C41" s="123"/>
      <c r="D41" s="123"/>
      <c r="E41" s="123"/>
      <c r="F41" s="123"/>
      <c r="G41" s="123"/>
      <c r="H41" s="123"/>
      <c r="I41" s="123"/>
      <c r="J41" s="123"/>
    </row>
    <row r="42" spans="1:11" ht="18">
      <c r="A42" s="129" t="s">
        <v>27956</v>
      </c>
      <c r="B42" s="133" t="s">
        <v>27960</v>
      </c>
      <c r="C42" s="209" t="s">
        <v>28104</v>
      </c>
      <c r="D42" s="133" t="s">
        <v>27960</v>
      </c>
      <c r="E42" s="132" t="s">
        <v>27959</v>
      </c>
      <c r="F42" s="132" t="s">
        <v>27959</v>
      </c>
      <c r="G42" s="133" t="s">
        <v>27960</v>
      </c>
      <c r="H42" s="133" t="s">
        <v>27960</v>
      </c>
      <c r="I42" s="132" t="s">
        <v>27959</v>
      </c>
      <c r="J42" s="131" t="s">
        <v>27958</v>
      </c>
    </row>
    <row r="43" spans="1:11" ht="18">
      <c r="A43" s="134"/>
      <c r="B43" s="139"/>
      <c r="C43" s="210"/>
      <c r="D43" s="139"/>
      <c r="E43" s="138" t="str">
        <f>Web!$E$7</f>
        <v>VR_004</v>
      </c>
      <c r="F43" s="138" t="str">
        <f>Web!$E$8</f>
        <v>VR_005</v>
      </c>
      <c r="G43" s="139"/>
      <c r="H43" s="139"/>
      <c r="I43" s="137" t="str">
        <f>Web!S87</f>
        <v>VM_007</v>
      </c>
      <c r="J43" s="136"/>
    </row>
    <row r="44" spans="1:11" ht="18">
      <c r="A44" s="129" t="s">
        <v>27961</v>
      </c>
      <c r="B44" s="146" t="s">
        <v>386</v>
      </c>
      <c r="C44" s="210"/>
      <c r="D44" s="146" t="s">
        <v>28105</v>
      </c>
      <c r="E44" s="145" t="s">
        <v>27962</v>
      </c>
      <c r="F44" s="144" t="s">
        <v>343</v>
      </c>
      <c r="G44" s="146"/>
      <c r="H44" s="146"/>
      <c r="I44" s="144" t="s">
        <v>303</v>
      </c>
      <c r="J44" s="143"/>
      <c r="K44" s="342" t="s">
        <v>303</v>
      </c>
    </row>
    <row r="45" spans="1:11" ht="161.25" customHeight="1">
      <c r="A45" s="134" t="s">
        <v>27963</v>
      </c>
      <c r="B45" s="154" t="s">
        <v>28129</v>
      </c>
      <c r="C45" s="210"/>
      <c r="D45" s="154" t="s">
        <v>28130</v>
      </c>
      <c r="E45" s="150" t="s">
        <v>28125</v>
      </c>
      <c r="F45" s="150" t="s">
        <v>28131</v>
      </c>
      <c r="G45" s="154" t="s">
        <v>28132</v>
      </c>
      <c r="H45" s="154" t="s">
        <v>28133</v>
      </c>
      <c r="I45" s="150"/>
      <c r="J45" s="149"/>
    </row>
    <row r="46" spans="1:11" ht="18">
      <c r="A46" s="129" t="s">
        <v>27983</v>
      </c>
      <c r="B46" s="160"/>
      <c r="C46" s="210"/>
      <c r="D46" s="160"/>
      <c r="E46" s="158"/>
      <c r="F46" s="158" t="s">
        <v>27984</v>
      </c>
      <c r="G46" s="160"/>
      <c r="H46" s="160"/>
      <c r="I46" s="158" t="s">
        <v>27984</v>
      </c>
      <c r="J46" s="157"/>
    </row>
    <row r="47" spans="1:11" ht="15">
      <c r="A47" s="131"/>
      <c r="B47" s="131"/>
      <c r="C47" s="131"/>
      <c r="D47" s="131"/>
      <c r="E47" s="163" t="s">
        <v>0</v>
      </c>
      <c r="F47" s="163" t="s">
        <v>0</v>
      </c>
      <c r="G47" s="131"/>
      <c r="H47" s="131"/>
      <c r="I47" s="161" t="s">
        <v>284</v>
      </c>
      <c r="J47" s="131"/>
    </row>
    <row r="48" spans="1:11" ht="20.25" customHeight="1">
      <c r="B48" s="339" t="s">
        <v>386</v>
      </c>
      <c r="C48" s="340"/>
      <c r="D48" s="341" t="s">
        <v>28105</v>
      </c>
      <c r="E48" s="346" t="s">
        <v>14</v>
      </c>
      <c r="F48" s="346" t="s">
        <v>17</v>
      </c>
      <c r="G48" s="343" t="s">
        <v>388</v>
      </c>
      <c r="H48" s="341" t="s">
        <v>305</v>
      </c>
      <c r="I48" s="345">
        <v>1100004</v>
      </c>
      <c r="J48" s="344"/>
    </row>
    <row r="49" spans="1:173" ht="14.25">
      <c r="A49" s="122"/>
      <c r="B49" s="123"/>
      <c r="C49" s="123"/>
      <c r="D49" s="123"/>
      <c r="E49" s="123"/>
      <c r="F49" s="123"/>
      <c r="G49" s="123"/>
      <c r="H49" s="123"/>
      <c r="I49" s="123"/>
      <c r="J49" s="123"/>
    </row>
    <row r="50" spans="1:173" ht="18">
      <c r="A50" s="129" t="s">
        <v>27956</v>
      </c>
      <c r="B50" s="133" t="s">
        <v>27960</v>
      </c>
      <c r="C50" s="209" t="s">
        <v>28104</v>
      </c>
      <c r="D50" s="133" t="s">
        <v>27960</v>
      </c>
      <c r="E50" s="132" t="s">
        <v>27959</v>
      </c>
      <c r="F50" s="132" t="s">
        <v>27959</v>
      </c>
      <c r="G50" s="133" t="s">
        <v>27960</v>
      </c>
      <c r="H50" s="133" t="s">
        <v>27960</v>
      </c>
      <c r="I50" s="132" t="s">
        <v>27959</v>
      </c>
      <c r="J50" s="131" t="s">
        <v>27958</v>
      </c>
    </row>
    <row r="51" spans="1:173" ht="18">
      <c r="A51" s="134"/>
      <c r="B51" s="139"/>
      <c r="C51" s="210"/>
      <c r="D51" s="139"/>
      <c r="E51" s="138" t="str">
        <f>Web!$E$7</f>
        <v>VR_004</v>
      </c>
      <c r="F51" s="138" t="str">
        <f>Web!$E$8</f>
        <v>VR_005</v>
      </c>
      <c r="G51" s="139"/>
      <c r="H51" s="139"/>
      <c r="I51" s="137" t="str">
        <f>Web!S88</f>
        <v>VM_008</v>
      </c>
      <c r="J51" s="136"/>
    </row>
    <row r="52" spans="1:173" ht="18">
      <c r="A52" s="129" t="s">
        <v>27961</v>
      </c>
      <c r="B52" s="146" t="s">
        <v>386</v>
      </c>
      <c r="C52" s="210"/>
      <c r="D52" s="146" t="s">
        <v>28105</v>
      </c>
      <c r="E52" s="145" t="s">
        <v>27962</v>
      </c>
      <c r="F52" s="144" t="s">
        <v>343</v>
      </c>
      <c r="G52" s="146"/>
      <c r="H52" s="146"/>
      <c r="I52" s="144" t="s">
        <v>307</v>
      </c>
      <c r="J52" s="143"/>
      <c r="K52" s="342" t="s">
        <v>307</v>
      </c>
    </row>
    <row r="53" spans="1:173" ht="159" customHeight="1">
      <c r="A53" s="134" t="s">
        <v>27963</v>
      </c>
      <c r="B53" s="154" t="s">
        <v>28134</v>
      </c>
      <c r="C53" s="210"/>
      <c r="D53" s="154" t="s">
        <v>28135</v>
      </c>
      <c r="E53" s="150" t="s">
        <v>28125</v>
      </c>
      <c r="F53" s="150" t="s">
        <v>28136</v>
      </c>
      <c r="G53" s="154" t="s">
        <v>28137</v>
      </c>
      <c r="H53" s="154" t="s">
        <v>28138</v>
      </c>
      <c r="I53" s="150"/>
      <c r="J53" s="149"/>
    </row>
    <row r="54" spans="1:173" ht="18">
      <c r="A54" s="129" t="s">
        <v>27983</v>
      </c>
      <c r="B54" s="160"/>
      <c r="C54" s="210"/>
      <c r="D54" s="160"/>
      <c r="E54" s="158"/>
      <c r="F54" s="158" t="s">
        <v>27984</v>
      </c>
      <c r="G54" s="160"/>
      <c r="H54" s="160"/>
      <c r="I54" s="158" t="s">
        <v>27984</v>
      </c>
      <c r="J54" s="157"/>
    </row>
    <row r="55" spans="1:173" ht="15">
      <c r="A55" s="131"/>
      <c r="B55" s="131"/>
      <c r="C55" s="131"/>
      <c r="D55" s="131"/>
      <c r="E55" s="163" t="s">
        <v>0</v>
      </c>
      <c r="F55" s="163" t="s">
        <v>0</v>
      </c>
      <c r="G55" s="131"/>
      <c r="H55" s="131"/>
      <c r="I55" s="161" t="s">
        <v>284</v>
      </c>
      <c r="J55" s="131"/>
    </row>
    <row r="56" spans="1:173" ht="20.25" customHeight="1">
      <c r="B56" s="339" t="s">
        <v>386</v>
      </c>
      <c r="C56" s="340"/>
      <c r="D56" s="341" t="s">
        <v>28105</v>
      </c>
      <c r="E56" s="346" t="s">
        <v>14</v>
      </c>
      <c r="F56" s="346" t="s">
        <v>17</v>
      </c>
      <c r="G56" s="343" t="s">
        <v>388</v>
      </c>
      <c r="H56" s="341" t="s">
        <v>309</v>
      </c>
      <c r="I56" s="345" t="s">
        <v>28139</v>
      </c>
      <c r="J56" s="344"/>
    </row>
    <row r="57" spans="1:173" ht="20.25" customHeight="1">
      <c r="A57" s="219"/>
      <c r="B57" s="172" t="s">
        <v>27989</v>
      </c>
      <c r="C57" s="172" t="s">
        <v>27989</v>
      </c>
      <c r="D57" s="172" t="s">
        <v>27989</v>
      </c>
      <c r="E57" s="172" t="s">
        <v>27989</v>
      </c>
      <c r="F57" s="172" t="s">
        <v>27989</v>
      </c>
      <c r="G57" s="172" t="s">
        <v>27989</v>
      </c>
      <c r="H57" s="172" t="s">
        <v>27989</v>
      </c>
      <c r="I57" s="172" t="s">
        <v>27989</v>
      </c>
      <c r="J57" s="344"/>
    </row>
    <row r="58" spans="1:173" ht="20.25" customHeight="1">
      <c r="B58" s="339"/>
      <c r="C58" s="340"/>
      <c r="D58" s="341"/>
      <c r="G58" s="343"/>
      <c r="H58" s="341"/>
      <c r="I58" s="344"/>
      <c r="J58" s="344"/>
    </row>
    <row r="59" spans="1:173" ht="42.75">
      <c r="B59" s="339"/>
      <c r="C59" s="173" t="s">
        <v>27990</v>
      </c>
      <c r="D59" s="220"/>
      <c r="E59" s="173" t="s">
        <v>27990</v>
      </c>
      <c r="F59" s="173" t="s">
        <v>27990</v>
      </c>
      <c r="G59" s="221"/>
      <c r="H59" s="227" t="s">
        <v>28140</v>
      </c>
      <c r="I59" s="173" t="s">
        <v>27990</v>
      </c>
      <c r="J59" s="344"/>
    </row>
    <row r="60" spans="1:173" ht="20.25" customHeight="1">
      <c r="B60" s="339"/>
      <c r="C60" s="340"/>
      <c r="D60" s="341"/>
      <c r="G60" s="343"/>
      <c r="H60" s="341"/>
      <c r="I60" s="344"/>
      <c r="J60" s="344"/>
    </row>
    <row r="61" spans="1:173" ht="20.25" customHeight="1">
      <c r="B61" s="339"/>
      <c r="C61" s="174" t="s">
        <v>27991</v>
      </c>
      <c r="D61" s="174" t="s">
        <v>27991</v>
      </c>
      <c r="E61" s="212" t="s">
        <v>28106</v>
      </c>
      <c r="F61" s="212" t="s">
        <v>28106</v>
      </c>
      <c r="G61" s="212" t="s">
        <v>28106</v>
      </c>
      <c r="H61" s="212" t="s">
        <v>28106</v>
      </c>
      <c r="I61" s="212" t="s">
        <v>28106</v>
      </c>
      <c r="J61" s="212" t="s">
        <v>28106</v>
      </c>
    </row>
    <row r="62" spans="1:173" ht="20.25" customHeight="1">
      <c r="B62" s="339"/>
      <c r="C62" s="340"/>
      <c r="D62" s="341"/>
      <c r="G62" s="343"/>
      <c r="H62" s="341"/>
      <c r="I62" s="344"/>
      <c r="J62" s="344"/>
    </row>
    <row r="63" spans="1:173" s="382" customFormat="1" ht="28.15" customHeight="1">
      <c r="A63" s="404" t="s">
        <v>27992</v>
      </c>
      <c r="B63" s="380"/>
      <c r="C63" s="381"/>
      <c r="D63" s="381"/>
      <c r="E63" s="381"/>
      <c r="H63" s="383"/>
      <c r="I63" s="383"/>
      <c r="J63" s="383"/>
      <c r="K63" s="383"/>
      <c r="L63" s="379"/>
      <c r="M63" s="379"/>
      <c r="Q63" s="379"/>
      <c r="R63" s="379"/>
      <c r="S63" s="379"/>
      <c r="T63" s="383"/>
      <c r="U63" s="383"/>
      <c r="V63" s="383"/>
      <c r="W63" s="383"/>
      <c r="X63" s="384"/>
      <c r="Y63" s="384"/>
      <c r="Z63" s="383"/>
      <c r="AA63" s="385"/>
      <c r="AB63" s="385"/>
      <c r="AC63" s="385"/>
      <c r="AD63" s="385"/>
      <c r="AE63" s="385"/>
      <c r="AF63" s="383"/>
      <c r="AG63" s="385"/>
      <c r="AH63" s="383"/>
      <c r="AI63" s="383"/>
      <c r="AJ63" s="383"/>
      <c r="AK63" s="383"/>
      <c r="AL63" s="383"/>
      <c r="AM63" s="383"/>
      <c r="AN63" s="383"/>
      <c r="AO63" s="383"/>
      <c r="AP63" s="383"/>
      <c r="AQ63" s="383"/>
      <c r="AT63" s="386"/>
      <c r="AU63" s="386"/>
      <c r="AV63" s="383"/>
      <c r="AW63" s="383"/>
      <c r="AX63" s="383"/>
      <c r="AY63" s="383"/>
      <c r="AZ63" s="383"/>
      <c r="BA63" s="383"/>
      <c r="BB63" s="379"/>
      <c r="BC63" s="379"/>
      <c r="BE63" s="379"/>
      <c r="BF63" s="379"/>
      <c r="BG63" s="379"/>
      <c r="BH63" s="383"/>
      <c r="BI63" s="383"/>
      <c r="BJ63" s="383"/>
      <c r="BK63" s="383"/>
      <c r="BN63" s="383"/>
      <c r="BO63" s="386"/>
      <c r="BP63" s="383"/>
      <c r="BQ63" s="386"/>
      <c r="BR63" s="383"/>
      <c r="BS63" s="383"/>
      <c r="BX63" s="387"/>
      <c r="BY63" s="386"/>
      <c r="BZ63" s="383"/>
      <c r="CA63" s="383"/>
      <c r="CB63" s="383"/>
      <c r="CC63" s="383"/>
      <c r="CD63" s="388"/>
      <c r="CE63" s="383"/>
      <c r="CF63" s="383"/>
      <c r="CG63" s="383"/>
      <c r="CH63" s="383"/>
      <c r="CI63" s="383"/>
      <c r="CJ63" s="383"/>
      <c r="CK63" s="383"/>
      <c r="CL63" s="383"/>
      <c r="CM63" s="383"/>
      <c r="CN63" s="383"/>
      <c r="CO63" s="383"/>
      <c r="CP63" s="383"/>
      <c r="CQ63" s="383"/>
      <c r="CR63" s="383"/>
      <c r="CS63" s="383"/>
      <c r="CT63" s="383"/>
      <c r="CU63" s="383"/>
      <c r="CV63" s="383"/>
      <c r="CW63" s="383"/>
      <c r="CX63" s="383"/>
      <c r="CY63" s="383"/>
      <c r="CZ63" s="383"/>
      <c r="DA63" s="383"/>
      <c r="DB63" s="383"/>
      <c r="DC63" s="383"/>
      <c r="DD63" s="383"/>
      <c r="DE63" s="383"/>
      <c r="DF63" s="383"/>
      <c r="DG63" s="383"/>
      <c r="DH63" s="383"/>
      <c r="DI63" s="383"/>
      <c r="DJ63" s="383"/>
      <c r="DK63" s="383"/>
      <c r="DL63" s="383"/>
      <c r="DM63" s="383"/>
      <c r="DN63" s="383"/>
      <c r="DO63" s="383"/>
      <c r="DP63" s="383"/>
      <c r="DQ63" s="383"/>
      <c r="DR63" s="383"/>
      <c r="DS63" s="383"/>
      <c r="DT63" s="383"/>
      <c r="DU63" s="383"/>
      <c r="DV63" s="383"/>
      <c r="DW63" s="383"/>
      <c r="DX63" s="383"/>
      <c r="DY63" s="383"/>
      <c r="DZ63" s="383"/>
      <c r="EA63" s="383"/>
      <c r="EB63" s="383"/>
      <c r="EC63" s="383"/>
      <c r="ED63" s="383"/>
      <c r="EE63" s="383"/>
      <c r="EF63" s="383"/>
      <c r="EG63" s="387"/>
      <c r="EH63" s="383"/>
      <c r="EI63" s="386"/>
      <c r="EJ63" s="386"/>
      <c r="EK63" s="383"/>
      <c r="EL63" s="386"/>
      <c r="EM63" s="383"/>
      <c r="EN63" s="383"/>
      <c r="EO63" s="388"/>
      <c r="EP63" s="383"/>
      <c r="EQ63" s="383"/>
      <c r="ER63" s="386"/>
      <c r="ES63" s="381"/>
      <c r="ET63" s="381"/>
      <c r="EU63" s="383"/>
      <c r="EV63" s="381"/>
      <c r="EW63" s="386"/>
      <c r="EX63" s="389"/>
      <c r="EY63" s="381"/>
      <c r="EZ63" s="381"/>
      <c r="FA63" s="381"/>
      <c r="FB63" s="389"/>
      <c r="FC63" s="389"/>
      <c r="FD63" s="389"/>
      <c r="FE63" s="381"/>
      <c r="FF63" s="381"/>
      <c r="FG63" s="381"/>
      <c r="FH63" s="389"/>
      <c r="FI63" s="389"/>
      <c r="FJ63" s="389"/>
      <c r="FK63" s="381"/>
      <c r="FL63" s="381"/>
      <c r="FM63" s="381"/>
      <c r="FN63" s="389"/>
      <c r="FO63" s="389"/>
      <c r="FP63" s="390"/>
      <c r="FQ63" s="390"/>
    </row>
    <row r="64" spans="1:173" s="382" customFormat="1" ht="28.15" customHeight="1">
      <c r="A64" s="379"/>
      <c r="B64" s="380"/>
      <c r="C64" s="381"/>
      <c r="D64" s="381"/>
      <c r="E64" s="381"/>
      <c r="H64" s="383"/>
      <c r="I64" s="383"/>
      <c r="J64" s="383"/>
      <c r="K64" s="383"/>
      <c r="L64" s="379"/>
      <c r="M64" s="379"/>
      <c r="Q64" s="379"/>
      <c r="R64" s="379"/>
      <c r="S64" s="379"/>
      <c r="T64" s="383"/>
      <c r="U64" s="383"/>
      <c r="V64" s="383"/>
      <c r="W64" s="383"/>
      <c r="X64" s="384"/>
      <c r="Y64" s="384"/>
      <c r="Z64" s="383"/>
      <c r="AA64" s="385"/>
      <c r="AB64" s="385"/>
      <c r="AC64" s="385"/>
      <c r="AD64" s="385"/>
      <c r="AE64" s="385"/>
      <c r="AF64" s="383"/>
      <c r="AG64" s="385"/>
      <c r="AH64" s="383"/>
      <c r="AI64" s="383"/>
      <c r="AJ64" s="383"/>
      <c r="AK64" s="383"/>
      <c r="AL64" s="383"/>
      <c r="AM64" s="383"/>
      <c r="AN64" s="383"/>
      <c r="AO64" s="383"/>
      <c r="AP64" s="383"/>
      <c r="AQ64" s="383"/>
      <c r="AT64" s="386"/>
      <c r="AU64" s="386"/>
      <c r="AV64" s="383"/>
      <c r="AW64" s="383"/>
      <c r="AX64" s="383"/>
      <c r="AY64" s="383"/>
      <c r="AZ64" s="383"/>
      <c r="BA64" s="383"/>
      <c r="BB64" s="379"/>
      <c r="BC64" s="379"/>
      <c r="BE64" s="379"/>
      <c r="BF64" s="379"/>
      <c r="BG64" s="379"/>
      <c r="BH64" s="383"/>
      <c r="BI64" s="383"/>
      <c r="BJ64" s="383"/>
      <c r="BK64" s="383"/>
      <c r="BN64" s="383"/>
      <c r="BO64" s="386"/>
      <c r="BP64" s="383"/>
      <c r="BQ64" s="386"/>
      <c r="BR64" s="383"/>
      <c r="BS64" s="383"/>
      <c r="BX64" s="387"/>
      <c r="BY64" s="386"/>
      <c r="BZ64" s="383"/>
      <c r="CA64" s="383"/>
      <c r="CB64" s="383"/>
      <c r="CC64" s="383"/>
      <c r="CD64" s="388"/>
      <c r="CE64" s="383"/>
      <c r="CF64" s="383"/>
      <c r="CG64" s="383"/>
      <c r="CH64" s="383"/>
      <c r="CI64" s="383"/>
      <c r="CJ64" s="383"/>
      <c r="CK64" s="383"/>
      <c r="CL64" s="383"/>
      <c r="CM64" s="383"/>
      <c r="CN64" s="383"/>
      <c r="CO64" s="383"/>
      <c r="CP64" s="383"/>
      <c r="CQ64" s="383"/>
      <c r="CR64" s="383"/>
      <c r="CS64" s="383"/>
      <c r="CT64" s="383"/>
      <c r="CU64" s="383"/>
      <c r="CV64" s="383"/>
      <c r="CW64" s="383"/>
      <c r="CX64" s="383"/>
      <c r="CY64" s="383"/>
      <c r="CZ64" s="383"/>
      <c r="DA64" s="383"/>
      <c r="DB64" s="383"/>
      <c r="DC64" s="383"/>
      <c r="DD64" s="383"/>
      <c r="DE64" s="383"/>
      <c r="DF64" s="383"/>
      <c r="DG64" s="383"/>
      <c r="DH64" s="383"/>
      <c r="DI64" s="383"/>
      <c r="DJ64" s="383"/>
      <c r="DK64" s="383"/>
      <c r="DL64" s="383"/>
      <c r="DM64" s="383"/>
      <c r="DN64" s="383"/>
      <c r="DO64" s="383"/>
      <c r="DP64" s="383"/>
      <c r="DQ64" s="383"/>
      <c r="DR64" s="383"/>
      <c r="DS64" s="383"/>
      <c r="DT64" s="383"/>
      <c r="DU64" s="383"/>
      <c r="DV64" s="383"/>
      <c r="DW64" s="383"/>
      <c r="DX64" s="383"/>
      <c r="DY64" s="383"/>
      <c r="DZ64" s="383"/>
      <c r="EA64" s="383"/>
      <c r="EB64" s="383"/>
      <c r="EC64" s="383"/>
      <c r="ED64" s="383"/>
      <c r="EE64" s="383"/>
      <c r="EF64" s="383"/>
      <c r="EG64" s="387"/>
      <c r="EH64" s="383"/>
      <c r="EI64" s="386"/>
      <c r="EJ64" s="386"/>
      <c r="EK64" s="383"/>
      <c r="EL64" s="386"/>
      <c r="EM64" s="383"/>
      <c r="EN64" s="383"/>
      <c r="EO64" s="388"/>
      <c r="EP64" s="383"/>
      <c r="EQ64" s="383"/>
      <c r="ER64" s="386"/>
      <c r="ES64" s="381"/>
      <c r="ET64" s="381"/>
      <c r="EU64" s="383"/>
      <c r="EV64" s="381"/>
      <c r="EW64" s="386"/>
      <c r="EX64" s="389"/>
      <c r="EY64" s="381"/>
      <c r="EZ64" s="381"/>
      <c r="FA64" s="381"/>
      <c r="FB64" s="389"/>
      <c r="FC64" s="389"/>
      <c r="FD64" s="389"/>
      <c r="FE64" s="381"/>
      <c r="FF64" s="381"/>
      <c r="FG64" s="381"/>
      <c r="FH64" s="389"/>
      <c r="FI64" s="389"/>
      <c r="FJ64" s="389"/>
      <c r="FK64" s="381"/>
      <c r="FL64" s="381"/>
      <c r="FM64" s="381"/>
      <c r="FN64" s="389"/>
      <c r="FO64" s="389"/>
      <c r="FP64" s="390"/>
      <c r="FQ64" s="390"/>
    </row>
    <row r="65" spans="1:10" ht="18">
      <c r="A65" s="129"/>
      <c r="B65" s="223" t="str">
        <f>B20</f>
        <v>A</v>
      </c>
      <c r="C65" s="425" t="s">
        <v>28107</v>
      </c>
      <c r="D65" s="223" t="str">
        <f>D20</f>
        <v>FLCU01</v>
      </c>
      <c r="E65" s="145" t="str">
        <f>Web!G7</f>
        <v>1100</v>
      </c>
      <c r="F65" s="144" t="str">
        <f>Web!G8</f>
        <v>10</v>
      </c>
      <c r="G65" s="224" t="str">
        <f>G20</f>
        <v>00</v>
      </c>
      <c r="H65" s="224" t="str">
        <f>H20</f>
        <v>SE</v>
      </c>
      <c r="I65" s="144" t="str">
        <f>Web!K39</f>
        <v>11130005</v>
      </c>
      <c r="J65" s="143"/>
    </row>
    <row r="66" spans="1:10" ht="18">
      <c r="A66" s="129"/>
      <c r="B66" s="223" t="str">
        <f>B28</f>
        <v>A</v>
      </c>
      <c r="C66" s="425" t="s">
        <v>28107</v>
      </c>
      <c r="D66" s="223" t="str">
        <f>D28</f>
        <v>FLCU01</v>
      </c>
      <c r="E66" s="145" t="str">
        <f>Web!G7</f>
        <v>1100</v>
      </c>
      <c r="F66" s="144" t="str">
        <f>Web!G8</f>
        <v>10</v>
      </c>
      <c r="G66" s="224" t="str">
        <f>G28</f>
        <v>00</v>
      </c>
      <c r="H66" s="224" t="str">
        <f>H28</f>
        <v>AC</v>
      </c>
      <c r="I66" s="144">
        <f>Web!K79</f>
        <v>11191643</v>
      </c>
      <c r="J66" s="143"/>
    </row>
    <row r="67" spans="1:10" ht="18">
      <c r="A67" s="129"/>
      <c r="B67" s="146" t="e">
        <f>IF(Web!#REF!&lt;&gt;"","A","")</f>
        <v>#REF!</v>
      </c>
      <c r="C67" s="425" t="s">
        <v>28107</v>
      </c>
      <c r="D67" s="146" t="e">
        <f>IF(Web!#REF!&lt;&gt;"","FLCU01","")</f>
        <v>#REF!</v>
      </c>
      <c r="E67" s="145" t="e">
        <f>IF(Web!#REF!&lt;&gt;"",Web!$G$7,"")</f>
        <v>#REF!</v>
      </c>
      <c r="F67" s="145" t="e">
        <f>IF(Web!#REF!&lt;&gt;"",Web!$G$8,"")</f>
        <v>#REF!</v>
      </c>
      <c r="G67" s="146" t="e">
        <f>IF(Web!#REF!&lt;&gt;"","00","")</f>
        <v>#REF!</v>
      </c>
      <c r="H67" s="146" t="e">
        <f>IF(Web!#REF!&lt;&gt;"","Z1","")</f>
        <v>#REF!</v>
      </c>
      <c r="I67" s="144" t="str">
        <f>IF(Web!K40="","",Web!K40)</f>
        <v>13000031</v>
      </c>
      <c r="J67" s="143"/>
    </row>
    <row r="68" spans="1:10" ht="18">
      <c r="A68" s="129"/>
      <c r="B68" s="146" t="str">
        <f>IF(Web!$U$87&lt;&gt;"","A","")</f>
        <v>A</v>
      </c>
      <c r="C68" s="425" t="s">
        <v>28107</v>
      </c>
      <c r="D68" s="146" t="str">
        <f>IF(Web!U87&lt;&gt;"","FLCU01","")</f>
        <v>FLCU01</v>
      </c>
      <c r="E68" s="145" t="str">
        <f>IF(Web!U87&lt;&gt;"",Web!$G$7,"")</f>
        <v>1100</v>
      </c>
      <c r="F68" s="145" t="str">
        <f>IF(Web!U87&lt;&gt;"",Web!$G$8,"")</f>
        <v>10</v>
      </c>
      <c r="G68" s="146" t="str">
        <f>IF(Web!U87&lt;&gt;"","00","")</f>
        <v>00</v>
      </c>
      <c r="H68" s="146" t="str">
        <f>IF(Web!U87&lt;&gt;"","Z3","")</f>
        <v>Z3</v>
      </c>
      <c r="I68" s="144" t="str">
        <f>IF(Web!U87="","",Web!U87)</f>
        <v>11000001</v>
      </c>
      <c r="J68" s="143"/>
    </row>
    <row r="69" spans="1:10" ht="18">
      <c r="A69" s="129"/>
      <c r="B69" s="146" t="str">
        <f>IF(Web!$U$88&lt;&gt;"","A","")</f>
        <v>A</v>
      </c>
      <c r="C69" s="425" t="s">
        <v>28107</v>
      </c>
      <c r="D69" s="146" t="str">
        <f>IF(Web!U88&lt;&gt;"","FLCU01","")</f>
        <v>FLCU01</v>
      </c>
      <c r="E69" s="145" t="str">
        <f>IF(Web!U88&lt;&gt;"",Web!$G$7,"")</f>
        <v>1100</v>
      </c>
      <c r="F69" s="145" t="str">
        <f>IF(Web!U88&lt;&gt;"",Web!$G$8,"")</f>
        <v>10</v>
      </c>
      <c r="G69" s="146" t="str">
        <f>IF(Web!U88&lt;&gt;"","00","")</f>
        <v>00</v>
      </c>
      <c r="H69" s="146" t="str">
        <f>IF(Web!U88&lt;&gt;"","Z7","")</f>
        <v>Z7</v>
      </c>
      <c r="I69" s="144" t="str">
        <f>IF(Web!U88="","",Web!U88)</f>
        <v>11000002</v>
      </c>
      <c r="J69" s="143"/>
    </row>
    <row r="70" spans="1:10" ht="20.25" customHeight="1">
      <c r="B70" s="339"/>
      <c r="C70" s="340"/>
      <c r="D70" s="341"/>
      <c r="G70" s="343"/>
      <c r="H70" s="341"/>
      <c r="I70" s="344"/>
      <c r="J70" s="344"/>
    </row>
    <row r="71" spans="1:10" ht="20.25" customHeight="1">
      <c r="B71" s="339"/>
      <c r="C71" s="340"/>
      <c r="D71" s="341"/>
      <c r="G71" s="343"/>
      <c r="H71" s="341"/>
      <c r="I71" s="344"/>
      <c r="J71" s="344"/>
    </row>
    <row r="72" spans="1:10" ht="20.25" customHeight="1">
      <c r="B72" s="339"/>
      <c r="C72" s="340"/>
      <c r="D72" s="341"/>
      <c r="G72" s="343"/>
      <c r="H72" s="341"/>
      <c r="I72" s="344"/>
      <c r="J72" s="344"/>
    </row>
    <row r="73" spans="1:10" ht="20.25" customHeight="1">
      <c r="B73" s="339"/>
      <c r="C73" s="340"/>
      <c r="D73" s="341"/>
      <c r="G73" s="343"/>
      <c r="H73" s="341"/>
      <c r="I73" s="344"/>
      <c r="J73" s="344"/>
    </row>
    <row r="74" spans="1:10" ht="20.25" customHeight="1">
      <c r="B74" s="339"/>
      <c r="C74" s="340"/>
      <c r="D74" s="341"/>
      <c r="G74" s="343"/>
      <c r="H74" s="341"/>
      <c r="I74" s="344"/>
      <c r="J74" s="344"/>
    </row>
    <row r="75" spans="1:10" ht="20.25" customHeight="1">
      <c r="B75" s="339"/>
      <c r="C75" s="340"/>
      <c r="D75" s="341"/>
      <c r="G75" s="343"/>
      <c r="H75" s="341"/>
      <c r="I75" s="344"/>
      <c r="J75" s="344"/>
    </row>
    <row r="76" spans="1:10" ht="20.25" customHeight="1">
      <c r="B76" s="339"/>
      <c r="C76" s="340"/>
      <c r="D76" s="341"/>
      <c r="G76" s="343"/>
      <c r="H76" s="341"/>
      <c r="I76" s="344"/>
      <c r="J76" s="344"/>
    </row>
    <row r="77" spans="1:10" ht="20.25" customHeight="1">
      <c r="B77" s="339"/>
      <c r="C77" s="340"/>
      <c r="D77" s="341"/>
      <c r="G77" s="343"/>
      <c r="H77" s="341"/>
      <c r="I77" s="344"/>
      <c r="J77" s="344"/>
    </row>
    <row r="78" spans="1:10" ht="20.25" customHeight="1">
      <c r="B78" s="339"/>
      <c r="C78" s="340"/>
      <c r="D78" s="341"/>
      <c r="G78" s="343"/>
      <c r="H78" s="341"/>
      <c r="I78" s="344"/>
      <c r="J78" s="344"/>
    </row>
    <row r="79" spans="1:10" ht="20.25" customHeight="1">
      <c r="B79" s="339"/>
      <c r="C79" s="340"/>
      <c r="D79" s="341"/>
      <c r="G79" s="343"/>
      <c r="H79" s="341"/>
      <c r="I79" s="344"/>
      <c r="J79" s="344"/>
    </row>
    <row r="80" spans="1:10" ht="20.25" customHeight="1">
      <c r="B80" s="339"/>
      <c r="C80" s="340"/>
      <c r="D80" s="341"/>
      <c r="G80" s="343"/>
      <c r="H80" s="341"/>
      <c r="I80" s="344"/>
      <c r="J80" s="344"/>
    </row>
    <row r="81" spans="2:10" ht="20.25" customHeight="1">
      <c r="B81" s="339"/>
      <c r="C81" s="340"/>
      <c r="D81" s="341"/>
      <c r="G81" s="343"/>
      <c r="H81" s="341"/>
      <c r="I81" s="344"/>
      <c r="J81" s="344"/>
    </row>
    <row r="82" spans="2:10" ht="20.25" customHeight="1">
      <c r="B82" s="339"/>
      <c r="C82" s="340"/>
      <c r="D82" s="341"/>
      <c r="G82" s="343"/>
      <c r="H82" s="341"/>
      <c r="I82" s="344"/>
      <c r="J82" s="344"/>
    </row>
    <row r="83" spans="2:10" ht="20.25" customHeight="1">
      <c r="B83" s="339"/>
      <c r="C83" s="340"/>
      <c r="D83" s="341"/>
      <c r="G83" s="343"/>
      <c r="H83" s="341"/>
      <c r="I83" s="344"/>
      <c r="J83" s="344"/>
    </row>
    <row r="84" spans="2:10" ht="20.25" customHeight="1">
      <c r="B84" s="339"/>
      <c r="C84" s="340"/>
      <c r="D84" s="341"/>
      <c r="G84" s="343"/>
      <c r="H84" s="341"/>
      <c r="I84" s="344"/>
      <c r="J84" s="344"/>
    </row>
    <row r="85" spans="2:10" ht="20.25" customHeight="1">
      <c r="B85" s="339"/>
      <c r="C85" s="340"/>
      <c r="D85" s="341"/>
      <c r="G85" s="343"/>
      <c r="H85" s="341"/>
      <c r="I85" s="344"/>
      <c r="J85" s="344"/>
    </row>
    <row r="86" spans="2:10" ht="20.25" customHeight="1">
      <c r="B86" s="339"/>
      <c r="C86" s="340"/>
      <c r="D86" s="341"/>
      <c r="G86" s="343"/>
      <c r="H86" s="341"/>
      <c r="I86" s="344"/>
      <c r="J86" s="344"/>
    </row>
    <row r="87" spans="2:10" ht="20.25" customHeight="1">
      <c r="B87" s="339"/>
      <c r="C87" s="340"/>
      <c r="D87" s="341"/>
      <c r="G87" s="343"/>
      <c r="H87" s="341"/>
      <c r="I87" s="344"/>
      <c r="J87" s="344"/>
    </row>
    <row r="88" spans="2:10" ht="20.25" customHeight="1">
      <c r="B88" s="339"/>
      <c r="C88" s="340"/>
      <c r="D88" s="341"/>
      <c r="G88" s="343"/>
      <c r="H88" s="341"/>
      <c r="I88" s="344"/>
      <c r="J88" s="344"/>
    </row>
    <row r="89" spans="2:10" ht="20.25" customHeight="1">
      <c r="B89" s="339"/>
      <c r="C89" s="340"/>
      <c r="D89" s="341"/>
      <c r="G89" s="343"/>
      <c r="H89" s="341"/>
      <c r="I89" s="344"/>
      <c r="J89" s="344"/>
    </row>
    <row r="90" spans="2:10" ht="20.25" customHeight="1">
      <c r="B90" s="339"/>
      <c r="C90" s="340"/>
      <c r="D90" s="341"/>
      <c r="G90" s="343"/>
      <c r="H90" s="341"/>
      <c r="I90" s="344"/>
      <c r="J90" s="344"/>
    </row>
    <row r="91" spans="2:10" ht="20.25" customHeight="1">
      <c r="B91" s="339"/>
      <c r="C91" s="340"/>
      <c r="D91" s="341"/>
      <c r="G91" s="343"/>
      <c r="H91" s="341"/>
      <c r="I91" s="344"/>
      <c r="J91" s="344"/>
    </row>
    <row r="92" spans="2:10" ht="20.25" customHeight="1">
      <c r="B92" s="339"/>
      <c r="C92" s="340"/>
      <c r="D92" s="341"/>
      <c r="G92" s="343"/>
      <c r="H92" s="341"/>
      <c r="I92" s="344"/>
      <c r="J92" s="344"/>
    </row>
    <row r="93" spans="2:10" ht="20.25" customHeight="1">
      <c r="B93" s="339"/>
      <c r="C93" s="340"/>
      <c r="D93" s="341"/>
      <c r="G93" s="343"/>
      <c r="H93" s="341"/>
      <c r="I93" s="344"/>
      <c r="J93" s="344"/>
    </row>
    <row r="94" spans="2:10" ht="20.25" customHeight="1">
      <c r="B94" s="339"/>
      <c r="C94" s="340"/>
      <c r="D94" s="341"/>
      <c r="G94" s="343"/>
      <c r="H94" s="341"/>
      <c r="I94" s="344"/>
      <c r="J94" s="344"/>
    </row>
    <row r="95" spans="2:10" ht="20.25" customHeight="1">
      <c r="B95" s="339"/>
      <c r="C95" s="340"/>
      <c r="D95" s="341"/>
      <c r="G95" s="343"/>
      <c r="H95" s="341"/>
      <c r="I95" s="344"/>
      <c r="J95" s="344"/>
    </row>
    <row r="96" spans="2:10" ht="20.25" customHeight="1">
      <c r="B96" s="339"/>
      <c r="C96" s="340"/>
      <c r="D96" s="341"/>
      <c r="G96" s="343"/>
      <c r="H96" s="341"/>
      <c r="I96" s="344"/>
      <c r="J96" s="344"/>
    </row>
    <row r="97" spans="2:10" ht="20.25" customHeight="1">
      <c r="B97" s="339"/>
      <c r="C97" s="340"/>
      <c r="D97" s="341"/>
      <c r="G97" s="343"/>
      <c r="H97" s="341"/>
      <c r="I97" s="344"/>
      <c r="J97" s="344"/>
    </row>
    <row r="98" spans="2:10" ht="20.25" customHeight="1">
      <c r="B98" s="339"/>
      <c r="C98" s="340"/>
      <c r="D98" s="341"/>
      <c r="G98" s="343"/>
      <c r="H98" s="341"/>
      <c r="I98" s="344"/>
      <c r="J98" s="344"/>
    </row>
    <row r="99" spans="2:10" ht="20.25" customHeight="1">
      <c r="B99" s="339"/>
      <c r="C99" s="340"/>
      <c r="D99" s="341"/>
      <c r="G99" s="343"/>
      <c r="H99" s="341"/>
      <c r="I99" s="344"/>
      <c r="J99" s="344"/>
    </row>
    <row r="100" spans="2:10" ht="20.25" customHeight="1">
      <c r="B100" s="339"/>
      <c r="C100" s="340"/>
      <c r="D100" s="341"/>
      <c r="G100" s="343"/>
      <c r="H100" s="341"/>
      <c r="I100" s="344"/>
      <c r="J100" s="344"/>
    </row>
    <row r="101" spans="2:10" ht="20.25" customHeight="1">
      <c r="B101" s="339"/>
      <c r="C101" s="340"/>
      <c r="D101" s="341"/>
      <c r="G101" s="343"/>
      <c r="H101" s="341"/>
      <c r="I101" s="344"/>
      <c r="J101" s="344"/>
    </row>
    <row r="102" spans="2:10" ht="20.25" customHeight="1">
      <c r="B102" s="339"/>
      <c r="C102" s="340"/>
      <c r="D102" s="341"/>
      <c r="G102" s="343"/>
      <c r="H102" s="341"/>
      <c r="I102" s="344"/>
      <c r="J102" s="344"/>
    </row>
    <row r="103" spans="2:10" ht="20.25" customHeight="1">
      <c r="B103" s="339"/>
      <c r="C103" s="340"/>
      <c r="D103" s="341"/>
      <c r="G103" s="343"/>
      <c r="H103" s="341"/>
      <c r="I103" s="344"/>
      <c r="J103" s="344"/>
    </row>
    <row r="104" spans="2:10" ht="20.25" customHeight="1">
      <c r="B104" s="339"/>
      <c r="C104" s="340"/>
      <c r="D104" s="341"/>
      <c r="G104" s="343"/>
      <c r="H104" s="341"/>
      <c r="I104" s="344"/>
      <c r="J104" s="344"/>
    </row>
    <row r="105" spans="2:10" ht="20.25" customHeight="1">
      <c r="B105" s="339"/>
      <c r="C105" s="340"/>
      <c r="D105" s="341"/>
      <c r="G105" s="343"/>
      <c r="H105" s="341"/>
      <c r="I105" s="344"/>
      <c r="J105" s="344"/>
    </row>
    <row r="106" spans="2:10" ht="20.25" customHeight="1">
      <c r="B106" s="339"/>
      <c r="C106" s="340"/>
      <c r="D106" s="341"/>
      <c r="G106" s="343"/>
      <c r="H106" s="341"/>
      <c r="I106" s="344"/>
    </row>
    <row r="107" spans="2:10" ht="20.25" customHeight="1">
      <c r="B107" s="339"/>
      <c r="C107" s="340"/>
      <c r="D107" s="341"/>
      <c r="G107" s="343"/>
      <c r="H107" s="341"/>
      <c r="I107" s="344"/>
    </row>
    <row r="108" spans="2:10" ht="20.25" customHeight="1">
      <c r="B108" s="339"/>
      <c r="C108" s="340"/>
      <c r="D108" s="341"/>
      <c r="G108" s="343"/>
      <c r="H108" s="341"/>
      <c r="I108" s="344"/>
    </row>
    <row r="109" spans="2:10" ht="20.25" customHeight="1">
      <c r="B109" s="339"/>
      <c r="C109" s="340"/>
      <c r="D109" s="341"/>
      <c r="G109" s="343"/>
      <c r="H109" s="341"/>
      <c r="I109" s="344"/>
    </row>
    <row r="110" spans="2:10" ht="20.25" customHeight="1">
      <c r="B110" s="339"/>
      <c r="C110" s="340"/>
      <c r="D110" s="341"/>
      <c r="G110" s="343"/>
      <c r="H110" s="341"/>
      <c r="I110" s="344"/>
    </row>
    <row r="111" spans="2:10" ht="20.25" customHeight="1">
      <c r="B111" s="339"/>
      <c r="C111" s="340"/>
      <c r="D111" s="341"/>
      <c r="G111" s="343"/>
      <c r="H111" s="341"/>
      <c r="I111" s="344"/>
    </row>
    <row r="112" spans="2:10" ht="20.25" customHeight="1">
      <c r="B112" s="339"/>
      <c r="C112" s="340"/>
      <c r="D112" s="341"/>
      <c r="G112" s="343"/>
      <c r="H112" s="341"/>
      <c r="I112" s="344"/>
    </row>
    <row r="113" spans="2:9" ht="20.25" customHeight="1">
      <c r="B113" s="339"/>
      <c r="C113" s="340"/>
      <c r="D113" s="341"/>
      <c r="G113" s="343"/>
      <c r="H113" s="341"/>
      <c r="I113" s="344"/>
    </row>
    <row r="114" spans="2:9" ht="20.25" customHeight="1">
      <c r="B114" s="339"/>
      <c r="C114" s="340"/>
      <c r="D114" s="341"/>
      <c r="G114" s="343"/>
      <c r="H114" s="341"/>
      <c r="I114" s="344"/>
    </row>
    <row r="115" spans="2:9" ht="20.25" customHeight="1">
      <c r="B115" s="339"/>
      <c r="C115" s="340"/>
      <c r="D115" s="341"/>
      <c r="G115" s="343"/>
      <c r="H115" s="341"/>
      <c r="I115" s="344"/>
    </row>
    <row r="116" spans="2:9" ht="20.25" customHeight="1">
      <c r="B116" s="339"/>
      <c r="C116" s="340"/>
      <c r="D116" s="341"/>
      <c r="G116" s="343"/>
      <c r="H116" s="341"/>
      <c r="I116" s="344"/>
    </row>
    <row r="117" spans="2:9" ht="20.25" customHeight="1">
      <c r="B117" s="339"/>
      <c r="C117" s="340"/>
      <c r="D117" s="341"/>
      <c r="G117" s="343"/>
      <c r="H117" s="341"/>
      <c r="I117" s="344"/>
    </row>
    <row r="118" spans="2:9" ht="20.25" customHeight="1">
      <c r="B118" s="339"/>
      <c r="C118" s="340"/>
      <c r="D118" s="341"/>
      <c r="G118" s="343"/>
      <c r="H118" s="341"/>
      <c r="I118" s="344"/>
    </row>
    <row r="119" spans="2:9" ht="20.25" customHeight="1">
      <c r="B119" s="339"/>
      <c r="C119" s="340"/>
      <c r="D119" s="341"/>
      <c r="G119" s="343"/>
      <c r="H119" s="341"/>
      <c r="I119" s="344"/>
    </row>
    <row r="120" spans="2:9" ht="20.25" customHeight="1">
      <c r="B120" s="339"/>
      <c r="C120" s="340"/>
      <c r="D120" s="341"/>
      <c r="G120" s="343"/>
      <c r="H120" s="341"/>
      <c r="I120" s="344"/>
    </row>
    <row r="121" spans="2:9" ht="20.25" customHeight="1">
      <c r="B121" s="339"/>
      <c r="C121" s="340"/>
      <c r="D121" s="341"/>
      <c r="G121" s="343"/>
      <c r="H121" s="341"/>
      <c r="I121" s="344"/>
    </row>
    <row r="122" spans="2:9" ht="20.25" customHeight="1">
      <c r="B122" s="339"/>
      <c r="C122" s="340"/>
      <c r="D122" s="341"/>
      <c r="G122" s="343"/>
      <c r="H122" s="341"/>
      <c r="I122" s="344"/>
    </row>
    <row r="123" spans="2:9" ht="20.25" customHeight="1">
      <c r="B123" s="339"/>
      <c r="C123" s="340"/>
      <c r="D123" s="341"/>
      <c r="G123" s="343"/>
      <c r="H123" s="341"/>
      <c r="I123" s="344"/>
    </row>
    <row r="124" spans="2:9" ht="20.25" customHeight="1">
      <c r="B124" s="339"/>
      <c r="C124" s="340"/>
      <c r="D124" s="341"/>
      <c r="G124" s="343"/>
      <c r="H124" s="341"/>
      <c r="I124" s="344"/>
    </row>
    <row r="125" spans="2:9" ht="20.25" customHeight="1">
      <c r="B125" s="339"/>
      <c r="C125" s="340"/>
      <c r="D125" s="341"/>
      <c r="G125" s="343"/>
      <c r="H125" s="341"/>
      <c r="I125" s="344"/>
    </row>
    <row r="126" spans="2:9" ht="20.25" customHeight="1">
      <c r="B126" s="339"/>
      <c r="C126" s="340"/>
      <c r="D126" s="341"/>
      <c r="G126" s="343"/>
      <c r="H126" s="341"/>
      <c r="I126" s="344"/>
    </row>
    <row r="127" spans="2:9" ht="20.25" customHeight="1">
      <c r="B127" s="339"/>
      <c r="C127" s="340"/>
      <c r="D127" s="341"/>
      <c r="G127" s="343"/>
      <c r="H127" s="341"/>
      <c r="I127" s="344"/>
    </row>
    <row r="128" spans="2:9" ht="20.25" customHeight="1">
      <c r="B128" s="339"/>
      <c r="C128" s="340"/>
      <c r="D128" s="341"/>
      <c r="G128" s="343"/>
      <c r="H128" s="341"/>
      <c r="I128" s="344"/>
    </row>
    <row r="129" spans="2:9" ht="20.25" customHeight="1">
      <c r="B129" s="339"/>
      <c r="C129" s="340"/>
      <c r="D129" s="341"/>
      <c r="G129" s="343"/>
      <c r="H129" s="341"/>
      <c r="I129" s="344"/>
    </row>
    <row r="130" spans="2:9" ht="20.25" customHeight="1">
      <c r="B130" s="339"/>
      <c r="C130" s="340"/>
      <c r="D130" s="341"/>
      <c r="G130" s="343"/>
      <c r="H130" s="341"/>
      <c r="I130" s="344"/>
    </row>
    <row r="131" spans="2:9" ht="20.25" customHeight="1">
      <c r="B131" s="339"/>
      <c r="C131" s="340"/>
      <c r="D131" s="341"/>
      <c r="G131" s="343"/>
      <c r="H131" s="341"/>
      <c r="I131" s="344"/>
    </row>
    <row r="132" spans="2:9" ht="20.25" customHeight="1">
      <c r="B132" s="339"/>
      <c r="C132" s="340"/>
      <c r="D132" s="341"/>
      <c r="G132" s="343"/>
      <c r="H132" s="341"/>
      <c r="I132" s="344"/>
    </row>
    <row r="133" spans="2:9" ht="20.25" customHeight="1">
      <c r="B133" s="339"/>
      <c r="C133" s="340"/>
      <c r="D133" s="341"/>
      <c r="G133" s="343"/>
      <c r="H133" s="341"/>
      <c r="I133" s="344"/>
    </row>
    <row r="134" spans="2:9" ht="20.25" customHeight="1">
      <c r="B134" s="339"/>
      <c r="C134" s="340"/>
      <c r="D134" s="341"/>
      <c r="G134" s="343"/>
      <c r="H134" s="341"/>
      <c r="I134" s="344"/>
    </row>
    <row r="135" spans="2:9" ht="20.25" customHeight="1">
      <c r="B135" s="339"/>
      <c r="C135" s="340"/>
      <c r="D135" s="341"/>
      <c r="G135" s="343"/>
      <c r="H135" s="341"/>
      <c r="I135" s="344"/>
    </row>
    <row r="136" spans="2:9" ht="20.25" customHeight="1">
      <c r="B136" s="339"/>
      <c r="C136" s="340"/>
      <c r="D136" s="341"/>
      <c r="G136" s="343"/>
      <c r="H136" s="341"/>
      <c r="I136" s="344"/>
    </row>
    <row r="137" spans="2:9" ht="20.25" customHeight="1">
      <c r="B137" s="339"/>
      <c r="C137" s="340"/>
      <c r="D137" s="341"/>
      <c r="G137" s="343"/>
      <c r="H137" s="341"/>
      <c r="I137" s="344"/>
    </row>
    <row r="138" spans="2:9" ht="20.25" customHeight="1">
      <c r="B138" s="339"/>
      <c r="C138" s="340"/>
      <c r="D138" s="341"/>
      <c r="G138" s="343"/>
      <c r="H138" s="341"/>
      <c r="I138" s="344"/>
    </row>
    <row r="139" spans="2:9" ht="20.25" customHeight="1">
      <c r="B139" s="339"/>
      <c r="C139" s="340"/>
      <c r="D139" s="341"/>
      <c r="G139" s="343"/>
      <c r="H139" s="341"/>
      <c r="I139" s="344"/>
    </row>
    <row r="140" spans="2:9" ht="20.25" customHeight="1">
      <c r="B140" s="339"/>
      <c r="C140" s="340"/>
      <c r="D140" s="341"/>
      <c r="G140" s="343"/>
      <c r="H140" s="341"/>
      <c r="I140" s="344"/>
    </row>
    <row r="141" spans="2:9" ht="20.25" customHeight="1">
      <c r="B141" s="339"/>
      <c r="C141" s="340"/>
      <c r="D141" s="341"/>
      <c r="G141" s="343"/>
      <c r="H141" s="341"/>
      <c r="I141" s="344"/>
    </row>
    <row r="142" spans="2:9" ht="20.25" customHeight="1">
      <c r="B142" s="339"/>
      <c r="C142" s="340"/>
      <c r="D142" s="341"/>
      <c r="G142" s="343"/>
      <c r="H142" s="341"/>
      <c r="I142" s="344"/>
    </row>
    <row r="143" spans="2:9" ht="20.25" customHeight="1">
      <c r="B143" s="339"/>
      <c r="C143" s="340"/>
      <c r="D143" s="341"/>
      <c r="G143" s="343"/>
      <c r="H143" s="341"/>
      <c r="I143" s="344"/>
    </row>
    <row r="144" spans="2:9" ht="20.25" customHeight="1">
      <c r="B144" s="339"/>
      <c r="C144" s="340"/>
      <c r="D144" s="341"/>
      <c r="G144" s="343"/>
      <c r="H144" s="341"/>
      <c r="I144" s="344"/>
    </row>
    <row r="145" spans="2:9" ht="20.25" customHeight="1">
      <c r="B145" s="339"/>
      <c r="C145" s="340"/>
      <c r="D145" s="341"/>
      <c r="G145" s="343"/>
      <c r="H145" s="341"/>
      <c r="I145" s="344"/>
    </row>
    <row r="146" spans="2:9" ht="20.25" customHeight="1">
      <c r="B146" s="339"/>
      <c r="C146" s="340"/>
      <c r="D146" s="341"/>
      <c r="G146" s="343"/>
      <c r="H146" s="341"/>
      <c r="I146" s="344"/>
    </row>
    <row r="147" spans="2:9" ht="20.25" customHeight="1">
      <c r="B147" s="339"/>
      <c r="C147" s="340"/>
      <c r="D147" s="341"/>
      <c r="G147" s="343"/>
      <c r="H147" s="341"/>
      <c r="I147" s="344"/>
    </row>
    <row r="148" spans="2:9" ht="20.25" customHeight="1">
      <c r="B148" s="339"/>
      <c r="C148" s="340"/>
      <c r="D148" s="341"/>
      <c r="G148" s="343"/>
      <c r="H148" s="341"/>
      <c r="I148" s="344"/>
    </row>
    <row r="149" spans="2:9" ht="20.25" customHeight="1">
      <c r="B149" s="339"/>
      <c r="C149" s="340"/>
      <c r="D149" s="341"/>
      <c r="G149" s="343"/>
      <c r="H149" s="341"/>
      <c r="I149" s="344"/>
    </row>
    <row r="150" spans="2:9" ht="20.25" customHeight="1">
      <c r="B150" s="339"/>
      <c r="C150" s="340"/>
      <c r="D150" s="341"/>
      <c r="G150" s="343"/>
      <c r="H150" s="341"/>
      <c r="I150" s="344"/>
    </row>
    <row r="151" spans="2:9" ht="20.25" customHeight="1">
      <c r="B151" s="339"/>
      <c r="C151" s="340"/>
      <c r="D151" s="341"/>
      <c r="G151" s="343"/>
      <c r="H151" s="341"/>
      <c r="I151" s="344"/>
    </row>
    <row r="152" spans="2:9" ht="20.25" customHeight="1">
      <c r="B152" s="339"/>
      <c r="C152" s="340"/>
      <c r="D152" s="341"/>
      <c r="G152" s="343"/>
      <c r="H152" s="341"/>
      <c r="I152" s="344"/>
    </row>
    <row r="153" spans="2:9" ht="20.25" customHeight="1">
      <c r="B153" s="339"/>
      <c r="C153" s="340"/>
      <c r="D153" s="341"/>
      <c r="G153" s="343"/>
      <c r="H153" s="341"/>
      <c r="I153" s="344"/>
    </row>
    <row r="154" spans="2:9" ht="20.25" customHeight="1">
      <c r="B154" s="339"/>
      <c r="C154" s="340"/>
      <c r="D154" s="341"/>
      <c r="G154" s="343"/>
      <c r="H154" s="341"/>
      <c r="I154" s="344"/>
    </row>
    <row r="155" spans="2:9" ht="20.25" customHeight="1">
      <c r="B155" s="339"/>
      <c r="C155" s="340"/>
      <c r="D155" s="341"/>
      <c r="G155" s="343"/>
      <c r="H155" s="341"/>
      <c r="I155" s="344"/>
    </row>
    <row r="156" spans="2:9" ht="20.25" customHeight="1">
      <c r="B156" s="339"/>
      <c r="C156" s="340"/>
      <c r="D156" s="341"/>
      <c r="G156" s="343"/>
      <c r="H156" s="341"/>
      <c r="I156" s="344"/>
    </row>
    <row r="157" spans="2:9" ht="20.25" customHeight="1">
      <c r="B157" s="339"/>
      <c r="C157" s="340"/>
      <c r="D157" s="341"/>
      <c r="G157" s="343"/>
      <c r="H157" s="341"/>
      <c r="I157" s="344"/>
    </row>
    <row r="158" spans="2:9" ht="20.25" customHeight="1">
      <c r="B158" s="339"/>
      <c r="C158" s="340"/>
      <c r="D158" s="341"/>
      <c r="G158" s="343"/>
      <c r="H158" s="341"/>
      <c r="I158" s="344"/>
    </row>
    <row r="159" spans="2:9" ht="20.25" customHeight="1">
      <c r="B159" s="339"/>
      <c r="C159" s="340"/>
      <c r="D159" s="341"/>
      <c r="G159" s="343"/>
      <c r="H159" s="341"/>
      <c r="I159" s="344"/>
    </row>
    <row r="160" spans="2:9" ht="20.25" customHeight="1">
      <c r="C160" s="340"/>
      <c r="D160" s="341"/>
      <c r="G160" s="343"/>
      <c r="H160" s="341"/>
      <c r="I160" s="344"/>
    </row>
    <row r="161" spans="3:9" ht="20.25" customHeight="1">
      <c r="C161" s="340"/>
      <c r="D161" s="341"/>
      <c r="G161" s="343"/>
      <c r="H161" s="341"/>
      <c r="I161" s="344"/>
    </row>
    <row r="162" spans="3:9" ht="20.25" customHeight="1">
      <c r="C162" s="340"/>
      <c r="D162" s="341"/>
      <c r="G162" s="343"/>
      <c r="H162" s="341"/>
      <c r="I162" s="344"/>
    </row>
    <row r="163" spans="3:9" ht="20.25" customHeight="1">
      <c r="C163" s="340"/>
      <c r="D163" s="341"/>
      <c r="G163" s="343"/>
      <c r="H163" s="341"/>
      <c r="I163" s="344"/>
    </row>
    <row r="164" spans="3:9" ht="20.25" customHeight="1">
      <c r="C164" s="340"/>
      <c r="D164" s="341"/>
      <c r="G164" s="343"/>
      <c r="H164" s="341"/>
      <c r="I164" s="344"/>
    </row>
    <row r="165" spans="3:9" ht="20.25" customHeight="1">
      <c r="C165" s="340"/>
      <c r="D165" s="341"/>
      <c r="G165" s="343"/>
      <c r="H165" s="341"/>
      <c r="I165" s="344"/>
    </row>
    <row r="166" spans="3:9" ht="20.25" customHeight="1">
      <c r="C166" s="340"/>
      <c r="D166" s="341"/>
      <c r="G166" s="343"/>
      <c r="H166" s="341"/>
      <c r="I166" s="344"/>
    </row>
    <row r="167" spans="3:9" ht="20.25" customHeight="1">
      <c r="C167" s="340"/>
      <c r="D167" s="341"/>
      <c r="G167" s="343"/>
      <c r="H167" s="341"/>
      <c r="I167" s="344"/>
    </row>
    <row r="168" spans="3:9" ht="20.25" customHeight="1">
      <c r="C168" s="340"/>
      <c r="D168" s="341"/>
      <c r="G168" s="343"/>
      <c r="H168" s="341"/>
      <c r="I168" s="344"/>
    </row>
    <row r="169" spans="3:9" ht="20.25" customHeight="1">
      <c r="C169" s="340"/>
      <c r="D169" s="341"/>
      <c r="G169" s="343"/>
      <c r="H169" s="341"/>
      <c r="I169" s="344"/>
    </row>
    <row r="170" spans="3:9" ht="20.25" customHeight="1">
      <c r="C170" s="340"/>
      <c r="D170" s="341"/>
      <c r="G170" s="343"/>
      <c r="H170" s="341"/>
      <c r="I170" s="344"/>
    </row>
    <row r="171" spans="3:9" ht="20.25" customHeight="1">
      <c r="C171" s="340"/>
      <c r="D171" s="341"/>
      <c r="G171" s="343"/>
      <c r="H171" s="341"/>
      <c r="I171" s="344"/>
    </row>
    <row r="172" spans="3:9" ht="20.25" customHeight="1">
      <c r="C172" s="340"/>
      <c r="D172" s="341"/>
      <c r="G172" s="343"/>
      <c r="H172" s="341"/>
      <c r="I172" s="344"/>
    </row>
    <row r="173" spans="3:9" ht="20.25" customHeight="1">
      <c r="C173" s="340"/>
      <c r="D173" s="341"/>
      <c r="G173" s="343"/>
      <c r="H173" s="341"/>
      <c r="I173" s="344"/>
    </row>
    <row r="174" spans="3:9" ht="20.25" customHeight="1">
      <c r="C174" s="340"/>
      <c r="D174" s="341"/>
      <c r="G174" s="343"/>
      <c r="H174" s="341"/>
      <c r="I174" s="344"/>
    </row>
    <row r="175" spans="3:9" ht="20.25" customHeight="1">
      <c r="C175" s="340"/>
      <c r="D175" s="341"/>
      <c r="G175" s="343"/>
      <c r="H175" s="341"/>
      <c r="I175" s="344"/>
    </row>
    <row r="176" spans="3:9" ht="20.25" customHeight="1">
      <c r="C176" s="340"/>
      <c r="D176" s="341"/>
      <c r="G176" s="343"/>
      <c r="H176" s="341"/>
      <c r="I176" s="344"/>
    </row>
    <row r="177" spans="3:9" ht="20.25" customHeight="1">
      <c r="C177" s="340"/>
      <c r="D177" s="341"/>
      <c r="G177" s="343"/>
      <c r="H177" s="341"/>
      <c r="I177" s="344"/>
    </row>
    <row r="178" spans="3:9" ht="20.25" customHeight="1">
      <c r="C178" s="340"/>
      <c r="D178" s="341"/>
      <c r="G178" s="343"/>
      <c r="H178" s="341"/>
      <c r="I178" s="344"/>
    </row>
    <row r="179" spans="3:9" ht="20.25" customHeight="1">
      <c r="C179" s="340"/>
      <c r="D179" s="341"/>
      <c r="G179" s="343"/>
      <c r="H179" s="341"/>
      <c r="I179" s="344"/>
    </row>
    <row r="180" spans="3:9" ht="20.25" customHeight="1">
      <c r="C180" s="340"/>
      <c r="D180" s="341"/>
      <c r="G180" s="343"/>
      <c r="H180" s="341"/>
      <c r="I180" s="344"/>
    </row>
    <row r="181" spans="3:9" ht="20.25" customHeight="1">
      <c r="C181" s="340"/>
      <c r="D181" s="341"/>
      <c r="G181" s="343"/>
      <c r="H181" s="341"/>
      <c r="I181" s="344"/>
    </row>
    <row r="182" spans="3:9" ht="20.25" customHeight="1">
      <c r="C182" s="340"/>
      <c r="D182" s="341"/>
      <c r="G182" s="343"/>
      <c r="H182" s="341"/>
      <c r="I182" s="344"/>
    </row>
    <row r="183" spans="3:9" ht="20.25" customHeight="1">
      <c r="C183" s="340"/>
      <c r="D183" s="341"/>
      <c r="G183" s="343"/>
      <c r="H183" s="341"/>
      <c r="I183" s="344"/>
    </row>
    <row r="184" spans="3:9" ht="20.25" customHeight="1">
      <c r="C184" s="340"/>
      <c r="D184" s="341"/>
      <c r="G184" s="343"/>
      <c r="H184" s="341"/>
      <c r="I184" s="344"/>
    </row>
    <row r="185" spans="3:9" ht="20.25" customHeight="1">
      <c r="C185" s="340"/>
      <c r="D185" s="341"/>
      <c r="G185" s="343"/>
      <c r="H185" s="341"/>
      <c r="I185" s="344"/>
    </row>
    <row r="186" spans="3:9" ht="20.25" customHeight="1">
      <c r="C186" s="340"/>
      <c r="D186" s="341"/>
      <c r="G186" s="343"/>
      <c r="H186" s="341"/>
      <c r="I186" s="344"/>
    </row>
    <row r="187" spans="3:9" ht="20.25" customHeight="1">
      <c r="C187" s="340"/>
      <c r="D187" s="341"/>
      <c r="G187" s="343"/>
      <c r="H187" s="341"/>
      <c r="I187" s="344"/>
    </row>
    <row r="188" spans="3:9" ht="20.25" customHeight="1">
      <c r="C188" s="340"/>
      <c r="D188" s="341"/>
      <c r="G188" s="343"/>
      <c r="H188" s="341"/>
      <c r="I188" s="344"/>
    </row>
    <row r="189" spans="3:9" ht="20.25" customHeight="1">
      <c r="C189" s="340"/>
      <c r="D189" s="341"/>
      <c r="G189" s="343"/>
      <c r="H189" s="341"/>
      <c r="I189" s="344"/>
    </row>
    <row r="190" spans="3:9" ht="20.25" customHeight="1">
      <c r="C190" s="340"/>
      <c r="D190" s="341"/>
      <c r="G190" s="343"/>
      <c r="H190" s="341"/>
      <c r="I190" s="344"/>
    </row>
    <row r="191" spans="3:9" ht="20.25" customHeight="1">
      <c r="C191" s="340"/>
      <c r="D191" s="341"/>
      <c r="G191" s="343"/>
      <c r="H191" s="341"/>
      <c r="I191" s="344"/>
    </row>
    <row r="192" spans="3:9" ht="20.25" customHeight="1">
      <c r="C192" s="340"/>
      <c r="D192" s="341"/>
      <c r="G192" s="343"/>
      <c r="H192" s="341"/>
      <c r="I192" s="344"/>
    </row>
    <row r="193" spans="3:9" ht="20.25" customHeight="1">
      <c r="C193" s="340"/>
      <c r="D193" s="341"/>
      <c r="G193" s="343"/>
      <c r="H193" s="341"/>
      <c r="I193" s="344"/>
    </row>
    <row r="194" spans="3:9" ht="20.25" customHeight="1">
      <c r="C194" s="340"/>
      <c r="D194" s="341"/>
      <c r="G194" s="343"/>
      <c r="H194" s="341"/>
      <c r="I194" s="344"/>
    </row>
    <row r="195" spans="3:9" ht="20.25" customHeight="1">
      <c r="C195" s="340"/>
      <c r="D195" s="341"/>
      <c r="G195" s="343"/>
      <c r="H195" s="341"/>
      <c r="I195" s="344"/>
    </row>
    <row r="196" spans="3:9" ht="20.25" customHeight="1">
      <c r="C196" s="340"/>
      <c r="D196" s="341"/>
      <c r="G196" s="343"/>
      <c r="H196" s="341"/>
      <c r="I196" s="344"/>
    </row>
    <row r="197" spans="3:9" ht="20.25" customHeight="1">
      <c r="C197" s="340"/>
      <c r="D197" s="341"/>
      <c r="G197" s="343"/>
      <c r="H197" s="341"/>
      <c r="I197" s="344"/>
    </row>
    <row r="198" spans="3:9" ht="20.25" customHeight="1">
      <c r="C198" s="340"/>
      <c r="D198" s="341"/>
      <c r="G198" s="343"/>
      <c r="H198" s="341"/>
      <c r="I198" s="344"/>
    </row>
    <row r="199" spans="3:9" ht="20.25" customHeight="1">
      <c r="C199" s="340"/>
      <c r="D199" s="341"/>
      <c r="G199" s="343"/>
      <c r="H199" s="341"/>
      <c r="I199" s="344"/>
    </row>
    <row r="200" spans="3:9" ht="20.25" customHeight="1">
      <c r="C200" s="340"/>
      <c r="D200" s="341"/>
      <c r="G200" s="343"/>
      <c r="H200" s="341"/>
      <c r="I200" s="344"/>
    </row>
    <row r="201" spans="3:9" ht="20.25" customHeight="1">
      <c r="C201" s="340"/>
      <c r="D201" s="341"/>
      <c r="G201" s="343"/>
      <c r="H201" s="341"/>
      <c r="I201" s="344"/>
    </row>
    <row r="202" spans="3:9" ht="20.25" customHeight="1">
      <c r="C202" s="340"/>
      <c r="D202" s="341"/>
      <c r="G202" s="343"/>
      <c r="H202" s="341"/>
      <c r="I202" s="344"/>
    </row>
    <row r="203" spans="3:9" ht="20.25" customHeight="1">
      <c r="C203" s="340"/>
      <c r="D203" s="341"/>
      <c r="G203" s="343"/>
      <c r="H203" s="341"/>
      <c r="I203" s="344"/>
    </row>
    <row r="204" spans="3:9" ht="20.25" customHeight="1">
      <c r="C204" s="340"/>
      <c r="D204" s="341"/>
      <c r="G204" s="343"/>
      <c r="H204" s="341"/>
      <c r="I204" s="344"/>
    </row>
    <row r="205" spans="3:9" ht="20.25" customHeight="1">
      <c r="C205" s="340"/>
      <c r="D205" s="341"/>
      <c r="G205" s="343"/>
      <c r="H205" s="341"/>
      <c r="I205" s="344"/>
    </row>
    <row r="206" spans="3:9" ht="20.25" customHeight="1">
      <c r="C206" s="340"/>
      <c r="D206" s="341"/>
      <c r="G206" s="343"/>
      <c r="H206" s="341"/>
      <c r="I206" s="344"/>
    </row>
    <row r="207" spans="3:9" ht="20.25" customHeight="1">
      <c r="C207" s="340"/>
      <c r="D207" s="341"/>
      <c r="G207" s="343"/>
      <c r="H207" s="341"/>
      <c r="I207" s="344"/>
    </row>
    <row r="208" spans="3:9" ht="20.25" customHeight="1">
      <c r="C208" s="340"/>
      <c r="D208" s="341"/>
      <c r="G208" s="343"/>
      <c r="H208" s="341"/>
      <c r="I208" s="344"/>
    </row>
    <row r="209" spans="3:9" ht="20.25" customHeight="1">
      <c r="C209" s="340"/>
      <c r="D209" s="341"/>
      <c r="G209" s="343"/>
      <c r="H209" s="341"/>
      <c r="I209" s="344"/>
    </row>
    <row r="210" spans="3:9" ht="20.25" customHeight="1">
      <c r="C210" s="340"/>
      <c r="D210" s="341"/>
      <c r="G210" s="343"/>
      <c r="H210" s="341"/>
      <c r="I210" s="344"/>
    </row>
    <row r="211" spans="3:9" ht="20.25" customHeight="1">
      <c r="C211" s="340"/>
      <c r="D211" s="341"/>
      <c r="G211" s="343"/>
      <c r="H211" s="341"/>
      <c r="I211" s="344"/>
    </row>
    <row r="212" spans="3:9" ht="20.25" customHeight="1">
      <c r="C212" s="340"/>
      <c r="D212" s="341"/>
      <c r="G212" s="343"/>
      <c r="H212" s="341"/>
      <c r="I212" s="344"/>
    </row>
    <row r="213" spans="3:9" ht="20.25" customHeight="1">
      <c r="C213" s="340"/>
      <c r="D213" s="341"/>
      <c r="G213" s="343"/>
      <c r="H213" s="341"/>
      <c r="I213" s="344"/>
    </row>
    <row r="214" spans="3:9" ht="20.25" customHeight="1">
      <c r="C214" s="340"/>
      <c r="D214" s="341"/>
      <c r="G214" s="343"/>
      <c r="H214" s="341"/>
      <c r="I214" s="344"/>
    </row>
    <row r="215" spans="3:9" ht="20.25" customHeight="1">
      <c r="C215" s="340"/>
      <c r="D215" s="341"/>
      <c r="G215" s="343"/>
      <c r="H215" s="341"/>
      <c r="I215" s="344"/>
    </row>
    <row r="216" spans="3:9" ht="20.25" customHeight="1">
      <c r="C216" s="340"/>
      <c r="D216" s="341"/>
      <c r="G216" s="343"/>
      <c r="H216" s="341"/>
      <c r="I216" s="344"/>
    </row>
    <row r="217" spans="3:9" ht="20.25" customHeight="1">
      <c r="C217" s="340"/>
      <c r="D217" s="341"/>
      <c r="G217" s="343"/>
      <c r="H217" s="341"/>
      <c r="I217" s="344"/>
    </row>
    <row r="218" spans="3:9" ht="20.25" customHeight="1">
      <c r="C218" s="340"/>
      <c r="D218" s="341"/>
      <c r="G218" s="343"/>
      <c r="H218" s="341"/>
      <c r="I218" s="344"/>
    </row>
    <row r="219" spans="3:9" ht="20.25" customHeight="1">
      <c r="C219" s="340"/>
      <c r="D219" s="341"/>
      <c r="G219" s="343"/>
      <c r="H219" s="341"/>
      <c r="I219" s="344"/>
    </row>
    <row r="220" spans="3:9" ht="20.25" customHeight="1">
      <c r="C220" s="340"/>
      <c r="D220" s="341"/>
      <c r="G220" s="343"/>
      <c r="H220" s="341"/>
      <c r="I220" s="344"/>
    </row>
    <row r="221" spans="3:9" ht="20.25" customHeight="1">
      <c r="C221" s="340"/>
      <c r="D221" s="341"/>
      <c r="G221" s="343"/>
      <c r="H221" s="341"/>
      <c r="I221" s="344"/>
    </row>
    <row r="222" spans="3:9" ht="20.25" customHeight="1">
      <c r="C222" s="340"/>
      <c r="D222" s="341"/>
      <c r="G222" s="343"/>
      <c r="H222" s="341"/>
      <c r="I222" s="344"/>
    </row>
    <row r="223" spans="3:9" ht="20.25" customHeight="1">
      <c r="C223" s="340"/>
      <c r="D223" s="341"/>
      <c r="G223" s="343"/>
      <c r="H223" s="341"/>
      <c r="I223" s="344"/>
    </row>
    <row r="224" spans="3:9" ht="20.25" customHeight="1">
      <c r="C224" s="340"/>
      <c r="D224" s="341"/>
      <c r="G224" s="343"/>
      <c r="H224" s="341"/>
      <c r="I224" s="344"/>
    </row>
    <row r="225" spans="3:9" ht="20.25" customHeight="1">
      <c r="C225" s="340"/>
      <c r="D225" s="341"/>
      <c r="G225" s="343"/>
      <c r="H225" s="341"/>
      <c r="I225" s="344"/>
    </row>
    <row r="226" spans="3:9" ht="20.25" customHeight="1">
      <c r="C226" s="340"/>
      <c r="D226" s="341"/>
      <c r="G226" s="343"/>
      <c r="H226" s="341"/>
      <c r="I226" s="344"/>
    </row>
    <row r="227" spans="3:9" ht="20.25" customHeight="1">
      <c r="C227" s="340"/>
      <c r="D227" s="341"/>
      <c r="G227" s="343"/>
      <c r="H227" s="341"/>
      <c r="I227" s="344"/>
    </row>
    <row r="228" spans="3:9" ht="20.25" customHeight="1">
      <c r="C228" s="340"/>
      <c r="D228" s="341"/>
      <c r="G228" s="343"/>
      <c r="H228" s="341"/>
      <c r="I228" s="344"/>
    </row>
    <row r="229" spans="3:9" ht="20.25" customHeight="1">
      <c r="C229" s="340"/>
      <c r="D229" s="341"/>
      <c r="G229" s="343"/>
      <c r="H229" s="341"/>
      <c r="I229" s="344"/>
    </row>
    <row r="230" spans="3:9" ht="20.25" customHeight="1">
      <c r="C230" s="340"/>
      <c r="D230" s="341"/>
      <c r="G230" s="343"/>
      <c r="H230" s="341"/>
      <c r="I230" s="344"/>
    </row>
    <row r="231" spans="3:9" ht="20.25" customHeight="1">
      <c r="C231" s="340"/>
      <c r="D231" s="341"/>
      <c r="G231" s="343"/>
      <c r="H231" s="341"/>
      <c r="I231" s="344"/>
    </row>
    <row r="232" spans="3:9" ht="20.25" customHeight="1">
      <c r="C232" s="340"/>
      <c r="D232" s="341"/>
      <c r="G232" s="343"/>
      <c r="H232" s="341"/>
      <c r="I232" s="344"/>
    </row>
    <row r="233" spans="3:9" ht="20.25" customHeight="1">
      <c r="C233" s="340"/>
      <c r="D233" s="341"/>
      <c r="G233" s="343"/>
      <c r="H233" s="341"/>
      <c r="I233" s="344"/>
    </row>
    <row r="234" spans="3:9" ht="20.25" customHeight="1">
      <c r="C234" s="340"/>
      <c r="D234" s="341"/>
      <c r="G234" s="343"/>
      <c r="H234" s="341"/>
      <c r="I234" s="344"/>
    </row>
    <row r="235" spans="3:9" ht="20.25" customHeight="1">
      <c r="C235" s="340"/>
      <c r="D235" s="341"/>
      <c r="G235" s="343"/>
      <c r="H235" s="341"/>
      <c r="I235" s="344"/>
    </row>
    <row r="236" spans="3:9" ht="20.25" customHeight="1">
      <c r="C236" s="340"/>
      <c r="D236" s="341"/>
      <c r="G236" s="343"/>
      <c r="H236" s="341"/>
      <c r="I236" s="344"/>
    </row>
    <row r="237" spans="3:9" ht="20.25" customHeight="1">
      <c r="C237" s="340"/>
      <c r="D237" s="341"/>
      <c r="G237" s="343"/>
      <c r="H237" s="341"/>
      <c r="I237" s="344"/>
    </row>
    <row r="238" spans="3:9" ht="20.25" customHeight="1">
      <c r="C238" s="340"/>
      <c r="D238" s="341"/>
      <c r="G238" s="343"/>
      <c r="H238" s="341"/>
      <c r="I238" s="344"/>
    </row>
    <row r="239" spans="3:9" ht="20.25" customHeight="1">
      <c r="C239" s="340"/>
      <c r="D239" s="341"/>
      <c r="G239" s="343"/>
      <c r="H239" s="341"/>
      <c r="I239" s="344"/>
    </row>
    <row r="240" spans="3:9" ht="20.25" customHeight="1">
      <c r="C240" s="340"/>
      <c r="D240" s="341"/>
      <c r="G240" s="343"/>
      <c r="H240" s="341"/>
      <c r="I240" s="344"/>
    </row>
    <row r="241" spans="3:9" ht="20.25" customHeight="1">
      <c r="C241" s="340"/>
      <c r="D241" s="341"/>
      <c r="G241" s="343"/>
      <c r="H241" s="341"/>
      <c r="I241" s="344"/>
    </row>
    <row r="242" spans="3:9" ht="20.25" customHeight="1">
      <c r="C242" s="340"/>
      <c r="D242" s="341"/>
      <c r="G242" s="343"/>
      <c r="H242" s="341"/>
      <c r="I242" s="344"/>
    </row>
    <row r="243" spans="3:9" ht="20.25" customHeight="1">
      <c r="C243" s="340"/>
      <c r="D243" s="341"/>
      <c r="G243" s="343"/>
      <c r="H243" s="341"/>
      <c r="I243" s="344"/>
    </row>
    <row r="244" spans="3:9" ht="20.25" customHeight="1">
      <c r="C244" s="340"/>
      <c r="D244" s="341"/>
      <c r="G244" s="343"/>
      <c r="H244" s="341"/>
      <c r="I244" s="344"/>
    </row>
    <row r="245" spans="3:9" ht="20.25" customHeight="1">
      <c r="C245" s="340"/>
      <c r="D245" s="341"/>
      <c r="G245" s="343"/>
      <c r="H245" s="341"/>
      <c r="I245" s="344"/>
    </row>
    <row r="246" spans="3:9" ht="20.25" customHeight="1">
      <c r="C246" s="340"/>
      <c r="D246" s="341"/>
      <c r="G246" s="343"/>
      <c r="H246" s="341"/>
      <c r="I246" s="344"/>
    </row>
    <row r="247" spans="3:9" ht="20.25" customHeight="1">
      <c r="C247" s="340"/>
      <c r="D247" s="341"/>
      <c r="G247" s="343"/>
      <c r="H247" s="341"/>
      <c r="I247" s="344"/>
    </row>
    <row r="248" spans="3:9" ht="20.25" customHeight="1">
      <c r="C248" s="340"/>
      <c r="D248" s="341"/>
      <c r="G248" s="343"/>
      <c r="H248" s="341"/>
      <c r="I248" s="344"/>
    </row>
    <row r="249" spans="3:9" ht="20.25" customHeight="1">
      <c r="C249" s="340"/>
      <c r="D249" s="341"/>
      <c r="G249" s="343"/>
      <c r="H249" s="341"/>
      <c r="I249" s="344"/>
    </row>
    <row r="250" spans="3:9" ht="20.25" customHeight="1">
      <c r="C250" s="340"/>
      <c r="D250" s="341"/>
      <c r="G250" s="343"/>
      <c r="H250" s="341"/>
      <c r="I250" s="344"/>
    </row>
    <row r="251" spans="3:9" ht="20.25" customHeight="1">
      <c r="C251" s="340"/>
      <c r="D251" s="341"/>
      <c r="G251" s="343"/>
      <c r="H251" s="341"/>
      <c r="I251" s="344"/>
    </row>
    <row r="252" spans="3:9" ht="20.25" customHeight="1">
      <c r="C252" s="340"/>
      <c r="D252" s="341"/>
      <c r="G252" s="343"/>
      <c r="H252" s="341"/>
      <c r="I252" s="344"/>
    </row>
    <row r="253" spans="3:9" ht="20.25" customHeight="1">
      <c r="C253" s="340"/>
      <c r="D253" s="341"/>
      <c r="G253" s="343"/>
      <c r="H253" s="341"/>
      <c r="I253" s="344"/>
    </row>
    <row r="254" spans="3:9" ht="20.25" customHeight="1">
      <c r="C254" s="340"/>
      <c r="D254" s="341"/>
      <c r="G254" s="343"/>
      <c r="H254" s="341"/>
      <c r="I254" s="344"/>
    </row>
    <row r="255" spans="3:9" ht="20.25" customHeight="1">
      <c r="C255" s="340"/>
      <c r="D255" s="341"/>
      <c r="G255" s="343"/>
      <c r="H255" s="341"/>
      <c r="I255" s="344"/>
    </row>
    <row r="256" spans="3:9" ht="20.25" customHeight="1">
      <c r="C256" s="340"/>
      <c r="D256" s="341"/>
      <c r="G256" s="343"/>
      <c r="H256" s="341"/>
      <c r="I256" s="344"/>
    </row>
    <row r="257" spans="3:9" ht="20.25" customHeight="1">
      <c r="C257" s="340"/>
      <c r="D257" s="341"/>
      <c r="G257" s="343"/>
      <c r="H257" s="341"/>
      <c r="I257" s="344"/>
    </row>
    <row r="258" spans="3:9" ht="20.25" customHeight="1">
      <c r="C258" s="340"/>
      <c r="D258" s="341"/>
      <c r="G258" s="343"/>
      <c r="H258" s="341"/>
      <c r="I258" s="344"/>
    </row>
    <row r="259" spans="3:9" ht="20.25" customHeight="1">
      <c r="C259" s="340"/>
      <c r="D259" s="341"/>
      <c r="G259" s="343"/>
      <c r="H259" s="341"/>
      <c r="I259" s="344"/>
    </row>
    <row r="260" spans="3:9" ht="20.25" customHeight="1">
      <c r="C260" s="340"/>
      <c r="D260" s="341"/>
      <c r="G260" s="343"/>
      <c r="H260" s="341"/>
      <c r="I260" s="344"/>
    </row>
    <row r="261" spans="3:9" ht="20.25" customHeight="1">
      <c r="C261" s="340"/>
      <c r="D261" s="341"/>
      <c r="G261" s="343"/>
      <c r="H261" s="341"/>
      <c r="I261" s="344"/>
    </row>
    <row r="262" spans="3:9" ht="20.25" customHeight="1">
      <c r="C262" s="340"/>
      <c r="D262" s="341"/>
      <c r="G262" s="343"/>
      <c r="H262" s="341"/>
      <c r="I262" s="344"/>
    </row>
    <row r="263" spans="3:9" ht="20.25" customHeight="1">
      <c r="C263" s="340"/>
      <c r="D263" s="341"/>
      <c r="G263" s="343"/>
      <c r="H263" s="341"/>
      <c r="I263" s="344"/>
    </row>
    <row r="264" spans="3:9" ht="20.25" customHeight="1">
      <c r="C264" s="340"/>
      <c r="D264" s="341"/>
      <c r="G264" s="343"/>
      <c r="H264" s="341"/>
      <c r="I264" s="344"/>
    </row>
    <row r="265" spans="3:9" ht="20.25" customHeight="1">
      <c r="C265" s="340"/>
      <c r="D265" s="341"/>
      <c r="G265" s="343"/>
      <c r="H265" s="341"/>
      <c r="I265" s="344"/>
    </row>
    <row r="266" spans="3:9" ht="20.25" customHeight="1">
      <c r="C266" s="340"/>
      <c r="D266" s="341"/>
      <c r="G266" s="343"/>
      <c r="H266" s="341"/>
      <c r="I266" s="344"/>
    </row>
    <row r="267" spans="3:9" ht="20.25" customHeight="1">
      <c r="C267" s="340"/>
      <c r="D267" s="341"/>
      <c r="G267" s="343"/>
      <c r="H267" s="341"/>
      <c r="I267" s="344"/>
    </row>
    <row r="268" spans="3:9" ht="20.25" customHeight="1">
      <c r="C268" s="340"/>
      <c r="D268" s="341"/>
      <c r="G268" s="343"/>
      <c r="H268" s="341"/>
      <c r="I268" s="344"/>
    </row>
    <row r="269" spans="3:9" ht="20.25" customHeight="1">
      <c r="C269" s="340"/>
      <c r="D269" s="341"/>
      <c r="G269" s="343"/>
      <c r="H269" s="341"/>
      <c r="I269" s="344"/>
    </row>
    <row r="270" spans="3:9" ht="20.25" customHeight="1">
      <c r="C270" s="340"/>
      <c r="D270" s="341"/>
      <c r="G270" s="343"/>
      <c r="H270" s="341"/>
      <c r="I270" s="344"/>
    </row>
    <row r="271" spans="3:9" ht="20.25" customHeight="1">
      <c r="C271" s="340"/>
      <c r="D271" s="341"/>
      <c r="G271" s="343"/>
      <c r="H271" s="341"/>
      <c r="I271" s="344"/>
    </row>
    <row r="272" spans="3:9" ht="20.25" customHeight="1">
      <c r="C272" s="340"/>
      <c r="D272" s="341"/>
      <c r="G272" s="343"/>
      <c r="H272" s="341"/>
      <c r="I272" s="344"/>
    </row>
    <row r="273" spans="3:9" ht="20.25" customHeight="1">
      <c r="C273" s="340"/>
      <c r="D273" s="341"/>
      <c r="G273" s="343"/>
      <c r="H273" s="341"/>
      <c r="I273" s="344"/>
    </row>
    <row r="274" spans="3:9" ht="20.25" customHeight="1">
      <c r="C274" s="340"/>
      <c r="D274" s="341"/>
      <c r="G274" s="343"/>
      <c r="H274" s="341"/>
      <c r="I274" s="344"/>
    </row>
    <row r="275" spans="3:9" ht="20.25" customHeight="1">
      <c r="C275" s="340"/>
      <c r="D275" s="341"/>
      <c r="G275" s="343"/>
      <c r="H275" s="341"/>
      <c r="I275" s="344"/>
    </row>
    <row r="276" spans="3:9" ht="20.25" customHeight="1">
      <c r="C276" s="340"/>
      <c r="D276" s="341"/>
      <c r="G276" s="343"/>
      <c r="H276" s="341"/>
      <c r="I276" s="344"/>
    </row>
    <row r="277" spans="3:9" ht="20.25" customHeight="1">
      <c r="C277" s="340"/>
      <c r="D277" s="341"/>
      <c r="G277" s="343"/>
      <c r="H277" s="341"/>
      <c r="I277" s="344"/>
    </row>
    <row r="278" spans="3:9" ht="20.25" customHeight="1">
      <c r="C278" s="340"/>
      <c r="D278" s="341"/>
      <c r="G278" s="343"/>
      <c r="H278" s="341"/>
      <c r="I278" s="344"/>
    </row>
    <row r="279" spans="3:9" ht="20.25" customHeight="1">
      <c r="C279" s="340"/>
      <c r="D279" s="341"/>
      <c r="G279" s="343"/>
      <c r="H279" s="341"/>
      <c r="I279" s="344"/>
    </row>
    <row r="280" spans="3:9" ht="20.25" customHeight="1">
      <c r="C280" s="340"/>
      <c r="D280" s="341"/>
      <c r="G280" s="343"/>
      <c r="H280" s="341"/>
      <c r="I280" s="344"/>
    </row>
    <row r="281" spans="3:9" ht="20.25" customHeight="1">
      <c r="C281" s="340"/>
      <c r="D281" s="341"/>
      <c r="G281" s="343"/>
      <c r="H281" s="341"/>
      <c r="I281" s="344"/>
    </row>
    <row r="282" spans="3:9" ht="20.25" customHeight="1">
      <c r="C282" s="340"/>
      <c r="D282" s="341"/>
      <c r="G282" s="343"/>
      <c r="H282" s="341"/>
      <c r="I282" s="344"/>
    </row>
    <row r="283" spans="3:9" ht="20.25" customHeight="1">
      <c r="C283" s="340"/>
      <c r="D283" s="341"/>
      <c r="G283" s="343"/>
      <c r="H283" s="341"/>
      <c r="I283" s="344"/>
    </row>
    <row r="284" spans="3:9" ht="20.25" customHeight="1">
      <c r="C284" s="340"/>
      <c r="D284" s="341"/>
      <c r="G284" s="343"/>
      <c r="H284" s="341"/>
      <c r="I284" s="344"/>
    </row>
    <row r="285" spans="3:9" ht="20.25" customHeight="1">
      <c r="C285" s="340"/>
      <c r="D285" s="341"/>
      <c r="G285" s="343"/>
      <c r="H285" s="341"/>
      <c r="I285" s="344"/>
    </row>
    <row r="286" spans="3:9" ht="20.25" customHeight="1">
      <c r="C286" s="340"/>
      <c r="D286" s="341"/>
      <c r="G286" s="343"/>
      <c r="H286" s="341"/>
      <c r="I286" s="344"/>
    </row>
    <row r="287" spans="3:9" ht="20.25" customHeight="1">
      <c r="C287" s="340"/>
      <c r="D287" s="341"/>
      <c r="G287" s="343"/>
      <c r="H287" s="341"/>
      <c r="I287" s="344"/>
    </row>
    <row r="288" spans="3:9" ht="20.25" customHeight="1">
      <c r="C288" s="340"/>
      <c r="D288" s="341"/>
      <c r="G288" s="343"/>
      <c r="H288" s="341"/>
      <c r="I288" s="344"/>
    </row>
    <row r="289" spans="3:9" ht="20.25" customHeight="1">
      <c r="C289" s="340"/>
      <c r="D289" s="341"/>
      <c r="G289" s="343"/>
      <c r="H289" s="341"/>
      <c r="I289" s="344"/>
    </row>
    <row r="290" spans="3:9" ht="20.25" customHeight="1">
      <c r="C290" s="340"/>
      <c r="D290" s="341"/>
      <c r="G290" s="343"/>
      <c r="H290" s="341"/>
      <c r="I290" s="344"/>
    </row>
    <row r="291" spans="3:9" ht="20.25" customHeight="1">
      <c r="C291" s="340"/>
      <c r="D291" s="341"/>
      <c r="G291" s="343"/>
      <c r="H291" s="341"/>
      <c r="I291" s="344"/>
    </row>
    <row r="292" spans="3:9" ht="20.25" customHeight="1">
      <c r="C292" s="340"/>
      <c r="D292" s="341"/>
      <c r="G292" s="343"/>
      <c r="H292" s="341"/>
      <c r="I292" s="344"/>
    </row>
    <row r="293" spans="3:9" ht="20.25" customHeight="1">
      <c r="C293" s="340"/>
      <c r="D293" s="341"/>
      <c r="G293" s="343"/>
      <c r="H293" s="341"/>
      <c r="I293" s="344"/>
    </row>
    <row r="294" spans="3:9" ht="20.25" customHeight="1">
      <c r="C294" s="340"/>
      <c r="D294" s="341"/>
      <c r="G294" s="343"/>
      <c r="H294" s="341"/>
      <c r="I294" s="344"/>
    </row>
    <row r="295" spans="3:9" ht="20.25" customHeight="1">
      <c r="C295" s="340"/>
      <c r="D295" s="341"/>
      <c r="G295" s="343"/>
      <c r="H295" s="341"/>
      <c r="I295" s="344"/>
    </row>
    <row r="296" spans="3:9" ht="20.25" customHeight="1">
      <c r="C296" s="340"/>
      <c r="D296" s="341"/>
      <c r="G296" s="343"/>
      <c r="H296" s="341"/>
      <c r="I296" s="344"/>
    </row>
    <row r="297" spans="3:9" ht="20.25" customHeight="1">
      <c r="C297" s="340"/>
      <c r="D297" s="341"/>
      <c r="G297" s="343"/>
      <c r="H297" s="341"/>
      <c r="I297" s="344"/>
    </row>
    <row r="298" spans="3:9" ht="20.25" customHeight="1">
      <c r="C298" s="340"/>
      <c r="D298" s="341"/>
      <c r="G298" s="343"/>
      <c r="H298" s="341"/>
      <c r="I298" s="344"/>
    </row>
    <row r="299" spans="3:9" ht="20.25" customHeight="1">
      <c r="C299" s="340"/>
      <c r="D299" s="341"/>
      <c r="G299" s="343"/>
      <c r="H299" s="341"/>
      <c r="I299" s="344"/>
    </row>
    <row r="300" spans="3:9" ht="20.25" customHeight="1">
      <c r="C300" s="340"/>
      <c r="D300" s="341"/>
      <c r="G300" s="343"/>
      <c r="H300" s="341"/>
      <c r="I300" s="344"/>
    </row>
    <row r="301" spans="3:9" ht="20.25" customHeight="1">
      <c r="C301" s="340"/>
      <c r="D301" s="341"/>
      <c r="G301" s="343"/>
      <c r="H301" s="341"/>
      <c r="I301" s="344"/>
    </row>
    <row r="302" spans="3:9" ht="20.25" customHeight="1">
      <c r="C302" s="340"/>
      <c r="D302" s="341"/>
      <c r="G302" s="343"/>
      <c r="H302" s="341"/>
      <c r="I302" s="344"/>
    </row>
    <row r="303" spans="3:9" ht="20.25" customHeight="1">
      <c r="C303" s="340"/>
      <c r="D303" s="341"/>
      <c r="G303" s="343"/>
      <c r="H303" s="341"/>
      <c r="I303" s="344"/>
    </row>
    <row r="304" spans="3:9" ht="20.25" customHeight="1">
      <c r="C304" s="340"/>
      <c r="D304" s="341"/>
      <c r="G304" s="343"/>
      <c r="H304" s="341"/>
      <c r="I304" s="344"/>
    </row>
    <row r="305" spans="3:9" ht="20.25" customHeight="1">
      <c r="C305" s="340"/>
      <c r="D305" s="341"/>
      <c r="G305" s="343"/>
      <c r="H305" s="341"/>
      <c r="I305" s="344"/>
    </row>
    <row r="306" spans="3:9" ht="20.25" customHeight="1">
      <c r="C306" s="340"/>
      <c r="D306" s="341"/>
      <c r="G306" s="343"/>
      <c r="H306" s="341"/>
      <c r="I306" s="344"/>
    </row>
    <row r="307" spans="3:9" ht="20.25" customHeight="1">
      <c r="C307" s="340"/>
      <c r="D307" s="341"/>
      <c r="G307" s="343"/>
      <c r="H307" s="341"/>
      <c r="I307" s="344"/>
    </row>
    <row r="308" spans="3:9" ht="20.25" customHeight="1">
      <c r="C308" s="340"/>
      <c r="D308" s="341"/>
      <c r="G308" s="343"/>
      <c r="H308" s="341"/>
      <c r="I308" s="344"/>
    </row>
    <row r="309" spans="3:9" ht="20.25" customHeight="1">
      <c r="C309" s="340"/>
      <c r="D309" s="341"/>
      <c r="G309" s="343"/>
      <c r="H309" s="341"/>
      <c r="I309" s="344"/>
    </row>
    <row r="310" spans="3:9" ht="20.25" customHeight="1">
      <c r="C310" s="340"/>
      <c r="D310" s="341"/>
      <c r="G310" s="343"/>
      <c r="H310" s="341"/>
      <c r="I310" s="344"/>
    </row>
    <row r="311" spans="3:9" ht="20.25" customHeight="1">
      <c r="C311" s="340"/>
      <c r="D311" s="341"/>
      <c r="G311" s="343"/>
      <c r="H311" s="341"/>
      <c r="I311" s="344"/>
    </row>
    <row r="312" spans="3:9" ht="20.25" customHeight="1">
      <c r="C312" s="340"/>
      <c r="D312" s="341"/>
      <c r="G312" s="343"/>
      <c r="H312" s="341"/>
      <c r="I312" s="344"/>
    </row>
    <row r="313" spans="3:9" ht="20.25" customHeight="1">
      <c r="C313" s="340"/>
      <c r="D313" s="341"/>
      <c r="G313" s="343"/>
      <c r="H313" s="341"/>
      <c r="I313" s="344"/>
    </row>
  </sheetData>
  <mergeCells count="6">
    <mergeCell ref="H1:I2"/>
    <mergeCell ref="E9:F9"/>
    <mergeCell ref="A1:A2"/>
    <mergeCell ref="B1:B2"/>
    <mergeCell ref="C1:D2"/>
    <mergeCell ref="E1:G2"/>
  </mergeCells>
  <conditionalFormatting sqref="E23:F23">
    <cfRule type="cellIs" dxfId="38" priority="7" operator="equal">
      <formula>"View Sale"</formula>
    </cfRule>
  </conditionalFormatting>
  <conditionalFormatting sqref="E31:F31">
    <cfRule type="cellIs" dxfId="37" priority="6" operator="equal">
      <formula>"View Sale"</formula>
    </cfRule>
  </conditionalFormatting>
  <conditionalFormatting sqref="E39:F39">
    <cfRule type="cellIs" dxfId="36" priority="5" operator="equal">
      <formula>"View Sale"</formula>
    </cfRule>
  </conditionalFormatting>
  <conditionalFormatting sqref="E47:F47">
    <cfRule type="cellIs" dxfId="35" priority="2" operator="equal">
      <formula>"View Sale"</formula>
    </cfRule>
  </conditionalFormatting>
  <conditionalFormatting sqref="E55:F55">
    <cfRule type="cellIs" dxfId="34" priority="1" operator="equal">
      <formula>"View Sale"</formula>
    </cfRule>
  </conditionalFormatting>
  <conditionalFormatting sqref="I23">
    <cfRule type="cellIs" dxfId="33" priority="10" operator="equal">
      <formula>"View Sale"</formula>
    </cfRule>
  </conditionalFormatting>
  <conditionalFormatting sqref="I31">
    <cfRule type="cellIs" dxfId="32" priority="8" operator="equal">
      <formula>"View Sale"</formula>
    </cfRule>
  </conditionalFormatting>
  <conditionalFormatting sqref="I39">
    <cfRule type="cellIs" dxfId="31" priority="9" operator="equal">
      <formula>"View Sale"</formula>
    </cfRule>
  </conditionalFormatting>
  <conditionalFormatting sqref="I47">
    <cfRule type="cellIs" dxfId="30" priority="12" operator="equal">
      <formula>"View Sale"</formula>
    </cfRule>
  </conditionalFormatting>
  <conditionalFormatting sqref="I55">
    <cfRule type="cellIs" dxfId="29" priority="11" operator="equal">
      <formula>"View Sale"</formula>
    </cfRule>
  </conditionalFormatting>
  <hyperlinks>
    <hyperlink ref="H9" location="'Partner Funtion'!A1" display="Reference" xr:uid="{46EB8D52-5928-4CDE-9B3E-5611EE88E938}"/>
    <hyperlink ref="E9:F9" location="'Sales area'!A1" display="Reference" xr:uid="{645B8644-5398-4297-9B1A-B299DBC46F23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78128-F1D9-404B-A17F-1146FC3CEABD}">
  <sheetPr codeName="Sheet6"/>
  <dimension ref="A1:FQ46"/>
  <sheetViews>
    <sheetView topLeftCell="A19" zoomScale="70" zoomScaleNormal="70" workbookViewId="0">
      <selection activeCell="J31" sqref="J31"/>
    </sheetView>
  </sheetViews>
  <sheetFormatPr defaultColWidth="9" defaultRowHeight="14.25"/>
  <cols>
    <col min="1" max="1" width="26.375" style="177" customWidth="1"/>
    <col min="2" max="2" width="21" style="176" bestFit="1" customWidth="1"/>
    <col min="3" max="3" width="27.875" style="1" customWidth="1"/>
    <col min="4" max="5" width="29" style="1" bestFit="1" customWidth="1"/>
    <col min="6" max="6" width="32.125" style="1" customWidth="1"/>
    <col min="7" max="7" width="39.875" style="1" customWidth="1"/>
    <col min="8" max="8" width="29.125" style="1" bestFit="1" customWidth="1"/>
    <col min="9" max="10" width="35.25" style="1" bestFit="1" customWidth="1"/>
    <col min="11" max="16384" width="9" style="1"/>
  </cols>
  <sheetData>
    <row r="1" spans="1:10" s="352" customFormat="1" ht="21" customHeight="1" thickBot="1">
      <c r="A1" s="454" t="s">
        <v>27529</v>
      </c>
      <c r="B1" s="57"/>
      <c r="C1" s="57"/>
      <c r="D1" s="228" t="s">
        <v>28141</v>
      </c>
      <c r="E1" s="229"/>
      <c r="F1" s="229"/>
      <c r="G1" s="499" t="s">
        <v>28142</v>
      </c>
      <c r="H1" s="500"/>
      <c r="I1" s="500"/>
      <c r="J1" s="501"/>
    </row>
    <row r="2" spans="1:10" ht="29.25" customHeight="1">
      <c r="A2" s="455"/>
      <c r="B2" s="466" t="s">
        <v>27558</v>
      </c>
      <c r="C2" s="467"/>
      <c r="D2" s="230" t="s">
        <v>28143</v>
      </c>
      <c r="E2" s="231"/>
      <c r="F2" s="232"/>
      <c r="G2" s="233" t="s">
        <v>28144</v>
      </c>
      <c r="H2" s="234"/>
      <c r="I2" s="234"/>
      <c r="J2" s="234"/>
    </row>
    <row r="3" spans="1:10" s="353" customFormat="1">
      <c r="A3" s="94" t="s">
        <v>27580</v>
      </c>
      <c r="B3" s="95" t="s">
        <v>27581</v>
      </c>
      <c r="C3" s="95" t="s">
        <v>27582</v>
      </c>
      <c r="D3" s="95" t="s">
        <v>28145</v>
      </c>
      <c r="E3" s="95" t="s">
        <v>327</v>
      </c>
      <c r="F3" s="95" t="s">
        <v>330</v>
      </c>
      <c r="G3" s="95" t="s">
        <v>28142</v>
      </c>
      <c r="H3" s="95" t="s">
        <v>28146</v>
      </c>
      <c r="I3" s="95" t="s">
        <v>28147</v>
      </c>
      <c r="J3" s="95" t="s">
        <v>28148</v>
      </c>
    </row>
    <row r="4" spans="1:10">
      <c r="A4" s="102" t="s">
        <v>27704</v>
      </c>
      <c r="B4" s="103" t="s">
        <v>27705</v>
      </c>
      <c r="C4" s="106" t="s">
        <v>27705</v>
      </c>
      <c r="D4" s="106" t="s">
        <v>28149</v>
      </c>
      <c r="E4" s="106" t="s">
        <v>28150</v>
      </c>
      <c r="F4" s="106" t="s">
        <v>28150</v>
      </c>
      <c r="G4" s="106" t="s">
        <v>28149</v>
      </c>
      <c r="H4" s="106" t="s">
        <v>28149</v>
      </c>
      <c r="I4" s="106" t="s">
        <v>28149</v>
      </c>
      <c r="J4" s="106" t="s">
        <v>28151</v>
      </c>
    </row>
    <row r="5" spans="1:10">
      <c r="A5" s="102" t="s">
        <v>27725</v>
      </c>
      <c r="B5" s="103" t="s">
        <v>27726</v>
      </c>
      <c r="C5" s="106" t="s">
        <v>28152</v>
      </c>
      <c r="D5" s="106" t="s">
        <v>28153</v>
      </c>
      <c r="E5" s="106" t="s">
        <v>28154</v>
      </c>
      <c r="F5" s="106" t="s">
        <v>28155</v>
      </c>
      <c r="G5" s="106" t="s">
        <v>28156</v>
      </c>
      <c r="H5" s="106" t="s">
        <v>28157</v>
      </c>
      <c r="I5" s="106" t="s">
        <v>28158</v>
      </c>
      <c r="J5" s="106" t="s">
        <v>28159</v>
      </c>
    </row>
    <row r="6" spans="1:10">
      <c r="A6" s="113" t="s">
        <v>27841</v>
      </c>
      <c r="B6" s="114" t="s">
        <v>113</v>
      </c>
      <c r="C6" s="114" t="s">
        <v>113</v>
      </c>
      <c r="D6" s="114" t="s">
        <v>113</v>
      </c>
      <c r="E6" s="114"/>
      <c r="F6" s="114"/>
      <c r="G6" s="114" t="s">
        <v>113</v>
      </c>
      <c r="H6" s="114"/>
      <c r="I6" s="114"/>
      <c r="J6" s="114"/>
    </row>
    <row r="7" spans="1:10">
      <c r="A7" s="102" t="s">
        <v>27842</v>
      </c>
      <c r="B7" s="108" t="s">
        <v>27843</v>
      </c>
      <c r="C7" s="106" t="s">
        <v>27843</v>
      </c>
      <c r="D7" s="106"/>
      <c r="E7" s="106" t="s">
        <v>27843</v>
      </c>
      <c r="F7" s="106" t="s">
        <v>27843</v>
      </c>
      <c r="G7" s="106" t="s">
        <v>27843</v>
      </c>
      <c r="H7" s="106" t="s">
        <v>27843</v>
      </c>
      <c r="I7" s="106" t="s">
        <v>27843</v>
      </c>
      <c r="J7" s="106" t="s">
        <v>28160</v>
      </c>
    </row>
    <row r="8" spans="1:10">
      <c r="A8" s="102" t="s">
        <v>1</v>
      </c>
      <c r="B8" s="108">
        <v>132</v>
      </c>
      <c r="C8" s="106">
        <v>10</v>
      </c>
      <c r="D8" s="106"/>
      <c r="E8" s="106">
        <v>3</v>
      </c>
      <c r="F8" s="106">
        <v>10</v>
      </c>
      <c r="G8" s="106">
        <v>10</v>
      </c>
      <c r="H8" s="106">
        <v>1</v>
      </c>
      <c r="I8" s="106">
        <v>1</v>
      </c>
      <c r="J8" s="106">
        <v>15</v>
      </c>
    </row>
    <row r="9" spans="1:10" s="213" customFormat="1" ht="51.75" customHeight="1">
      <c r="A9" s="235"/>
      <c r="B9" s="236" t="s">
        <v>27845</v>
      </c>
      <c r="C9" s="236" t="s">
        <v>27845</v>
      </c>
      <c r="D9" s="237" t="s">
        <v>28161</v>
      </c>
      <c r="E9" s="238" t="s">
        <v>28162</v>
      </c>
      <c r="F9" s="238" t="s">
        <v>28163</v>
      </c>
      <c r="G9" s="236" t="s">
        <v>28164</v>
      </c>
      <c r="H9" s="236" t="s">
        <v>28165</v>
      </c>
      <c r="I9" s="236" t="s">
        <v>28165</v>
      </c>
      <c r="J9" s="236" t="s">
        <v>28166</v>
      </c>
    </row>
    <row r="10" spans="1:10" s="213" customFormat="1" ht="18.75" customHeight="1">
      <c r="A10" s="348"/>
      <c r="B10" s="351"/>
      <c r="C10" s="349"/>
      <c r="D10" s="351"/>
      <c r="E10" s="350"/>
      <c r="F10" s="349"/>
      <c r="I10" s="349"/>
    </row>
    <row r="11" spans="1:10" s="36" customFormat="1" ht="29.25" customHeight="1">
      <c r="A11" s="351"/>
      <c r="B11" s="351" t="s">
        <v>27945</v>
      </c>
      <c r="C11" s="351" t="s">
        <v>27945</v>
      </c>
      <c r="D11" s="351" t="s">
        <v>27945</v>
      </c>
      <c r="E11" s="351" t="s">
        <v>27945</v>
      </c>
      <c r="F11" s="351" t="s">
        <v>27945</v>
      </c>
      <c r="G11" s="351" t="s">
        <v>27945</v>
      </c>
      <c r="H11" s="351" t="s">
        <v>27945</v>
      </c>
      <c r="I11" s="351" t="s">
        <v>27945</v>
      </c>
      <c r="J11" s="36" t="s">
        <v>3233</v>
      </c>
    </row>
    <row r="12" spans="1:10" s="36" customFormat="1" ht="29.25" customHeight="1">
      <c r="A12" s="351" t="s">
        <v>27947</v>
      </c>
      <c r="B12" s="351"/>
      <c r="J12" s="36" t="s">
        <v>143</v>
      </c>
    </row>
    <row r="13" spans="1:10" ht="29.25" customHeight="1"/>
    <row r="14" spans="1:10" ht="29.25" customHeight="1"/>
    <row r="15" spans="1:10">
      <c r="A15" s="122"/>
      <c r="B15" s="122"/>
      <c r="C15" s="122"/>
      <c r="D15" s="122"/>
      <c r="E15" s="122"/>
      <c r="F15" s="122"/>
      <c r="G15" s="122"/>
      <c r="H15" s="122"/>
      <c r="I15" s="122"/>
      <c r="J15" s="122"/>
    </row>
    <row r="16" spans="1:10" ht="29.25" customHeight="1">
      <c r="A16" s="129" t="s">
        <v>27956</v>
      </c>
      <c r="B16" s="130" t="s">
        <v>27957</v>
      </c>
      <c r="C16" s="209" t="s">
        <v>28104</v>
      </c>
      <c r="D16" s="130" t="s">
        <v>27957</v>
      </c>
      <c r="E16" s="132" t="s">
        <v>27959</v>
      </c>
      <c r="F16" s="132" t="s">
        <v>27959</v>
      </c>
      <c r="G16" s="132" t="s">
        <v>27959</v>
      </c>
      <c r="H16" s="131" t="s">
        <v>27958</v>
      </c>
      <c r="I16" s="130" t="s">
        <v>27957</v>
      </c>
      <c r="J16" s="132" t="s">
        <v>27959</v>
      </c>
    </row>
    <row r="17" spans="1:173" ht="29.25" customHeight="1">
      <c r="A17" s="134"/>
      <c r="B17" s="135"/>
      <c r="C17" s="210"/>
      <c r="D17" s="135"/>
      <c r="E17" s="137" t="str">
        <f>Web!I98</f>
        <v>VM_015</v>
      </c>
      <c r="F17" s="137" t="str">
        <f>Web!I99</f>
        <v>VM_016</v>
      </c>
      <c r="G17" s="138" t="str">
        <f>Web!E7</f>
        <v>VR_004</v>
      </c>
      <c r="H17" s="136"/>
      <c r="I17" s="135"/>
      <c r="J17" s="137" t="str">
        <f>Web!W39</f>
        <v>VS_049</v>
      </c>
    </row>
    <row r="18" spans="1:173" ht="29.25" customHeight="1">
      <c r="A18" s="129" t="s">
        <v>27961</v>
      </c>
      <c r="B18" s="135" t="s">
        <v>28167</v>
      </c>
      <c r="C18" s="210"/>
      <c r="D18" s="135" t="s">
        <v>28168</v>
      </c>
      <c r="E18" s="145" t="s">
        <v>327</v>
      </c>
      <c r="F18" s="145" t="s">
        <v>330</v>
      </c>
      <c r="G18" s="145" t="s">
        <v>27962</v>
      </c>
      <c r="H18" s="143" t="s">
        <v>336</v>
      </c>
      <c r="I18" s="135" t="s">
        <v>113</v>
      </c>
      <c r="J18" s="145" t="s">
        <v>143</v>
      </c>
    </row>
    <row r="19" spans="1:173" ht="53.25" customHeight="1">
      <c r="A19" s="134" t="s">
        <v>27963</v>
      </c>
      <c r="B19" s="148"/>
      <c r="C19" s="210"/>
      <c r="D19" s="148"/>
      <c r="E19" s="152"/>
      <c r="F19" s="152"/>
      <c r="G19" s="150"/>
      <c r="H19" s="149"/>
      <c r="I19" s="148"/>
      <c r="J19" s="152"/>
    </row>
    <row r="20" spans="1:173" ht="29.25" customHeight="1">
      <c r="A20" s="129" t="s">
        <v>27983</v>
      </c>
      <c r="B20" s="156"/>
      <c r="C20" s="210"/>
      <c r="D20" s="156"/>
      <c r="E20" s="158" t="s">
        <v>27984</v>
      </c>
      <c r="F20" s="158" t="s">
        <v>27984</v>
      </c>
      <c r="G20" s="158" t="s">
        <v>27984</v>
      </c>
      <c r="H20" s="157"/>
      <c r="I20" s="156"/>
      <c r="J20" s="158"/>
    </row>
    <row r="21" spans="1:173" ht="29.25" customHeight="1">
      <c r="A21" s="131"/>
      <c r="B21" s="131"/>
      <c r="C21" s="131"/>
      <c r="D21" s="131"/>
      <c r="E21" s="161" t="s">
        <v>284</v>
      </c>
      <c r="F21" s="161" t="s">
        <v>284</v>
      </c>
      <c r="G21" s="163" t="s">
        <v>0</v>
      </c>
      <c r="H21" s="131"/>
      <c r="I21" s="131"/>
      <c r="J21" s="240" t="s">
        <v>18</v>
      </c>
    </row>
    <row r="22" spans="1:173" ht="29.25" customHeight="1"/>
    <row r="23" spans="1:173" ht="29.25" customHeight="1">
      <c r="A23" s="239"/>
      <c r="B23" s="172" t="s">
        <v>27989</v>
      </c>
      <c r="C23" s="172" t="s">
        <v>27989</v>
      </c>
      <c r="D23" s="172" t="s">
        <v>27989</v>
      </c>
      <c r="G23" s="172" t="s">
        <v>27989</v>
      </c>
    </row>
    <row r="24" spans="1:173" ht="29.25" customHeight="1"/>
    <row r="25" spans="1:173" ht="29.25" customHeight="1">
      <c r="C25" s="173" t="s">
        <v>27990</v>
      </c>
      <c r="J25" s="173" t="s">
        <v>27990</v>
      </c>
    </row>
    <row r="26" spans="1:173" ht="29.25" customHeight="1"/>
    <row r="27" spans="1:173" ht="29.25" customHeight="1">
      <c r="A27" s="239"/>
      <c r="B27" s="174" t="s">
        <v>27991</v>
      </c>
      <c r="C27" s="174" t="s">
        <v>27991</v>
      </c>
      <c r="D27" s="174" t="s">
        <v>27991</v>
      </c>
      <c r="E27" s="174" t="s">
        <v>27991</v>
      </c>
      <c r="F27" s="174" t="s">
        <v>27991</v>
      </c>
      <c r="G27" s="241" t="s">
        <v>28169</v>
      </c>
      <c r="H27" s="241" t="s">
        <v>28169</v>
      </c>
      <c r="I27" s="241" t="s">
        <v>28169</v>
      </c>
      <c r="J27" s="241" t="s">
        <v>28169</v>
      </c>
    </row>
    <row r="28" spans="1:173" ht="29.25" customHeight="1"/>
    <row r="29" spans="1:173" s="382" customFormat="1" ht="28.15" customHeight="1">
      <c r="A29" s="404" t="s">
        <v>27992</v>
      </c>
      <c r="B29" s="380"/>
      <c r="C29" s="381"/>
      <c r="D29" s="381"/>
      <c r="E29" s="381"/>
      <c r="H29" s="383"/>
      <c r="I29" s="383"/>
      <c r="J29" s="383"/>
      <c r="K29" s="383"/>
      <c r="L29" s="379"/>
      <c r="M29" s="379"/>
      <c r="Q29" s="379"/>
      <c r="R29" s="379"/>
      <c r="S29" s="379"/>
      <c r="T29" s="383"/>
      <c r="U29" s="383"/>
      <c r="V29" s="383"/>
      <c r="W29" s="383"/>
      <c r="X29" s="384"/>
      <c r="Y29" s="384"/>
      <c r="Z29" s="383"/>
      <c r="AA29" s="385"/>
      <c r="AB29" s="385"/>
      <c r="AC29" s="385"/>
      <c r="AD29" s="385"/>
      <c r="AE29" s="385"/>
      <c r="AF29" s="383"/>
      <c r="AG29" s="385"/>
      <c r="AH29" s="383"/>
      <c r="AI29" s="383"/>
      <c r="AJ29" s="383"/>
      <c r="AK29" s="383"/>
      <c r="AL29" s="383"/>
      <c r="AM29" s="383"/>
      <c r="AN29" s="383"/>
      <c r="AO29" s="383"/>
      <c r="AP29" s="383"/>
      <c r="AQ29" s="383"/>
      <c r="AT29" s="386"/>
      <c r="AU29" s="386"/>
      <c r="AV29" s="383"/>
      <c r="AW29" s="383"/>
      <c r="AX29" s="383"/>
      <c r="AY29" s="383"/>
      <c r="AZ29" s="383"/>
      <c r="BA29" s="383"/>
      <c r="BB29" s="379"/>
      <c r="BC29" s="379"/>
      <c r="BE29" s="379"/>
      <c r="BF29" s="379"/>
      <c r="BG29" s="379"/>
      <c r="BH29" s="383"/>
      <c r="BI29" s="383"/>
      <c r="BJ29" s="383"/>
      <c r="BK29" s="383"/>
      <c r="BN29" s="383"/>
      <c r="BO29" s="386"/>
      <c r="BP29" s="383"/>
      <c r="BQ29" s="386"/>
      <c r="BR29" s="383"/>
      <c r="BS29" s="383"/>
      <c r="BX29" s="387"/>
      <c r="BY29" s="386"/>
      <c r="BZ29" s="383"/>
      <c r="CA29" s="383"/>
      <c r="CB29" s="383"/>
      <c r="CC29" s="383"/>
      <c r="CD29" s="388"/>
      <c r="CE29" s="383"/>
      <c r="CF29" s="383"/>
      <c r="CG29" s="383"/>
      <c r="CH29" s="383"/>
      <c r="CI29" s="383"/>
      <c r="CJ29" s="383"/>
      <c r="CK29" s="383"/>
      <c r="CL29" s="383"/>
      <c r="CM29" s="383"/>
      <c r="CN29" s="383"/>
      <c r="CO29" s="383"/>
      <c r="CP29" s="383"/>
      <c r="CQ29" s="383"/>
      <c r="CR29" s="383"/>
      <c r="CS29" s="383"/>
      <c r="CT29" s="383"/>
      <c r="CU29" s="383"/>
      <c r="CV29" s="383"/>
      <c r="CW29" s="383"/>
      <c r="CX29" s="383"/>
      <c r="CY29" s="383"/>
      <c r="CZ29" s="383"/>
      <c r="DA29" s="383"/>
      <c r="DB29" s="383"/>
      <c r="DC29" s="383"/>
      <c r="DD29" s="383"/>
      <c r="DE29" s="383"/>
      <c r="DF29" s="383"/>
      <c r="DG29" s="383"/>
      <c r="DH29" s="383"/>
      <c r="DI29" s="383"/>
      <c r="DJ29" s="383"/>
      <c r="DK29" s="383"/>
      <c r="DL29" s="383"/>
      <c r="DM29" s="383"/>
      <c r="DN29" s="383"/>
      <c r="DO29" s="383"/>
      <c r="DP29" s="383"/>
      <c r="DQ29" s="383"/>
      <c r="DR29" s="383"/>
      <c r="DS29" s="383"/>
      <c r="DT29" s="383"/>
      <c r="DU29" s="383"/>
      <c r="DV29" s="383"/>
      <c r="DW29" s="383"/>
      <c r="DX29" s="383"/>
      <c r="DY29" s="383"/>
      <c r="DZ29" s="383"/>
      <c r="EA29" s="383"/>
      <c r="EB29" s="383"/>
      <c r="EC29" s="383"/>
      <c r="ED29" s="383"/>
      <c r="EE29" s="383"/>
      <c r="EF29" s="383"/>
      <c r="EG29" s="387"/>
      <c r="EH29" s="383"/>
      <c r="EI29" s="386"/>
      <c r="EJ29" s="386"/>
      <c r="EK29" s="383"/>
      <c r="EL29" s="386"/>
      <c r="EM29" s="383"/>
      <c r="EN29" s="383"/>
      <c r="EO29" s="388"/>
      <c r="EP29" s="383"/>
      <c r="EQ29" s="383"/>
      <c r="ER29" s="386"/>
      <c r="ES29" s="381"/>
      <c r="ET29" s="381"/>
      <c r="EU29" s="383"/>
      <c r="EV29" s="381"/>
      <c r="EW29" s="386"/>
      <c r="EX29" s="389"/>
      <c r="EY29" s="381"/>
      <c r="EZ29" s="381"/>
      <c r="FA29" s="381"/>
      <c r="FB29" s="389"/>
      <c r="FC29" s="389"/>
      <c r="FD29" s="389"/>
      <c r="FE29" s="381"/>
      <c r="FF29" s="381"/>
      <c r="FG29" s="381"/>
      <c r="FH29" s="389"/>
      <c r="FI29" s="389"/>
      <c r="FJ29" s="389"/>
      <c r="FK29" s="381"/>
      <c r="FL29" s="381"/>
      <c r="FM29" s="381"/>
      <c r="FN29" s="389"/>
      <c r="FO29" s="389"/>
      <c r="FP29" s="390"/>
      <c r="FQ29" s="390"/>
    </row>
    <row r="30" spans="1:173" s="382" customFormat="1" ht="28.15" customHeight="1">
      <c r="A30" s="379"/>
      <c r="B30" s="380"/>
      <c r="C30" s="381"/>
      <c r="D30" s="381"/>
      <c r="E30" s="381"/>
      <c r="H30" s="383"/>
      <c r="I30" s="383"/>
      <c r="J30" s="383"/>
      <c r="K30" s="383"/>
      <c r="L30" s="379"/>
      <c r="M30" s="379"/>
      <c r="Q30" s="379"/>
      <c r="R30" s="379"/>
      <c r="S30" s="379"/>
      <c r="T30" s="383"/>
      <c r="U30" s="383"/>
      <c r="V30" s="383"/>
      <c r="W30" s="383"/>
      <c r="X30" s="384"/>
      <c r="Y30" s="384"/>
      <c r="Z30" s="383"/>
      <c r="AA30" s="385"/>
      <c r="AB30" s="385"/>
      <c r="AC30" s="385"/>
      <c r="AD30" s="385"/>
      <c r="AE30" s="385"/>
      <c r="AF30" s="383"/>
      <c r="AG30" s="385"/>
      <c r="AH30" s="383"/>
      <c r="AI30" s="383"/>
      <c r="AJ30" s="383"/>
      <c r="AK30" s="383"/>
      <c r="AL30" s="383"/>
      <c r="AM30" s="383"/>
      <c r="AN30" s="383"/>
      <c r="AO30" s="383"/>
      <c r="AP30" s="383"/>
      <c r="AQ30" s="383"/>
      <c r="AT30" s="386"/>
      <c r="AU30" s="386"/>
      <c r="AV30" s="383"/>
      <c r="AW30" s="383"/>
      <c r="AX30" s="383"/>
      <c r="AY30" s="383"/>
      <c r="AZ30" s="383"/>
      <c r="BA30" s="383"/>
      <c r="BB30" s="379"/>
      <c r="BC30" s="379"/>
      <c r="BE30" s="379"/>
      <c r="BF30" s="379"/>
      <c r="BG30" s="379"/>
      <c r="BH30" s="383"/>
      <c r="BI30" s="383"/>
      <c r="BJ30" s="383"/>
      <c r="BK30" s="383"/>
      <c r="BN30" s="383"/>
      <c r="BO30" s="386"/>
      <c r="BP30" s="383"/>
      <c r="BQ30" s="386"/>
      <c r="BR30" s="383"/>
      <c r="BS30" s="383"/>
      <c r="BX30" s="387"/>
      <c r="BY30" s="386"/>
      <c r="BZ30" s="383"/>
      <c r="CA30" s="383"/>
      <c r="CB30" s="383"/>
      <c r="CC30" s="383"/>
      <c r="CD30" s="388"/>
      <c r="CE30" s="383"/>
      <c r="CF30" s="383"/>
      <c r="CG30" s="383"/>
      <c r="CH30" s="383"/>
      <c r="CI30" s="383"/>
      <c r="CJ30" s="383"/>
      <c r="CK30" s="383"/>
      <c r="CL30" s="383"/>
      <c r="CM30" s="383"/>
      <c r="CN30" s="383"/>
      <c r="CO30" s="383"/>
      <c r="CP30" s="383"/>
      <c r="CQ30" s="383"/>
      <c r="CR30" s="383"/>
      <c r="CS30" s="383"/>
      <c r="CT30" s="383"/>
      <c r="CU30" s="383"/>
      <c r="CV30" s="383"/>
      <c r="CW30" s="383"/>
      <c r="CX30" s="383"/>
      <c r="CY30" s="383"/>
      <c r="CZ30" s="383"/>
      <c r="DA30" s="383"/>
      <c r="DB30" s="383"/>
      <c r="DC30" s="383"/>
      <c r="DD30" s="383"/>
      <c r="DE30" s="383"/>
      <c r="DF30" s="383"/>
      <c r="DG30" s="383"/>
      <c r="DH30" s="383"/>
      <c r="DI30" s="383"/>
      <c r="DJ30" s="383"/>
      <c r="DK30" s="383"/>
      <c r="DL30" s="383"/>
      <c r="DM30" s="383"/>
      <c r="DN30" s="383"/>
      <c r="DO30" s="383"/>
      <c r="DP30" s="383"/>
      <c r="DQ30" s="383"/>
      <c r="DR30" s="383"/>
      <c r="DS30" s="383"/>
      <c r="DT30" s="383"/>
      <c r="DU30" s="383"/>
      <c r="DV30" s="383"/>
      <c r="DW30" s="383"/>
      <c r="DX30" s="383"/>
      <c r="DY30" s="383"/>
      <c r="DZ30" s="383"/>
      <c r="EA30" s="383"/>
      <c r="EB30" s="383"/>
      <c r="EC30" s="383"/>
      <c r="ED30" s="383"/>
      <c r="EE30" s="383"/>
      <c r="EF30" s="383"/>
      <c r="EG30" s="387"/>
      <c r="EH30" s="383"/>
      <c r="EI30" s="386"/>
      <c r="EJ30" s="386"/>
      <c r="EK30" s="383"/>
      <c r="EL30" s="386"/>
      <c r="EM30" s="383"/>
      <c r="EN30" s="383"/>
      <c r="EO30" s="388"/>
      <c r="EP30" s="383"/>
      <c r="EQ30" s="383"/>
      <c r="ER30" s="386"/>
      <c r="ES30" s="381"/>
      <c r="ET30" s="381"/>
      <c r="EU30" s="383"/>
      <c r="EV30" s="381"/>
      <c r="EW30" s="386"/>
      <c r="EX30" s="389"/>
      <c r="EY30" s="381"/>
      <c r="EZ30" s="381"/>
      <c r="FA30" s="381"/>
      <c r="FB30" s="389"/>
      <c r="FC30" s="389"/>
      <c r="FD30" s="389"/>
      <c r="FE30" s="381"/>
      <c r="FF30" s="381"/>
      <c r="FG30" s="381"/>
      <c r="FH30" s="389"/>
      <c r="FI30" s="389"/>
      <c r="FJ30" s="389"/>
      <c r="FK30" s="381"/>
      <c r="FL30" s="381"/>
      <c r="FM30" s="381"/>
      <c r="FN30" s="389"/>
      <c r="FO30" s="389"/>
      <c r="FP30" s="390"/>
      <c r="FQ30" s="390"/>
    </row>
    <row r="31" spans="1:173" ht="29.25" customHeight="1">
      <c r="A31" s="129"/>
      <c r="B31" s="135" t="str">
        <f>B18</f>
        <v>UKM000</v>
      </c>
      <c r="C31" s="425" t="s">
        <v>28107</v>
      </c>
      <c r="D31" s="135" t="str">
        <f>D18</f>
        <v>B2B-NEW</v>
      </c>
      <c r="E31" s="145" t="str">
        <f>IF(Web!K98="","",Web!K98)</f>
        <v>C</v>
      </c>
      <c r="F31" s="145" t="str">
        <f>IF(Web!K99="","",Web!K99)</f>
        <v>01</v>
      </c>
      <c r="G31" s="145" t="str">
        <f>IF(Web!G7="","",Web!G7)</f>
        <v>1100</v>
      </c>
      <c r="H31" s="143"/>
      <c r="I31" s="135" t="str">
        <f>I18</f>
        <v>X</v>
      </c>
      <c r="J31" s="145">
        <f>IF(Web!Y39="","",Web!Y39)</f>
        <v>2000000</v>
      </c>
    </row>
    <row r="32" spans="1:173" ht="29.25" customHeight="1"/>
    <row r="33" ht="29.25" customHeight="1"/>
    <row r="34" ht="29.25" customHeight="1"/>
    <row r="35" ht="29.25" customHeight="1"/>
    <row r="36" ht="29.25" customHeight="1"/>
    <row r="37" ht="29.25" customHeight="1"/>
    <row r="38" ht="29.25" customHeight="1"/>
    <row r="39" ht="29.25" customHeight="1"/>
    <row r="40" ht="29.25" customHeight="1"/>
    <row r="41" ht="29.25" customHeight="1"/>
    <row r="42" ht="29.25" customHeight="1"/>
    <row r="43" ht="29.25" customHeight="1"/>
    <row r="44" ht="29.25" customHeight="1"/>
    <row r="45" ht="29.25" customHeight="1"/>
    <row r="46" ht="29.25" customHeight="1"/>
  </sheetData>
  <mergeCells count="3">
    <mergeCell ref="G1:J1"/>
    <mergeCell ref="A1:A2"/>
    <mergeCell ref="B2:C2"/>
  </mergeCells>
  <conditionalFormatting sqref="E21:G21">
    <cfRule type="cellIs" dxfId="28" priority="1" operator="equal">
      <formula>"View Sale"</formula>
    </cfRule>
  </conditionalFormatting>
  <conditionalFormatting sqref="J21">
    <cfRule type="cellIs" dxfId="27" priority="2" operator="equal">
      <formula>"View Sale"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4558B-6A8F-48F6-B47E-BF9683819CE3}">
  <sheetPr codeName="Sheet7"/>
  <dimension ref="A1:FV1048555"/>
  <sheetViews>
    <sheetView topLeftCell="A10" zoomScale="70" zoomScaleNormal="70" workbookViewId="0">
      <selection activeCell="H35" sqref="H35"/>
    </sheetView>
  </sheetViews>
  <sheetFormatPr defaultColWidth="9.125" defaultRowHeight="12.75"/>
  <cols>
    <col min="1" max="1" width="21.125" style="315" customWidth="1"/>
    <col min="2" max="2" width="23.75" style="316" bestFit="1" customWidth="1"/>
    <col min="3" max="3" width="18.75" style="317" bestFit="1" customWidth="1"/>
    <col min="4" max="4" width="18.125" style="317" bestFit="1" customWidth="1"/>
    <col min="5" max="5" width="17.75" style="317" customWidth="1"/>
    <col min="6" max="6" width="25.875" style="316" bestFit="1" customWidth="1"/>
    <col min="7" max="7" width="28.375" style="316" customWidth="1"/>
    <col min="8" max="8" width="18" style="316" customWidth="1"/>
    <col min="9" max="9" width="19" style="316" customWidth="1"/>
    <col min="10" max="10" width="16.75" style="316" customWidth="1"/>
    <col min="11" max="11" width="15.625" style="316" customWidth="1"/>
    <col min="12" max="12" width="28.375" style="316" customWidth="1"/>
    <col min="13" max="14" width="17.875" style="316" customWidth="1"/>
    <col min="15" max="15" width="14" style="316" customWidth="1"/>
    <col min="16" max="16" width="18.625" style="316" customWidth="1"/>
    <col min="17" max="17" width="27.125" style="315" customWidth="1"/>
    <col min="18" max="18" width="25.75" style="315" customWidth="1"/>
    <col min="19" max="19" width="28.625" style="315" customWidth="1"/>
    <col min="20" max="20" width="15.625" style="315" customWidth="1"/>
    <col min="21" max="21" width="25.375" style="315" customWidth="1"/>
    <col min="22" max="22" width="16.625" style="315" customWidth="1"/>
    <col min="23" max="23" width="13.375" style="316" customWidth="1"/>
    <col min="24" max="24" width="16.75" style="316" customWidth="1"/>
    <col min="25" max="25" width="22.375" style="316" bestFit="1" customWidth="1"/>
    <col min="26" max="26" width="15.625" style="316" customWidth="1"/>
    <col min="27" max="27" width="18.625" style="316" customWidth="1"/>
    <col min="28" max="28" width="16.25" style="316" customWidth="1"/>
    <col min="29" max="29" width="16.375" style="316" customWidth="1"/>
    <col min="30" max="31" width="16.75" style="316" customWidth="1"/>
    <col min="32" max="32" width="13.75" style="316" customWidth="1"/>
    <col min="33" max="33" width="17.375" style="316" customWidth="1"/>
    <col min="34" max="43" width="18.375" style="316" customWidth="1"/>
    <col min="44" max="44" width="18" style="316" customWidth="1"/>
    <col min="45" max="45" width="19.625" style="317" customWidth="1"/>
    <col min="46" max="46" width="23.625" style="317" customWidth="1"/>
    <col min="47" max="47" width="17.875" style="316" customWidth="1"/>
    <col min="48" max="48" width="19" style="316" customWidth="1"/>
    <col min="49" max="49" width="16.375" style="316" customWidth="1"/>
    <col min="50" max="50" width="13.25" style="316" customWidth="1"/>
    <col min="51" max="51" width="15.125" style="316" customWidth="1"/>
    <col min="52" max="52" width="14.875" style="316" customWidth="1"/>
    <col min="53" max="53" width="15.875" style="316" customWidth="1"/>
    <col min="54" max="54" width="15.25" style="316" customWidth="1"/>
    <col min="55" max="56" width="18.25" style="316" customWidth="1"/>
    <col min="57" max="57" width="25.75" style="316" customWidth="1"/>
    <col min="58" max="58" width="20.25" style="316" customWidth="1"/>
    <col min="59" max="59" width="12.875" style="316" customWidth="1"/>
    <col min="60" max="60" width="21.375" style="316" customWidth="1"/>
    <col min="61" max="61" width="28.75" style="316" customWidth="1"/>
    <col min="62" max="62" width="15.75" style="316" customWidth="1"/>
    <col min="63" max="63" width="13.875" style="316" customWidth="1"/>
    <col min="64" max="64" width="18.875" style="317" customWidth="1"/>
    <col min="65" max="65" width="22.375" style="316" customWidth="1"/>
    <col min="66" max="66" width="23.875" style="317" customWidth="1"/>
    <col min="67" max="67" width="20.875" style="317" customWidth="1"/>
    <col min="68" max="68" width="25.625" style="315" customWidth="1"/>
    <col min="69" max="69" width="20.375" style="316" customWidth="1"/>
    <col min="70" max="70" width="17.375" style="316" customWidth="1"/>
    <col min="71" max="71" width="18.375" style="319" customWidth="1"/>
    <col min="72" max="72" width="36.625" style="316" customWidth="1"/>
    <col min="73" max="73" width="14.25" style="316" customWidth="1"/>
    <col min="74" max="74" width="19.75" style="316" customWidth="1"/>
    <col min="75" max="75" width="14.625" style="316" customWidth="1"/>
    <col min="76" max="76" width="16.125" style="316" customWidth="1"/>
    <col min="77" max="77" width="16" style="316" customWidth="1"/>
    <col min="78" max="78" width="19.375" style="316" customWidth="1"/>
    <col min="79" max="79" width="18.125" style="316" customWidth="1"/>
    <col min="80" max="80" width="33" style="316" customWidth="1"/>
    <col min="81" max="81" width="16.75" style="316" customWidth="1"/>
    <col min="82" max="82" width="19" style="316" customWidth="1"/>
    <col min="83" max="83" width="16.75" style="316" customWidth="1"/>
    <col min="84" max="84" width="17.75" style="316" customWidth="1"/>
    <col min="85" max="85" width="18.125" style="316" customWidth="1"/>
    <col min="86" max="87" width="16.75" style="316" customWidth="1"/>
    <col min="88" max="88" width="14.75" style="316" customWidth="1"/>
    <col min="89" max="89" width="17.875" style="316" customWidth="1"/>
    <col min="90" max="90" width="18" style="316" customWidth="1"/>
    <col min="91" max="91" width="19.625" style="316" customWidth="1"/>
    <col min="92" max="92" width="13.625" style="316" customWidth="1"/>
    <col min="93" max="93" width="19.25" style="316" customWidth="1"/>
    <col min="94" max="94" width="15.875" style="316" customWidth="1"/>
    <col min="95" max="95" width="19.125" style="316" customWidth="1"/>
    <col min="96" max="96" width="18.875" style="316" customWidth="1"/>
    <col min="97" max="97" width="20.375" style="316" customWidth="1"/>
    <col min="98" max="98" width="14.875" style="316" customWidth="1"/>
    <col min="99" max="100" width="16.125" style="316" customWidth="1"/>
    <col min="101" max="101" width="19.125" style="316" customWidth="1"/>
    <col min="102" max="102" width="22.625" style="316" customWidth="1"/>
    <col min="103" max="103" width="20.375" style="316" customWidth="1"/>
    <col min="104" max="104" width="14.375" style="316" customWidth="1"/>
    <col min="105" max="105" width="19.25" style="316" customWidth="1"/>
    <col min="106" max="106" width="20.125" style="316" customWidth="1"/>
    <col min="107" max="107" width="19.125" style="316" customWidth="1"/>
    <col min="108" max="108" width="16.25" style="316" customWidth="1"/>
    <col min="109" max="109" width="15.875" style="316" customWidth="1"/>
    <col min="110" max="110" width="14.125" style="316" customWidth="1"/>
    <col min="111" max="111" width="19.25" style="316" customWidth="1"/>
    <col min="112" max="112" width="17" style="316" customWidth="1"/>
    <col min="113" max="113" width="19.125" style="316" customWidth="1"/>
    <col min="114" max="114" width="17.75" style="316" customWidth="1"/>
    <col min="115" max="115" width="20.375" style="316" customWidth="1"/>
    <col min="116" max="116" width="14" style="316" customWidth="1"/>
    <col min="117" max="117" width="19.25" style="316" customWidth="1"/>
    <col min="118" max="118" width="16" style="316" customWidth="1"/>
    <col min="119" max="119" width="15.25" style="316" customWidth="1"/>
    <col min="120" max="120" width="13.125" style="316" customWidth="1"/>
    <col min="121" max="122" width="14.375" style="316" customWidth="1"/>
    <col min="123" max="123" width="15.625" style="316" customWidth="1"/>
    <col min="124" max="124" width="17.25" style="316" customWidth="1"/>
    <col min="125" max="125" width="14.75" style="316" customWidth="1"/>
    <col min="126" max="126" width="17.375" style="316" customWidth="1"/>
    <col min="127" max="127" width="16.125" style="316" customWidth="1"/>
    <col min="128" max="128" width="13.375" style="316" customWidth="1"/>
    <col min="129" max="129" width="15.25" style="316" customWidth="1"/>
    <col min="130" max="130" width="17.125" style="316" customWidth="1"/>
    <col min="131" max="131" width="15.75" style="316" customWidth="1"/>
    <col min="132" max="132" width="15" style="316" customWidth="1"/>
    <col min="133" max="133" width="17.125" style="316" customWidth="1"/>
    <col min="134" max="135" width="18.625" style="316" customWidth="1"/>
    <col min="136" max="136" width="21.625" style="316" customWidth="1"/>
    <col min="137" max="137" width="21.375" style="316" customWidth="1"/>
    <col min="138" max="138" width="22.625" style="320" customWidth="1"/>
    <col min="139" max="140" width="28.125" style="320" customWidth="1"/>
    <col min="141" max="141" width="19.875" style="320" customWidth="1"/>
    <col min="142" max="142" width="29.25" style="316" customWidth="1"/>
    <col min="143" max="143" width="22.75" style="316" customWidth="1"/>
    <col min="144" max="144" width="24.125" style="316" customWidth="1"/>
    <col min="145" max="145" width="17.75" style="316" customWidth="1"/>
    <col min="146" max="146" width="19.125" style="316" customWidth="1"/>
    <col min="147" max="147" width="24.75" style="316" customWidth="1"/>
    <col min="148" max="148" width="16.875" style="316" customWidth="1"/>
    <col min="149" max="149" width="15.625" style="316" customWidth="1"/>
    <col min="150" max="150" width="23" style="316" customWidth="1"/>
    <col min="151" max="151" width="19" style="316" customWidth="1"/>
    <col min="152" max="152" width="18.75" style="316" customWidth="1"/>
    <col min="153" max="154" width="17.125" style="316" customWidth="1"/>
    <col min="155" max="155" width="15.375" style="316" customWidth="1"/>
    <col min="156" max="156" width="12.625" style="316" customWidth="1"/>
    <col min="157" max="157" width="15.25" style="316" customWidth="1"/>
    <col min="158" max="158" width="12.375" style="316" customWidth="1"/>
    <col min="159" max="159" width="13.125" style="316" customWidth="1"/>
    <col min="160" max="160" width="19" style="316" customWidth="1"/>
    <col min="161" max="161" width="14.125" style="316" customWidth="1"/>
    <col min="162" max="162" width="12.625" style="316" customWidth="1"/>
    <col min="163" max="163" width="15.25" style="316" customWidth="1"/>
    <col min="164" max="164" width="12.125" style="316" customWidth="1"/>
    <col min="165" max="165" width="11.75" style="316" customWidth="1"/>
    <col min="166" max="166" width="17.25" style="316" customWidth="1"/>
    <col min="167" max="167" width="14" style="316" customWidth="1"/>
    <col min="168" max="168" width="13.375" style="316" customWidth="1"/>
    <col min="169" max="169" width="15.25" style="316" customWidth="1"/>
    <col min="170" max="170" width="14.125" style="316" customWidth="1"/>
    <col min="171" max="171" width="13.375" style="316" customWidth="1"/>
    <col min="172" max="172" width="18.625" style="316" customWidth="1"/>
    <col min="173" max="173" width="17.75" style="316" customWidth="1"/>
    <col min="174" max="16384" width="9.125" style="316"/>
  </cols>
  <sheetData>
    <row r="1" spans="1:173" s="371" customFormat="1" ht="24" customHeight="1">
      <c r="A1" s="502" t="s">
        <v>27529</v>
      </c>
      <c r="C1" s="372"/>
      <c r="D1" s="372"/>
      <c r="E1" s="372"/>
      <c r="F1" s="504" t="s">
        <v>27530</v>
      </c>
      <c r="G1" s="505"/>
      <c r="H1" s="506" t="s">
        <v>27531</v>
      </c>
      <c r="I1" s="506"/>
      <c r="J1" s="506"/>
      <c r="K1" s="506"/>
      <c r="L1" s="506"/>
      <c r="M1" s="506"/>
      <c r="N1" s="506"/>
      <c r="O1" s="506"/>
      <c r="P1" s="506"/>
      <c r="Q1" s="506"/>
      <c r="R1" s="506"/>
      <c r="S1" s="506"/>
      <c r="T1" s="506"/>
      <c r="U1" s="506"/>
      <c r="V1" s="506"/>
      <c r="W1" s="506"/>
      <c r="X1" s="506"/>
      <c r="Y1" s="506"/>
      <c r="Z1" s="506"/>
      <c r="AA1" s="506"/>
      <c r="AB1" s="506"/>
      <c r="AC1" s="506"/>
      <c r="AD1" s="506"/>
      <c r="AE1" s="506"/>
      <c r="AF1" s="506"/>
      <c r="AG1" s="506"/>
      <c r="AH1" s="506"/>
      <c r="AI1" s="506"/>
      <c r="AJ1" s="506"/>
      <c r="AK1" s="506"/>
      <c r="AL1" s="506"/>
      <c r="AM1" s="506"/>
      <c r="AN1" s="506"/>
      <c r="AO1" s="506"/>
      <c r="AP1" s="506"/>
      <c r="AQ1" s="506"/>
      <c r="AR1" s="506"/>
      <c r="AS1" s="242"/>
      <c r="AT1" s="438" t="s">
        <v>27532</v>
      </c>
      <c r="AU1" s="244"/>
      <c r="AV1" s="245" t="s">
        <v>27533</v>
      </c>
      <c r="AW1" s="246"/>
      <c r="AX1" s="245" t="s">
        <v>27534</v>
      </c>
      <c r="AY1" s="247"/>
      <c r="AZ1" s="247"/>
      <c r="BA1" s="247"/>
      <c r="BB1" s="247"/>
      <c r="BC1" s="247"/>
      <c r="BD1" s="247"/>
      <c r="BE1" s="247"/>
      <c r="BF1" s="247"/>
      <c r="BG1" s="247"/>
      <c r="BH1" s="247"/>
      <c r="BI1" s="247"/>
      <c r="BJ1" s="247"/>
      <c r="BK1" s="247"/>
      <c r="BL1" s="248" t="s">
        <v>27535</v>
      </c>
      <c r="BM1" s="249"/>
      <c r="BN1" s="250"/>
      <c r="BO1" s="250"/>
      <c r="BP1" s="251"/>
      <c r="BQ1" s="249"/>
      <c r="BR1" s="249"/>
      <c r="BS1" s="252"/>
      <c r="BT1" s="253" t="s">
        <v>27536</v>
      </c>
      <c r="BU1" s="254" t="s">
        <v>27537</v>
      </c>
      <c r="BV1" s="255"/>
      <c r="BW1" s="256"/>
      <c r="BX1" s="257" t="s">
        <v>27538</v>
      </c>
      <c r="BY1" s="249"/>
      <c r="BZ1" s="249"/>
      <c r="CA1" s="249"/>
      <c r="CB1" s="249"/>
      <c r="CC1" s="249"/>
      <c r="CD1" s="254" t="s">
        <v>27539</v>
      </c>
      <c r="CE1" s="255"/>
      <c r="CF1" s="255"/>
      <c r="CG1" s="255"/>
      <c r="CH1" s="255"/>
      <c r="CI1" s="255"/>
      <c r="CJ1" s="249" t="s">
        <v>27540</v>
      </c>
      <c r="CK1" s="249"/>
      <c r="CL1" s="249"/>
      <c r="CM1" s="249"/>
      <c r="CN1" s="249"/>
      <c r="CO1" s="249"/>
      <c r="CP1" s="254" t="s">
        <v>27541</v>
      </c>
      <c r="CQ1" s="255"/>
      <c r="CR1" s="255"/>
      <c r="CS1" s="255"/>
      <c r="CT1" s="255"/>
      <c r="CU1" s="256"/>
      <c r="CV1" s="254" t="s">
        <v>27542</v>
      </c>
      <c r="CW1" s="255"/>
      <c r="CX1" s="255"/>
      <c r="CY1" s="255"/>
      <c r="CZ1" s="255"/>
      <c r="DA1" s="256"/>
      <c r="DB1" s="254" t="s">
        <v>27543</v>
      </c>
      <c r="DC1" s="255"/>
      <c r="DD1" s="255"/>
      <c r="DE1" s="255"/>
      <c r="DF1" s="255"/>
      <c r="DG1" s="256"/>
      <c r="DH1" s="254" t="s">
        <v>27544</v>
      </c>
      <c r="DI1" s="255"/>
      <c r="DJ1" s="255"/>
      <c r="DK1" s="255"/>
      <c r="DL1" s="255"/>
      <c r="DM1" s="256"/>
      <c r="DN1" s="254" t="s">
        <v>27545</v>
      </c>
      <c r="DO1" s="255"/>
      <c r="DP1" s="255"/>
      <c r="DQ1" s="255"/>
      <c r="DR1" s="255"/>
      <c r="DS1" s="256"/>
      <c r="DT1" s="254" t="s">
        <v>27546</v>
      </c>
      <c r="DU1" s="255"/>
      <c r="DV1" s="255"/>
      <c r="DW1" s="255"/>
      <c r="DX1" s="255"/>
      <c r="DY1" s="256"/>
      <c r="DZ1" s="254" t="s">
        <v>27547</v>
      </c>
      <c r="EA1" s="255"/>
      <c r="EB1" s="255"/>
      <c r="EC1" s="255"/>
      <c r="ED1" s="255"/>
      <c r="EE1" s="256"/>
      <c r="EF1" s="507" t="s">
        <v>27548</v>
      </c>
      <c r="EG1" s="508"/>
      <c r="EH1" s="258" t="s">
        <v>27549</v>
      </c>
      <c r="EI1" s="258"/>
      <c r="EJ1" s="259"/>
      <c r="EK1" s="260" t="s">
        <v>27550</v>
      </c>
      <c r="EL1" s="261" t="s">
        <v>27551</v>
      </c>
      <c r="EM1" s="253" t="s">
        <v>27552</v>
      </c>
      <c r="EN1" s="262" t="s">
        <v>27553</v>
      </c>
      <c r="EO1" s="262"/>
      <c r="EP1" s="262"/>
      <c r="EQ1" s="262"/>
      <c r="ER1" s="259" t="s">
        <v>27554</v>
      </c>
      <c r="ES1" s="263"/>
      <c r="ET1" s="263"/>
      <c r="EU1" s="264"/>
      <c r="EV1" s="259" t="s">
        <v>27555</v>
      </c>
      <c r="EW1" s="263"/>
      <c r="EX1" s="262" t="s">
        <v>27556</v>
      </c>
      <c r="EY1" s="262"/>
      <c r="EZ1" s="262"/>
      <c r="FA1" s="262"/>
      <c r="FB1" s="262"/>
      <c r="FC1" s="262"/>
      <c r="FD1" s="262"/>
      <c r="FE1" s="262"/>
      <c r="FF1" s="262"/>
      <c r="FG1" s="262"/>
      <c r="FH1" s="262"/>
      <c r="FI1" s="262"/>
      <c r="FJ1" s="262"/>
      <c r="FK1" s="262"/>
      <c r="FL1" s="262"/>
      <c r="FM1" s="262"/>
      <c r="FN1" s="262"/>
      <c r="FO1" s="262"/>
      <c r="FP1" s="509" t="s">
        <v>27557</v>
      </c>
      <c r="FQ1" s="510"/>
    </row>
    <row r="2" spans="1:173" s="373" customFormat="1" ht="24" customHeight="1">
      <c r="A2" s="503"/>
      <c r="B2" s="265" t="s">
        <v>27558</v>
      </c>
      <c r="C2" s="266"/>
      <c r="D2" s="267"/>
      <c r="E2" s="267"/>
      <c r="F2" s="504" t="s">
        <v>27559</v>
      </c>
      <c r="G2" s="505"/>
      <c r="H2" s="506" t="s">
        <v>27560</v>
      </c>
      <c r="I2" s="506"/>
      <c r="J2" s="506"/>
      <c r="K2" s="506"/>
      <c r="L2" s="506"/>
      <c r="M2" s="506"/>
      <c r="N2" s="506"/>
      <c r="O2" s="506"/>
      <c r="P2" s="506"/>
      <c r="Q2" s="506"/>
      <c r="R2" s="506"/>
      <c r="S2" s="506"/>
      <c r="T2" s="506"/>
      <c r="U2" s="506"/>
      <c r="V2" s="506"/>
      <c r="W2" s="506"/>
      <c r="X2" s="506"/>
      <c r="Y2" s="506"/>
      <c r="Z2" s="506"/>
      <c r="AA2" s="506"/>
      <c r="AB2" s="506"/>
      <c r="AC2" s="506"/>
      <c r="AD2" s="506"/>
      <c r="AE2" s="506"/>
      <c r="AF2" s="506"/>
      <c r="AG2" s="506"/>
      <c r="AH2" s="506"/>
      <c r="AI2" s="506"/>
      <c r="AJ2" s="506"/>
      <c r="AK2" s="506"/>
      <c r="AL2" s="506"/>
      <c r="AM2" s="506"/>
      <c r="AN2" s="506"/>
      <c r="AO2" s="506"/>
      <c r="AP2" s="506"/>
      <c r="AQ2" s="506"/>
      <c r="AR2" s="506"/>
      <c r="AS2" s="268"/>
      <c r="AT2" s="269"/>
      <c r="AU2" s="270"/>
      <c r="AV2" s="271" t="s">
        <v>27561</v>
      </c>
      <c r="AW2" s="270"/>
      <c r="AX2" s="271" t="s">
        <v>27561</v>
      </c>
      <c r="AY2" s="272"/>
      <c r="AZ2" s="272"/>
      <c r="BA2" s="272"/>
      <c r="BB2" s="272"/>
      <c r="BC2" s="272"/>
      <c r="BD2" s="272"/>
      <c r="BE2" s="272"/>
      <c r="BF2" s="272"/>
      <c r="BG2" s="272"/>
      <c r="BH2" s="272"/>
      <c r="BI2" s="272"/>
      <c r="BJ2" s="272"/>
      <c r="BK2" s="272"/>
      <c r="BL2" s="273" t="s">
        <v>27562</v>
      </c>
      <c r="BM2" s="274"/>
      <c r="BN2" s="511" t="s">
        <v>27563</v>
      </c>
      <c r="BO2" s="512"/>
      <c r="BP2" s="275" t="s">
        <v>27564</v>
      </c>
      <c r="BQ2" s="276" t="s">
        <v>27565</v>
      </c>
      <c r="BR2" s="274"/>
      <c r="BS2" s="277"/>
      <c r="BT2" s="278" t="s">
        <v>27566</v>
      </c>
      <c r="BU2" s="276" t="s">
        <v>27567</v>
      </c>
      <c r="BV2" s="274"/>
      <c r="BW2" s="279"/>
      <c r="BX2" s="276" t="s">
        <v>27568</v>
      </c>
      <c r="BY2" s="274"/>
      <c r="BZ2" s="274"/>
      <c r="CA2" s="274"/>
      <c r="CB2" s="274"/>
      <c r="CC2" s="274"/>
      <c r="CD2" s="276" t="s">
        <v>27568</v>
      </c>
      <c r="CE2" s="274"/>
      <c r="CF2" s="274"/>
      <c r="CG2" s="274"/>
      <c r="CH2" s="274"/>
      <c r="CI2" s="274"/>
      <c r="CJ2" s="276" t="s">
        <v>27568</v>
      </c>
      <c r="CK2" s="274"/>
      <c r="CL2" s="274"/>
      <c r="CM2" s="274"/>
      <c r="CN2" s="274"/>
      <c r="CO2" s="274"/>
      <c r="CP2" s="276" t="s">
        <v>27568</v>
      </c>
      <c r="CQ2" s="274"/>
      <c r="CR2" s="274"/>
      <c r="CS2" s="274"/>
      <c r="CT2" s="274"/>
      <c r="CU2" s="274"/>
      <c r="CV2" s="276" t="s">
        <v>27568</v>
      </c>
      <c r="CW2" s="274"/>
      <c r="CX2" s="274"/>
      <c r="CY2" s="274"/>
      <c r="CZ2" s="274"/>
      <c r="DA2" s="274"/>
      <c r="DB2" s="276" t="s">
        <v>27568</v>
      </c>
      <c r="DC2" s="274"/>
      <c r="DD2" s="274"/>
      <c r="DE2" s="274"/>
      <c r="DF2" s="274"/>
      <c r="DG2" s="274"/>
      <c r="DH2" s="276" t="s">
        <v>27568</v>
      </c>
      <c r="DI2" s="274"/>
      <c r="DJ2" s="274"/>
      <c r="DK2" s="274"/>
      <c r="DL2" s="274"/>
      <c r="DM2" s="274"/>
      <c r="DN2" s="276" t="s">
        <v>27568</v>
      </c>
      <c r="DO2" s="274"/>
      <c r="DP2" s="274"/>
      <c r="DQ2" s="274"/>
      <c r="DR2" s="274"/>
      <c r="DS2" s="274"/>
      <c r="DT2" s="276" t="s">
        <v>27568</v>
      </c>
      <c r="DU2" s="274"/>
      <c r="DV2" s="274"/>
      <c r="DW2" s="274"/>
      <c r="DX2" s="274"/>
      <c r="DY2" s="274"/>
      <c r="DZ2" s="276" t="s">
        <v>27568</v>
      </c>
      <c r="EA2" s="274"/>
      <c r="EB2" s="274"/>
      <c r="EC2" s="274"/>
      <c r="ED2" s="274"/>
      <c r="EE2" s="274"/>
      <c r="EF2" s="513" t="s">
        <v>27569</v>
      </c>
      <c r="EG2" s="514"/>
      <c r="EH2" s="282" t="s">
        <v>27570</v>
      </c>
      <c r="EI2" s="282" t="s">
        <v>27571</v>
      </c>
      <c r="EJ2" s="283"/>
      <c r="EK2" s="284" t="s">
        <v>272</v>
      </c>
      <c r="EL2" s="278" t="s">
        <v>27572</v>
      </c>
      <c r="EM2" s="285" t="s">
        <v>27552</v>
      </c>
      <c r="EN2" s="280" t="s">
        <v>27573</v>
      </c>
      <c r="EO2" s="285"/>
      <c r="EP2" s="281"/>
      <c r="EQ2" s="278" t="s">
        <v>27574</v>
      </c>
      <c r="ER2" s="285" t="s">
        <v>27575</v>
      </c>
      <c r="ES2" s="285"/>
      <c r="ET2" s="285"/>
      <c r="EU2" s="281"/>
      <c r="EV2" s="278" t="s">
        <v>27576</v>
      </c>
      <c r="EW2" s="280" t="s">
        <v>27577</v>
      </c>
      <c r="EX2" s="280" t="s">
        <v>27578</v>
      </c>
      <c r="EY2" s="285"/>
      <c r="EZ2" s="285"/>
      <c r="FA2" s="285"/>
      <c r="FB2" s="285"/>
      <c r="FC2" s="285"/>
      <c r="FD2" s="285"/>
      <c r="FE2" s="285"/>
      <c r="FF2" s="285"/>
      <c r="FG2" s="285"/>
      <c r="FH2" s="285"/>
      <c r="FI2" s="285"/>
      <c r="FJ2" s="285"/>
      <c r="FK2" s="285"/>
      <c r="FL2" s="285"/>
      <c r="FM2" s="285"/>
      <c r="FN2" s="285"/>
      <c r="FO2" s="285"/>
      <c r="FP2" s="513" t="s">
        <v>27579</v>
      </c>
      <c r="FQ2" s="514"/>
    </row>
    <row r="3" spans="1:173" s="373" customFormat="1" ht="24" customHeight="1">
      <c r="A3" s="286" t="s">
        <v>27580</v>
      </c>
      <c r="B3" s="287" t="s">
        <v>27581</v>
      </c>
      <c r="C3" s="287" t="s">
        <v>27582</v>
      </c>
      <c r="D3" s="287" t="s">
        <v>315</v>
      </c>
      <c r="E3" s="288" t="s">
        <v>339</v>
      </c>
      <c r="F3" s="288" t="s">
        <v>153</v>
      </c>
      <c r="G3" s="288" t="s">
        <v>160</v>
      </c>
      <c r="H3" s="287" t="s">
        <v>27583</v>
      </c>
      <c r="I3" s="287" t="s">
        <v>27584</v>
      </c>
      <c r="J3" s="287" t="s">
        <v>27585</v>
      </c>
      <c r="K3" s="287" t="s">
        <v>27586</v>
      </c>
      <c r="L3" s="287" t="s">
        <v>27587</v>
      </c>
      <c r="M3" s="287" t="s">
        <v>27588</v>
      </c>
      <c r="N3" s="287" t="s">
        <v>27589</v>
      </c>
      <c r="O3" s="287" t="s">
        <v>27590</v>
      </c>
      <c r="P3" s="287" t="s">
        <v>27591</v>
      </c>
      <c r="Q3" s="289" t="s">
        <v>27592</v>
      </c>
      <c r="R3" s="289" t="s">
        <v>27593</v>
      </c>
      <c r="S3" s="289" t="s">
        <v>27594</v>
      </c>
      <c r="T3" s="289" t="s">
        <v>47</v>
      </c>
      <c r="U3" s="289" t="s">
        <v>53</v>
      </c>
      <c r="V3" s="289" t="s">
        <v>51</v>
      </c>
      <c r="W3" s="287" t="s">
        <v>41</v>
      </c>
      <c r="X3" s="287" t="s">
        <v>58</v>
      </c>
      <c r="Y3" s="287" t="s">
        <v>63</v>
      </c>
      <c r="Z3" s="287" t="s">
        <v>27595</v>
      </c>
      <c r="AA3" s="287" t="s">
        <v>28170</v>
      </c>
      <c r="AB3" s="287" t="s">
        <v>28171</v>
      </c>
      <c r="AC3" s="287" t="s">
        <v>27598</v>
      </c>
      <c r="AD3" s="287" t="s">
        <v>27599</v>
      </c>
      <c r="AE3" s="287" t="s">
        <v>27600</v>
      </c>
      <c r="AF3" s="287" t="s">
        <v>96</v>
      </c>
      <c r="AG3" s="287" t="s">
        <v>27601</v>
      </c>
      <c r="AH3" s="290" t="s">
        <v>27602</v>
      </c>
      <c r="AI3" s="98" t="s">
        <v>27603</v>
      </c>
      <c r="AJ3" s="290" t="s">
        <v>28172</v>
      </c>
      <c r="AK3" s="98" t="s">
        <v>27605</v>
      </c>
      <c r="AL3" s="290" t="s">
        <v>28173</v>
      </c>
      <c r="AM3" s="98" t="s">
        <v>27607</v>
      </c>
      <c r="AN3" s="290" t="s">
        <v>27608</v>
      </c>
      <c r="AO3" s="98" t="s">
        <v>27609</v>
      </c>
      <c r="AP3" s="290" t="s">
        <v>27610</v>
      </c>
      <c r="AQ3" s="98" t="s">
        <v>27611</v>
      </c>
      <c r="AR3" s="287" t="s">
        <v>99</v>
      </c>
      <c r="AS3" s="287" t="s">
        <v>27612</v>
      </c>
      <c r="AT3" s="287" t="s">
        <v>38</v>
      </c>
      <c r="AU3" s="287" t="s">
        <v>27613</v>
      </c>
      <c r="AV3" s="288" t="s">
        <v>153</v>
      </c>
      <c r="AW3" s="288" t="s">
        <v>160</v>
      </c>
      <c r="AX3" s="287" t="s">
        <v>27583</v>
      </c>
      <c r="AY3" s="287" t="s">
        <v>27584</v>
      </c>
      <c r="AZ3" s="287" t="s">
        <v>27585</v>
      </c>
      <c r="BA3" s="287" t="s">
        <v>27586</v>
      </c>
      <c r="BB3" s="287" t="s">
        <v>27587</v>
      </c>
      <c r="BC3" s="287" t="s">
        <v>27588</v>
      </c>
      <c r="BD3" s="287" t="s">
        <v>27591</v>
      </c>
      <c r="BE3" s="287" t="s">
        <v>27592</v>
      </c>
      <c r="BF3" s="287" t="s">
        <v>27593</v>
      </c>
      <c r="BG3" s="287" t="s">
        <v>27594</v>
      </c>
      <c r="BH3" s="287" t="s">
        <v>47</v>
      </c>
      <c r="BI3" s="287" t="s">
        <v>53</v>
      </c>
      <c r="BJ3" s="287" t="s">
        <v>51</v>
      </c>
      <c r="BK3" s="287" t="s">
        <v>41</v>
      </c>
      <c r="BL3" s="287" t="s">
        <v>188</v>
      </c>
      <c r="BM3" s="287" t="s">
        <v>27614</v>
      </c>
      <c r="BN3" s="287" t="s">
        <v>27615</v>
      </c>
      <c r="BO3" s="287" t="s">
        <v>27616</v>
      </c>
      <c r="BP3" s="289" t="s">
        <v>27617</v>
      </c>
      <c r="BQ3" s="287" t="s">
        <v>27618</v>
      </c>
      <c r="BR3" s="287" t="s">
        <v>27619</v>
      </c>
      <c r="BS3" s="291" t="s">
        <v>122</v>
      </c>
      <c r="BT3" s="287" t="s">
        <v>27620</v>
      </c>
      <c r="BU3" s="287" t="s">
        <v>27621</v>
      </c>
      <c r="BV3" s="287" t="s">
        <v>27622</v>
      </c>
      <c r="BW3" s="287" t="s">
        <v>27623</v>
      </c>
      <c r="BX3" s="292" t="s">
        <v>27624</v>
      </c>
      <c r="BY3" s="287" t="s">
        <v>27625</v>
      </c>
      <c r="BZ3" s="287" t="s">
        <v>27626</v>
      </c>
      <c r="CA3" s="287" t="s">
        <v>27627</v>
      </c>
      <c r="CB3" s="287" t="s">
        <v>27628</v>
      </c>
      <c r="CC3" s="287" t="s">
        <v>27629</v>
      </c>
      <c r="CD3" s="292" t="s">
        <v>27630</v>
      </c>
      <c r="CE3" s="287" t="s">
        <v>27631</v>
      </c>
      <c r="CF3" s="287" t="s">
        <v>27632</v>
      </c>
      <c r="CG3" s="287" t="s">
        <v>27633</v>
      </c>
      <c r="CH3" s="287" t="s">
        <v>27634</v>
      </c>
      <c r="CI3" s="287" t="s">
        <v>27635</v>
      </c>
      <c r="CJ3" s="292" t="s">
        <v>27636</v>
      </c>
      <c r="CK3" s="287" t="s">
        <v>27637</v>
      </c>
      <c r="CL3" s="287" t="s">
        <v>27638</v>
      </c>
      <c r="CM3" s="287" t="s">
        <v>27639</v>
      </c>
      <c r="CN3" s="287" t="s">
        <v>27640</v>
      </c>
      <c r="CO3" s="287" t="s">
        <v>27641</v>
      </c>
      <c r="CP3" s="292" t="s">
        <v>27642</v>
      </c>
      <c r="CQ3" s="287" t="s">
        <v>27643</v>
      </c>
      <c r="CR3" s="287" t="s">
        <v>27644</v>
      </c>
      <c r="CS3" s="287" t="s">
        <v>27645</v>
      </c>
      <c r="CT3" s="287" t="s">
        <v>27646</v>
      </c>
      <c r="CU3" s="287" t="s">
        <v>27647</v>
      </c>
      <c r="CV3" s="292" t="s">
        <v>27648</v>
      </c>
      <c r="CW3" s="287" t="s">
        <v>27649</v>
      </c>
      <c r="CX3" s="287" t="s">
        <v>27650</v>
      </c>
      <c r="CY3" s="287" t="s">
        <v>27651</v>
      </c>
      <c r="CZ3" s="287" t="s">
        <v>27652</v>
      </c>
      <c r="DA3" s="287" t="s">
        <v>27653</v>
      </c>
      <c r="DB3" s="292" t="s">
        <v>27654</v>
      </c>
      <c r="DC3" s="287" t="s">
        <v>27655</v>
      </c>
      <c r="DD3" s="287" t="s">
        <v>27656</v>
      </c>
      <c r="DE3" s="287" t="s">
        <v>27657</v>
      </c>
      <c r="DF3" s="287" t="s">
        <v>27658</v>
      </c>
      <c r="DG3" s="287" t="s">
        <v>27659</v>
      </c>
      <c r="DH3" s="292" t="s">
        <v>27660</v>
      </c>
      <c r="DI3" s="287" t="s">
        <v>27661</v>
      </c>
      <c r="DJ3" s="287" t="s">
        <v>27662</v>
      </c>
      <c r="DK3" s="287" t="s">
        <v>27663</v>
      </c>
      <c r="DL3" s="287" t="s">
        <v>27664</v>
      </c>
      <c r="DM3" s="287" t="s">
        <v>27665</v>
      </c>
      <c r="DN3" s="292" t="s">
        <v>27666</v>
      </c>
      <c r="DO3" s="287" t="s">
        <v>27667</v>
      </c>
      <c r="DP3" s="287" t="s">
        <v>27668</v>
      </c>
      <c r="DQ3" s="287" t="s">
        <v>27669</v>
      </c>
      <c r="DR3" s="287" t="s">
        <v>27670</v>
      </c>
      <c r="DS3" s="287" t="s">
        <v>27671</v>
      </c>
      <c r="DT3" s="292" t="s">
        <v>27672</v>
      </c>
      <c r="DU3" s="287" t="s">
        <v>27673</v>
      </c>
      <c r="DV3" s="287" t="s">
        <v>27674</v>
      </c>
      <c r="DW3" s="287" t="s">
        <v>27675</v>
      </c>
      <c r="DX3" s="287" t="s">
        <v>27676</v>
      </c>
      <c r="DY3" s="287" t="s">
        <v>27677</v>
      </c>
      <c r="DZ3" s="292" t="s">
        <v>27678</v>
      </c>
      <c r="EA3" s="287" t="s">
        <v>27679</v>
      </c>
      <c r="EB3" s="287" t="s">
        <v>27680</v>
      </c>
      <c r="EC3" s="287" t="s">
        <v>27681</v>
      </c>
      <c r="ED3" s="287" t="s">
        <v>27682</v>
      </c>
      <c r="EE3" s="287" t="s">
        <v>27683</v>
      </c>
      <c r="EF3" s="287" t="s">
        <v>27684</v>
      </c>
      <c r="EG3" s="287" t="s">
        <v>27685</v>
      </c>
      <c r="EH3" s="287" t="s">
        <v>340</v>
      </c>
      <c r="EI3" s="287" t="s">
        <v>27686</v>
      </c>
      <c r="EJ3" s="287" t="s">
        <v>27687</v>
      </c>
      <c r="EK3" s="287" t="s">
        <v>341</v>
      </c>
      <c r="EL3" s="289" t="s">
        <v>27688</v>
      </c>
      <c r="EM3" s="287" t="s">
        <v>13</v>
      </c>
      <c r="EN3" s="287" t="s">
        <v>324</v>
      </c>
      <c r="EO3" s="287" t="s">
        <v>27689</v>
      </c>
      <c r="EP3" s="287" t="s">
        <v>27690</v>
      </c>
      <c r="EQ3" s="287" t="s">
        <v>11</v>
      </c>
      <c r="ER3" s="287" t="s">
        <v>140</v>
      </c>
      <c r="ES3" s="287" t="s">
        <v>27691</v>
      </c>
      <c r="ET3" s="287" t="s">
        <v>27692</v>
      </c>
      <c r="EU3" s="287" t="s">
        <v>27693</v>
      </c>
      <c r="EV3" s="287" t="s">
        <v>27694</v>
      </c>
      <c r="EW3" s="287" t="s">
        <v>27695</v>
      </c>
      <c r="EX3" s="287" t="s">
        <v>27696</v>
      </c>
      <c r="EY3" s="287" t="s">
        <v>289</v>
      </c>
      <c r="EZ3" s="287" t="s">
        <v>27697</v>
      </c>
      <c r="FA3" s="287" t="s">
        <v>27698</v>
      </c>
      <c r="FB3" s="287" t="s">
        <v>27699</v>
      </c>
      <c r="FC3" s="287" t="s">
        <v>27700</v>
      </c>
      <c r="FD3" s="287" t="s">
        <v>27696</v>
      </c>
      <c r="FE3" s="287" t="s">
        <v>289</v>
      </c>
      <c r="FF3" s="287" t="s">
        <v>27697</v>
      </c>
      <c r="FG3" s="287" t="s">
        <v>27698</v>
      </c>
      <c r="FH3" s="287" t="s">
        <v>27699</v>
      </c>
      <c r="FI3" s="287" t="s">
        <v>27700</v>
      </c>
      <c r="FJ3" s="287" t="s">
        <v>27696</v>
      </c>
      <c r="FK3" s="287" t="s">
        <v>289</v>
      </c>
      <c r="FL3" s="287" t="s">
        <v>27697</v>
      </c>
      <c r="FM3" s="287" t="s">
        <v>27698</v>
      </c>
      <c r="FN3" s="287" t="s">
        <v>27699</v>
      </c>
      <c r="FO3" s="287" t="s">
        <v>27700</v>
      </c>
      <c r="FP3" s="287" t="s">
        <v>27701</v>
      </c>
      <c r="FQ3" s="287" t="s">
        <v>338</v>
      </c>
    </row>
    <row r="4" spans="1:173" s="317" customFormat="1" ht="28.5">
      <c r="A4" s="293" t="s">
        <v>27704</v>
      </c>
      <c r="B4" s="294" t="s">
        <v>27705</v>
      </c>
      <c r="C4" s="294" t="s">
        <v>27705</v>
      </c>
      <c r="D4" s="294" t="s">
        <v>27705</v>
      </c>
      <c r="E4" s="295" t="s">
        <v>27706</v>
      </c>
      <c r="F4" s="295" t="s">
        <v>27706</v>
      </c>
      <c r="G4" s="295" t="s">
        <v>27706</v>
      </c>
      <c r="H4" s="296" t="s">
        <v>27706</v>
      </c>
      <c r="I4" s="296" t="s">
        <v>27706</v>
      </c>
      <c r="J4" s="296" t="s">
        <v>27706</v>
      </c>
      <c r="K4" s="296" t="s">
        <v>27706</v>
      </c>
      <c r="L4" s="296" t="s">
        <v>27707</v>
      </c>
      <c r="M4" s="296" t="s">
        <v>27707</v>
      </c>
      <c r="N4" s="297" t="s">
        <v>27708</v>
      </c>
      <c r="O4" s="297" t="s">
        <v>27708</v>
      </c>
      <c r="P4" s="297" t="s">
        <v>27708</v>
      </c>
      <c r="Q4" s="298" t="s">
        <v>27709</v>
      </c>
      <c r="R4" s="298" t="s">
        <v>27709</v>
      </c>
      <c r="S4" s="298" t="s">
        <v>27709</v>
      </c>
      <c r="T4" s="298" t="s">
        <v>27709</v>
      </c>
      <c r="U4" s="298" t="s">
        <v>27709</v>
      </c>
      <c r="V4" s="298" t="s">
        <v>27709</v>
      </c>
      <c r="W4" s="299" t="s">
        <v>27709</v>
      </c>
      <c r="X4" s="299" t="s">
        <v>27709</v>
      </c>
      <c r="Y4" s="299" t="s">
        <v>27709</v>
      </c>
      <c r="Z4" s="300" t="s">
        <v>27710</v>
      </c>
      <c r="AA4" s="300" t="s">
        <v>27711</v>
      </c>
      <c r="AB4" s="300" t="s">
        <v>27711</v>
      </c>
      <c r="AC4" s="300" t="s">
        <v>27711</v>
      </c>
      <c r="AD4" s="300" t="s">
        <v>27711</v>
      </c>
      <c r="AE4" s="300" t="s">
        <v>27711</v>
      </c>
      <c r="AF4" s="300" t="s">
        <v>27711</v>
      </c>
      <c r="AG4" s="300" t="s">
        <v>27711</v>
      </c>
      <c r="AH4" s="300" t="s">
        <v>27711</v>
      </c>
      <c r="AI4" s="107" t="s">
        <v>27711</v>
      </c>
      <c r="AJ4" s="300" t="s">
        <v>27711</v>
      </c>
      <c r="AK4" s="107" t="s">
        <v>27711</v>
      </c>
      <c r="AL4" s="300" t="s">
        <v>27711</v>
      </c>
      <c r="AM4" s="107" t="s">
        <v>27711</v>
      </c>
      <c r="AN4" s="300" t="s">
        <v>27711</v>
      </c>
      <c r="AO4" s="107" t="s">
        <v>27711</v>
      </c>
      <c r="AP4" s="300" t="s">
        <v>27711</v>
      </c>
      <c r="AQ4" s="107" t="s">
        <v>27711</v>
      </c>
      <c r="AR4" s="300" t="s">
        <v>27712</v>
      </c>
      <c r="AS4" s="297" t="s">
        <v>27707</v>
      </c>
      <c r="AT4" s="297"/>
      <c r="AU4" s="297"/>
      <c r="AV4" s="295" t="s">
        <v>27713</v>
      </c>
      <c r="AW4" s="295" t="s">
        <v>27713</v>
      </c>
      <c r="AX4" s="296" t="s">
        <v>27708</v>
      </c>
      <c r="AY4" s="296" t="s">
        <v>27708</v>
      </c>
      <c r="AZ4" s="296" t="s">
        <v>27708</v>
      </c>
      <c r="BA4" s="297" t="s">
        <v>27708</v>
      </c>
      <c r="BB4" s="299" t="s">
        <v>27709</v>
      </c>
      <c r="BC4" s="297" t="s">
        <v>27708</v>
      </c>
      <c r="BD4" s="297" t="s">
        <v>27708</v>
      </c>
      <c r="BE4" s="299" t="s">
        <v>27709</v>
      </c>
      <c r="BF4" s="299" t="s">
        <v>27709</v>
      </c>
      <c r="BG4" s="299" t="s">
        <v>27709</v>
      </c>
      <c r="BH4" s="299" t="s">
        <v>27709</v>
      </c>
      <c r="BI4" s="299" t="s">
        <v>27709</v>
      </c>
      <c r="BJ4" s="299" t="s">
        <v>27709</v>
      </c>
      <c r="BK4" s="299" t="s">
        <v>27709</v>
      </c>
      <c r="BL4" s="297" t="s">
        <v>27706</v>
      </c>
      <c r="BM4" s="297" t="s">
        <v>27706</v>
      </c>
      <c r="BN4" s="297" t="s">
        <v>27707</v>
      </c>
      <c r="BO4" s="297" t="s">
        <v>27707</v>
      </c>
      <c r="BP4" s="301" t="s">
        <v>27706</v>
      </c>
      <c r="BQ4" s="297" t="s">
        <v>27706</v>
      </c>
      <c r="BR4" s="297" t="s">
        <v>27714</v>
      </c>
      <c r="BS4" s="302" t="s">
        <v>27714</v>
      </c>
      <c r="BT4" s="303" t="s">
        <v>27715</v>
      </c>
      <c r="BU4" s="303" t="s">
        <v>27707</v>
      </c>
      <c r="BV4" s="303" t="s">
        <v>27716</v>
      </c>
      <c r="BW4" s="303" t="s">
        <v>27716</v>
      </c>
      <c r="BX4" s="303" t="s">
        <v>27717</v>
      </c>
      <c r="BY4" s="297" t="s">
        <v>27717</v>
      </c>
      <c r="BZ4" s="297" t="s">
        <v>27717</v>
      </c>
      <c r="CA4" s="297" t="s">
        <v>27717</v>
      </c>
      <c r="CB4" s="297" t="s">
        <v>27717</v>
      </c>
      <c r="CC4" s="297" t="s">
        <v>27717</v>
      </c>
      <c r="CD4" s="303" t="s">
        <v>27717</v>
      </c>
      <c r="CE4" s="297" t="s">
        <v>27717</v>
      </c>
      <c r="CF4" s="297" t="s">
        <v>27717</v>
      </c>
      <c r="CG4" s="297" t="s">
        <v>27717</v>
      </c>
      <c r="CH4" s="297" t="s">
        <v>27717</v>
      </c>
      <c r="CI4" s="297" t="s">
        <v>27717</v>
      </c>
      <c r="CJ4" s="303" t="s">
        <v>27717</v>
      </c>
      <c r="CK4" s="297" t="s">
        <v>27717</v>
      </c>
      <c r="CL4" s="297" t="s">
        <v>27717</v>
      </c>
      <c r="CM4" s="297" t="s">
        <v>27717</v>
      </c>
      <c r="CN4" s="297" t="s">
        <v>27717</v>
      </c>
      <c r="CO4" s="297" t="s">
        <v>27717</v>
      </c>
      <c r="CP4" s="303" t="s">
        <v>27717</v>
      </c>
      <c r="CQ4" s="297" t="s">
        <v>27717</v>
      </c>
      <c r="CR4" s="297" t="s">
        <v>27717</v>
      </c>
      <c r="CS4" s="297" t="s">
        <v>27717</v>
      </c>
      <c r="CT4" s="297" t="s">
        <v>27717</v>
      </c>
      <c r="CU4" s="297" t="s">
        <v>27717</v>
      </c>
      <c r="CV4" s="303" t="s">
        <v>27717</v>
      </c>
      <c r="CW4" s="297" t="s">
        <v>27717</v>
      </c>
      <c r="CX4" s="297" t="s">
        <v>27717</v>
      </c>
      <c r="CY4" s="297" t="s">
        <v>27717</v>
      </c>
      <c r="CZ4" s="297" t="s">
        <v>27717</v>
      </c>
      <c r="DA4" s="297" t="s">
        <v>27717</v>
      </c>
      <c r="DB4" s="303" t="s">
        <v>27717</v>
      </c>
      <c r="DC4" s="297" t="s">
        <v>27717</v>
      </c>
      <c r="DD4" s="297" t="s">
        <v>27717</v>
      </c>
      <c r="DE4" s="297" t="s">
        <v>27717</v>
      </c>
      <c r="DF4" s="297" t="s">
        <v>27717</v>
      </c>
      <c r="DG4" s="297" t="s">
        <v>27717</v>
      </c>
      <c r="DH4" s="303" t="s">
        <v>27717</v>
      </c>
      <c r="DI4" s="297" t="s">
        <v>27717</v>
      </c>
      <c r="DJ4" s="297" t="s">
        <v>27717</v>
      </c>
      <c r="DK4" s="297" t="s">
        <v>27717</v>
      </c>
      <c r="DL4" s="297" t="s">
        <v>27717</v>
      </c>
      <c r="DM4" s="297" t="s">
        <v>27717</v>
      </c>
      <c r="DN4" s="303" t="s">
        <v>27717</v>
      </c>
      <c r="DO4" s="297" t="s">
        <v>27717</v>
      </c>
      <c r="DP4" s="297" t="s">
        <v>27717</v>
      </c>
      <c r="DQ4" s="297" t="s">
        <v>27717</v>
      </c>
      <c r="DR4" s="297" t="s">
        <v>27717</v>
      </c>
      <c r="DS4" s="297" t="s">
        <v>27717</v>
      </c>
      <c r="DT4" s="303" t="s">
        <v>27717</v>
      </c>
      <c r="DU4" s="297" t="s">
        <v>27717</v>
      </c>
      <c r="DV4" s="297" t="s">
        <v>27717</v>
      </c>
      <c r="DW4" s="297" t="s">
        <v>27717</v>
      </c>
      <c r="DX4" s="297" t="s">
        <v>27717</v>
      </c>
      <c r="DY4" s="297" t="s">
        <v>27717</v>
      </c>
      <c r="DZ4" s="303" t="s">
        <v>27717</v>
      </c>
      <c r="EA4" s="297" t="s">
        <v>27717</v>
      </c>
      <c r="EB4" s="297" t="s">
        <v>27717</v>
      </c>
      <c r="EC4" s="297" t="s">
        <v>27717</v>
      </c>
      <c r="ED4" s="297" t="s">
        <v>27717</v>
      </c>
      <c r="EE4" s="297" t="s">
        <v>27717</v>
      </c>
      <c r="EF4" s="294" t="s">
        <v>27718</v>
      </c>
      <c r="EG4" s="297" t="s">
        <v>27718</v>
      </c>
      <c r="EH4" s="297" t="s">
        <v>27718</v>
      </c>
      <c r="EI4" s="297" t="s">
        <v>27718</v>
      </c>
      <c r="EJ4" s="297" t="s">
        <v>27718</v>
      </c>
      <c r="EK4" s="294" t="s">
        <v>27719</v>
      </c>
      <c r="EL4" s="294"/>
      <c r="EM4" s="294" t="s">
        <v>27720</v>
      </c>
      <c r="EN4" s="297" t="s">
        <v>27721</v>
      </c>
      <c r="EO4" s="297" t="s">
        <v>27721</v>
      </c>
      <c r="EP4" s="297" t="s">
        <v>27721</v>
      </c>
      <c r="EQ4" s="297" t="s">
        <v>27721</v>
      </c>
      <c r="ER4" s="297" t="s">
        <v>27721</v>
      </c>
      <c r="ES4" s="297" t="s">
        <v>27721</v>
      </c>
      <c r="ET4" s="297" t="s">
        <v>27721</v>
      </c>
      <c r="EU4" s="297" t="s">
        <v>27721</v>
      </c>
      <c r="EV4" s="297" t="s">
        <v>27722</v>
      </c>
      <c r="EW4" s="297" t="s">
        <v>27721</v>
      </c>
      <c r="EX4" s="297" t="s">
        <v>27723</v>
      </c>
      <c r="EY4" s="297" t="s">
        <v>27723</v>
      </c>
      <c r="EZ4" s="297" t="s">
        <v>27723</v>
      </c>
      <c r="FA4" s="297" t="s">
        <v>27723</v>
      </c>
      <c r="FB4" s="297" t="s">
        <v>27723</v>
      </c>
      <c r="FC4" s="297" t="s">
        <v>27723</v>
      </c>
      <c r="FD4" s="297" t="s">
        <v>27723</v>
      </c>
      <c r="FE4" s="297" t="s">
        <v>27723</v>
      </c>
      <c r="FF4" s="297" t="s">
        <v>27723</v>
      </c>
      <c r="FG4" s="297" t="s">
        <v>27723</v>
      </c>
      <c r="FH4" s="297" t="s">
        <v>27723</v>
      </c>
      <c r="FI4" s="297" t="s">
        <v>27723</v>
      </c>
      <c r="FJ4" s="297" t="s">
        <v>27723</v>
      </c>
      <c r="FK4" s="297" t="s">
        <v>27723</v>
      </c>
      <c r="FL4" s="297" t="s">
        <v>27723</v>
      </c>
      <c r="FM4" s="297" t="s">
        <v>27723</v>
      </c>
      <c r="FN4" s="297" t="s">
        <v>27723</v>
      </c>
      <c r="FO4" s="297" t="s">
        <v>27723</v>
      </c>
      <c r="FP4" s="297" t="s">
        <v>27724</v>
      </c>
      <c r="FQ4" s="297" t="s">
        <v>27724</v>
      </c>
    </row>
    <row r="5" spans="1:173" s="317" customFormat="1" ht="24" customHeight="1">
      <c r="A5" s="293" t="s">
        <v>27725</v>
      </c>
      <c r="B5" s="294" t="s">
        <v>27726</v>
      </c>
      <c r="C5" s="297" t="s">
        <v>27727</v>
      </c>
      <c r="D5" s="297" t="s">
        <v>27728</v>
      </c>
      <c r="E5" s="295" t="s">
        <v>27729</v>
      </c>
      <c r="F5" s="297" t="s">
        <v>27730</v>
      </c>
      <c r="G5" s="297" t="s">
        <v>27731</v>
      </c>
      <c r="H5" s="297" t="s">
        <v>27732</v>
      </c>
      <c r="I5" s="297" t="s">
        <v>27733</v>
      </c>
      <c r="J5" s="297" t="s">
        <v>27734</v>
      </c>
      <c r="K5" s="297" t="s">
        <v>27735</v>
      </c>
      <c r="L5" s="297" t="s">
        <v>27736</v>
      </c>
      <c r="M5" s="297" t="s">
        <v>27737</v>
      </c>
      <c r="N5" s="297" t="s">
        <v>27738</v>
      </c>
      <c r="O5" s="297" t="s">
        <v>27739</v>
      </c>
      <c r="P5" s="297" t="s">
        <v>27740</v>
      </c>
      <c r="Q5" s="301" t="s">
        <v>27741</v>
      </c>
      <c r="R5" s="301" t="s">
        <v>27742</v>
      </c>
      <c r="S5" s="301" t="s">
        <v>27743</v>
      </c>
      <c r="T5" s="301" t="s">
        <v>27744</v>
      </c>
      <c r="U5" s="301" t="s">
        <v>27745</v>
      </c>
      <c r="V5" s="301" t="s">
        <v>27746</v>
      </c>
      <c r="W5" s="297" t="s">
        <v>27747</v>
      </c>
      <c r="X5" s="297" t="s">
        <v>27748</v>
      </c>
      <c r="Y5" s="297" t="s">
        <v>27749</v>
      </c>
      <c r="Z5" s="297" t="s">
        <v>27750</v>
      </c>
      <c r="AA5" s="297" t="s">
        <v>27751</v>
      </c>
      <c r="AB5" s="297" t="s">
        <v>27752</v>
      </c>
      <c r="AC5" s="297" t="s">
        <v>27751</v>
      </c>
      <c r="AD5" s="297" t="s">
        <v>27752</v>
      </c>
      <c r="AE5" s="297" t="s">
        <v>27753</v>
      </c>
      <c r="AF5" s="297" t="s">
        <v>27754</v>
      </c>
      <c r="AG5" s="297" t="s">
        <v>27755</v>
      </c>
      <c r="AH5" s="297" t="s">
        <v>27756</v>
      </c>
      <c r="AI5" s="108" t="s">
        <v>27757</v>
      </c>
      <c r="AJ5" s="297" t="s">
        <v>27756</v>
      </c>
      <c r="AK5" s="108" t="s">
        <v>27757</v>
      </c>
      <c r="AL5" s="297" t="s">
        <v>27756</v>
      </c>
      <c r="AM5" s="108" t="s">
        <v>27757</v>
      </c>
      <c r="AN5" s="297" t="s">
        <v>27756</v>
      </c>
      <c r="AO5" s="108" t="s">
        <v>27757</v>
      </c>
      <c r="AP5" s="297" t="s">
        <v>27756</v>
      </c>
      <c r="AQ5" s="108" t="s">
        <v>27757</v>
      </c>
      <c r="AR5" s="297" t="s">
        <v>27758</v>
      </c>
      <c r="AS5" s="294" t="s">
        <v>27759</v>
      </c>
      <c r="AT5" s="297"/>
      <c r="AU5" s="297"/>
      <c r="AV5" s="297" t="s">
        <v>27730</v>
      </c>
      <c r="AW5" s="297" t="s">
        <v>27731</v>
      </c>
      <c r="AX5" s="297" t="s">
        <v>27760</v>
      </c>
      <c r="AY5" s="297" t="s">
        <v>27761</v>
      </c>
      <c r="AZ5" s="297" t="s">
        <v>27762</v>
      </c>
      <c r="BA5" s="297" t="s">
        <v>27763</v>
      </c>
      <c r="BB5" s="294" t="s">
        <v>27764</v>
      </c>
      <c r="BC5" s="297" t="s">
        <v>27765</v>
      </c>
      <c r="BD5" s="297" t="s">
        <v>27740</v>
      </c>
      <c r="BE5" s="297" t="s">
        <v>27741</v>
      </c>
      <c r="BF5" s="297" t="s">
        <v>27742</v>
      </c>
      <c r="BG5" s="297" t="s">
        <v>27743</v>
      </c>
      <c r="BH5" s="297" t="s">
        <v>27744</v>
      </c>
      <c r="BI5" s="297" t="s">
        <v>27745</v>
      </c>
      <c r="BJ5" s="297" t="s">
        <v>27746</v>
      </c>
      <c r="BK5" s="297" t="s">
        <v>27747</v>
      </c>
      <c r="BL5" s="294" t="s">
        <v>27766</v>
      </c>
      <c r="BM5" s="297" t="s">
        <v>27767</v>
      </c>
      <c r="BN5" s="297" t="s">
        <v>27768</v>
      </c>
      <c r="BO5" s="297" t="s">
        <v>27769</v>
      </c>
      <c r="BP5" s="301" t="s">
        <v>27770</v>
      </c>
      <c r="BQ5" s="297" t="s">
        <v>27771</v>
      </c>
      <c r="BR5" s="297" t="s">
        <v>27772</v>
      </c>
      <c r="BS5" s="304" t="s">
        <v>27773</v>
      </c>
      <c r="BT5" s="297" t="s">
        <v>27774</v>
      </c>
      <c r="BU5" s="297" t="s">
        <v>27775</v>
      </c>
      <c r="BV5" s="297" t="s">
        <v>27776</v>
      </c>
      <c r="BW5" s="297" t="s">
        <v>27777</v>
      </c>
      <c r="BX5" s="297" t="s">
        <v>27778</v>
      </c>
      <c r="BY5" s="297" t="s">
        <v>27779</v>
      </c>
      <c r="BZ5" s="297" t="s">
        <v>27780</v>
      </c>
      <c r="CA5" s="297" t="s">
        <v>27781</v>
      </c>
      <c r="CB5" s="297" t="s">
        <v>27782</v>
      </c>
      <c r="CC5" s="297" t="s">
        <v>27783</v>
      </c>
      <c r="CD5" s="297" t="s">
        <v>27784</v>
      </c>
      <c r="CE5" s="297" t="s">
        <v>27785</v>
      </c>
      <c r="CF5" s="297" t="s">
        <v>27786</v>
      </c>
      <c r="CG5" s="297" t="s">
        <v>27787</v>
      </c>
      <c r="CH5" s="297" t="s">
        <v>27788</v>
      </c>
      <c r="CI5" s="297" t="s">
        <v>27789</v>
      </c>
      <c r="CJ5" s="297" t="s">
        <v>27790</v>
      </c>
      <c r="CK5" s="297" t="s">
        <v>27791</v>
      </c>
      <c r="CL5" s="297" t="s">
        <v>27792</v>
      </c>
      <c r="CM5" s="297" t="s">
        <v>27793</v>
      </c>
      <c r="CN5" s="297" t="s">
        <v>27794</v>
      </c>
      <c r="CO5" s="297" t="s">
        <v>27795</v>
      </c>
      <c r="CP5" s="297" t="s">
        <v>27796</v>
      </c>
      <c r="CQ5" s="297" t="s">
        <v>27797</v>
      </c>
      <c r="CR5" s="297" t="s">
        <v>27798</v>
      </c>
      <c r="CS5" s="297" t="s">
        <v>27799</v>
      </c>
      <c r="CT5" s="297" t="s">
        <v>27800</v>
      </c>
      <c r="CU5" s="297" t="s">
        <v>27801</v>
      </c>
      <c r="CV5" s="297" t="s">
        <v>27796</v>
      </c>
      <c r="CW5" s="297" t="s">
        <v>27797</v>
      </c>
      <c r="CX5" s="297" t="s">
        <v>27802</v>
      </c>
      <c r="CY5" s="297" t="s">
        <v>27799</v>
      </c>
      <c r="CZ5" s="297" t="s">
        <v>27800</v>
      </c>
      <c r="DA5" s="297" t="s">
        <v>27801</v>
      </c>
      <c r="DB5" s="297" t="s">
        <v>27796</v>
      </c>
      <c r="DC5" s="297" t="s">
        <v>27797</v>
      </c>
      <c r="DD5" s="297" t="s">
        <v>27803</v>
      </c>
      <c r="DE5" s="297" t="s">
        <v>27799</v>
      </c>
      <c r="DF5" s="297" t="s">
        <v>27800</v>
      </c>
      <c r="DG5" s="297" t="s">
        <v>27801</v>
      </c>
      <c r="DH5" s="297" t="s">
        <v>27796</v>
      </c>
      <c r="DI5" s="297" t="s">
        <v>27797</v>
      </c>
      <c r="DJ5" s="297" t="s">
        <v>27804</v>
      </c>
      <c r="DK5" s="297" t="s">
        <v>27799</v>
      </c>
      <c r="DL5" s="297" t="s">
        <v>27800</v>
      </c>
      <c r="DM5" s="297" t="s">
        <v>27801</v>
      </c>
      <c r="DN5" s="297" t="s">
        <v>27796</v>
      </c>
      <c r="DO5" s="297" t="s">
        <v>27797</v>
      </c>
      <c r="DP5" s="297" t="s">
        <v>27805</v>
      </c>
      <c r="DQ5" s="297" t="s">
        <v>27799</v>
      </c>
      <c r="DR5" s="297" t="s">
        <v>27800</v>
      </c>
      <c r="DS5" s="297" t="s">
        <v>27801</v>
      </c>
      <c r="DT5" s="297" t="s">
        <v>27796</v>
      </c>
      <c r="DU5" s="297" t="s">
        <v>27797</v>
      </c>
      <c r="DV5" s="297" t="s">
        <v>27806</v>
      </c>
      <c r="DW5" s="297" t="s">
        <v>27799</v>
      </c>
      <c r="DX5" s="297" t="s">
        <v>27800</v>
      </c>
      <c r="DY5" s="297" t="s">
        <v>27801</v>
      </c>
      <c r="DZ5" s="297" t="s">
        <v>27796</v>
      </c>
      <c r="EA5" s="297" t="s">
        <v>27797</v>
      </c>
      <c r="EB5" s="297" t="s">
        <v>27807</v>
      </c>
      <c r="EC5" s="297" t="s">
        <v>27799</v>
      </c>
      <c r="ED5" s="297" t="s">
        <v>27800</v>
      </c>
      <c r="EE5" s="297" t="s">
        <v>27801</v>
      </c>
      <c r="EF5" s="294" t="s">
        <v>27808</v>
      </c>
      <c r="EG5" s="297" t="s">
        <v>27809</v>
      </c>
      <c r="EH5" s="297" t="s">
        <v>27810</v>
      </c>
      <c r="EI5" s="297" t="s">
        <v>27811</v>
      </c>
      <c r="EJ5" s="297" t="s">
        <v>27812</v>
      </c>
      <c r="EK5" s="294" t="s">
        <v>27813</v>
      </c>
      <c r="EL5" s="294"/>
      <c r="EM5" s="294" t="s">
        <v>27814</v>
      </c>
      <c r="EN5" s="297" t="s">
        <v>27815</v>
      </c>
      <c r="EO5" s="297" t="s">
        <v>27816</v>
      </c>
      <c r="EP5" s="297" t="s">
        <v>27817</v>
      </c>
      <c r="EQ5" s="297" t="s">
        <v>27818</v>
      </c>
      <c r="ER5" s="297" t="s">
        <v>27819</v>
      </c>
      <c r="ES5" s="297" t="s">
        <v>27820</v>
      </c>
      <c r="ET5" s="297" t="s">
        <v>27821</v>
      </c>
      <c r="EU5" s="297" t="s">
        <v>27822</v>
      </c>
      <c r="EV5" s="297" t="s">
        <v>27823</v>
      </c>
      <c r="EW5" s="297" t="s">
        <v>27824</v>
      </c>
      <c r="EX5" s="297" t="s">
        <v>27825</v>
      </c>
      <c r="EY5" s="297" t="s">
        <v>27826</v>
      </c>
      <c r="EZ5" s="297" t="s">
        <v>27827</v>
      </c>
      <c r="FA5" s="297" t="s">
        <v>27828</v>
      </c>
      <c r="FB5" s="297" t="s">
        <v>27829</v>
      </c>
      <c r="FC5" s="297" t="s">
        <v>27830</v>
      </c>
      <c r="FD5" s="297" t="s">
        <v>27831</v>
      </c>
      <c r="FE5" s="297" t="s">
        <v>27832</v>
      </c>
      <c r="FF5" s="297" t="s">
        <v>27827</v>
      </c>
      <c r="FG5" s="297" t="s">
        <v>27828</v>
      </c>
      <c r="FH5" s="297" t="s">
        <v>27833</v>
      </c>
      <c r="FI5" s="297" t="s">
        <v>27834</v>
      </c>
      <c r="FJ5" s="297" t="s">
        <v>27835</v>
      </c>
      <c r="FK5" s="297" t="s">
        <v>27836</v>
      </c>
      <c r="FL5" s="297" t="s">
        <v>27827</v>
      </c>
      <c r="FM5" s="297" t="s">
        <v>27828</v>
      </c>
      <c r="FN5" s="297" t="s">
        <v>27837</v>
      </c>
      <c r="FO5" s="297" t="s">
        <v>27838</v>
      </c>
      <c r="FP5" s="297" t="s">
        <v>27839</v>
      </c>
      <c r="FQ5" s="297" t="s">
        <v>27840</v>
      </c>
    </row>
    <row r="6" spans="1:173" s="374" customFormat="1" ht="24" customHeight="1">
      <c r="A6" s="305" t="s">
        <v>27841</v>
      </c>
      <c r="B6" s="306" t="s">
        <v>113</v>
      </c>
      <c r="C6" s="306" t="s">
        <v>113</v>
      </c>
      <c r="D6" s="306" t="s">
        <v>113</v>
      </c>
      <c r="E6" s="306" t="s">
        <v>113</v>
      </c>
      <c r="F6" s="307"/>
      <c r="G6" s="307"/>
      <c r="H6" s="306" t="s">
        <v>113</v>
      </c>
      <c r="I6" s="307"/>
      <c r="J6" s="307"/>
      <c r="K6" s="307"/>
      <c r="L6" s="306" t="s">
        <v>113</v>
      </c>
      <c r="M6" s="307"/>
      <c r="N6" s="307"/>
      <c r="O6" s="307"/>
      <c r="P6" s="307"/>
      <c r="Q6" s="308" t="s">
        <v>113</v>
      </c>
      <c r="R6" s="308"/>
      <c r="S6" s="308"/>
      <c r="T6" s="308"/>
      <c r="U6" s="308" t="s">
        <v>113</v>
      </c>
      <c r="V6" s="308"/>
      <c r="W6" s="307" t="s">
        <v>113</v>
      </c>
      <c r="X6" s="307"/>
      <c r="Y6" s="307"/>
      <c r="Z6" s="307" t="s">
        <v>113</v>
      </c>
      <c r="AA6" s="307"/>
      <c r="AB6" s="307"/>
      <c r="AC6" s="307"/>
      <c r="AD6" s="307"/>
      <c r="AE6" s="307"/>
      <c r="AF6" s="307"/>
      <c r="AG6" s="307"/>
      <c r="AH6" s="307"/>
      <c r="AI6" s="115"/>
      <c r="AJ6" s="307"/>
      <c r="AK6" s="115"/>
      <c r="AL6" s="307"/>
      <c r="AM6" s="115"/>
      <c r="AN6" s="307"/>
      <c r="AO6" s="115"/>
      <c r="AP6" s="307"/>
      <c r="AQ6" s="115"/>
      <c r="AR6" s="307"/>
      <c r="AS6" s="307"/>
      <c r="AT6" s="307"/>
      <c r="AU6" s="307"/>
      <c r="AV6" s="307"/>
      <c r="AW6" s="307"/>
      <c r="AX6" s="307"/>
      <c r="AY6" s="307"/>
      <c r="AZ6" s="307"/>
      <c r="BA6" s="307"/>
      <c r="BB6" s="307"/>
      <c r="BC6" s="307"/>
      <c r="BD6" s="307"/>
      <c r="BE6" s="307" t="s">
        <v>113</v>
      </c>
      <c r="BF6" s="307"/>
      <c r="BG6" s="307"/>
      <c r="BH6" s="307"/>
      <c r="BI6" s="307" t="s">
        <v>113</v>
      </c>
      <c r="BJ6" s="307"/>
      <c r="BK6" s="307" t="s">
        <v>113</v>
      </c>
      <c r="BL6" s="307"/>
      <c r="BM6" s="307"/>
      <c r="BN6" s="307"/>
      <c r="BO6" s="309"/>
      <c r="BP6" s="308"/>
      <c r="BQ6" s="307"/>
      <c r="BR6" s="307"/>
      <c r="BS6" s="310"/>
      <c r="BT6" s="307"/>
      <c r="BU6" s="307"/>
      <c r="BV6" s="307"/>
      <c r="BW6" s="307"/>
      <c r="BX6" s="307"/>
      <c r="BY6" s="307"/>
      <c r="BZ6" s="307"/>
      <c r="CA6" s="307"/>
      <c r="CB6" s="307"/>
      <c r="CC6" s="307"/>
      <c r="CD6" s="307"/>
      <c r="CE6" s="307"/>
      <c r="CF6" s="307"/>
      <c r="CG6" s="307"/>
      <c r="CH6" s="307"/>
      <c r="CI6" s="307"/>
      <c r="CJ6" s="307"/>
      <c r="CK6" s="307"/>
      <c r="CL6" s="307"/>
      <c r="CM6" s="307"/>
      <c r="CN6" s="307"/>
      <c r="CO6" s="307"/>
      <c r="CP6" s="307"/>
      <c r="CQ6" s="307"/>
      <c r="CR6" s="307"/>
      <c r="CS6" s="307"/>
      <c r="CT6" s="307"/>
      <c r="CU6" s="307"/>
      <c r="CV6" s="307"/>
      <c r="CW6" s="307"/>
      <c r="CX6" s="307"/>
      <c r="CY6" s="307"/>
      <c r="CZ6" s="307"/>
      <c r="DA6" s="307"/>
      <c r="DB6" s="307"/>
      <c r="DC6" s="307"/>
      <c r="DD6" s="307"/>
      <c r="DE6" s="307"/>
      <c r="DF6" s="307"/>
      <c r="DG6" s="307"/>
      <c r="DH6" s="307"/>
      <c r="DI6" s="307"/>
      <c r="DJ6" s="307"/>
      <c r="DK6" s="307"/>
      <c r="DL6" s="307"/>
      <c r="DM6" s="307"/>
      <c r="DN6" s="307"/>
      <c r="DO6" s="307"/>
      <c r="DP6" s="307"/>
      <c r="DQ6" s="307"/>
      <c r="DR6" s="307"/>
      <c r="DS6" s="307"/>
      <c r="DT6" s="307"/>
      <c r="DU6" s="307"/>
      <c r="DV6" s="307"/>
      <c r="DW6" s="307"/>
      <c r="DX6" s="307"/>
      <c r="DY6" s="307"/>
      <c r="DZ6" s="307"/>
      <c r="EA6" s="307"/>
      <c r="EB6" s="307"/>
      <c r="EC6" s="307"/>
      <c r="ED6" s="307"/>
      <c r="EE6" s="307"/>
      <c r="EF6" s="311"/>
      <c r="EG6" s="307"/>
      <c r="EH6" s="307"/>
      <c r="EI6" s="307" t="s">
        <v>113</v>
      </c>
      <c r="EJ6" s="307"/>
      <c r="EK6" s="311"/>
      <c r="EL6" s="307" t="s">
        <v>113</v>
      </c>
      <c r="EM6" s="307" t="s">
        <v>113</v>
      </c>
      <c r="EN6" s="307" t="s">
        <v>113</v>
      </c>
      <c r="EO6" s="307"/>
      <c r="EP6" s="307"/>
      <c r="EQ6" s="307"/>
      <c r="ER6" s="307"/>
      <c r="ES6" s="307" t="s">
        <v>113</v>
      </c>
      <c r="ET6" s="307" t="s">
        <v>113</v>
      </c>
      <c r="EU6" s="307"/>
      <c r="EV6" s="307"/>
      <c r="EW6" s="307"/>
      <c r="EX6" s="307"/>
      <c r="EY6" s="307"/>
      <c r="EZ6" s="307"/>
      <c r="FA6" s="307"/>
      <c r="FB6" s="307"/>
      <c r="FC6" s="307"/>
      <c r="FD6" s="307"/>
      <c r="FE6" s="307"/>
      <c r="FF6" s="307"/>
      <c r="FG6" s="307"/>
      <c r="FH6" s="307"/>
      <c r="FI6" s="307"/>
      <c r="FJ6" s="307"/>
      <c r="FK6" s="307"/>
      <c r="FL6" s="307"/>
      <c r="FM6" s="307"/>
      <c r="FN6" s="307"/>
      <c r="FO6" s="307"/>
      <c r="FP6" s="307"/>
      <c r="FQ6" s="307"/>
    </row>
    <row r="7" spans="1:173" ht="24" customHeight="1">
      <c r="A7" s="293" t="s">
        <v>27842</v>
      </c>
      <c r="B7" s="297" t="s">
        <v>27843</v>
      </c>
      <c r="C7" s="297" t="s">
        <v>27843</v>
      </c>
      <c r="D7" s="297" t="s">
        <v>27843</v>
      </c>
      <c r="E7" s="297" t="s">
        <v>27843</v>
      </c>
      <c r="F7" s="297" t="s">
        <v>27843</v>
      </c>
      <c r="G7" s="297" t="s">
        <v>27843</v>
      </c>
      <c r="H7" s="297" t="s">
        <v>27843</v>
      </c>
      <c r="I7" s="297" t="s">
        <v>27843</v>
      </c>
      <c r="J7" s="297" t="s">
        <v>27843</v>
      </c>
      <c r="K7" s="297" t="s">
        <v>27843</v>
      </c>
      <c r="L7" s="297" t="s">
        <v>27843</v>
      </c>
      <c r="M7" s="297" t="s">
        <v>27843</v>
      </c>
      <c r="N7" s="297" t="s">
        <v>27843</v>
      </c>
      <c r="O7" s="297" t="s">
        <v>27843</v>
      </c>
      <c r="P7" s="297" t="s">
        <v>27843</v>
      </c>
      <c r="Q7" s="301" t="s">
        <v>27843</v>
      </c>
      <c r="R7" s="301" t="s">
        <v>27843</v>
      </c>
      <c r="S7" s="301" t="s">
        <v>27843</v>
      </c>
      <c r="T7" s="301" t="s">
        <v>27843</v>
      </c>
      <c r="U7" s="301" t="s">
        <v>27843</v>
      </c>
      <c r="V7" s="301" t="s">
        <v>27843</v>
      </c>
      <c r="W7" s="297" t="s">
        <v>27843</v>
      </c>
      <c r="X7" s="297" t="s">
        <v>27843</v>
      </c>
      <c r="Y7" s="297" t="s">
        <v>27843</v>
      </c>
      <c r="Z7" s="297" t="s">
        <v>27843</v>
      </c>
      <c r="AA7" s="297" t="s">
        <v>27843</v>
      </c>
      <c r="AB7" s="297" t="s">
        <v>27843</v>
      </c>
      <c r="AC7" s="297" t="s">
        <v>27843</v>
      </c>
      <c r="AD7" s="297" t="s">
        <v>27843</v>
      </c>
      <c r="AE7" s="297" t="s">
        <v>27843</v>
      </c>
      <c r="AF7" s="297" t="s">
        <v>27843</v>
      </c>
      <c r="AG7" s="297" t="s">
        <v>27843</v>
      </c>
      <c r="AH7" s="297" t="s">
        <v>27843</v>
      </c>
      <c r="AI7" s="108" t="s">
        <v>27843</v>
      </c>
      <c r="AJ7" s="297" t="s">
        <v>27843</v>
      </c>
      <c r="AK7" s="108" t="s">
        <v>27843</v>
      </c>
      <c r="AL7" s="297" t="s">
        <v>27843</v>
      </c>
      <c r="AM7" s="108" t="s">
        <v>27843</v>
      </c>
      <c r="AN7" s="297" t="s">
        <v>27843</v>
      </c>
      <c r="AO7" s="108" t="s">
        <v>27843</v>
      </c>
      <c r="AP7" s="297" t="s">
        <v>27843</v>
      </c>
      <c r="AQ7" s="108" t="s">
        <v>27843</v>
      </c>
      <c r="AR7" s="297" t="s">
        <v>27843</v>
      </c>
      <c r="AS7" s="297" t="s">
        <v>27843</v>
      </c>
      <c r="AT7" s="297" t="s">
        <v>27843</v>
      </c>
      <c r="AU7" s="297"/>
      <c r="AV7" s="297" t="s">
        <v>27843</v>
      </c>
      <c r="AW7" s="297" t="s">
        <v>27843</v>
      </c>
      <c r="AX7" s="297" t="s">
        <v>27843</v>
      </c>
      <c r="AY7" s="297" t="s">
        <v>27843</v>
      </c>
      <c r="AZ7" s="297" t="s">
        <v>27843</v>
      </c>
      <c r="BA7" s="297" t="s">
        <v>27843</v>
      </c>
      <c r="BB7" s="297" t="s">
        <v>27843</v>
      </c>
      <c r="BC7" s="297" t="s">
        <v>27843</v>
      </c>
      <c r="BD7" s="297" t="s">
        <v>27843</v>
      </c>
      <c r="BE7" s="297" t="s">
        <v>27843</v>
      </c>
      <c r="BF7" s="297" t="s">
        <v>27843</v>
      </c>
      <c r="BG7" s="297" t="s">
        <v>27843</v>
      </c>
      <c r="BH7" s="297" t="s">
        <v>27843</v>
      </c>
      <c r="BI7" s="297" t="s">
        <v>27843</v>
      </c>
      <c r="BJ7" s="297" t="s">
        <v>27843</v>
      </c>
      <c r="BK7" s="297" t="s">
        <v>27843</v>
      </c>
      <c r="BL7" s="297" t="s">
        <v>27843</v>
      </c>
      <c r="BM7" s="297" t="s">
        <v>27843</v>
      </c>
      <c r="BN7" s="297" t="s">
        <v>27843</v>
      </c>
      <c r="BO7" s="297" t="s">
        <v>27843</v>
      </c>
      <c r="BP7" s="301" t="s">
        <v>27843</v>
      </c>
      <c r="BQ7" s="297" t="s">
        <v>27843</v>
      </c>
      <c r="BR7" s="297" t="s">
        <v>27843</v>
      </c>
      <c r="BS7" s="304" t="s">
        <v>27843</v>
      </c>
      <c r="BT7" s="297" t="s">
        <v>27843</v>
      </c>
      <c r="BU7" s="297" t="s">
        <v>27843</v>
      </c>
      <c r="BV7" s="297" t="s">
        <v>27843</v>
      </c>
      <c r="BW7" s="297" t="s">
        <v>27843</v>
      </c>
      <c r="BX7" s="297" t="s">
        <v>27843</v>
      </c>
      <c r="BY7" s="297" t="s">
        <v>27843</v>
      </c>
      <c r="BZ7" s="297" t="s">
        <v>27843</v>
      </c>
      <c r="CA7" s="297" t="s">
        <v>27843</v>
      </c>
      <c r="CB7" s="297" t="s">
        <v>27843</v>
      </c>
      <c r="CC7" s="297" t="s">
        <v>27843</v>
      </c>
      <c r="CD7" s="297" t="s">
        <v>27843</v>
      </c>
      <c r="CE7" s="297" t="s">
        <v>27843</v>
      </c>
      <c r="CF7" s="297" t="s">
        <v>27843</v>
      </c>
      <c r="CG7" s="297" t="s">
        <v>27843</v>
      </c>
      <c r="CH7" s="297" t="s">
        <v>27843</v>
      </c>
      <c r="CI7" s="297" t="s">
        <v>27843</v>
      </c>
      <c r="CJ7" s="297" t="s">
        <v>27843</v>
      </c>
      <c r="CK7" s="297" t="s">
        <v>27843</v>
      </c>
      <c r="CL7" s="297" t="s">
        <v>27843</v>
      </c>
      <c r="CM7" s="297" t="s">
        <v>27843</v>
      </c>
      <c r="CN7" s="297" t="s">
        <v>27843</v>
      </c>
      <c r="CO7" s="297" t="s">
        <v>27843</v>
      </c>
      <c r="CP7" s="297" t="s">
        <v>27843</v>
      </c>
      <c r="CQ7" s="297" t="s">
        <v>27843</v>
      </c>
      <c r="CR7" s="297" t="s">
        <v>27843</v>
      </c>
      <c r="CS7" s="297" t="s">
        <v>27843</v>
      </c>
      <c r="CT7" s="297" t="s">
        <v>27843</v>
      </c>
      <c r="CU7" s="297" t="s">
        <v>27843</v>
      </c>
      <c r="CV7" s="297" t="s">
        <v>27843</v>
      </c>
      <c r="CW7" s="297" t="s">
        <v>27843</v>
      </c>
      <c r="CX7" s="297" t="s">
        <v>27843</v>
      </c>
      <c r="CY7" s="297" t="s">
        <v>27843</v>
      </c>
      <c r="CZ7" s="297" t="s">
        <v>27843</v>
      </c>
      <c r="DA7" s="297" t="s">
        <v>27843</v>
      </c>
      <c r="DB7" s="297" t="s">
        <v>27843</v>
      </c>
      <c r="DC7" s="297" t="s">
        <v>27843</v>
      </c>
      <c r="DD7" s="297" t="s">
        <v>27843</v>
      </c>
      <c r="DE7" s="297" t="s">
        <v>27843</v>
      </c>
      <c r="DF7" s="297" t="s">
        <v>27843</v>
      </c>
      <c r="DG7" s="297" t="s">
        <v>27843</v>
      </c>
      <c r="DH7" s="297" t="s">
        <v>27843</v>
      </c>
      <c r="DI7" s="297" t="s">
        <v>27843</v>
      </c>
      <c r="DJ7" s="297" t="s">
        <v>27843</v>
      </c>
      <c r="DK7" s="297" t="s">
        <v>27843</v>
      </c>
      <c r="DL7" s="297" t="s">
        <v>27843</v>
      </c>
      <c r="DM7" s="297" t="s">
        <v>27843</v>
      </c>
      <c r="DN7" s="297" t="s">
        <v>27843</v>
      </c>
      <c r="DO7" s="297" t="s">
        <v>27843</v>
      </c>
      <c r="DP7" s="297" t="s">
        <v>27843</v>
      </c>
      <c r="DQ7" s="297" t="s">
        <v>27843</v>
      </c>
      <c r="DR7" s="297" t="s">
        <v>27843</v>
      </c>
      <c r="DS7" s="297" t="s">
        <v>27843</v>
      </c>
      <c r="DT7" s="297" t="s">
        <v>27843</v>
      </c>
      <c r="DU7" s="297" t="s">
        <v>27843</v>
      </c>
      <c r="DV7" s="297" t="s">
        <v>27843</v>
      </c>
      <c r="DW7" s="297" t="s">
        <v>27843</v>
      </c>
      <c r="DX7" s="297" t="s">
        <v>27843</v>
      </c>
      <c r="DY7" s="297" t="s">
        <v>27843</v>
      </c>
      <c r="DZ7" s="297" t="s">
        <v>27843</v>
      </c>
      <c r="EA7" s="297" t="s">
        <v>27843</v>
      </c>
      <c r="EB7" s="297" t="s">
        <v>27843</v>
      </c>
      <c r="EC7" s="297" t="s">
        <v>27843</v>
      </c>
      <c r="ED7" s="297" t="s">
        <v>27843</v>
      </c>
      <c r="EE7" s="297" t="s">
        <v>27843</v>
      </c>
      <c r="EF7" s="297" t="s">
        <v>27843</v>
      </c>
      <c r="EG7" s="297" t="s">
        <v>27843</v>
      </c>
      <c r="EH7" s="297" t="s">
        <v>27843</v>
      </c>
      <c r="EI7" s="297" t="s">
        <v>27843</v>
      </c>
      <c r="EJ7" s="297" t="s">
        <v>27843</v>
      </c>
      <c r="EK7" s="294" t="s">
        <v>27843</v>
      </c>
      <c r="EL7" s="294" t="s">
        <v>27843</v>
      </c>
      <c r="EM7" s="297" t="s">
        <v>27843</v>
      </c>
      <c r="EN7" s="297" t="s">
        <v>27843</v>
      </c>
      <c r="EO7" s="297" t="s">
        <v>27843</v>
      </c>
      <c r="EP7" s="297" t="s">
        <v>27843</v>
      </c>
      <c r="EQ7" s="297" t="s">
        <v>27843</v>
      </c>
      <c r="ER7" s="297" t="s">
        <v>27843</v>
      </c>
      <c r="ES7" s="297" t="s">
        <v>27843</v>
      </c>
      <c r="ET7" s="297" t="s">
        <v>27843</v>
      </c>
      <c r="EU7" s="297" t="s">
        <v>27843</v>
      </c>
      <c r="EV7" s="297" t="s">
        <v>27843</v>
      </c>
      <c r="EW7" s="297" t="s">
        <v>27843</v>
      </c>
      <c r="EX7" s="297" t="s">
        <v>27843</v>
      </c>
      <c r="EY7" s="297" t="s">
        <v>27843</v>
      </c>
      <c r="EZ7" s="297" t="s">
        <v>27843</v>
      </c>
      <c r="FA7" s="297" t="s">
        <v>27843</v>
      </c>
      <c r="FB7" s="297" t="s">
        <v>27843</v>
      </c>
      <c r="FC7" s="297" t="s">
        <v>27843</v>
      </c>
      <c r="FD7" s="297" t="s">
        <v>27843</v>
      </c>
      <c r="FE7" s="297" t="s">
        <v>27843</v>
      </c>
      <c r="FF7" s="297" t="s">
        <v>27843</v>
      </c>
      <c r="FG7" s="297" t="s">
        <v>27843</v>
      </c>
      <c r="FH7" s="297" t="s">
        <v>27843</v>
      </c>
      <c r="FI7" s="297" t="s">
        <v>27843</v>
      </c>
      <c r="FJ7" s="297" t="s">
        <v>27843</v>
      </c>
      <c r="FK7" s="297" t="s">
        <v>27843</v>
      </c>
      <c r="FL7" s="297" t="s">
        <v>27843</v>
      </c>
      <c r="FM7" s="297" t="s">
        <v>27843</v>
      </c>
      <c r="FN7" s="297" t="s">
        <v>27843</v>
      </c>
      <c r="FO7" s="297" t="s">
        <v>27843</v>
      </c>
      <c r="FP7" s="297" t="s">
        <v>27843</v>
      </c>
      <c r="FQ7" s="297" t="s">
        <v>27843</v>
      </c>
    </row>
    <row r="8" spans="1:173" s="317" customFormat="1" ht="24" customHeight="1">
      <c r="A8" s="293" t="s">
        <v>1</v>
      </c>
      <c r="B8" s="297">
        <v>132</v>
      </c>
      <c r="C8" s="297">
        <v>10</v>
      </c>
      <c r="D8" s="297">
        <v>4</v>
      </c>
      <c r="E8" s="297">
        <v>50</v>
      </c>
      <c r="F8" s="297">
        <v>40</v>
      </c>
      <c r="G8" s="297">
        <v>40</v>
      </c>
      <c r="H8" s="297">
        <v>40</v>
      </c>
      <c r="I8" s="297">
        <v>40</v>
      </c>
      <c r="J8" s="297">
        <v>40</v>
      </c>
      <c r="K8" s="297">
        <v>40</v>
      </c>
      <c r="L8" s="297">
        <v>20</v>
      </c>
      <c r="M8" s="297">
        <v>20</v>
      </c>
      <c r="N8" s="297">
        <v>20</v>
      </c>
      <c r="O8" s="297">
        <v>40</v>
      </c>
      <c r="P8" s="297">
        <v>10</v>
      </c>
      <c r="Q8" s="301">
        <v>40</v>
      </c>
      <c r="R8" s="301">
        <v>40</v>
      </c>
      <c r="S8" s="301">
        <v>40</v>
      </c>
      <c r="T8" s="301">
        <v>40</v>
      </c>
      <c r="U8" s="301">
        <v>40</v>
      </c>
      <c r="V8" s="301">
        <v>10</v>
      </c>
      <c r="W8" s="297">
        <v>2</v>
      </c>
      <c r="X8" s="297">
        <v>3</v>
      </c>
      <c r="Y8" s="297">
        <v>10</v>
      </c>
      <c r="Z8" s="297">
        <v>1</v>
      </c>
      <c r="AA8" s="297">
        <v>30</v>
      </c>
      <c r="AB8" s="297">
        <v>10</v>
      </c>
      <c r="AC8" s="297">
        <v>30</v>
      </c>
      <c r="AD8" s="297">
        <v>10</v>
      </c>
      <c r="AE8" s="297">
        <v>30</v>
      </c>
      <c r="AF8" s="297">
        <v>30</v>
      </c>
      <c r="AG8" s="297">
        <v>10</v>
      </c>
      <c r="AH8" s="313">
        <v>241</v>
      </c>
      <c r="AI8" s="120">
        <v>4</v>
      </c>
      <c r="AJ8" s="313">
        <v>241</v>
      </c>
      <c r="AK8" s="120">
        <v>4</v>
      </c>
      <c r="AL8" s="313">
        <v>241</v>
      </c>
      <c r="AM8" s="120">
        <v>4</v>
      </c>
      <c r="AN8" s="313">
        <v>241</v>
      </c>
      <c r="AO8" s="120">
        <v>4</v>
      </c>
      <c r="AP8" s="313">
        <v>241</v>
      </c>
      <c r="AQ8" s="120">
        <v>4</v>
      </c>
      <c r="AR8" s="297">
        <v>50</v>
      </c>
      <c r="AS8" s="297">
        <v>50</v>
      </c>
      <c r="AT8" s="297">
        <v>1</v>
      </c>
      <c r="AU8" s="297"/>
      <c r="AV8" s="297">
        <v>40</v>
      </c>
      <c r="AW8" s="297">
        <v>40</v>
      </c>
      <c r="AX8" s="297">
        <v>40</v>
      </c>
      <c r="AY8" s="297">
        <v>40</v>
      </c>
      <c r="AZ8" s="297">
        <v>40</v>
      </c>
      <c r="BA8" s="297">
        <v>40</v>
      </c>
      <c r="BB8" s="297">
        <v>20</v>
      </c>
      <c r="BC8" s="297">
        <v>20</v>
      </c>
      <c r="BD8" s="297">
        <v>10</v>
      </c>
      <c r="BE8" s="297">
        <v>40</v>
      </c>
      <c r="BF8" s="297">
        <v>40</v>
      </c>
      <c r="BG8" s="297">
        <v>40</v>
      </c>
      <c r="BH8" s="297">
        <v>40</v>
      </c>
      <c r="BI8" s="297">
        <v>40</v>
      </c>
      <c r="BJ8" s="297">
        <v>10</v>
      </c>
      <c r="BK8" s="297">
        <v>2</v>
      </c>
      <c r="BL8" s="297">
        <v>1</v>
      </c>
      <c r="BM8" s="297">
        <v>10</v>
      </c>
      <c r="BN8" s="297">
        <v>10</v>
      </c>
      <c r="BO8" s="297">
        <v>10</v>
      </c>
      <c r="BP8" s="301">
        <v>20</v>
      </c>
      <c r="BQ8" s="297">
        <v>1</v>
      </c>
      <c r="BR8" s="297">
        <v>3</v>
      </c>
      <c r="BS8" s="304">
        <v>13</v>
      </c>
      <c r="BT8" s="297">
        <v>6</v>
      </c>
      <c r="BU8" s="297">
        <v>4</v>
      </c>
      <c r="BV8" s="297">
        <v>132</v>
      </c>
      <c r="BW8" s="297">
        <v>132</v>
      </c>
      <c r="BX8" s="297">
        <v>4</v>
      </c>
      <c r="BY8" s="297">
        <v>3</v>
      </c>
      <c r="BZ8" s="297">
        <v>15</v>
      </c>
      <c r="CA8" s="297">
        <v>18</v>
      </c>
      <c r="CB8" s="297">
        <v>60</v>
      </c>
      <c r="CC8" s="297">
        <v>40</v>
      </c>
      <c r="CD8" s="297">
        <v>4</v>
      </c>
      <c r="CE8" s="297">
        <v>3</v>
      </c>
      <c r="CF8" s="297">
        <v>15</v>
      </c>
      <c r="CG8" s="297">
        <v>18</v>
      </c>
      <c r="CH8" s="297">
        <v>60</v>
      </c>
      <c r="CI8" s="297">
        <v>40</v>
      </c>
      <c r="CJ8" s="297">
        <v>4</v>
      </c>
      <c r="CK8" s="297">
        <v>3</v>
      </c>
      <c r="CL8" s="297">
        <v>15</v>
      </c>
      <c r="CM8" s="297">
        <v>18</v>
      </c>
      <c r="CN8" s="297">
        <v>60</v>
      </c>
      <c r="CO8" s="297">
        <v>40</v>
      </c>
      <c r="CP8" s="297">
        <v>4</v>
      </c>
      <c r="CQ8" s="297">
        <v>3</v>
      </c>
      <c r="CR8" s="297">
        <v>15</v>
      </c>
      <c r="CS8" s="297">
        <v>18</v>
      </c>
      <c r="CT8" s="297">
        <v>60</v>
      </c>
      <c r="CU8" s="297">
        <v>40</v>
      </c>
      <c r="CV8" s="297">
        <v>4</v>
      </c>
      <c r="CW8" s="297">
        <v>3</v>
      </c>
      <c r="CX8" s="297">
        <v>15</v>
      </c>
      <c r="CY8" s="297">
        <v>18</v>
      </c>
      <c r="CZ8" s="297">
        <v>60</v>
      </c>
      <c r="DA8" s="297">
        <v>40</v>
      </c>
      <c r="DB8" s="297">
        <v>4</v>
      </c>
      <c r="DC8" s="297">
        <v>3</v>
      </c>
      <c r="DD8" s="297">
        <v>15</v>
      </c>
      <c r="DE8" s="297">
        <v>18</v>
      </c>
      <c r="DF8" s="297">
        <v>60</v>
      </c>
      <c r="DG8" s="297">
        <v>40</v>
      </c>
      <c r="DH8" s="297">
        <v>4</v>
      </c>
      <c r="DI8" s="297">
        <v>3</v>
      </c>
      <c r="DJ8" s="297">
        <v>15</v>
      </c>
      <c r="DK8" s="297">
        <v>18</v>
      </c>
      <c r="DL8" s="297">
        <v>60</v>
      </c>
      <c r="DM8" s="297">
        <v>40</v>
      </c>
      <c r="DN8" s="297">
        <v>4</v>
      </c>
      <c r="DO8" s="297">
        <v>3</v>
      </c>
      <c r="DP8" s="297">
        <v>15</v>
      </c>
      <c r="DQ8" s="297">
        <v>18</v>
      </c>
      <c r="DR8" s="297">
        <v>60</v>
      </c>
      <c r="DS8" s="297">
        <v>40</v>
      </c>
      <c r="DT8" s="297">
        <v>4</v>
      </c>
      <c r="DU8" s="297">
        <v>3</v>
      </c>
      <c r="DV8" s="297">
        <v>15</v>
      </c>
      <c r="DW8" s="297">
        <v>18</v>
      </c>
      <c r="DX8" s="297">
        <v>60</v>
      </c>
      <c r="DY8" s="297">
        <v>40</v>
      </c>
      <c r="DZ8" s="297">
        <v>4</v>
      </c>
      <c r="EA8" s="297">
        <v>3</v>
      </c>
      <c r="EB8" s="297">
        <v>15</v>
      </c>
      <c r="EC8" s="297">
        <v>18</v>
      </c>
      <c r="ED8" s="297">
        <v>60</v>
      </c>
      <c r="EE8" s="297">
        <v>40</v>
      </c>
      <c r="EF8" s="297">
        <v>2</v>
      </c>
      <c r="EG8" s="297">
        <v>10</v>
      </c>
      <c r="EH8" s="297">
        <v>2</v>
      </c>
      <c r="EI8" s="297">
        <v>2</v>
      </c>
      <c r="EJ8" s="297">
        <v>2</v>
      </c>
      <c r="EK8" s="294">
        <v>18</v>
      </c>
      <c r="EL8" s="294">
        <v>1</v>
      </c>
      <c r="EM8" s="297">
        <v>4</v>
      </c>
      <c r="EN8" s="297">
        <v>10</v>
      </c>
      <c r="EO8" s="297">
        <v>3</v>
      </c>
      <c r="EP8" s="297">
        <v>10</v>
      </c>
      <c r="EQ8" s="297">
        <v>10</v>
      </c>
      <c r="ER8" s="297">
        <v>4</v>
      </c>
      <c r="ES8" s="297">
        <v>4</v>
      </c>
      <c r="ET8" s="297">
        <v>4</v>
      </c>
      <c r="EU8" s="297">
        <v>10</v>
      </c>
      <c r="EV8" s="297">
        <v>4</v>
      </c>
      <c r="EW8" s="297">
        <v>1</v>
      </c>
      <c r="EX8" s="297">
        <v>2</v>
      </c>
      <c r="EY8" s="297">
        <v>2</v>
      </c>
      <c r="EZ8" s="297">
        <v>1</v>
      </c>
      <c r="FA8" s="297">
        <v>16</v>
      </c>
      <c r="FB8" s="297">
        <v>10</v>
      </c>
      <c r="FC8" s="297">
        <v>10</v>
      </c>
      <c r="FD8" s="297">
        <v>2</v>
      </c>
      <c r="FE8" s="297">
        <v>2</v>
      </c>
      <c r="FF8" s="297">
        <v>1</v>
      </c>
      <c r="FG8" s="297">
        <v>16</v>
      </c>
      <c r="FH8" s="297">
        <v>10</v>
      </c>
      <c r="FI8" s="297">
        <v>10</v>
      </c>
      <c r="FJ8" s="297">
        <v>2</v>
      </c>
      <c r="FK8" s="297">
        <v>2</v>
      </c>
      <c r="FL8" s="297">
        <v>1</v>
      </c>
      <c r="FM8" s="297">
        <v>16</v>
      </c>
      <c r="FN8" s="297">
        <v>10</v>
      </c>
      <c r="FO8" s="297">
        <v>10</v>
      </c>
      <c r="FP8" s="297">
        <v>5</v>
      </c>
      <c r="FQ8" s="297">
        <v>40</v>
      </c>
    </row>
    <row r="9" spans="1:173" s="317" customFormat="1" ht="63.75">
      <c r="A9" s="293"/>
      <c r="B9" s="366" t="s">
        <v>27844</v>
      </c>
      <c r="C9" s="294" t="s">
        <v>27845</v>
      </c>
      <c r="D9" s="294" t="s">
        <v>27846</v>
      </c>
      <c r="E9" s="294" t="s">
        <v>27847</v>
      </c>
      <c r="F9" s="297" t="s">
        <v>27848</v>
      </c>
      <c r="G9" s="297" t="s">
        <v>27849</v>
      </c>
      <c r="H9" s="297" t="s">
        <v>27850</v>
      </c>
      <c r="I9" s="297" t="s">
        <v>27850</v>
      </c>
      <c r="J9" s="297" t="s">
        <v>27850</v>
      </c>
      <c r="K9" s="297" t="s">
        <v>27850</v>
      </c>
      <c r="L9" s="297" t="s">
        <v>27851</v>
      </c>
      <c r="M9" s="297" t="s">
        <v>27852</v>
      </c>
      <c r="N9" s="297" t="s">
        <v>27853</v>
      </c>
      <c r="O9" s="297" t="s">
        <v>27854</v>
      </c>
      <c r="P9" s="297" t="s">
        <v>27855</v>
      </c>
      <c r="Q9" s="367" t="s">
        <v>27856</v>
      </c>
      <c r="R9" s="367" t="s">
        <v>27857</v>
      </c>
      <c r="S9" s="367" t="s">
        <v>27858</v>
      </c>
      <c r="T9" s="367" t="s">
        <v>27859</v>
      </c>
      <c r="U9" s="367" t="s">
        <v>27860</v>
      </c>
      <c r="V9" s="301" t="s">
        <v>27861</v>
      </c>
      <c r="W9" s="297" t="s">
        <v>27862</v>
      </c>
      <c r="X9" s="297" t="s">
        <v>27863</v>
      </c>
      <c r="Y9" s="294" t="s">
        <v>27864</v>
      </c>
      <c r="Z9" s="297" t="s">
        <v>27865</v>
      </c>
      <c r="AA9" s="297" t="s">
        <v>27866</v>
      </c>
      <c r="AB9" s="297" t="s">
        <v>27867</v>
      </c>
      <c r="AC9" s="297" t="s">
        <v>27866</v>
      </c>
      <c r="AD9" s="297" t="s">
        <v>27867</v>
      </c>
      <c r="AE9" s="297" t="s">
        <v>27868</v>
      </c>
      <c r="AF9" s="297" t="s">
        <v>27869</v>
      </c>
      <c r="AG9" s="297" t="s">
        <v>27870</v>
      </c>
      <c r="AH9" s="297" t="s">
        <v>27871</v>
      </c>
      <c r="AI9" s="108" t="s">
        <v>27603</v>
      </c>
      <c r="AJ9" s="297" t="s">
        <v>27872</v>
      </c>
      <c r="AK9" s="108" t="s">
        <v>27873</v>
      </c>
      <c r="AL9" s="297" t="s">
        <v>27874</v>
      </c>
      <c r="AM9" s="108" t="s">
        <v>27875</v>
      </c>
      <c r="AN9" s="297" t="s">
        <v>27876</v>
      </c>
      <c r="AO9" s="108" t="s">
        <v>27609</v>
      </c>
      <c r="AP9" s="297" t="s">
        <v>27877</v>
      </c>
      <c r="AQ9" s="108" t="s">
        <v>27611</v>
      </c>
      <c r="AR9" s="297" t="s">
        <v>27878</v>
      </c>
      <c r="AS9" s="297" t="s">
        <v>110</v>
      </c>
      <c r="AT9" s="294" t="s">
        <v>27879</v>
      </c>
      <c r="AU9" s="294" t="s">
        <v>27880</v>
      </c>
      <c r="AV9" s="297" t="s">
        <v>27848</v>
      </c>
      <c r="AW9" s="297" t="s">
        <v>27849</v>
      </c>
      <c r="AX9" s="297" t="s">
        <v>27850</v>
      </c>
      <c r="AY9" s="297" t="s">
        <v>27850</v>
      </c>
      <c r="AZ9" s="297" t="s">
        <v>27850</v>
      </c>
      <c r="BA9" s="297" t="s">
        <v>27850</v>
      </c>
      <c r="BB9" s="297" t="s">
        <v>27851</v>
      </c>
      <c r="BC9" s="297" t="s">
        <v>27852</v>
      </c>
      <c r="BD9" s="368" t="s">
        <v>27855</v>
      </c>
      <c r="BE9" s="294" t="s">
        <v>27856</v>
      </c>
      <c r="BF9" s="294" t="s">
        <v>27857</v>
      </c>
      <c r="BG9" s="297" t="s">
        <v>27858</v>
      </c>
      <c r="BH9" s="294" t="s">
        <v>27859</v>
      </c>
      <c r="BI9" s="294" t="s">
        <v>27860</v>
      </c>
      <c r="BJ9" s="297" t="s">
        <v>27861</v>
      </c>
      <c r="BK9" s="297"/>
      <c r="BL9" s="294" t="s">
        <v>27881</v>
      </c>
      <c r="BM9" s="294" t="s">
        <v>27882</v>
      </c>
      <c r="BN9" s="294" t="s">
        <v>27883</v>
      </c>
      <c r="BO9" s="294" t="s">
        <v>27884</v>
      </c>
      <c r="BP9" s="301" t="s">
        <v>27885</v>
      </c>
      <c r="BQ9" s="294" t="s">
        <v>27886</v>
      </c>
      <c r="BR9" s="297" t="s">
        <v>27887</v>
      </c>
      <c r="BS9" s="369" t="s">
        <v>27888</v>
      </c>
      <c r="BT9" s="294" t="s">
        <v>27889</v>
      </c>
      <c r="BU9" s="294" t="s">
        <v>27890</v>
      </c>
      <c r="BV9" s="297" t="s">
        <v>27891</v>
      </c>
      <c r="BW9" s="294" t="s">
        <v>27892</v>
      </c>
      <c r="BX9" s="297" t="s">
        <v>27893</v>
      </c>
      <c r="BY9" s="297" t="s">
        <v>27862</v>
      </c>
      <c r="BZ9" s="294" t="s">
        <v>27894</v>
      </c>
      <c r="CA9" s="297" t="s">
        <v>27895</v>
      </c>
      <c r="CB9" s="297"/>
      <c r="CC9" s="297" t="s">
        <v>27896</v>
      </c>
      <c r="CD9" s="297" t="s">
        <v>27893</v>
      </c>
      <c r="CE9" s="297" t="s">
        <v>27862</v>
      </c>
      <c r="CF9" s="297" t="s">
        <v>27894</v>
      </c>
      <c r="CG9" s="297" t="s">
        <v>27895</v>
      </c>
      <c r="CH9" s="297"/>
      <c r="CI9" s="297" t="s">
        <v>27896</v>
      </c>
      <c r="CJ9" s="297" t="s">
        <v>27893</v>
      </c>
      <c r="CK9" s="297" t="s">
        <v>27862</v>
      </c>
      <c r="CL9" s="297" t="s">
        <v>27894</v>
      </c>
      <c r="CM9" s="297" t="s">
        <v>27895</v>
      </c>
      <c r="CN9" s="297"/>
      <c r="CO9" s="297" t="s">
        <v>27896</v>
      </c>
      <c r="CP9" s="297" t="s">
        <v>27893</v>
      </c>
      <c r="CQ9" s="297" t="s">
        <v>27862</v>
      </c>
      <c r="CR9" s="297" t="s">
        <v>27894</v>
      </c>
      <c r="CS9" s="297" t="s">
        <v>27895</v>
      </c>
      <c r="CT9" s="297"/>
      <c r="CU9" s="297" t="s">
        <v>27896</v>
      </c>
      <c r="CV9" s="297" t="s">
        <v>27893</v>
      </c>
      <c r="CW9" s="297" t="s">
        <v>27862</v>
      </c>
      <c r="CX9" s="294" t="s">
        <v>27894</v>
      </c>
      <c r="CY9" s="297" t="s">
        <v>27895</v>
      </c>
      <c r="CZ9" s="297"/>
      <c r="DA9" s="297" t="s">
        <v>27896</v>
      </c>
      <c r="DB9" s="297" t="s">
        <v>27893</v>
      </c>
      <c r="DC9" s="297" t="s">
        <v>27862</v>
      </c>
      <c r="DD9" s="297" t="s">
        <v>27894</v>
      </c>
      <c r="DE9" s="297" t="s">
        <v>27895</v>
      </c>
      <c r="DF9" s="297"/>
      <c r="DG9" s="297" t="s">
        <v>27896</v>
      </c>
      <c r="DH9" s="297" t="s">
        <v>27893</v>
      </c>
      <c r="DI9" s="297" t="s">
        <v>27862</v>
      </c>
      <c r="DJ9" s="294" t="s">
        <v>27894</v>
      </c>
      <c r="DK9" s="297" t="s">
        <v>27895</v>
      </c>
      <c r="DL9" s="297"/>
      <c r="DM9" s="297" t="s">
        <v>27896</v>
      </c>
      <c r="DN9" s="297" t="s">
        <v>27893</v>
      </c>
      <c r="DO9" s="297" t="s">
        <v>27862</v>
      </c>
      <c r="DP9" s="294" t="s">
        <v>27894</v>
      </c>
      <c r="DQ9" s="297" t="s">
        <v>27895</v>
      </c>
      <c r="DR9" s="297"/>
      <c r="DS9" s="297" t="s">
        <v>27896</v>
      </c>
      <c r="DT9" s="297" t="s">
        <v>27893</v>
      </c>
      <c r="DU9" s="297" t="s">
        <v>27862</v>
      </c>
      <c r="DV9" s="294" t="s">
        <v>27894</v>
      </c>
      <c r="DW9" s="297" t="s">
        <v>27895</v>
      </c>
      <c r="DX9" s="297"/>
      <c r="DY9" s="297" t="s">
        <v>27896</v>
      </c>
      <c r="DZ9" s="297" t="s">
        <v>27893</v>
      </c>
      <c r="EA9" s="297" t="s">
        <v>27862</v>
      </c>
      <c r="EB9" s="294" t="s">
        <v>27894</v>
      </c>
      <c r="EC9" s="297" t="s">
        <v>27895</v>
      </c>
      <c r="ED9" s="297"/>
      <c r="EE9" s="297" t="s">
        <v>27896</v>
      </c>
      <c r="EF9" s="294" t="s">
        <v>27897</v>
      </c>
      <c r="EG9" s="294" t="s">
        <v>27898</v>
      </c>
      <c r="EH9" s="294" t="s">
        <v>27899</v>
      </c>
      <c r="EI9" s="294" t="s">
        <v>27900</v>
      </c>
      <c r="EJ9" s="294" t="s">
        <v>27901</v>
      </c>
      <c r="EK9" s="294" t="s">
        <v>27902</v>
      </c>
      <c r="EL9" s="294" t="s">
        <v>27903</v>
      </c>
      <c r="EM9" s="294" t="s">
        <v>27904</v>
      </c>
      <c r="EN9" s="297" t="s">
        <v>27905</v>
      </c>
      <c r="EO9" s="297" t="s">
        <v>27906</v>
      </c>
      <c r="EP9" s="294" t="s">
        <v>27907</v>
      </c>
      <c r="EQ9" s="297" t="s">
        <v>27908</v>
      </c>
      <c r="ER9" s="294" t="s">
        <v>27909</v>
      </c>
      <c r="ES9" s="297" t="s">
        <v>27910</v>
      </c>
      <c r="ET9" s="297" t="s">
        <v>27911</v>
      </c>
      <c r="EU9" s="294" t="s">
        <v>27912</v>
      </c>
      <c r="EV9" s="297" t="s">
        <v>27910</v>
      </c>
      <c r="EW9" s="294" t="s">
        <v>27913</v>
      </c>
      <c r="EX9" s="294" t="s">
        <v>27914</v>
      </c>
      <c r="EY9" s="294" t="s">
        <v>27914</v>
      </c>
      <c r="EZ9" s="370" t="s">
        <v>27911</v>
      </c>
      <c r="FA9" s="370" t="s">
        <v>27915</v>
      </c>
      <c r="FB9" s="294" t="s">
        <v>27916</v>
      </c>
      <c r="FC9" s="294" t="s">
        <v>27917</v>
      </c>
      <c r="FD9" s="294" t="s">
        <v>27914</v>
      </c>
      <c r="FE9" s="294" t="s">
        <v>27914</v>
      </c>
      <c r="FF9" s="370" t="s">
        <v>27911</v>
      </c>
      <c r="FG9" s="370" t="s">
        <v>27915</v>
      </c>
      <c r="FH9" s="294" t="s">
        <v>27916</v>
      </c>
      <c r="FI9" s="294" t="s">
        <v>27917</v>
      </c>
      <c r="FJ9" s="294" t="s">
        <v>27914</v>
      </c>
      <c r="FK9" s="294" t="s">
        <v>27914</v>
      </c>
      <c r="FL9" s="370" t="s">
        <v>27911</v>
      </c>
      <c r="FM9" s="370" t="s">
        <v>27915</v>
      </c>
      <c r="FN9" s="294" t="s">
        <v>27916</v>
      </c>
      <c r="FO9" s="294" t="s">
        <v>27917</v>
      </c>
      <c r="FP9" s="297" t="s">
        <v>27918</v>
      </c>
      <c r="FQ9" s="297" t="s">
        <v>27919</v>
      </c>
    </row>
    <row r="10" spans="1:173" ht="43.5" customHeight="1">
      <c r="B10" s="354"/>
      <c r="C10" s="355"/>
      <c r="D10" s="355"/>
      <c r="E10" s="355"/>
      <c r="F10" s="356"/>
      <c r="G10" s="356"/>
      <c r="H10" s="357"/>
      <c r="I10" s="357"/>
      <c r="J10" s="357"/>
      <c r="K10" s="357"/>
      <c r="L10" s="356"/>
      <c r="M10" s="356"/>
      <c r="Q10" s="356"/>
      <c r="R10" s="356"/>
      <c r="S10" s="356"/>
      <c r="T10" s="356"/>
      <c r="U10" s="356"/>
      <c r="V10" s="356"/>
      <c r="W10" s="357"/>
      <c r="X10" s="347"/>
      <c r="Y10" s="347"/>
      <c r="Z10" s="357"/>
      <c r="AA10" s="358"/>
      <c r="AB10" s="358"/>
      <c r="AC10" s="358"/>
      <c r="AD10" s="358"/>
      <c r="AE10" s="358"/>
      <c r="AF10" s="357"/>
      <c r="AG10" s="358"/>
      <c r="AH10" s="357"/>
      <c r="AI10" s="357"/>
      <c r="AJ10" s="357"/>
      <c r="AK10" s="357"/>
      <c r="AL10" s="357"/>
      <c r="AM10" s="357"/>
      <c r="AN10" s="357"/>
      <c r="AO10" s="357"/>
      <c r="AP10" s="357"/>
      <c r="AQ10" s="357"/>
      <c r="AT10" s="355"/>
      <c r="AU10" s="355"/>
      <c r="AV10" s="357"/>
      <c r="AW10" s="357"/>
      <c r="AX10" s="356"/>
      <c r="AY10" s="356"/>
      <c r="BB10" s="356"/>
      <c r="BC10" s="356"/>
      <c r="BE10" s="356"/>
      <c r="BF10" s="356"/>
      <c r="BG10" s="356"/>
      <c r="BH10" s="356"/>
      <c r="BI10" s="356"/>
      <c r="BJ10" s="356"/>
      <c r="BK10" s="357"/>
      <c r="BM10" s="347"/>
      <c r="BO10" s="355"/>
      <c r="BP10" s="356"/>
      <c r="BQ10" s="355"/>
      <c r="BR10" s="357"/>
      <c r="BS10" s="359"/>
      <c r="BX10" s="354"/>
      <c r="BY10" s="355"/>
      <c r="BZ10" s="357"/>
      <c r="CA10" s="357"/>
      <c r="CB10" s="357"/>
      <c r="CC10" s="357"/>
      <c r="CD10" s="357"/>
      <c r="CE10" s="357"/>
      <c r="CF10" s="357"/>
      <c r="CG10" s="357"/>
      <c r="CH10" s="357"/>
      <c r="CI10" s="357"/>
      <c r="CJ10" s="357"/>
      <c r="CK10" s="357"/>
      <c r="CL10" s="357"/>
      <c r="CM10" s="357"/>
      <c r="CN10" s="357"/>
      <c r="CO10" s="357"/>
      <c r="CP10" s="357"/>
      <c r="CQ10" s="357"/>
      <c r="CR10" s="357"/>
      <c r="CS10" s="357"/>
      <c r="CT10" s="357"/>
      <c r="CU10" s="357"/>
      <c r="CV10" s="357"/>
      <c r="CW10" s="357"/>
      <c r="CX10" s="357"/>
      <c r="CY10" s="357"/>
      <c r="CZ10" s="357"/>
      <c r="DA10" s="357"/>
      <c r="DB10" s="357"/>
      <c r="DC10" s="357"/>
      <c r="DD10" s="357"/>
      <c r="DE10" s="357"/>
      <c r="DF10" s="357"/>
      <c r="DG10" s="357"/>
      <c r="DH10" s="357"/>
      <c r="DI10" s="357"/>
      <c r="DJ10" s="357"/>
      <c r="DK10" s="357"/>
      <c r="DL10" s="357"/>
      <c r="DM10" s="357"/>
      <c r="DN10" s="357"/>
      <c r="DO10" s="357"/>
      <c r="DP10" s="357"/>
      <c r="DQ10" s="357"/>
      <c r="DR10" s="357"/>
      <c r="DS10" s="357"/>
      <c r="DT10" s="357"/>
      <c r="DU10" s="357"/>
      <c r="DV10" s="357"/>
      <c r="DW10" s="357"/>
      <c r="DX10" s="357"/>
      <c r="DY10" s="357"/>
      <c r="DZ10" s="357"/>
      <c r="EA10" s="357"/>
      <c r="EB10" s="357"/>
      <c r="EC10" s="357"/>
      <c r="ED10" s="357"/>
      <c r="EE10" s="357"/>
      <c r="EF10" s="357"/>
      <c r="EG10" s="354"/>
      <c r="EH10" s="354"/>
      <c r="EI10" s="355"/>
      <c r="EJ10" s="355"/>
      <c r="EK10" s="357"/>
      <c r="EL10" s="355"/>
      <c r="EM10" s="357"/>
      <c r="EN10" s="357"/>
      <c r="EO10" s="360"/>
      <c r="EP10" s="357"/>
      <c r="EQ10" s="357"/>
      <c r="ER10" s="355"/>
      <c r="ES10" s="355"/>
      <c r="ET10" s="355"/>
      <c r="EU10" s="357"/>
      <c r="EV10" s="355"/>
      <c r="EW10" s="355"/>
      <c r="EX10" s="357"/>
      <c r="EY10" s="355"/>
      <c r="EZ10" s="355"/>
      <c r="FA10" s="355"/>
      <c r="FB10" s="357"/>
      <c r="FC10" s="357"/>
      <c r="FD10" s="357"/>
      <c r="FE10" s="355"/>
      <c r="FF10" s="355"/>
      <c r="FG10" s="355"/>
      <c r="FH10" s="357"/>
      <c r="FI10" s="357"/>
      <c r="FJ10" s="357"/>
      <c r="FK10" s="355"/>
      <c r="FL10" s="355"/>
      <c r="FM10" s="355"/>
      <c r="FN10" s="357"/>
      <c r="FO10" s="357"/>
      <c r="FP10" s="360"/>
      <c r="FQ10" s="360"/>
    </row>
    <row r="11" spans="1:173" s="317" customFormat="1" ht="43.5" customHeight="1">
      <c r="B11" s="354" t="s">
        <v>27945</v>
      </c>
      <c r="C11" s="354" t="s">
        <v>27945</v>
      </c>
      <c r="D11" s="354" t="s">
        <v>27945</v>
      </c>
      <c r="E11" s="354" t="s">
        <v>27945</v>
      </c>
      <c r="F11" s="355" t="s">
        <v>3233</v>
      </c>
      <c r="G11" s="355" t="s">
        <v>3233</v>
      </c>
      <c r="H11" s="354" t="s">
        <v>27945</v>
      </c>
      <c r="I11" s="354" t="s">
        <v>27945</v>
      </c>
      <c r="J11" s="354" t="s">
        <v>27945</v>
      </c>
      <c r="K11" s="354" t="s">
        <v>27945</v>
      </c>
      <c r="L11" s="355" t="s">
        <v>27945</v>
      </c>
      <c r="M11" s="355" t="s">
        <v>27945</v>
      </c>
      <c r="N11" s="355" t="s">
        <v>27945</v>
      </c>
      <c r="O11" s="355" t="s">
        <v>27945</v>
      </c>
      <c r="P11" s="355" t="s">
        <v>27945</v>
      </c>
      <c r="Q11" s="355" t="s">
        <v>3233</v>
      </c>
      <c r="R11" s="355" t="s">
        <v>3233</v>
      </c>
      <c r="S11" s="355" t="s">
        <v>3233</v>
      </c>
      <c r="T11" s="355" t="s">
        <v>3233</v>
      </c>
      <c r="U11" s="355" t="s">
        <v>3233</v>
      </c>
      <c r="V11" s="355" t="s">
        <v>3233</v>
      </c>
      <c r="W11" s="355" t="s">
        <v>27945</v>
      </c>
      <c r="X11" s="355" t="s">
        <v>3233</v>
      </c>
      <c r="Y11" s="355" t="s">
        <v>3233</v>
      </c>
      <c r="Z11" s="355" t="s">
        <v>27945</v>
      </c>
      <c r="AA11" s="355" t="s">
        <v>27945</v>
      </c>
      <c r="AB11" s="355" t="s">
        <v>27945</v>
      </c>
      <c r="AC11" s="355" t="s">
        <v>27945</v>
      </c>
      <c r="AD11" s="355" t="s">
        <v>27945</v>
      </c>
      <c r="AE11" s="355" t="s">
        <v>27945</v>
      </c>
      <c r="AF11" s="355" t="s">
        <v>27945</v>
      </c>
      <c r="AG11" s="355" t="s">
        <v>27945</v>
      </c>
      <c r="AH11" s="355" t="s">
        <v>27945</v>
      </c>
      <c r="AI11" s="355"/>
      <c r="AJ11" s="355" t="s">
        <v>27945</v>
      </c>
      <c r="AK11" s="355"/>
      <c r="AL11" s="355" t="s">
        <v>27945</v>
      </c>
      <c r="AM11" s="355"/>
      <c r="AN11" s="355" t="s">
        <v>27945</v>
      </c>
      <c r="AO11" s="355"/>
      <c r="AP11" s="355" t="s">
        <v>27945</v>
      </c>
      <c r="AQ11" s="355"/>
      <c r="AR11" s="355" t="s">
        <v>27945</v>
      </c>
      <c r="AS11" s="355" t="s">
        <v>27945</v>
      </c>
      <c r="AT11" s="355" t="s">
        <v>27945</v>
      </c>
      <c r="AU11" s="355" t="s">
        <v>27945</v>
      </c>
      <c r="AV11" s="355" t="s">
        <v>27945</v>
      </c>
      <c r="AW11" s="355" t="s">
        <v>27945</v>
      </c>
      <c r="AX11" s="355" t="s">
        <v>27945</v>
      </c>
      <c r="AY11" s="355" t="s">
        <v>27945</v>
      </c>
      <c r="AZ11" s="355" t="s">
        <v>27945</v>
      </c>
      <c r="BA11" s="355" t="s">
        <v>27945</v>
      </c>
      <c r="BB11" s="355" t="s">
        <v>27945</v>
      </c>
      <c r="BC11" s="355" t="s">
        <v>27945</v>
      </c>
      <c r="BD11" s="355" t="s">
        <v>27945</v>
      </c>
      <c r="BE11" s="355" t="s">
        <v>27945</v>
      </c>
      <c r="BF11" s="355" t="s">
        <v>27945</v>
      </c>
      <c r="BG11" s="355" t="s">
        <v>27945</v>
      </c>
      <c r="BH11" s="355" t="s">
        <v>27945</v>
      </c>
      <c r="BI11" s="355" t="s">
        <v>27945</v>
      </c>
      <c r="BJ11" s="355" t="s">
        <v>27945</v>
      </c>
      <c r="BK11" s="355" t="s">
        <v>27945</v>
      </c>
      <c r="BL11" s="355" t="s">
        <v>3233</v>
      </c>
      <c r="BM11" s="355" t="s">
        <v>3233</v>
      </c>
      <c r="BN11" s="355" t="s">
        <v>27945</v>
      </c>
      <c r="BO11" s="355" t="s">
        <v>27945</v>
      </c>
      <c r="BP11" s="355" t="s">
        <v>27945</v>
      </c>
      <c r="BQ11" s="355" t="s">
        <v>27945</v>
      </c>
      <c r="BR11" s="355" t="s">
        <v>27945</v>
      </c>
      <c r="BS11" s="355" t="s">
        <v>3233</v>
      </c>
      <c r="BT11" s="355" t="s">
        <v>27945</v>
      </c>
      <c r="BU11" s="355" t="s">
        <v>27945</v>
      </c>
      <c r="BV11" s="355" t="s">
        <v>27945</v>
      </c>
      <c r="BW11" s="355" t="s">
        <v>27945</v>
      </c>
      <c r="BX11" s="355" t="s">
        <v>27945</v>
      </c>
      <c r="BY11" s="355" t="s">
        <v>27945</v>
      </c>
      <c r="BZ11" s="355" t="s">
        <v>27945</v>
      </c>
      <c r="CA11" s="355" t="s">
        <v>27945</v>
      </c>
      <c r="CB11" s="355" t="s">
        <v>27945</v>
      </c>
      <c r="CC11" s="355" t="s">
        <v>27945</v>
      </c>
      <c r="CD11" s="355" t="s">
        <v>27945</v>
      </c>
      <c r="CE11" s="355" t="s">
        <v>27945</v>
      </c>
      <c r="CF11" s="355" t="s">
        <v>27945</v>
      </c>
      <c r="CG11" s="355" t="s">
        <v>27945</v>
      </c>
      <c r="CH11" s="355" t="s">
        <v>27945</v>
      </c>
      <c r="CI11" s="355" t="s">
        <v>27945</v>
      </c>
      <c r="CJ11" s="355" t="s">
        <v>27945</v>
      </c>
      <c r="CK11" s="355" t="s">
        <v>27945</v>
      </c>
      <c r="CL11" s="355" t="s">
        <v>27945</v>
      </c>
      <c r="CM11" s="355" t="s">
        <v>27945</v>
      </c>
      <c r="CN11" s="355" t="s">
        <v>27945</v>
      </c>
      <c r="CO11" s="355" t="s">
        <v>27945</v>
      </c>
      <c r="CP11" s="355" t="s">
        <v>27945</v>
      </c>
      <c r="CQ11" s="355" t="s">
        <v>27945</v>
      </c>
      <c r="CR11" s="355" t="s">
        <v>27945</v>
      </c>
      <c r="CS11" s="355" t="s">
        <v>27945</v>
      </c>
      <c r="CT11" s="355" t="s">
        <v>27945</v>
      </c>
      <c r="CU11" s="355" t="s">
        <v>27945</v>
      </c>
      <c r="CV11" s="355" t="s">
        <v>27945</v>
      </c>
      <c r="CW11" s="355" t="s">
        <v>27945</v>
      </c>
      <c r="CX11" s="355" t="s">
        <v>27945</v>
      </c>
      <c r="CY11" s="355" t="s">
        <v>27945</v>
      </c>
      <c r="CZ11" s="355" t="s">
        <v>27945</v>
      </c>
      <c r="DA11" s="355" t="s">
        <v>27945</v>
      </c>
      <c r="DB11" s="355" t="s">
        <v>27945</v>
      </c>
      <c r="DC11" s="355" t="s">
        <v>27945</v>
      </c>
      <c r="DD11" s="355" t="s">
        <v>27945</v>
      </c>
      <c r="DE11" s="355" t="s">
        <v>27945</v>
      </c>
      <c r="DF11" s="355" t="s">
        <v>27945</v>
      </c>
      <c r="DG11" s="355" t="s">
        <v>27945</v>
      </c>
      <c r="DH11" s="355" t="s">
        <v>27945</v>
      </c>
      <c r="DI11" s="355" t="s">
        <v>27945</v>
      </c>
      <c r="DJ11" s="355" t="s">
        <v>27945</v>
      </c>
      <c r="DK11" s="355" t="s">
        <v>27945</v>
      </c>
      <c r="DL11" s="355" t="s">
        <v>27945</v>
      </c>
      <c r="DM11" s="355" t="s">
        <v>27945</v>
      </c>
      <c r="DN11" s="355" t="s">
        <v>27945</v>
      </c>
      <c r="DO11" s="355" t="s">
        <v>27945</v>
      </c>
      <c r="DP11" s="355" t="s">
        <v>27945</v>
      </c>
      <c r="DQ11" s="355" t="s">
        <v>27945</v>
      </c>
      <c r="DR11" s="355" t="s">
        <v>27945</v>
      </c>
      <c r="DS11" s="355" t="s">
        <v>27945</v>
      </c>
      <c r="DT11" s="355" t="s">
        <v>27945</v>
      </c>
      <c r="DU11" s="355" t="s">
        <v>27945</v>
      </c>
      <c r="DV11" s="355" t="s">
        <v>27945</v>
      </c>
      <c r="DW11" s="355" t="s">
        <v>27945</v>
      </c>
      <c r="DX11" s="355" t="s">
        <v>27945</v>
      </c>
      <c r="DY11" s="355" t="s">
        <v>27945</v>
      </c>
      <c r="DZ11" s="355" t="s">
        <v>27945</v>
      </c>
      <c r="EA11" s="355" t="s">
        <v>27945</v>
      </c>
      <c r="EB11" s="355" t="s">
        <v>27945</v>
      </c>
      <c r="EC11" s="355" t="s">
        <v>27945</v>
      </c>
      <c r="ED11" s="355" t="s">
        <v>27945</v>
      </c>
      <c r="EE11" s="355" t="s">
        <v>27945</v>
      </c>
      <c r="EF11" s="355" t="s">
        <v>27945</v>
      </c>
      <c r="EG11" s="355" t="s">
        <v>27945</v>
      </c>
      <c r="EH11" s="355" t="s">
        <v>27945</v>
      </c>
      <c r="EI11" s="355" t="s">
        <v>27945</v>
      </c>
      <c r="EJ11" s="355" t="s">
        <v>27945</v>
      </c>
      <c r="EK11" s="355" t="s">
        <v>27945</v>
      </c>
      <c r="EL11" s="355" t="s">
        <v>27945</v>
      </c>
      <c r="EM11" s="355" t="s">
        <v>27945</v>
      </c>
      <c r="EN11" s="355" t="s">
        <v>27945</v>
      </c>
      <c r="EO11" s="355" t="s">
        <v>27945</v>
      </c>
      <c r="EP11" s="355" t="s">
        <v>27945</v>
      </c>
      <c r="EQ11" s="355" t="s">
        <v>27945</v>
      </c>
      <c r="ER11" s="355" t="s">
        <v>27945</v>
      </c>
      <c r="ES11" s="355" t="s">
        <v>27945</v>
      </c>
      <c r="ET11" s="355" t="s">
        <v>27945</v>
      </c>
      <c r="EU11" s="355" t="s">
        <v>27945</v>
      </c>
      <c r="EV11" s="355" t="s">
        <v>27945</v>
      </c>
      <c r="EW11" s="355" t="s">
        <v>27945</v>
      </c>
      <c r="EX11" s="355" t="s">
        <v>27945</v>
      </c>
      <c r="EY11" s="355" t="s">
        <v>27945</v>
      </c>
      <c r="EZ11" s="355" t="s">
        <v>27945</v>
      </c>
      <c r="FA11" s="355" t="s">
        <v>27945</v>
      </c>
      <c r="FB11" s="355" t="s">
        <v>27945</v>
      </c>
      <c r="FC11" s="355" t="s">
        <v>27945</v>
      </c>
      <c r="FD11" s="355" t="s">
        <v>27945</v>
      </c>
      <c r="FE11" s="355" t="s">
        <v>27945</v>
      </c>
      <c r="FF11" s="355" t="s">
        <v>27945</v>
      </c>
      <c r="FG11" s="355" t="s">
        <v>27945</v>
      </c>
      <c r="FH11" s="355" t="s">
        <v>27945</v>
      </c>
      <c r="FI11" s="355" t="s">
        <v>27945</v>
      </c>
      <c r="FJ11" s="355" t="s">
        <v>27945</v>
      </c>
      <c r="FK11" s="355" t="s">
        <v>27945</v>
      </c>
      <c r="FL11" s="355" t="s">
        <v>27945</v>
      </c>
      <c r="FM11" s="355" t="s">
        <v>27945</v>
      </c>
      <c r="FN11" s="355" t="s">
        <v>27945</v>
      </c>
      <c r="FO11" s="355" t="s">
        <v>27945</v>
      </c>
      <c r="FP11" s="355" t="s">
        <v>27945</v>
      </c>
      <c r="FQ11" s="355" t="s">
        <v>27945</v>
      </c>
    </row>
    <row r="12" spans="1:173" s="317" customFormat="1" ht="43.5" customHeight="1">
      <c r="A12" s="317" t="s">
        <v>27947</v>
      </c>
      <c r="B12" s="354"/>
      <c r="C12" s="355"/>
      <c r="D12" s="355"/>
      <c r="E12" s="355"/>
      <c r="F12" s="355" t="s">
        <v>153</v>
      </c>
      <c r="G12" s="355" t="s">
        <v>160</v>
      </c>
      <c r="L12" s="355" t="s">
        <v>27948</v>
      </c>
      <c r="Q12" s="361" t="s">
        <v>33</v>
      </c>
      <c r="R12" s="351" t="s">
        <v>27949</v>
      </c>
      <c r="S12" s="361" t="s">
        <v>44</v>
      </c>
      <c r="T12" s="362" t="s">
        <v>47</v>
      </c>
      <c r="U12" s="362" t="s">
        <v>53</v>
      </c>
      <c r="V12" s="36" t="s">
        <v>51</v>
      </c>
      <c r="X12" s="36" t="s">
        <v>58</v>
      </c>
      <c r="Y12" s="363" t="s">
        <v>63</v>
      </c>
      <c r="Z12" s="355"/>
      <c r="AW12" s="355"/>
      <c r="AX12" s="355"/>
      <c r="AY12" s="355"/>
      <c r="BB12" s="355"/>
      <c r="BL12" s="317" t="s">
        <v>188</v>
      </c>
      <c r="BM12" s="347" t="s">
        <v>191</v>
      </c>
      <c r="BQ12" s="355"/>
      <c r="BS12" s="364" t="s">
        <v>122</v>
      </c>
      <c r="EG12" s="354"/>
      <c r="EH12" s="354"/>
      <c r="EI12" s="365"/>
      <c r="EJ12" s="365"/>
      <c r="EK12" s="365"/>
      <c r="ER12" s="355"/>
      <c r="EW12" s="355"/>
      <c r="FA12" s="355"/>
      <c r="FG12" s="355"/>
      <c r="FM12" s="355"/>
      <c r="FP12" s="354"/>
      <c r="FQ12" s="354"/>
    </row>
    <row r="13" spans="1:173" ht="43.5" customHeight="1">
      <c r="B13" s="354"/>
      <c r="C13" s="355"/>
      <c r="D13" s="355"/>
      <c r="E13" s="355"/>
      <c r="F13" s="356"/>
      <c r="G13" s="356"/>
      <c r="L13" s="356" t="s">
        <v>28174</v>
      </c>
      <c r="X13" s="347"/>
      <c r="Y13" s="347"/>
      <c r="Z13" s="357"/>
      <c r="AU13" s="317"/>
      <c r="AX13" s="356"/>
      <c r="AY13" s="356"/>
      <c r="BB13" s="356"/>
      <c r="BE13" s="315"/>
      <c r="BF13" s="315"/>
      <c r="BG13" s="315"/>
      <c r="BH13" s="315"/>
      <c r="BI13" s="315"/>
      <c r="BJ13" s="315"/>
      <c r="BM13" s="347"/>
      <c r="BQ13" s="355"/>
      <c r="BS13" s="364"/>
      <c r="BX13" s="317"/>
      <c r="BY13" s="317"/>
      <c r="EG13" s="354"/>
      <c r="EH13" s="354"/>
      <c r="EI13" s="365"/>
      <c r="EJ13" s="365"/>
      <c r="EL13" s="317"/>
      <c r="ER13" s="355"/>
      <c r="ES13" s="317"/>
      <c r="ET13" s="317"/>
      <c r="EU13" s="317"/>
      <c r="EV13" s="317"/>
      <c r="EW13" s="355"/>
      <c r="EZ13" s="317"/>
      <c r="FA13" s="355"/>
      <c r="FF13" s="317"/>
      <c r="FG13" s="355"/>
      <c r="FL13" s="317"/>
      <c r="FM13" s="355"/>
      <c r="FP13" s="360"/>
      <c r="FQ13" s="360"/>
    </row>
    <row r="14" spans="1:173" ht="43.5" customHeight="1">
      <c r="B14" s="354"/>
      <c r="C14" s="355"/>
      <c r="D14" s="355"/>
      <c r="E14" s="355"/>
      <c r="F14" s="356"/>
      <c r="G14" s="356"/>
      <c r="H14" s="357"/>
      <c r="I14" s="357"/>
      <c r="J14" s="357"/>
      <c r="K14" s="357"/>
      <c r="L14" s="356"/>
      <c r="M14" s="356"/>
      <c r="Q14" s="356"/>
      <c r="R14" s="356"/>
      <c r="S14" s="356"/>
      <c r="T14" s="356"/>
      <c r="U14" s="356"/>
      <c r="V14" s="356"/>
      <c r="W14" s="357"/>
      <c r="X14" s="347"/>
      <c r="Y14" s="347"/>
      <c r="Z14" s="357"/>
      <c r="AA14" s="358"/>
      <c r="AB14" s="358"/>
      <c r="AC14" s="358"/>
      <c r="AD14" s="358"/>
      <c r="AE14" s="358"/>
      <c r="AF14" s="357"/>
      <c r="AG14" s="358"/>
      <c r="AH14" s="357"/>
      <c r="AI14" s="357"/>
      <c r="AJ14" s="357"/>
      <c r="AK14" s="357"/>
      <c r="AL14" s="357"/>
      <c r="AM14" s="357"/>
      <c r="AN14" s="357"/>
      <c r="AO14" s="357"/>
      <c r="AP14" s="357"/>
      <c r="AQ14" s="357"/>
      <c r="AT14" s="355"/>
      <c r="AU14" s="355"/>
      <c r="AV14" s="357"/>
      <c r="AW14" s="357"/>
      <c r="AX14" s="356"/>
      <c r="AY14" s="356"/>
      <c r="BB14" s="356"/>
      <c r="BC14" s="356"/>
      <c r="BE14" s="356"/>
      <c r="BF14" s="356"/>
      <c r="BG14" s="356"/>
      <c r="BH14" s="356"/>
      <c r="BI14" s="356"/>
      <c r="BJ14" s="356"/>
      <c r="BM14" s="317"/>
      <c r="BQ14" s="355"/>
      <c r="BS14" s="364"/>
      <c r="BX14" s="354"/>
      <c r="BY14" s="354"/>
      <c r="BZ14" s="357"/>
      <c r="CA14" s="357"/>
      <c r="CB14" s="357"/>
      <c r="CC14" s="357"/>
      <c r="CD14" s="357"/>
      <c r="CE14" s="357"/>
      <c r="CF14" s="357"/>
      <c r="CG14" s="357"/>
      <c r="CH14" s="357"/>
      <c r="CI14" s="357"/>
      <c r="CJ14" s="357"/>
      <c r="CK14" s="357"/>
      <c r="CL14" s="357"/>
      <c r="CM14" s="357"/>
      <c r="CN14" s="357"/>
      <c r="CO14" s="357"/>
      <c r="CP14" s="357"/>
      <c r="CQ14" s="357"/>
      <c r="CR14" s="357"/>
      <c r="CS14" s="357"/>
      <c r="CT14" s="357"/>
      <c r="CU14" s="357"/>
      <c r="CV14" s="357"/>
      <c r="CW14" s="357"/>
      <c r="CX14" s="357"/>
      <c r="CY14" s="357"/>
      <c r="CZ14" s="357"/>
      <c r="DA14" s="357"/>
      <c r="DB14" s="357"/>
      <c r="DC14" s="357"/>
      <c r="DD14" s="357"/>
      <c r="DE14" s="357"/>
      <c r="DF14" s="357"/>
      <c r="DG14" s="357"/>
      <c r="DH14" s="357"/>
      <c r="DI14" s="357"/>
      <c r="DJ14" s="357"/>
      <c r="DK14" s="357"/>
      <c r="DL14" s="357"/>
      <c r="DM14" s="357"/>
      <c r="DN14" s="357"/>
      <c r="DO14" s="357"/>
      <c r="DP14" s="357"/>
      <c r="DQ14" s="357"/>
      <c r="DR14" s="357"/>
      <c r="DS14" s="357"/>
      <c r="DT14" s="357"/>
      <c r="DU14" s="357"/>
      <c r="DV14" s="357"/>
      <c r="DW14" s="357"/>
      <c r="DX14" s="357"/>
      <c r="DY14" s="357"/>
      <c r="DZ14" s="357"/>
      <c r="EA14" s="357"/>
      <c r="EB14" s="357"/>
      <c r="EC14" s="357"/>
      <c r="ED14" s="357"/>
      <c r="EE14" s="357"/>
      <c r="EF14" s="357"/>
      <c r="EG14" s="354"/>
      <c r="EH14" s="354"/>
      <c r="EI14" s="355"/>
      <c r="EJ14" s="355"/>
      <c r="EK14" s="357"/>
      <c r="EL14" s="355"/>
      <c r="EM14" s="357"/>
      <c r="EN14" s="357"/>
      <c r="EO14" s="360"/>
      <c r="EP14" s="357"/>
      <c r="EQ14" s="357"/>
      <c r="ER14" s="355"/>
      <c r="ES14" s="355"/>
      <c r="ET14" s="355"/>
      <c r="EU14" s="357"/>
      <c r="EV14" s="355"/>
      <c r="EW14" s="355"/>
      <c r="EX14" s="357"/>
      <c r="EY14" s="355"/>
      <c r="EZ14" s="355"/>
      <c r="FA14" s="355"/>
      <c r="FB14" s="357"/>
      <c r="FC14" s="357"/>
      <c r="FD14" s="357"/>
      <c r="FE14" s="355"/>
      <c r="FF14" s="355"/>
      <c r="FG14" s="355"/>
      <c r="FH14" s="357"/>
      <c r="FI14" s="357"/>
      <c r="FJ14" s="357"/>
      <c r="FK14" s="355"/>
      <c r="FL14" s="355"/>
      <c r="FM14" s="355"/>
      <c r="FN14" s="357"/>
      <c r="FO14" s="357"/>
      <c r="FP14" s="360"/>
      <c r="FQ14" s="360"/>
    </row>
    <row r="15" spans="1:173" s="351" customFormat="1" ht="12" customHeight="1">
      <c r="A15" s="122"/>
      <c r="B15" s="123"/>
      <c r="C15" s="122"/>
      <c r="D15" s="122"/>
      <c r="E15" s="122"/>
      <c r="F15" s="124"/>
      <c r="G15" s="124"/>
      <c r="H15" s="122"/>
      <c r="I15" s="122"/>
      <c r="J15" s="122"/>
      <c r="K15" s="122"/>
      <c r="L15" s="122"/>
      <c r="M15" s="122"/>
      <c r="N15" s="124"/>
      <c r="O15" s="124"/>
      <c r="P15" s="124"/>
      <c r="Q15" s="122"/>
      <c r="R15" s="122"/>
      <c r="S15" s="122"/>
      <c r="T15" s="125"/>
      <c r="U15" s="125"/>
      <c r="V15" s="126"/>
      <c r="W15" s="126"/>
      <c r="X15" s="126"/>
      <c r="Y15" s="127"/>
      <c r="Z15" s="122"/>
      <c r="AA15" s="128"/>
      <c r="AB15" s="128"/>
      <c r="AC15" s="128"/>
      <c r="AD15" s="128"/>
      <c r="AE15" s="128"/>
      <c r="AF15" s="122"/>
      <c r="AG15" s="128"/>
      <c r="AH15" s="122"/>
      <c r="AI15" s="122"/>
      <c r="AJ15" s="122"/>
      <c r="AK15" s="122"/>
      <c r="AL15" s="122"/>
      <c r="AM15" s="122"/>
      <c r="AN15" s="122"/>
      <c r="AO15" s="122"/>
      <c r="AP15" s="122"/>
      <c r="AQ15" s="122"/>
      <c r="AR15" s="122"/>
      <c r="AS15" s="122"/>
      <c r="AT15" s="122"/>
      <c r="AU15" s="122"/>
      <c r="AV15" s="122"/>
      <c r="AW15" s="124"/>
      <c r="AX15" s="124"/>
      <c r="AY15" s="122"/>
      <c r="AZ15" s="122"/>
      <c r="BA15" s="122"/>
      <c r="BB15" s="122"/>
      <c r="BC15" s="122"/>
      <c r="BD15" s="122"/>
      <c r="BE15" s="122"/>
      <c r="BF15" s="122"/>
      <c r="BG15" s="122"/>
      <c r="BH15" s="122"/>
      <c r="BI15" s="124"/>
      <c r="BJ15" s="122"/>
      <c r="BK15" s="122"/>
      <c r="BL15" s="122"/>
      <c r="BM15" s="122"/>
      <c r="BN15" s="122"/>
      <c r="BO15" s="122"/>
      <c r="BP15" s="122"/>
      <c r="BQ15" s="124"/>
      <c r="BR15" s="124"/>
      <c r="BS15" s="122"/>
      <c r="BT15" s="122"/>
      <c r="BU15" s="122"/>
      <c r="BV15" s="122"/>
      <c r="BW15" s="122"/>
      <c r="BX15" s="122"/>
      <c r="BY15" s="124"/>
      <c r="BZ15" s="124"/>
      <c r="CA15" s="124"/>
      <c r="CB15" s="124"/>
      <c r="CC15" s="123"/>
      <c r="CD15" s="122"/>
      <c r="CE15" s="122"/>
      <c r="CF15" s="122"/>
      <c r="CG15" s="122"/>
      <c r="CH15" s="122"/>
      <c r="CI15" s="123"/>
      <c r="CJ15" s="122"/>
      <c r="CK15" s="122"/>
      <c r="CL15" s="122"/>
      <c r="CM15" s="122"/>
      <c r="CN15" s="122"/>
      <c r="CO15" s="122"/>
      <c r="CP15" s="122"/>
      <c r="CQ15" s="122"/>
      <c r="CR15" s="122"/>
      <c r="CS15" s="122"/>
      <c r="CT15" s="122"/>
      <c r="CU15" s="122"/>
      <c r="CV15" s="122"/>
      <c r="CW15" s="122"/>
      <c r="CX15" s="122"/>
      <c r="CY15" s="122"/>
      <c r="CZ15" s="122"/>
      <c r="DA15" s="122"/>
      <c r="DB15" s="122"/>
      <c r="DC15" s="122"/>
      <c r="DD15" s="122"/>
      <c r="DE15" s="122"/>
      <c r="DF15" s="122"/>
      <c r="DG15" s="122"/>
      <c r="DH15" s="122"/>
      <c r="DI15" s="122"/>
      <c r="DJ15" s="122"/>
      <c r="DK15" s="122"/>
      <c r="DL15" s="122"/>
      <c r="DM15" s="122"/>
      <c r="DN15" s="122"/>
      <c r="DO15" s="122"/>
      <c r="DP15" s="122"/>
      <c r="DQ15" s="122"/>
      <c r="DR15" s="122"/>
      <c r="DS15" s="122"/>
      <c r="DT15" s="122"/>
      <c r="DU15" s="122"/>
      <c r="DV15" s="122"/>
      <c r="DW15" s="122"/>
      <c r="DX15" s="122"/>
      <c r="DY15" s="122"/>
      <c r="DZ15" s="122"/>
      <c r="EA15" s="122"/>
      <c r="EB15" s="122"/>
      <c r="EC15" s="122"/>
      <c r="ED15" s="122"/>
      <c r="EE15" s="122"/>
      <c r="EF15" s="122"/>
      <c r="EG15" s="122"/>
      <c r="EH15" s="122"/>
      <c r="EI15" s="122"/>
      <c r="EJ15" s="122"/>
      <c r="EK15" s="122"/>
      <c r="EL15" s="123"/>
      <c r="EM15" s="122"/>
      <c r="EN15" s="122"/>
      <c r="EO15" s="122"/>
      <c r="EP15" s="122"/>
      <c r="EQ15" s="122"/>
      <c r="ER15" s="122"/>
      <c r="ES15" s="122"/>
      <c r="ET15" s="123"/>
      <c r="EU15" s="122"/>
      <c r="EV15" s="122"/>
      <c r="EW15" s="122"/>
      <c r="EX15" s="122"/>
      <c r="EY15" s="122"/>
      <c r="EZ15" s="122"/>
      <c r="FA15" s="122"/>
      <c r="FB15" s="122"/>
      <c r="FC15" s="122"/>
      <c r="FD15" s="122"/>
      <c r="FE15" s="122"/>
      <c r="FF15" s="122"/>
      <c r="FG15" s="122"/>
      <c r="FH15" s="122"/>
      <c r="FI15" s="122"/>
      <c r="FJ15" s="122"/>
      <c r="FK15" s="122"/>
      <c r="FL15" s="122"/>
      <c r="FM15" s="122"/>
      <c r="FN15" s="122"/>
      <c r="FO15" s="122"/>
      <c r="FP15" s="122"/>
      <c r="FQ15" s="122"/>
    </row>
    <row r="16" spans="1:173" s="375" customFormat="1" ht="29.25" customHeight="1">
      <c r="A16" s="129" t="s">
        <v>27956</v>
      </c>
      <c r="B16" s="130" t="s">
        <v>27957</v>
      </c>
      <c r="C16" s="131" t="s">
        <v>27958</v>
      </c>
      <c r="D16" s="130" t="s">
        <v>27957</v>
      </c>
      <c r="E16" s="130" t="s">
        <v>27957</v>
      </c>
      <c r="F16" s="132" t="s">
        <v>27959</v>
      </c>
      <c r="G16" s="132" t="s">
        <v>27959</v>
      </c>
      <c r="H16" s="131" t="s">
        <v>27958</v>
      </c>
      <c r="I16" s="131" t="s">
        <v>27958</v>
      </c>
      <c r="J16" s="131" t="s">
        <v>27958</v>
      </c>
      <c r="K16" s="131" t="s">
        <v>27958</v>
      </c>
      <c r="L16" s="132" t="s">
        <v>27959</v>
      </c>
      <c r="M16" s="131" t="s">
        <v>27958</v>
      </c>
      <c r="N16" s="131" t="s">
        <v>27958</v>
      </c>
      <c r="O16" s="131" t="s">
        <v>27958</v>
      </c>
      <c r="P16" s="131" t="s">
        <v>27958</v>
      </c>
      <c r="Q16" s="132" t="s">
        <v>27959</v>
      </c>
      <c r="R16" s="132" t="s">
        <v>27959</v>
      </c>
      <c r="S16" s="132" t="s">
        <v>27959</v>
      </c>
      <c r="T16" s="132" t="s">
        <v>27959</v>
      </c>
      <c r="U16" s="132" t="s">
        <v>27959</v>
      </c>
      <c r="V16" s="132" t="s">
        <v>27959</v>
      </c>
      <c r="W16" s="132" t="s">
        <v>27959</v>
      </c>
      <c r="X16" s="132" t="s">
        <v>27959</v>
      </c>
      <c r="Y16" s="132" t="s">
        <v>27959</v>
      </c>
      <c r="Z16" s="132" t="s">
        <v>27959</v>
      </c>
      <c r="AA16" s="131" t="s">
        <v>27958</v>
      </c>
      <c r="AB16" s="131" t="s">
        <v>27958</v>
      </c>
      <c r="AC16" s="131" t="s">
        <v>27958</v>
      </c>
      <c r="AD16" s="131" t="s">
        <v>27958</v>
      </c>
      <c r="AE16" s="131" t="s">
        <v>27958</v>
      </c>
      <c r="AF16" s="131" t="s">
        <v>27958</v>
      </c>
      <c r="AG16" s="131" t="s">
        <v>27958</v>
      </c>
      <c r="AH16" s="131" t="s">
        <v>27958</v>
      </c>
      <c r="AI16" s="131" t="s">
        <v>27958</v>
      </c>
      <c r="AJ16" s="131" t="s">
        <v>27958</v>
      </c>
      <c r="AK16" s="131" t="s">
        <v>27958</v>
      </c>
      <c r="AL16" s="131" t="s">
        <v>27958</v>
      </c>
      <c r="AM16" s="131" t="s">
        <v>27958</v>
      </c>
      <c r="AN16" s="131" t="s">
        <v>27958</v>
      </c>
      <c r="AO16" s="131" t="s">
        <v>27958</v>
      </c>
      <c r="AP16" s="131" t="s">
        <v>27958</v>
      </c>
      <c r="AQ16" s="131" t="s">
        <v>27958</v>
      </c>
      <c r="AR16" s="131" t="s">
        <v>27958</v>
      </c>
      <c r="AS16" s="131" t="s">
        <v>27958</v>
      </c>
      <c r="AT16" s="131" t="s">
        <v>27958</v>
      </c>
      <c r="AU16" s="131" t="s">
        <v>27958</v>
      </c>
      <c r="AV16" s="131" t="s">
        <v>27958</v>
      </c>
      <c r="AW16" s="131" t="s">
        <v>27958</v>
      </c>
      <c r="AX16" s="131" t="s">
        <v>27958</v>
      </c>
      <c r="AY16" s="131" t="s">
        <v>27958</v>
      </c>
      <c r="AZ16" s="131" t="s">
        <v>27958</v>
      </c>
      <c r="BA16" s="131" t="s">
        <v>27958</v>
      </c>
      <c r="BB16" s="131" t="s">
        <v>27958</v>
      </c>
      <c r="BC16" s="131" t="s">
        <v>27958</v>
      </c>
      <c r="BD16" s="131" t="s">
        <v>27958</v>
      </c>
      <c r="BE16" s="131" t="s">
        <v>27958</v>
      </c>
      <c r="BF16" s="131" t="s">
        <v>27958</v>
      </c>
      <c r="BG16" s="131" t="s">
        <v>27958</v>
      </c>
      <c r="BH16" s="131" t="s">
        <v>27958</v>
      </c>
      <c r="BI16" s="131" t="s">
        <v>27958</v>
      </c>
      <c r="BJ16" s="131" t="s">
        <v>27958</v>
      </c>
      <c r="BK16" s="131" t="s">
        <v>27958</v>
      </c>
      <c r="BL16" s="132" t="s">
        <v>27959</v>
      </c>
      <c r="BM16" s="132" t="s">
        <v>27959</v>
      </c>
      <c r="BN16" s="131" t="s">
        <v>27958</v>
      </c>
      <c r="BO16" s="131" t="s">
        <v>27958</v>
      </c>
      <c r="BP16" s="131" t="s">
        <v>27958</v>
      </c>
      <c r="BQ16" s="130" t="s">
        <v>27957</v>
      </c>
      <c r="BR16" s="130" t="s">
        <v>27957</v>
      </c>
      <c r="BS16" s="132" t="s">
        <v>27959</v>
      </c>
      <c r="BT16" s="131" t="s">
        <v>27958</v>
      </c>
      <c r="BU16" s="130" t="s">
        <v>27957</v>
      </c>
      <c r="BV16" s="131" t="s">
        <v>27958</v>
      </c>
      <c r="BW16" s="131" t="s">
        <v>27958</v>
      </c>
      <c r="BX16" s="131" t="s">
        <v>27958</v>
      </c>
      <c r="BY16" s="131" t="s">
        <v>27958</v>
      </c>
      <c r="BZ16" s="131" t="s">
        <v>27958</v>
      </c>
      <c r="CA16" s="131" t="s">
        <v>27958</v>
      </c>
      <c r="CB16" s="131" t="s">
        <v>27958</v>
      </c>
      <c r="CC16" s="131" t="s">
        <v>27958</v>
      </c>
      <c r="CD16" s="131" t="s">
        <v>27958</v>
      </c>
      <c r="CE16" s="131" t="s">
        <v>27958</v>
      </c>
      <c r="CF16" s="131" t="s">
        <v>27958</v>
      </c>
      <c r="CG16" s="131" t="s">
        <v>27958</v>
      </c>
      <c r="CH16" s="131" t="s">
        <v>27958</v>
      </c>
      <c r="CI16" s="131" t="s">
        <v>27958</v>
      </c>
      <c r="CJ16" s="131" t="s">
        <v>27958</v>
      </c>
      <c r="CK16" s="131" t="s">
        <v>27958</v>
      </c>
      <c r="CL16" s="131" t="s">
        <v>27958</v>
      </c>
      <c r="CM16" s="131" t="s">
        <v>27958</v>
      </c>
      <c r="CN16" s="131" t="s">
        <v>27958</v>
      </c>
      <c r="CO16" s="131" t="s">
        <v>27958</v>
      </c>
      <c r="CP16" s="131" t="s">
        <v>27958</v>
      </c>
      <c r="CQ16" s="131" t="s">
        <v>27958</v>
      </c>
      <c r="CR16" s="131" t="s">
        <v>27958</v>
      </c>
      <c r="CS16" s="131" t="s">
        <v>27958</v>
      </c>
      <c r="CT16" s="131" t="s">
        <v>27958</v>
      </c>
      <c r="CU16" s="131" t="s">
        <v>27958</v>
      </c>
      <c r="CV16" s="131" t="s">
        <v>27958</v>
      </c>
      <c r="CW16" s="131" t="s">
        <v>27958</v>
      </c>
      <c r="CX16" s="131" t="s">
        <v>27958</v>
      </c>
      <c r="CY16" s="131" t="s">
        <v>27958</v>
      </c>
      <c r="CZ16" s="131" t="s">
        <v>27958</v>
      </c>
      <c r="DA16" s="131" t="s">
        <v>27958</v>
      </c>
      <c r="DB16" s="131" t="s">
        <v>27958</v>
      </c>
      <c r="DC16" s="131" t="s">
        <v>27958</v>
      </c>
      <c r="DD16" s="131" t="s">
        <v>27958</v>
      </c>
      <c r="DE16" s="131" t="s">
        <v>27958</v>
      </c>
      <c r="DF16" s="131" t="s">
        <v>27958</v>
      </c>
      <c r="DG16" s="131" t="s">
        <v>27958</v>
      </c>
      <c r="DH16" s="131" t="s">
        <v>27958</v>
      </c>
      <c r="DI16" s="131" t="s">
        <v>27958</v>
      </c>
      <c r="DJ16" s="131" t="s">
        <v>27958</v>
      </c>
      <c r="DK16" s="131" t="s">
        <v>27958</v>
      </c>
      <c r="DL16" s="131" t="s">
        <v>27958</v>
      </c>
      <c r="DM16" s="131" t="s">
        <v>27958</v>
      </c>
      <c r="DN16" s="131" t="s">
        <v>27958</v>
      </c>
      <c r="DO16" s="131" t="s">
        <v>27958</v>
      </c>
      <c r="DP16" s="131" t="s">
        <v>27958</v>
      </c>
      <c r="DQ16" s="131" t="s">
        <v>27958</v>
      </c>
      <c r="DR16" s="131" t="s">
        <v>27958</v>
      </c>
      <c r="DS16" s="131" t="s">
        <v>27958</v>
      </c>
      <c r="DT16" s="131" t="s">
        <v>27958</v>
      </c>
      <c r="DU16" s="131" t="s">
        <v>27958</v>
      </c>
      <c r="DV16" s="131" t="s">
        <v>27958</v>
      </c>
      <c r="DW16" s="131" t="s">
        <v>27958</v>
      </c>
      <c r="DX16" s="131" t="s">
        <v>27958</v>
      </c>
      <c r="DY16" s="131" t="s">
        <v>27958</v>
      </c>
      <c r="DZ16" s="131" t="s">
        <v>27958</v>
      </c>
      <c r="EA16" s="131" t="s">
        <v>27958</v>
      </c>
      <c r="EB16" s="131" t="s">
        <v>27958</v>
      </c>
      <c r="EC16" s="131" t="s">
        <v>27958</v>
      </c>
      <c r="ED16" s="131" t="s">
        <v>27958</v>
      </c>
      <c r="EE16" s="131" t="s">
        <v>27958</v>
      </c>
      <c r="EF16" s="131" t="s">
        <v>27958</v>
      </c>
      <c r="EG16" s="131" t="s">
        <v>27958</v>
      </c>
      <c r="EH16" s="131" t="s">
        <v>27958</v>
      </c>
      <c r="EI16" s="131" t="s">
        <v>27958</v>
      </c>
      <c r="EJ16" s="131" t="s">
        <v>27958</v>
      </c>
      <c r="EK16" s="131" t="s">
        <v>27958</v>
      </c>
      <c r="EL16" s="131" t="s">
        <v>27958</v>
      </c>
      <c r="EM16" s="131" t="s">
        <v>27958</v>
      </c>
      <c r="EN16" s="131" t="s">
        <v>27958</v>
      </c>
      <c r="EO16" s="131" t="s">
        <v>27958</v>
      </c>
      <c r="EP16" s="131" t="s">
        <v>27958</v>
      </c>
      <c r="EQ16" s="131" t="s">
        <v>27958</v>
      </c>
      <c r="ER16" s="131" t="s">
        <v>27958</v>
      </c>
      <c r="ES16" s="131" t="s">
        <v>27958</v>
      </c>
      <c r="ET16" s="131" t="s">
        <v>27958</v>
      </c>
      <c r="EU16" s="131" t="s">
        <v>27958</v>
      </c>
      <c r="EV16" s="131" t="s">
        <v>27958</v>
      </c>
      <c r="EW16" s="131" t="s">
        <v>27958</v>
      </c>
      <c r="EX16" s="131" t="s">
        <v>27958</v>
      </c>
      <c r="EY16" s="131" t="s">
        <v>27958</v>
      </c>
      <c r="EZ16" s="131" t="s">
        <v>27958</v>
      </c>
      <c r="FA16" s="131" t="s">
        <v>27958</v>
      </c>
      <c r="FB16" s="131" t="s">
        <v>27958</v>
      </c>
      <c r="FC16" s="131" t="s">
        <v>27958</v>
      </c>
      <c r="FD16" s="131" t="s">
        <v>27958</v>
      </c>
      <c r="FE16" s="131" t="s">
        <v>27958</v>
      </c>
      <c r="FF16" s="131" t="s">
        <v>27958</v>
      </c>
      <c r="FG16" s="131" t="s">
        <v>27958</v>
      </c>
      <c r="FH16" s="131" t="s">
        <v>27958</v>
      </c>
      <c r="FI16" s="131" t="s">
        <v>27958</v>
      </c>
      <c r="FJ16" s="131" t="s">
        <v>27958</v>
      </c>
      <c r="FK16" s="131" t="s">
        <v>27958</v>
      </c>
      <c r="FL16" s="131" t="s">
        <v>27958</v>
      </c>
      <c r="FM16" s="131" t="s">
        <v>27958</v>
      </c>
      <c r="FN16" s="131" t="s">
        <v>27958</v>
      </c>
      <c r="FO16" s="131" t="s">
        <v>27958</v>
      </c>
      <c r="FP16" s="131" t="s">
        <v>27958</v>
      </c>
      <c r="FQ16" s="131" t="s">
        <v>27958</v>
      </c>
    </row>
    <row r="17" spans="1:178" s="351" customFormat="1" ht="18">
      <c r="A17" s="134"/>
      <c r="B17" s="135"/>
      <c r="C17" s="136"/>
      <c r="D17" s="135"/>
      <c r="E17" s="135"/>
      <c r="F17" s="137" t="str">
        <f>Web!I45</f>
        <v>VS_051</v>
      </c>
      <c r="G17" s="137" t="str">
        <f>Web!I46</f>
        <v>VS_052</v>
      </c>
      <c r="H17" s="136"/>
      <c r="I17" s="136"/>
      <c r="J17" s="136"/>
      <c r="K17" s="136"/>
      <c r="L17" s="137" t="str">
        <f>Web!I45</f>
        <v>VS_051</v>
      </c>
      <c r="M17" s="136"/>
      <c r="N17" s="136"/>
      <c r="O17" s="136"/>
      <c r="P17" s="136"/>
      <c r="Q17" s="137" t="str">
        <f>Web!I48</f>
        <v>VS_053</v>
      </c>
      <c r="R17" s="137" t="str">
        <f>Web!N48</f>
        <v>VS_059</v>
      </c>
      <c r="S17" s="137" t="str">
        <f>Web!I49</f>
        <v>VS_054</v>
      </c>
      <c r="T17" s="137" t="str">
        <f>Web!N49</f>
        <v>VS_060</v>
      </c>
      <c r="U17" s="137" t="str">
        <f>Web!I50</f>
        <v>VS_055</v>
      </c>
      <c r="V17" s="137" t="str">
        <f>Web!N50</f>
        <v>VS_061</v>
      </c>
      <c r="W17" s="137" t="str">
        <f>Web!I93</f>
        <v>VM_011</v>
      </c>
      <c r="X17" s="137" t="str">
        <f>Web!I51</f>
        <v>VS_056</v>
      </c>
      <c r="Y17" s="137" t="str">
        <f>Web!N51</f>
        <v>VS_062</v>
      </c>
      <c r="Z17" s="137" t="str">
        <f>Web!I94</f>
        <v>VM_012</v>
      </c>
      <c r="AA17" s="136"/>
      <c r="AB17" s="136"/>
      <c r="AC17" s="136"/>
      <c r="AD17" s="136"/>
      <c r="AE17" s="136"/>
      <c r="AF17" s="136"/>
      <c r="AG17" s="136"/>
      <c r="AH17" s="136"/>
      <c r="AI17" s="136"/>
      <c r="AJ17" s="136"/>
      <c r="AK17" s="136"/>
      <c r="AL17" s="136"/>
      <c r="AM17" s="136"/>
      <c r="AN17" s="136"/>
      <c r="AO17" s="136"/>
      <c r="AP17" s="136"/>
      <c r="AQ17" s="136"/>
      <c r="AR17" s="136"/>
      <c r="AS17" s="136"/>
      <c r="AT17" s="136"/>
      <c r="AU17" s="136"/>
      <c r="AV17" s="136"/>
      <c r="AW17" s="136"/>
      <c r="AX17" s="136"/>
      <c r="AY17" s="136"/>
      <c r="AZ17" s="136"/>
      <c r="BA17" s="136"/>
      <c r="BB17" s="136"/>
      <c r="BC17" s="136"/>
      <c r="BD17" s="136"/>
      <c r="BE17" s="136"/>
      <c r="BF17" s="136"/>
      <c r="BG17" s="136"/>
      <c r="BH17" s="136"/>
      <c r="BI17" s="136"/>
      <c r="BJ17" s="136"/>
      <c r="BK17" s="136"/>
      <c r="BL17" s="137" t="str">
        <f>Web!I52</f>
        <v>VS_057</v>
      </c>
      <c r="BM17" s="137" t="str">
        <f>Web!N52</f>
        <v>VS_063</v>
      </c>
      <c r="BN17" s="136"/>
      <c r="BO17" s="136"/>
      <c r="BP17" s="136"/>
      <c r="BQ17" s="140"/>
      <c r="BR17" s="140"/>
      <c r="BS17" s="137" t="str">
        <f>Web!I53</f>
        <v>VS_058</v>
      </c>
      <c r="BT17" s="136"/>
      <c r="BU17" s="140"/>
      <c r="BV17" s="136"/>
      <c r="BW17" s="136"/>
      <c r="BX17" s="136"/>
      <c r="BY17" s="136"/>
      <c r="BZ17" s="136"/>
      <c r="CA17" s="136"/>
      <c r="CB17" s="136"/>
      <c r="CC17" s="136"/>
      <c r="CD17" s="136"/>
      <c r="CE17" s="136"/>
      <c r="CF17" s="136"/>
      <c r="CG17" s="136"/>
      <c r="CH17" s="136"/>
      <c r="CI17" s="136"/>
      <c r="CJ17" s="136"/>
      <c r="CK17" s="136"/>
      <c r="CL17" s="136"/>
      <c r="CM17" s="136"/>
      <c r="CN17" s="136"/>
      <c r="CO17" s="136"/>
      <c r="CP17" s="136"/>
      <c r="CQ17" s="136"/>
      <c r="CR17" s="136"/>
      <c r="CS17" s="136"/>
      <c r="CT17" s="136"/>
      <c r="CU17" s="136"/>
      <c r="CV17" s="136"/>
      <c r="CW17" s="136"/>
      <c r="CX17" s="136"/>
      <c r="CY17" s="136"/>
      <c r="CZ17" s="136"/>
      <c r="DA17" s="136"/>
      <c r="DB17" s="136"/>
      <c r="DC17" s="136"/>
      <c r="DD17" s="136"/>
      <c r="DE17" s="136"/>
      <c r="DF17" s="136"/>
      <c r="DG17" s="136"/>
      <c r="DH17" s="136"/>
      <c r="DI17" s="136"/>
      <c r="DJ17" s="136"/>
      <c r="DK17" s="136"/>
      <c r="DL17" s="136"/>
      <c r="DM17" s="136"/>
      <c r="DN17" s="136"/>
      <c r="DO17" s="136"/>
      <c r="DP17" s="136"/>
      <c r="DQ17" s="136"/>
      <c r="DR17" s="136"/>
      <c r="DS17" s="136"/>
      <c r="DT17" s="136"/>
      <c r="DU17" s="136"/>
      <c r="DV17" s="136"/>
      <c r="DW17" s="136"/>
      <c r="DX17" s="136"/>
      <c r="DY17" s="136"/>
      <c r="DZ17" s="136"/>
      <c r="EA17" s="136"/>
      <c r="EB17" s="136"/>
      <c r="EC17" s="136"/>
      <c r="ED17" s="136"/>
      <c r="EE17" s="136"/>
      <c r="EF17" s="136"/>
      <c r="EG17" s="136"/>
      <c r="EH17" s="136"/>
      <c r="EI17" s="136"/>
      <c r="EJ17" s="136"/>
      <c r="EK17" s="136"/>
      <c r="EL17" s="136"/>
      <c r="EM17" s="136"/>
      <c r="EN17" s="136"/>
      <c r="EO17" s="136"/>
      <c r="EP17" s="136"/>
      <c r="EQ17" s="136"/>
      <c r="ER17" s="136"/>
      <c r="ES17" s="136"/>
      <c r="ET17" s="136"/>
      <c r="EU17" s="136"/>
      <c r="EV17" s="136"/>
      <c r="EW17" s="136"/>
      <c r="EX17" s="136"/>
      <c r="EY17" s="136"/>
      <c r="EZ17" s="136"/>
      <c r="FA17" s="136"/>
      <c r="FB17" s="136"/>
      <c r="FC17" s="136"/>
      <c r="FD17" s="136"/>
      <c r="FE17" s="136"/>
      <c r="FF17" s="136"/>
      <c r="FG17" s="136"/>
      <c r="FH17" s="136"/>
      <c r="FI17" s="136"/>
      <c r="FJ17" s="136"/>
      <c r="FK17" s="136"/>
      <c r="FL17" s="136"/>
      <c r="FM17" s="136"/>
      <c r="FN17" s="136"/>
      <c r="FO17" s="136"/>
      <c r="FP17" s="136"/>
      <c r="FQ17" s="136"/>
    </row>
    <row r="18" spans="1:178" s="375" customFormat="1" ht="30" customHeight="1">
      <c r="A18" s="129" t="s">
        <v>27961</v>
      </c>
      <c r="B18" s="135" t="s">
        <v>28175</v>
      </c>
      <c r="C18" s="143" t="s">
        <v>336</v>
      </c>
      <c r="D18" s="135" t="s">
        <v>648</v>
      </c>
      <c r="E18" s="135">
        <v>1</v>
      </c>
      <c r="F18" s="145" t="s">
        <v>153</v>
      </c>
      <c r="G18" s="145" t="s">
        <v>160</v>
      </c>
      <c r="H18" s="143"/>
      <c r="I18" s="143"/>
      <c r="J18" s="143"/>
      <c r="K18" s="143"/>
      <c r="L18" s="145" t="s">
        <v>153</v>
      </c>
      <c r="M18" s="143"/>
      <c r="N18" s="143"/>
      <c r="O18" s="143"/>
      <c r="P18" s="143"/>
      <c r="Q18" s="145" t="s">
        <v>33</v>
      </c>
      <c r="R18" s="145" t="s">
        <v>36</v>
      </c>
      <c r="S18" s="145" t="s">
        <v>44</v>
      </c>
      <c r="T18" s="145" t="s">
        <v>47</v>
      </c>
      <c r="U18" s="145" t="s">
        <v>53</v>
      </c>
      <c r="V18" s="145" t="s">
        <v>51</v>
      </c>
      <c r="W18" s="145" t="s">
        <v>41</v>
      </c>
      <c r="X18" s="145" t="s">
        <v>58</v>
      </c>
      <c r="Y18" s="145" t="s">
        <v>63</v>
      </c>
      <c r="Z18" s="145" t="s">
        <v>320</v>
      </c>
      <c r="AA18" s="143" t="s">
        <v>336</v>
      </c>
      <c r="AB18" s="143" t="s">
        <v>336</v>
      </c>
      <c r="AC18" s="143" t="s">
        <v>336</v>
      </c>
      <c r="AD18" s="143" t="s">
        <v>336</v>
      </c>
      <c r="AE18" s="143" t="s">
        <v>336</v>
      </c>
      <c r="AF18" s="143" t="s">
        <v>336</v>
      </c>
      <c r="AG18" s="143" t="s">
        <v>336</v>
      </c>
      <c r="AH18" s="143" t="s">
        <v>336</v>
      </c>
      <c r="AI18" s="143" t="s">
        <v>336</v>
      </c>
      <c r="AJ18" s="143" t="s">
        <v>336</v>
      </c>
      <c r="AK18" s="143" t="s">
        <v>336</v>
      </c>
      <c r="AL18" s="143" t="s">
        <v>336</v>
      </c>
      <c r="AM18" s="143" t="s">
        <v>336</v>
      </c>
      <c r="AN18" s="143" t="s">
        <v>336</v>
      </c>
      <c r="AO18" s="143" t="s">
        <v>336</v>
      </c>
      <c r="AP18" s="143" t="s">
        <v>336</v>
      </c>
      <c r="AQ18" s="143" t="s">
        <v>336</v>
      </c>
      <c r="AR18" s="143" t="s">
        <v>336</v>
      </c>
      <c r="AS18" s="143" t="s">
        <v>336</v>
      </c>
      <c r="AT18" s="143" t="s">
        <v>336</v>
      </c>
      <c r="AU18" s="143" t="s">
        <v>336</v>
      </c>
      <c r="AV18" s="143" t="s">
        <v>336</v>
      </c>
      <c r="AW18" s="143" t="s">
        <v>336</v>
      </c>
      <c r="AX18" s="143" t="s">
        <v>336</v>
      </c>
      <c r="AY18" s="143" t="s">
        <v>336</v>
      </c>
      <c r="AZ18" s="143" t="s">
        <v>336</v>
      </c>
      <c r="BA18" s="143" t="s">
        <v>336</v>
      </c>
      <c r="BB18" s="143" t="s">
        <v>336</v>
      </c>
      <c r="BC18" s="143" t="s">
        <v>336</v>
      </c>
      <c r="BD18" s="143" t="s">
        <v>336</v>
      </c>
      <c r="BE18" s="143" t="s">
        <v>336</v>
      </c>
      <c r="BF18" s="143" t="s">
        <v>336</v>
      </c>
      <c r="BG18" s="143" t="s">
        <v>336</v>
      </c>
      <c r="BH18" s="143" t="s">
        <v>336</v>
      </c>
      <c r="BI18" s="143" t="s">
        <v>336</v>
      </c>
      <c r="BJ18" s="143" t="s">
        <v>336</v>
      </c>
      <c r="BK18" s="143" t="s">
        <v>336</v>
      </c>
      <c r="BL18" s="145" t="s">
        <v>188</v>
      </c>
      <c r="BM18" s="145" t="s">
        <v>191</v>
      </c>
      <c r="BN18" s="143" t="s">
        <v>336</v>
      </c>
      <c r="BO18" s="143" t="s">
        <v>336</v>
      </c>
      <c r="BP18" s="143" t="s">
        <v>336</v>
      </c>
      <c r="BQ18" s="140" t="s">
        <v>113</v>
      </c>
      <c r="BR18" s="140" t="s">
        <v>27936</v>
      </c>
      <c r="BS18" s="145" t="s">
        <v>122</v>
      </c>
      <c r="BT18" s="143" t="s">
        <v>336</v>
      </c>
      <c r="BU18" s="147" t="s">
        <v>27938</v>
      </c>
      <c r="BV18" s="143"/>
      <c r="BW18" s="143"/>
      <c r="BX18" s="143"/>
      <c r="BY18" s="143" t="s">
        <v>336</v>
      </c>
      <c r="BZ18" s="143" t="s">
        <v>336</v>
      </c>
      <c r="CA18" s="143" t="s">
        <v>336</v>
      </c>
      <c r="CB18" s="143" t="s">
        <v>336</v>
      </c>
      <c r="CC18" s="143" t="s">
        <v>336</v>
      </c>
      <c r="CD18" s="143" t="s">
        <v>336</v>
      </c>
      <c r="CE18" s="143" t="s">
        <v>336</v>
      </c>
      <c r="CF18" s="143" t="s">
        <v>336</v>
      </c>
      <c r="CG18" s="143" t="s">
        <v>336</v>
      </c>
      <c r="CH18" s="143" t="s">
        <v>336</v>
      </c>
      <c r="CI18" s="143" t="s">
        <v>336</v>
      </c>
      <c r="CJ18" s="143" t="s">
        <v>336</v>
      </c>
      <c r="CK18" s="143" t="s">
        <v>336</v>
      </c>
      <c r="CL18" s="143" t="s">
        <v>336</v>
      </c>
      <c r="CM18" s="143" t="s">
        <v>336</v>
      </c>
      <c r="CN18" s="143" t="s">
        <v>336</v>
      </c>
      <c r="CO18" s="143" t="s">
        <v>336</v>
      </c>
      <c r="CP18" s="143" t="s">
        <v>336</v>
      </c>
      <c r="CQ18" s="143" t="s">
        <v>336</v>
      </c>
      <c r="CR18" s="143" t="s">
        <v>336</v>
      </c>
      <c r="CS18" s="143" t="s">
        <v>336</v>
      </c>
      <c r="CT18" s="143" t="s">
        <v>336</v>
      </c>
      <c r="CU18" s="143" t="s">
        <v>336</v>
      </c>
      <c r="CV18" s="143" t="s">
        <v>336</v>
      </c>
      <c r="CW18" s="143" t="s">
        <v>336</v>
      </c>
      <c r="CX18" s="143" t="s">
        <v>336</v>
      </c>
      <c r="CY18" s="143" t="s">
        <v>336</v>
      </c>
      <c r="CZ18" s="143" t="s">
        <v>336</v>
      </c>
      <c r="DA18" s="143" t="s">
        <v>336</v>
      </c>
      <c r="DB18" s="143" t="s">
        <v>336</v>
      </c>
      <c r="DC18" s="143" t="s">
        <v>336</v>
      </c>
      <c r="DD18" s="143" t="s">
        <v>336</v>
      </c>
      <c r="DE18" s="143" t="s">
        <v>336</v>
      </c>
      <c r="DF18" s="143" t="s">
        <v>336</v>
      </c>
      <c r="DG18" s="143" t="s">
        <v>336</v>
      </c>
      <c r="DH18" s="143" t="s">
        <v>336</v>
      </c>
      <c r="DI18" s="143" t="s">
        <v>336</v>
      </c>
      <c r="DJ18" s="143" t="s">
        <v>336</v>
      </c>
      <c r="DK18" s="143" t="s">
        <v>336</v>
      </c>
      <c r="DL18" s="143" t="s">
        <v>336</v>
      </c>
      <c r="DM18" s="143" t="s">
        <v>336</v>
      </c>
      <c r="DN18" s="143" t="s">
        <v>336</v>
      </c>
      <c r="DO18" s="143" t="s">
        <v>336</v>
      </c>
      <c r="DP18" s="143" t="s">
        <v>336</v>
      </c>
      <c r="DQ18" s="143" t="s">
        <v>336</v>
      </c>
      <c r="DR18" s="143" t="s">
        <v>336</v>
      </c>
      <c r="DS18" s="143" t="s">
        <v>336</v>
      </c>
      <c r="DT18" s="143" t="s">
        <v>336</v>
      </c>
      <c r="DU18" s="143" t="s">
        <v>336</v>
      </c>
      <c r="DV18" s="143" t="s">
        <v>336</v>
      </c>
      <c r="DW18" s="143" t="s">
        <v>336</v>
      </c>
      <c r="DX18" s="143" t="s">
        <v>336</v>
      </c>
      <c r="DY18" s="143" t="s">
        <v>336</v>
      </c>
      <c r="DZ18" s="143" t="s">
        <v>336</v>
      </c>
      <c r="EA18" s="143" t="s">
        <v>336</v>
      </c>
      <c r="EB18" s="143" t="s">
        <v>336</v>
      </c>
      <c r="EC18" s="143" t="s">
        <v>336</v>
      </c>
      <c r="ED18" s="143" t="s">
        <v>336</v>
      </c>
      <c r="EE18" s="143" t="s">
        <v>336</v>
      </c>
      <c r="EF18" s="143" t="s">
        <v>336</v>
      </c>
      <c r="EG18" s="143" t="s">
        <v>336</v>
      </c>
      <c r="EH18" s="143" t="s">
        <v>336</v>
      </c>
      <c r="EI18" s="143" t="s">
        <v>336</v>
      </c>
      <c r="EJ18" s="143" t="s">
        <v>336</v>
      </c>
      <c r="EK18" s="143" t="s">
        <v>336</v>
      </c>
      <c r="EL18" s="143" t="s">
        <v>336</v>
      </c>
      <c r="EM18" s="143" t="s">
        <v>336</v>
      </c>
      <c r="EN18" s="143" t="s">
        <v>336</v>
      </c>
      <c r="EO18" s="143" t="s">
        <v>336</v>
      </c>
      <c r="EP18" s="143" t="s">
        <v>336</v>
      </c>
      <c r="EQ18" s="143" t="s">
        <v>336</v>
      </c>
      <c r="ER18" s="143" t="s">
        <v>336</v>
      </c>
      <c r="ES18" s="143" t="s">
        <v>336</v>
      </c>
      <c r="ET18" s="143" t="s">
        <v>336</v>
      </c>
      <c r="EU18" s="143" t="s">
        <v>336</v>
      </c>
      <c r="EV18" s="143" t="s">
        <v>336</v>
      </c>
      <c r="EW18" s="143" t="s">
        <v>336</v>
      </c>
      <c r="EX18" s="143" t="s">
        <v>336</v>
      </c>
      <c r="EY18" s="143" t="s">
        <v>336</v>
      </c>
      <c r="EZ18" s="143" t="s">
        <v>336</v>
      </c>
      <c r="FA18" s="143" t="s">
        <v>336</v>
      </c>
      <c r="FB18" s="143" t="s">
        <v>336</v>
      </c>
      <c r="FC18" s="143" t="s">
        <v>336</v>
      </c>
      <c r="FD18" s="143" t="s">
        <v>336</v>
      </c>
      <c r="FE18" s="143" t="s">
        <v>336</v>
      </c>
      <c r="FF18" s="143" t="s">
        <v>336</v>
      </c>
      <c r="FG18" s="143" t="s">
        <v>336</v>
      </c>
      <c r="FH18" s="143" t="s">
        <v>336</v>
      </c>
      <c r="FI18" s="143" t="s">
        <v>336</v>
      </c>
      <c r="FJ18" s="143" t="s">
        <v>336</v>
      </c>
      <c r="FK18" s="143" t="s">
        <v>336</v>
      </c>
      <c r="FL18" s="143" t="s">
        <v>336</v>
      </c>
      <c r="FM18" s="143" t="s">
        <v>336</v>
      </c>
      <c r="FN18" s="143" t="s">
        <v>336</v>
      </c>
      <c r="FO18" s="143" t="s">
        <v>336</v>
      </c>
      <c r="FP18" s="143" t="s">
        <v>336</v>
      </c>
      <c r="FQ18" s="143" t="s">
        <v>336</v>
      </c>
    </row>
    <row r="19" spans="1:178" s="376" customFormat="1" ht="18">
      <c r="A19" s="134" t="s">
        <v>27963</v>
      </c>
      <c r="B19" s="148"/>
      <c r="C19" s="149"/>
      <c r="D19" s="148"/>
      <c r="E19" s="148"/>
      <c r="F19" s="150"/>
      <c r="G19" s="150"/>
      <c r="H19" s="149"/>
      <c r="I19" s="149"/>
      <c r="J19" s="149"/>
      <c r="K19" s="149"/>
      <c r="L19" s="150"/>
      <c r="M19" s="149"/>
      <c r="N19" s="149"/>
      <c r="O19" s="149"/>
      <c r="P19" s="149"/>
      <c r="Q19" s="152"/>
      <c r="R19" s="152"/>
      <c r="S19" s="152"/>
      <c r="T19" s="152"/>
      <c r="U19" s="152"/>
      <c r="V19" s="152"/>
      <c r="W19" s="152"/>
      <c r="X19" s="152"/>
      <c r="Y19" s="152"/>
      <c r="Z19" s="152"/>
      <c r="AA19" s="149"/>
      <c r="AB19" s="149"/>
      <c r="AC19" s="149"/>
      <c r="AD19" s="149"/>
      <c r="AE19" s="149"/>
      <c r="AF19" s="149"/>
      <c r="AG19" s="149"/>
      <c r="AH19" s="149"/>
      <c r="AI19" s="149"/>
      <c r="AJ19" s="149"/>
      <c r="AK19" s="149"/>
      <c r="AL19" s="149"/>
      <c r="AM19" s="149"/>
      <c r="AN19" s="149"/>
      <c r="AO19" s="149"/>
      <c r="AP19" s="149"/>
      <c r="AQ19" s="149"/>
      <c r="AR19" s="149"/>
      <c r="AS19" s="149"/>
      <c r="AT19" s="149"/>
      <c r="AU19" s="149"/>
      <c r="AV19" s="149"/>
      <c r="AW19" s="149"/>
      <c r="AX19" s="149"/>
      <c r="AY19" s="149"/>
      <c r="AZ19" s="149"/>
      <c r="BA19" s="149"/>
      <c r="BB19" s="149"/>
      <c r="BC19" s="149"/>
      <c r="BD19" s="149"/>
      <c r="BE19" s="149"/>
      <c r="BF19" s="149"/>
      <c r="BG19" s="149"/>
      <c r="BH19" s="149"/>
      <c r="BI19" s="149"/>
      <c r="BJ19" s="149"/>
      <c r="BK19" s="149"/>
      <c r="BL19" s="152"/>
      <c r="BM19" s="152"/>
      <c r="BN19" s="149"/>
      <c r="BO19" s="149"/>
      <c r="BP19" s="149"/>
      <c r="BQ19" s="155"/>
      <c r="BR19" s="155"/>
      <c r="BS19" s="152"/>
      <c r="BT19" s="149"/>
      <c r="BU19" s="155"/>
      <c r="BV19" s="149"/>
      <c r="BW19" s="149"/>
      <c r="BX19" s="149"/>
      <c r="BY19" s="149"/>
      <c r="BZ19" s="149"/>
      <c r="CA19" s="149"/>
      <c r="CB19" s="149"/>
      <c r="CC19" s="149"/>
      <c r="CD19" s="149"/>
      <c r="CE19" s="149"/>
      <c r="CF19" s="149"/>
      <c r="CG19" s="149"/>
      <c r="CH19" s="149"/>
      <c r="CI19" s="149"/>
      <c r="CJ19" s="149"/>
      <c r="CK19" s="149"/>
      <c r="CL19" s="149"/>
      <c r="CM19" s="149"/>
      <c r="CN19" s="149"/>
      <c r="CO19" s="149"/>
      <c r="CP19" s="149"/>
      <c r="CQ19" s="149"/>
      <c r="CR19" s="149"/>
      <c r="CS19" s="149"/>
      <c r="CT19" s="149"/>
      <c r="CU19" s="149"/>
      <c r="CV19" s="149"/>
      <c r="CW19" s="149"/>
      <c r="CX19" s="149"/>
      <c r="CY19" s="149"/>
      <c r="CZ19" s="149"/>
      <c r="DA19" s="149"/>
      <c r="DB19" s="149"/>
      <c r="DC19" s="149"/>
      <c r="DD19" s="149"/>
      <c r="DE19" s="149"/>
      <c r="DF19" s="149"/>
      <c r="DG19" s="149"/>
      <c r="DH19" s="149"/>
      <c r="DI19" s="149"/>
      <c r="DJ19" s="149"/>
      <c r="DK19" s="149"/>
      <c r="DL19" s="149"/>
      <c r="DM19" s="149"/>
      <c r="DN19" s="149"/>
      <c r="DO19" s="149"/>
      <c r="DP19" s="149"/>
      <c r="DQ19" s="149"/>
      <c r="DR19" s="149"/>
      <c r="DS19" s="149"/>
      <c r="DT19" s="149"/>
      <c r="DU19" s="149"/>
      <c r="DV19" s="149"/>
      <c r="DW19" s="149"/>
      <c r="DX19" s="149"/>
      <c r="DY19" s="149"/>
      <c r="DZ19" s="149"/>
      <c r="EA19" s="149"/>
      <c r="EB19" s="149"/>
      <c r="EC19" s="149"/>
      <c r="ED19" s="149"/>
      <c r="EE19" s="149"/>
      <c r="EF19" s="149"/>
      <c r="EG19" s="149"/>
      <c r="EH19" s="149"/>
      <c r="EI19" s="149"/>
      <c r="EJ19" s="149"/>
      <c r="EK19" s="149"/>
      <c r="EL19" s="149"/>
      <c r="EM19" s="149"/>
      <c r="EN19" s="149"/>
      <c r="EO19" s="149"/>
      <c r="EP19" s="149"/>
      <c r="EQ19" s="149"/>
      <c r="ER19" s="149"/>
      <c r="ES19" s="149"/>
      <c r="ET19" s="149"/>
      <c r="EU19" s="149"/>
      <c r="EV19" s="149"/>
      <c r="EW19" s="149"/>
      <c r="EX19" s="149"/>
      <c r="EY19" s="149"/>
      <c r="EZ19" s="149"/>
      <c r="FA19" s="149"/>
      <c r="FB19" s="149"/>
      <c r="FC19" s="149"/>
      <c r="FD19" s="149"/>
      <c r="FE19" s="149"/>
      <c r="FF19" s="149"/>
      <c r="FG19" s="149"/>
      <c r="FH19" s="149"/>
      <c r="FI19" s="149"/>
      <c r="FJ19" s="149"/>
      <c r="FK19" s="149"/>
      <c r="FL19" s="149"/>
      <c r="FM19" s="149"/>
      <c r="FN19" s="149"/>
      <c r="FO19" s="149"/>
      <c r="FP19" s="149"/>
      <c r="FQ19" s="149"/>
    </row>
    <row r="20" spans="1:178" s="377" customFormat="1" ht="28.15" customHeight="1">
      <c r="A20" s="129" t="s">
        <v>27983</v>
      </c>
      <c r="B20" s="156"/>
      <c r="C20" s="157"/>
      <c r="D20" s="156"/>
      <c r="E20" s="156"/>
      <c r="F20" s="158"/>
      <c r="G20" s="158"/>
      <c r="H20" s="157"/>
      <c r="I20" s="157"/>
      <c r="J20" s="157"/>
      <c r="K20" s="157"/>
      <c r="L20" s="158"/>
      <c r="M20" s="157"/>
      <c r="N20" s="157"/>
      <c r="O20" s="157"/>
      <c r="P20" s="157"/>
      <c r="Q20" s="158"/>
      <c r="R20" s="158"/>
      <c r="S20" s="158"/>
      <c r="T20" s="158"/>
      <c r="U20" s="158"/>
      <c r="V20" s="158"/>
      <c r="W20" s="158" t="s">
        <v>27984</v>
      </c>
      <c r="X20" s="158" t="s">
        <v>27984</v>
      </c>
      <c r="Y20" s="158" t="s">
        <v>27984</v>
      </c>
      <c r="Z20" s="158" t="s">
        <v>27984</v>
      </c>
      <c r="AA20" s="157"/>
      <c r="AB20" s="157"/>
      <c r="AC20" s="157"/>
      <c r="AD20" s="157"/>
      <c r="AE20" s="157"/>
      <c r="AF20" s="157"/>
      <c r="AG20" s="157"/>
      <c r="AH20" s="157"/>
      <c r="AI20" s="157"/>
      <c r="AJ20" s="157"/>
      <c r="AK20" s="157"/>
      <c r="AL20" s="157"/>
      <c r="AM20" s="157"/>
      <c r="AN20" s="157"/>
      <c r="AO20" s="157"/>
      <c r="AP20" s="157"/>
      <c r="AQ20" s="157"/>
      <c r="AR20" s="157"/>
      <c r="AS20" s="157"/>
      <c r="AT20" s="157"/>
      <c r="AU20" s="157"/>
      <c r="AV20" s="157"/>
      <c r="AW20" s="157"/>
      <c r="AX20" s="157"/>
      <c r="AY20" s="157"/>
      <c r="AZ20" s="157"/>
      <c r="BA20" s="157"/>
      <c r="BB20" s="157"/>
      <c r="BC20" s="157"/>
      <c r="BD20" s="157"/>
      <c r="BE20" s="157"/>
      <c r="BF20" s="157"/>
      <c r="BG20" s="157"/>
      <c r="BH20" s="157"/>
      <c r="BI20" s="157"/>
      <c r="BJ20" s="157"/>
      <c r="BK20" s="157"/>
      <c r="BL20" s="158" t="s">
        <v>27984</v>
      </c>
      <c r="BM20" s="158"/>
      <c r="BN20" s="157"/>
      <c r="BO20" s="157"/>
      <c r="BP20" s="157"/>
      <c r="BQ20" s="147"/>
      <c r="BR20" s="147"/>
      <c r="BS20" s="158"/>
      <c r="BT20" s="157"/>
      <c r="BU20" s="147"/>
      <c r="BV20" s="157"/>
      <c r="BW20" s="157"/>
      <c r="BX20" s="157"/>
      <c r="BY20" s="157"/>
      <c r="BZ20" s="157"/>
      <c r="CA20" s="157"/>
      <c r="CB20" s="157"/>
      <c r="CC20" s="157"/>
      <c r="CD20" s="157"/>
      <c r="CE20" s="157"/>
      <c r="CF20" s="157"/>
      <c r="CG20" s="157"/>
      <c r="CH20" s="157"/>
      <c r="CI20" s="157"/>
      <c r="CJ20" s="157"/>
      <c r="CK20" s="157"/>
      <c r="CL20" s="157"/>
      <c r="CM20" s="157"/>
      <c r="CN20" s="157"/>
      <c r="CO20" s="157"/>
      <c r="CP20" s="157"/>
      <c r="CQ20" s="157"/>
      <c r="CR20" s="157"/>
      <c r="CS20" s="157"/>
      <c r="CT20" s="157"/>
      <c r="CU20" s="157"/>
      <c r="CV20" s="157"/>
      <c r="CW20" s="157"/>
      <c r="CX20" s="157"/>
      <c r="CY20" s="157"/>
      <c r="CZ20" s="157"/>
      <c r="DA20" s="157"/>
      <c r="DB20" s="157"/>
      <c r="DC20" s="157"/>
      <c r="DD20" s="157"/>
      <c r="DE20" s="157"/>
      <c r="DF20" s="157"/>
      <c r="DG20" s="157"/>
      <c r="DH20" s="157"/>
      <c r="DI20" s="157"/>
      <c r="DJ20" s="157"/>
      <c r="DK20" s="157"/>
      <c r="DL20" s="157"/>
      <c r="DM20" s="157"/>
      <c r="DN20" s="157"/>
      <c r="DO20" s="157"/>
      <c r="DP20" s="157"/>
      <c r="DQ20" s="157"/>
      <c r="DR20" s="157"/>
      <c r="DS20" s="157"/>
      <c r="DT20" s="157"/>
      <c r="DU20" s="157"/>
      <c r="DV20" s="157"/>
      <c r="DW20" s="157"/>
      <c r="DX20" s="157"/>
      <c r="DY20" s="157"/>
      <c r="DZ20" s="157"/>
      <c r="EA20" s="157"/>
      <c r="EB20" s="157"/>
      <c r="EC20" s="157"/>
      <c r="ED20" s="157"/>
      <c r="EE20" s="157"/>
      <c r="EF20" s="157"/>
      <c r="EG20" s="157"/>
      <c r="EH20" s="157"/>
      <c r="EI20" s="157"/>
      <c r="EJ20" s="157"/>
      <c r="EK20" s="157"/>
      <c r="EL20" s="157"/>
      <c r="EM20" s="157"/>
      <c r="EN20" s="157"/>
      <c r="EO20" s="157"/>
      <c r="EP20" s="157"/>
      <c r="EQ20" s="157"/>
      <c r="ER20" s="157"/>
      <c r="ES20" s="157"/>
      <c r="ET20" s="157"/>
      <c r="EU20" s="157"/>
      <c r="EV20" s="157"/>
      <c r="EW20" s="157"/>
      <c r="EX20" s="157"/>
      <c r="EY20" s="157"/>
      <c r="EZ20" s="157"/>
      <c r="FA20" s="157"/>
      <c r="FB20" s="157"/>
      <c r="FC20" s="157"/>
      <c r="FD20" s="157"/>
      <c r="FE20" s="157"/>
      <c r="FF20" s="157"/>
      <c r="FG20" s="157"/>
      <c r="FH20" s="157"/>
      <c r="FI20" s="157"/>
      <c r="FJ20" s="157"/>
      <c r="FK20" s="157"/>
      <c r="FL20" s="157"/>
      <c r="FM20" s="157"/>
      <c r="FN20" s="157"/>
      <c r="FO20" s="157"/>
      <c r="FP20" s="157"/>
      <c r="FQ20" s="157"/>
    </row>
    <row r="21" spans="1:178" s="378" customFormat="1" ht="27" customHeight="1">
      <c r="A21" s="131"/>
      <c r="B21" s="131"/>
      <c r="C21" s="131"/>
      <c r="D21" s="131"/>
      <c r="E21" s="131"/>
      <c r="F21" s="162" t="s">
        <v>18</v>
      </c>
      <c r="G21" s="162" t="s">
        <v>18</v>
      </c>
      <c r="H21" s="131"/>
      <c r="I21" s="131"/>
      <c r="J21" s="131"/>
      <c r="K21" s="131"/>
      <c r="L21" s="162" t="s">
        <v>18</v>
      </c>
      <c r="M21" s="131"/>
      <c r="N21" s="131"/>
      <c r="O21" s="131"/>
      <c r="P21" s="131"/>
      <c r="Q21" s="162" t="s">
        <v>18</v>
      </c>
      <c r="R21" s="162" t="s">
        <v>18</v>
      </c>
      <c r="S21" s="162" t="s">
        <v>18</v>
      </c>
      <c r="T21" s="162" t="s">
        <v>18</v>
      </c>
      <c r="U21" s="162" t="s">
        <v>18</v>
      </c>
      <c r="V21" s="162" t="s">
        <v>18</v>
      </c>
      <c r="W21" s="161" t="s">
        <v>284</v>
      </c>
      <c r="X21" s="240" t="s">
        <v>18</v>
      </c>
      <c r="Y21" s="240" t="s">
        <v>18</v>
      </c>
      <c r="Z21" s="161" t="s">
        <v>284</v>
      </c>
      <c r="AA21" s="131"/>
      <c r="AB21" s="131"/>
      <c r="AC21" s="131"/>
      <c r="AD21" s="131"/>
      <c r="AE21" s="131"/>
      <c r="AF21" s="131"/>
      <c r="AG21" s="131"/>
      <c r="AH21" s="131"/>
      <c r="AI21" s="131"/>
      <c r="AJ21" s="131"/>
      <c r="AK21" s="131"/>
      <c r="AL21" s="131"/>
      <c r="AM21" s="131"/>
      <c r="AN21" s="131"/>
      <c r="AO21" s="131"/>
      <c r="AP21" s="131"/>
      <c r="AQ21" s="131"/>
      <c r="AR21" s="131"/>
      <c r="AS21" s="131"/>
      <c r="AT21" s="131"/>
      <c r="AU21" s="131"/>
      <c r="AV21" s="131"/>
      <c r="AW21" s="131"/>
      <c r="AX21" s="131"/>
      <c r="AY21" s="131"/>
      <c r="AZ21" s="131"/>
      <c r="BA21" s="131"/>
      <c r="BB21" s="131"/>
      <c r="BC21" s="131"/>
      <c r="BD21" s="131"/>
      <c r="BE21" s="131"/>
      <c r="BF21" s="131"/>
      <c r="BG21" s="131"/>
      <c r="BH21" s="131"/>
      <c r="BI21" s="131"/>
      <c r="BJ21" s="131"/>
      <c r="BK21" s="131"/>
      <c r="BL21" s="162" t="s">
        <v>18</v>
      </c>
      <c r="BM21" s="162" t="s">
        <v>18</v>
      </c>
      <c r="BN21" s="131"/>
      <c r="BO21" s="131"/>
      <c r="BP21" s="131"/>
      <c r="BQ21" s="131"/>
      <c r="BR21" s="131"/>
      <c r="BS21" s="162" t="s">
        <v>18</v>
      </c>
      <c r="BT21" s="131"/>
      <c r="BU21" s="131"/>
      <c r="BV21" s="131"/>
      <c r="BW21" s="131"/>
      <c r="BX21" s="131"/>
      <c r="BY21" s="131"/>
      <c r="BZ21" s="131"/>
      <c r="CA21" s="131"/>
      <c r="CB21" s="131"/>
      <c r="CC21" s="131"/>
      <c r="CD21" s="131"/>
      <c r="CE21" s="131"/>
      <c r="CF21" s="131"/>
      <c r="CG21" s="131"/>
      <c r="CH21" s="131"/>
      <c r="CI21" s="131"/>
      <c r="CJ21" s="131"/>
      <c r="CK21" s="131"/>
      <c r="CL21" s="131"/>
      <c r="CM21" s="131"/>
      <c r="CN21" s="131"/>
      <c r="CO21" s="131"/>
      <c r="CP21" s="131"/>
      <c r="CQ21" s="131"/>
      <c r="CR21" s="131"/>
      <c r="CS21" s="131"/>
      <c r="CT21" s="131"/>
      <c r="CU21" s="131"/>
      <c r="CV21" s="131"/>
      <c r="CW21" s="131"/>
      <c r="CX21" s="131"/>
      <c r="CY21" s="131"/>
      <c r="CZ21" s="131"/>
      <c r="DA21" s="131"/>
      <c r="DB21" s="131"/>
      <c r="DC21" s="131"/>
      <c r="DD21" s="131"/>
      <c r="DE21" s="131"/>
      <c r="DF21" s="131"/>
      <c r="DG21" s="131"/>
      <c r="DH21" s="131"/>
      <c r="DI21" s="131"/>
      <c r="DJ21" s="131"/>
      <c r="DK21" s="131"/>
      <c r="DL21" s="131"/>
      <c r="DM21" s="131"/>
      <c r="DN21" s="131"/>
      <c r="DO21" s="131"/>
      <c r="DP21" s="131"/>
      <c r="DQ21" s="131"/>
      <c r="DR21" s="131"/>
      <c r="DS21" s="131"/>
      <c r="DT21" s="131"/>
      <c r="DU21" s="131"/>
      <c r="DV21" s="131"/>
      <c r="DW21" s="131"/>
      <c r="DX21" s="131"/>
      <c r="DY21" s="131"/>
      <c r="DZ21" s="131"/>
      <c r="EA21" s="131"/>
      <c r="EB21" s="131"/>
      <c r="EC21" s="131"/>
      <c r="ED21" s="131"/>
      <c r="EE21" s="131"/>
      <c r="EF21" s="131"/>
      <c r="EG21" s="131"/>
      <c r="EH21" s="131"/>
      <c r="EI21" s="131"/>
      <c r="EJ21" s="131"/>
      <c r="EK21" s="131"/>
      <c r="EL21" s="131"/>
      <c r="EM21" s="131"/>
      <c r="EN21" s="131"/>
      <c r="EO21" s="131"/>
      <c r="EP21" s="131"/>
      <c r="EQ21" s="131"/>
      <c r="ER21" s="131"/>
      <c r="ES21" s="131"/>
      <c r="ET21" s="131"/>
      <c r="EU21" s="131"/>
      <c r="EV21" s="131"/>
      <c r="EW21" s="131"/>
      <c r="EX21" s="131"/>
      <c r="EY21" s="131"/>
      <c r="EZ21" s="131"/>
      <c r="FA21" s="131"/>
      <c r="FB21" s="131"/>
      <c r="FC21" s="131"/>
      <c r="FD21" s="131"/>
      <c r="FE21" s="131"/>
      <c r="FF21" s="131"/>
      <c r="FG21" s="131"/>
      <c r="FH21" s="131"/>
      <c r="FI21" s="131"/>
      <c r="FJ21" s="131"/>
      <c r="FK21" s="131"/>
      <c r="FL21" s="131"/>
      <c r="FM21" s="131"/>
      <c r="FN21" s="131"/>
      <c r="FO21" s="131"/>
      <c r="FP21" s="131"/>
      <c r="FQ21" s="131"/>
    </row>
    <row r="23" spans="1:178" ht="24" customHeight="1">
      <c r="B23" s="172" t="s">
        <v>27989</v>
      </c>
      <c r="C23" s="172" t="s">
        <v>27989</v>
      </c>
      <c r="D23" s="172" t="s">
        <v>27989</v>
      </c>
      <c r="E23" s="172" t="s">
        <v>27989</v>
      </c>
    </row>
    <row r="27" spans="1:178" ht="24" customHeight="1">
      <c r="B27" s="174" t="s">
        <v>27991</v>
      </c>
      <c r="C27" s="174" t="s">
        <v>27991</v>
      </c>
      <c r="D27" s="174" t="s">
        <v>27991</v>
      </c>
      <c r="E27" s="174" t="s">
        <v>27991</v>
      </c>
      <c r="F27" s="174" t="s">
        <v>27991</v>
      </c>
      <c r="G27" s="174" t="s">
        <v>27991</v>
      </c>
      <c r="H27" s="174" t="s">
        <v>27991</v>
      </c>
      <c r="I27" s="174" t="s">
        <v>27991</v>
      </c>
      <c r="J27" s="174" t="s">
        <v>27991</v>
      </c>
      <c r="K27" s="174" t="s">
        <v>27991</v>
      </c>
      <c r="L27" s="174" t="s">
        <v>27991</v>
      </c>
      <c r="M27" s="174" t="s">
        <v>27991</v>
      </c>
      <c r="N27" s="174" t="s">
        <v>27991</v>
      </c>
      <c r="O27" s="174" t="s">
        <v>27991</v>
      </c>
      <c r="P27" s="174" t="s">
        <v>27991</v>
      </c>
      <c r="Q27" s="174" t="s">
        <v>27991</v>
      </c>
      <c r="R27" s="174" t="s">
        <v>27991</v>
      </c>
      <c r="S27" s="174" t="s">
        <v>27991</v>
      </c>
      <c r="T27" s="174" t="s">
        <v>27991</v>
      </c>
      <c r="U27" s="174" t="s">
        <v>27991</v>
      </c>
      <c r="V27" s="174" t="s">
        <v>27991</v>
      </c>
      <c r="W27" s="174" t="s">
        <v>27991</v>
      </c>
      <c r="X27" s="174" t="s">
        <v>27991</v>
      </c>
      <c r="Y27" s="174" t="s">
        <v>27991</v>
      </c>
      <c r="Z27" s="174" t="s">
        <v>27991</v>
      </c>
      <c r="AA27" s="174" t="s">
        <v>27991</v>
      </c>
      <c r="AB27" s="174" t="s">
        <v>27991</v>
      </c>
      <c r="AC27" s="174" t="s">
        <v>27991</v>
      </c>
      <c r="AD27" s="174" t="s">
        <v>27991</v>
      </c>
      <c r="AE27" s="174" t="s">
        <v>27991</v>
      </c>
      <c r="AF27" s="174" t="s">
        <v>27991</v>
      </c>
      <c r="AG27" s="174" t="s">
        <v>27991</v>
      </c>
      <c r="AH27" s="174" t="s">
        <v>27991</v>
      </c>
      <c r="AI27" s="174"/>
      <c r="AJ27" s="174" t="s">
        <v>27991</v>
      </c>
      <c r="AK27" s="174"/>
      <c r="AL27" s="174" t="s">
        <v>27991</v>
      </c>
      <c r="AM27" s="174"/>
      <c r="AN27" s="174" t="s">
        <v>27991</v>
      </c>
      <c r="AO27" s="174"/>
      <c r="AP27" s="174" t="s">
        <v>27991</v>
      </c>
      <c r="AQ27" s="174"/>
      <c r="AR27" s="174" t="s">
        <v>27991</v>
      </c>
      <c r="AS27" s="174" t="s">
        <v>27991</v>
      </c>
      <c r="AT27" s="174" t="s">
        <v>27991</v>
      </c>
      <c r="AU27" s="174" t="s">
        <v>27991</v>
      </c>
      <c r="AV27" s="174" t="s">
        <v>27991</v>
      </c>
      <c r="AW27" s="174" t="s">
        <v>27991</v>
      </c>
      <c r="AX27" s="174" t="s">
        <v>27991</v>
      </c>
      <c r="AY27" s="174" t="s">
        <v>27991</v>
      </c>
      <c r="AZ27" s="174" t="s">
        <v>27991</v>
      </c>
      <c r="BA27" s="174" t="s">
        <v>27991</v>
      </c>
      <c r="BB27" s="174" t="s">
        <v>27991</v>
      </c>
      <c r="BC27" s="174" t="s">
        <v>27991</v>
      </c>
      <c r="BD27" s="174" t="s">
        <v>27991</v>
      </c>
      <c r="BE27" s="174" t="s">
        <v>27991</v>
      </c>
      <c r="BF27" s="174" t="s">
        <v>27991</v>
      </c>
      <c r="BG27" s="174" t="s">
        <v>27991</v>
      </c>
      <c r="BH27" s="174" t="s">
        <v>27991</v>
      </c>
      <c r="BI27" s="174" t="s">
        <v>27991</v>
      </c>
      <c r="BJ27" s="174" t="s">
        <v>27991</v>
      </c>
      <c r="BK27" s="174" t="s">
        <v>27991</v>
      </c>
      <c r="BL27" s="174" t="s">
        <v>27991</v>
      </c>
      <c r="BM27" s="174" t="s">
        <v>27991</v>
      </c>
      <c r="BN27" s="174" t="s">
        <v>27991</v>
      </c>
      <c r="BO27" s="174" t="s">
        <v>27991</v>
      </c>
      <c r="BP27" s="174" t="s">
        <v>27991</v>
      </c>
      <c r="BQ27" s="174" t="s">
        <v>27991</v>
      </c>
      <c r="BR27" s="174" t="s">
        <v>27991</v>
      </c>
      <c r="BS27" s="174" t="s">
        <v>27991</v>
      </c>
      <c r="BT27" s="174" t="s">
        <v>27991</v>
      </c>
      <c r="BU27" s="174" t="s">
        <v>27991</v>
      </c>
      <c r="BV27" s="174" t="s">
        <v>27991</v>
      </c>
      <c r="BW27" s="174" t="s">
        <v>27991</v>
      </c>
      <c r="BX27" s="174" t="s">
        <v>27991</v>
      </c>
      <c r="BY27" s="174" t="s">
        <v>27991</v>
      </c>
      <c r="BZ27" s="174" t="s">
        <v>27991</v>
      </c>
      <c r="CA27" s="174" t="s">
        <v>27991</v>
      </c>
      <c r="CB27" s="174" t="s">
        <v>27991</v>
      </c>
      <c r="CC27" s="174" t="s">
        <v>27991</v>
      </c>
      <c r="CD27" s="174" t="s">
        <v>27991</v>
      </c>
      <c r="CE27" s="174" t="s">
        <v>27991</v>
      </c>
      <c r="CF27" s="174" t="s">
        <v>27991</v>
      </c>
      <c r="CG27" s="174" t="s">
        <v>27991</v>
      </c>
      <c r="CH27" s="174" t="s">
        <v>27991</v>
      </c>
      <c r="CI27" s="174" t="s">
        <v>27991</v>
      </c>
      <c r="CJ27" s="174" t="s">
        <v>27991</v>
      </c>
      <c r="CK27" s="174" t="s">
        <v>27991</v>
      </c>
      <c r="CL27" s="174" t="s">
        <v>27991</v>
      </c>
      <c r="CM27" s="174" t="s">
        <v>27991</v>
      </c>
      <c r="CN27" s="174" t="s">
        <v>27991</v>
      </c>
      <c r="CO27" s="174" t="s">
        <v>27991</v>
      </c>
      <c r="CP27" s="174" t="s">
        <v>27991</v>
      </c>
      <c r="CQ27" s="174" t="s">
        <v>27991</v>
      </c>
      <c r="CR27" s="174" t="s">
        <v>27991</v>
      </c>
      <c r="CS27" s="174" t="s">
        <v>27991</v>
      </c>
      <c r="CT27" s="174" t="s">
        <v>27991</v>
      </c>
      <c r="CU27" s="174" t="s">
        <v>27991</v>
      </c>
      <c r="CV27" s="174" t="s">
        <v>27991</v>
      </c>
      <c r="CW27" s="174" t="s">
        <v>27991</v>
      </c>
      <c r="CX27" s="174" t="s">
        <v>27991</v>
      </c>
      <c r="CY27" s="174" t="s">
        <v>27991</v>
      </c>
      <c r="CZ27" s="174" t="s">
        <v>27991</v>
      </c>
      <c r="DA27" s="174" t="s">
        <v>27991</v>
      </c>
      <c r="DB27" s="174" t="s">
        <v>27991</v>
      </c>
      <c r="DC27" s="174" t="s">
        <v>27991</v>
      </c>
      <c r="DD27" s="174" t="s">
        <v>27991</v>
      </c>
      <c r="DE27" s="174" t="s">
        <v>27991</v>
      </c>
      <c r="DF27" s="174" t="s">
        <v>27991</v>
      </c>
      <c r="DG27" s="174" t="s">
        <v>27991</v>
      </c>
      <c r="DH27" s="174" t="s">
        <v>27991</v>
      </c>
      <c r="DI27" s="174" t="s">
        <v>27991</v>
      </c>
      <c r="DJ27" s="174" t="s">
        <v>27991</v>
      </c>
      <c r="DK27" s="174" t="s">
        <v>27991</v>
      </c>
      <c r="DL27" s="174" t="s">
        <v>27991</v>
      </c>
      <c r="DM27" s="174" t="s">
        <v>27991</v>
      </c>
      <c r="DN27" s="174" t="s">
        <v>27991</v>
      </c>
      <c r="DO27" s="174" t="s">
        <v>27991</v>
      </c>
      <c r="DP27" s="174" t="s">
        <v>27991</v>
      </c>
      <c r="DQ27" s="174" t="s">
        <v>27991</v>
      </c>
      <c r="DR27" s="174" t="s">
        <v>27991</v>
      </c>
      <c r="DS27" s="174" t="s">
        <v>27991</v>
      </c>
      <c r="DT27" s="174" t="s">
        <v>27991</v>
      </c>
      <c r="DU27" s="174" t="s">
        <v>27991</v>
      </c>
      <c r="DV27" s="174" t="s">
        <v>27991</v>
      </c>
      <c r="DW27" s="174" t="s">
        <v>27991</v>
      </c>
      <c r="DX27" s="174" t="s">
        <v>27991</v>
      </c>
      <c r="DY27" s="174" t="s">
        <v>27991</v>
      </c>
      <c r="DZ27" s="174" t="s">
        <v>27991</v>
      </c>
      <c r="EA27" s="174" t="s">
        <v>27991</v>
      </c>
      <c r="EB27" s="174" t="s">
        <v>27991</v>
      </c>
      <c r="EC27" s="174" t="s">
        <v>27991</v>
      </c>
      <c r="ED27" s="174" t="s">
        <v>27991</v>
      </c>
      <c r="EE27" s="174" t="s">
        <v>27991</v>
      </c>
      <c r="EF27" s="174" t="s">
        <v>27991</v>
      </c>
      <c r="EG27" s="174" t="s">
        <v>27991</v>
      </c>
      <c r="EH27" s="174" t="s">
        <v>27991</v>
      </c>
      <c r="EI27" s="174" t="s">
        <v>27991</v>
      </c>
      <c r="EJ27" s="174" t="s">
        <v>27991</v>
      </c>
      <c r="EK27" s="174" t="s">
        <v>27991</v>
      </c>
      <c r="EL27" s="175" t="s">
        <v>27962</v>
      </c>
      <c r="EM27" s="175" t="s">
        <v>27962</v>
      </c>
      <c r="EN27" s="175" t="s">
        <v>27962</v>
      </c>
      <c r="EO27" s="175" t="s">
        <v>27962</v>
      </c>
      <c r="EP27" s="175" t="s">
        <v>27962</v>
      </c>
      <c r="EQ27" s="175" t="s">
        <v>27962</v>
      </c>
      <c r="ER27" s="175" t="s">
        <v>27962</v>
      </c>
      <c r="ES27" s="175" t="s">
        <v>27962</v>
      </c>
      <c r="ET27" s="175" t="s">
        <v>27962</v>
      </c>
      <c r="EU27" s="175" t="s">
        <v>27962</v>
      </c>
      <c r="EV27" s="175" t="s">
        <v>27962</v>
      </c>
      <c r="EW27" s="175" t="s">
        <v>27962</v>
      </c>
      <c r="EX27" s="175" t="s">
        <v>27962</v>
      </c>
      <c r="EY27" s="175" t="s">
        <v>27962</v>
      </c>
      <c r="EZ27" s="175" t="s">
        <v>27962</v>
      </c>
      <c r="FA27" s="175" t="s">
        <v>27962</v>
      </c>
      <c r="FB27" s="175" t="s">
        <v>27962</v>
      </c>
      <c r="FC27" s="175" t="s">
        <v>27962</v>
      </c>
      <c r="FD27" s="175" t="s">
        <v>27962</v>
      </c>
      <c r="FE27" s="175" t="s">
        <v>27962</v>
      </c>
      <c r="FF27" s="175" t="s">
        <v>27962</v>
      </c>
      <c r="FG27" s="175" t="s">
        <v>27962</v>
      </c>
      <c r="FH27" s="175" t="s">
        <v>27962</v>
      </c>
      <c r="FI27" s="175" t="s">
        <v>27962</v>
      </c>
      <c r="FJ27" s="175" t="s">
        <v>27962</v>
      </c>
      <c r="FK27" s="175" t="s">
        <v>27962</v>
      </c>
      <c r="FL27" s="175" t="s">
        <v>27962</v>
      </c>
      <c r="FM27" s="175" t="s">
        <v>27962</v>
      </c>
      <c r="FN27" s="175" t="s">
        <v>27962</v>
      </c>
      <c r="FO27" s="175" t="s">
        <v>27962</v>
      </c>
      <c r="FP27" s="175" t="s">
        <v>27962</v>
      </c>
      <c r="FQ27" s="175" t="s">
        <v>27962</v>
      </c>
    </row>
    <row r="29" spans="1:178" s="382" customFormat="1" ht="28.15" customHeight="1">
      <c r="A29" s="404" t="s">
        <v>27992</v>
      </c>
      <c r="B29" s="380"/>
      <c r="C29" s="381"/>
      <c r="D29" s="381"/>
      <c r="E29" s="381"/>
      <c r="H29" s="383"/>
      <c r="I29" s="383"/>
      <c r="J29" s="383"/>
      <c r="K29" s="383"/>
      <c r="L29" s="379"/>
      <c r="M29" s="379"/>
      <c r="Q29" s="379"/>
      <c r="R29" s="379"/>
      <c r="S29" s="379"/>
      <c r="T29" s="383"/>
      <c r="U29" s="383"/>
      <c r="V29" s="383"/>
      <c r="W29" s="383"/>
      <c r="X29" s="384"/>
      <c r="Y29" s="384"/>
      <c r="Z29" s="383"/>
      <c r="AA29" s="385"/>
      <c r="AB29" s="385"/>
      <c r="AC29" s="385"/>
      <c r="AD29" s="385"/>
      <c r="AE29" s="385"/>
      <c r="AF29" s="383"/>
      <c r="AG29" s="385"/>
      <c r="AH29" s="383"/>
      <c r="AI29" s="383"/>
      <c r="AJ29" s="383"/>
      <c r="AK29" s="383"/>
      <c r="AL29" s="383"/>
      <c r="AM29" s="383"/>
      <c r="AN29" s="383"/>
      <c r="AO29" s="383"/>
      <c r="AP29" s="383"/>
      <c r="AQ29" s="383"/>
      <c r="AR29" s="383"/>
      <c r="AS29" s="383"/>
      <c r="AT29" s="383"/>
      <c r="AU29" s="383"/>
      <c r="AV29" s="383"/>
      <c r="AY29" s="386"/>
      <c r="AZ29" s="386"/>
      <c r="BA29" s="383"/>
      <c r="BB29" s="383"/>
      <c r="BC29" s="383"/>
      <c r="BD29" s="383"/>
      <c r="BE29" s="383"/>
      <c r="BF29" s="383"/>
      <c r="BG29" s="379"/>
      <c r="BH29" s="379"/>
      <c r="BJ29" s="379"/>
      <c r="BK29" s="379"/>
      <c r="BL29" s="379"/>
      <c r="BM29" s="383"/>
      <c r="BN29" s="383"/>
      <c r="BO29" s="383"/>
      <c r="BP29" s="383"/>
      <c r="BS29" s="383"/>
      <c r="BT29" s="386"/>
      <c r="BU29" s="383"/>
      <c r="BV29" s="386"/>
      <c r="BW29" s="383"/>
      <c r="BX29" s="383"/>
      <c r="CC29" s="387"/>
      <c r="CD29" s="386"/>
      <c r="CE29" s="383"/>
      <c r="CF29" s="383"/>
      <c r="CG29" s="383"/>
      <c r="CH29" s="383"/>
      <c r="CI29" s="388"/>
      <c r="CJ29" s="383"/>
      <c r="CK29" s="383"/>
      <c r="CL29" s="383"/>
      <c r="CM29" s="383"/>
      <c r="CN29" s="383"/>
      <c r="CO29" s="383"/>
      <c r="CP29" s="383"/>
      <c r="CQ29" s="383"/>
      <c r="CR29" s="383"/>
      <c r="CS29" s="383"/>
      <c r="CT29" s="383"/>
      <c r="CU29" s="383"/>
      <c r="CV29" s="383"/>
      <c r="CW29" s="383"/>
      <c r="CX29" s="383"/>
      <c r="CY29" s="383"/>
      <c r="CZ29" s="383"/>
      <c r="DA29" s="383"/>
      <c r="DB29" s="383"/>
      <c r="DC29" s="383"/>
      <c r="DD29" s="383"/>
      <c r="DE29" s="383"/>
      <c r="DF29" s="383"/>
      <c r="DG29" s="383"/>
      <c r="DH29" s="383"/>
      <c r="DI29" s="383"/>
      <c r="DJ29" s="383"/>
      <c r="DK29" s="383"/>
      <c r="DL29" s="383"/>
      <c r="DM29" s="383"/>
      <c r="DN29" s="383"/>
      <c r="DO29" s="383"/>
      <c r="DP29" s="383"/>
      <c r="DQ29" s="383"/>
      <c r="DR29" s="383"/>
      <c r="DS29" s="383"/>
      <c r="DT29" s="383"/>
      <c r="DU29" s="383"/>
      <c r="DV29" s="383"/>
      <c r="DW29" s="383"/>
      <c r="DX29" s="383"/>
      <c r="DY29" s="383"/>
      <c r="DZ29" s="383"/>
      <c r="EA29" s="383"/>
      <c r="EB29" s="383"/>
      <c r="EC29" s="383"/>
      <c r="ED29" s="383"/>
      <c r="EE29" s="383"/>
      <c r="EF29" s="383"/>
      <c r="EG29" s="383"/>
      <c r="EH29" s="383"/>
      <c r="EI29" s="383"/>
      <c r="EJ29" s="383"/>
      <c r="EK29" s="383"/>
      <c r="EL29" s="387"/>
      <c r="EM29" s="383"/>
      <c r="EN29" s="386"/>
      <c r="EO29" s="386"/>
      <c r="EP29" s="383"/>
      <c r="EQ29" s="386"/>
      <c r="ER29" s="383"/>
      <c r="ES29" s="383"/>
      <c r="ET29" s="388"/>
      <c r="EU29" s="383"/>
      <c r="EV29" s="383"/>
      <c r="EW29" s="386"/>
      <c r="EX29" s="381"/>
      <c r="EY29" s="381"/>
      <c r="EZ29" s="383"/>
      <c r="FA29" s="381"/>
      <c r="FB29" s="386"/>
      <c r="FC29" s="389"/>
      <c r="FD29" s="381"/>
      <c r="FE29" s="381"/>
      <c r="FF29" s="381"/>
      <c r="FG29" s="389"/>
      <c r="FH29" s="389"/>
      <c r="FI29" s="389"/>
      <c r="FJ29" s="381"/>
      <c r="FK29" s="381"/>
      <c r="FL29" s="381"/>
      <c r="FM29" s="389"/>
      <c r="FN29" s="389"/>
      <c r="FO29" s="389"/>
      <c r="FP29" s="381"/>
      <c r="FQ29" s="381"/>
      <c r="FR29" s="381"/>
      <c r="FS29" s="389"/>
      <c r="FT29" s="389"/>
      <c r="FU29" s="390"/>
      <c r="FV29" s="390"/>
    </row>
    <row r="30" spans="1:178" s="382" customFormat="1" ht="28.15" customHeight="1">
      <c r="A30" s="379"/>
      <c r="B30" s="380"/>
      <c r="C30" s="381"/>
      <c r="D30" s="381"/>
      <c r="E30" s="381"/>
      <c r="H30" s="383"/>
      <c r="I30" s="383"/>
      <c r="J30" s="383"/>
      <c r="K30" s="383"/>
      <c r="L30" s="379"/>
      <c r="M30" s="379"/>
      <c r="Q30" s="379"/>
      <c r="R30" s="379"/>
      <c r="S30" s="379"/>
      <c r="T30" s="383"/>
      <c r="U30" s="383"/>
      <c r="V30" s="383"/>
      <c r="W30" s="383"/>
      <c r="X30" s="384"/>
      <c r="Y30" s="384"/>
      <c r="Z30" s="383"/>
      <c r="AA30" s="385"/>
      <c r="AB30" s="385"/>
      <c r="AC30" s="385"/>
      <c r="AD30" s="385"/>
      <c r="AE30" s="385"/>
      <c r="AF30" s="383"/>
      <c r="AG30" s="385"/>
      <c r="AH30" s="383"/>
      <c r="AI30" s="383"/>
      <c r="AJ30" s="383"/>
      <c r="AK30" s="383"/>
      <c r="AL30" s="383"/>
      <c r="AM30" s="383"/>
      <c r="AN30" s="383"/>
      <c r="AO30" s="383"/>
      <c r="AP30" s="383"/>
      <c r="AQ30" s="383"/>
      <c r="AR30" s="383"/>
      <c r="AS30" s="383"/>
      <c r="AT30" s="383"/>
      <c r="AU30" s="383"/>
      <c r="AV30" s="383"/>
      <c r="AY30" s="386"/>
      <c r="AZ30" s="386"/>
      <c r="BA30" s="383"/>
      <c r="BB30" s="383"/>
      <c r="BC30" s="383"/>
      <c r="BD30" s="383"/>
      <c r="BE30" s="383"/>
      <c r="BF30" s="383"/>
      <c r="BG30" s="379"/>
      <c r="BH30" s="379"/>
      <c r="BJ30" s="379"/>
      <c r="BK30" s="379"/>
      <c r="BL30" s="379"/>
      <c r="BM30" s="383"/>
      <c r="BN30" s="383"/>
      <c r="BO30" s="383"/>
      <c r="BP30" s="383"/>
      <c r="BS30" s="383"/>
      <c r="BT30" s="386"/>
      <c r="BU30" s="383"/>
      <c r="BV30" s="386"/>
      <c r="BW30" s="383"/>
      <c r="BX30" s="383"/>
      <c r="CC30" s="387"/>
      <c r="CD30" s="386"/>
      <c r="CE30" s="383"/>
      <c r="CF30" s="383"/>
      <c r="CG30" s="383"/>
      <c r="CH30" s="383"/>
      <c r="CI30" s="388"/>
      <c r="CJ30" s="383"/>
      <c r="CK30" s="383"/>
      <c r="CL30" s="383"/>
      <c r="CM30" s="383"/>
      <c r="CN30" s="383"/>
      <c r="CO30" s="383"/>
      <c r="CP30" s="383"/>
      <c r="CQ30" s="383"/>
      <c r="CR30" s="383"/>
      <c r="CS30" s="383"/>
      <c r="CT30" s="383"/>
      <c r="CU30" s="383"/>
      <c r="CV30" s="383"/>
      <c r="CW30" s="383"/>
      <c r="CX30" s="383"/>
      <c r="CY30" s="383"/>
      <c r="CZ30" s="383"/>
      <c r="DA30" s="383"/>
      <c r="DB30" s="383"/>
      <c r="DC30" s="383"/>
      <c r="DD30" s="383"/>
      <c r="DE30" s="383"/>
      <c r="DF30" s="383"/>
      <c r="DG30" s="383"/>
      <c r="DH30" s="383"/>
      <c r="DI30" s="383"/>
      <c r="DJ30" s="383"/>
      <c r="DK30" s="383"/>
      <c r="DL30" s="383"/>
      <c r="DM30" s="383"/>
      <c r="DN30" s="383"/>
      <c r="DO30" s="383"/>
      <c r="DP30" s="383"/>
      <c r="DQ30" s="383"/>
      <c r="DR30" s="383"/>
      <c r="DS30" s="383"/>
      <c r="DT30" s="383"/>
      <c r="DU30" s="383"/>
      <c r="DV30" s="383"/>
      <c r="DW30" s="383"/>
      <c r="DX30" s="383"/>
      <c r="DY30" s="383"/>
      <c r="DZ30" s="383"/>
      <c r="EA30" s="383"/>
      <c r="EB30" s="383"/>
      <c r="EC30" s="383"/>
      <c r="ED30" s="383"/>
      <c r="EE30" s="383"/>
      <c r="EF30" s="383"/>
      <c r="EG30" s="383"/>
      <c r="EH30" s="383"/>
      <c r="EI30" s="383"/>
      <c r="EJ30" s="383"/>
      <c r="EK30" s="383"/>
      <c r="EL30" s="387"/>
      <c r="EM30" s="383"/>
      <c r="EN30" s="386"/>
      <c r="EO30" s="386"/>
      <c r="EP30" s="383"/>
      <c r="EQ30" s="386"/>
      <c r="ER30" s="383"/>
      <c r="ES30" s="383"/>
      <c r="ET30" s="388"/>
      <c r="EU30" s="383"/>
      <c r="EV30" s="383"/>
      <c r="EW30" s="386"/>
      <c r="EX30" s="381"/>
      <c r="EY30" s="381"/>
      <c r="EZ30" s="383"/>
      <c r="FA30" s="381"/>
      <c r="FB30" s="386"/>
      <c r="FC30" s="389"/>
      <c r="FD30" s="381"/>
      <c r="FE30" s="381"/>
      <c r="FF30" s="381"/>
      <c r="FG30" s="389"/>
      <c r="FH30" s="389"/>
      <c r="FI30" s="389"/>
      <c r="FJ30" s="381"/>
      <c r="FK30" s="381"/>
      <c r="FL30" s="381"/>
      <c r="FM30" s="389"/>
      <c r="FN30" s="389"/>
      <c r="FO30" s="389"/>
      <c r="FP30" s="381"/>
      <c r="FQ30" s="381"/>
      <c r="FR30" s="381"/>
      <c r="FS30" s="389"/>
      <c r="FT30" s="389"/>
      <c r="FU30" s="390"/>
      <c r="FV30" s="390"/>
    </row>
    <row r="31" spans="1:178" s="375" customFormat="1" ht="30" customHeight="1">
      <c r="A31" s="129"/>
      <c r="B31" s="135" t="str">
        <f>B18</f>
        <v>000000</v>
      </c>
      <c r="C31" s="143"/>
      <c r="D31" s="135" t="str">
        <f>D18</f>
        <v>BPC1</v>
      </c>
      <c r="E31" s="135">
        <f>E18</f>
        <v>1</v>
      </c>
      <c r="F31" s="145" t="str">
        <f>IF(Web!K45="","",Web!K45)</f>
        <v>Contact First Name 101</v>
      </c>
      <c r="G31" s="145" t="str">
        <f>IF(Web!K46="","",Web!K46)</f>
        <v>Contact Last Name 101</v>
      </c>
      <c r="H31" s="143"/>
      <c r="I31" s="143"/>
      <c r="J31" s="143"/>
      <c r="K31" s="143"/>
      <c r="L31" s="145" t="str">
        <f>IF(Web!K45="","",Web!K45)</f>
        <v>Contact First Name 101</v>
      </c>
      <c r="M31" s="143"/>
      <c r="N31" s="143"/>
      <c r="O31" s="143"/>
      <c r="P31" s="143"/>
      <c r="Q31" s="145" t="str">
        <f>IF(Web!K48="","",Web!K48)</f>
        <v>Address CON_101</v>
      </c>
      <c r="R31" s="145" t="str">
        <f>IF(Web!P48="","",Web!P48)</f>
        <v>Street CON_101</v>
      </c>
      <c r="S31" s="145" t="str">
        <f>IF(Web!K49="","",Web!K49)</f>
        <v>แขวง จอมพล</v>
      </c>
      <c r="T31" s="145" t="str">
        <f>IF(Web!P49="","",Web!P49)</f>
        <v>เขต จตุจักร</v>
      </c>
      <c r="U31" s="145" t="str">
        <f>IF(Web!K50="","",Web!K50)</f>
        <v>กรุงเทพมหานคร</v>
      </c>
      <c r="V31" s="145">
        <f>IF(Web!P50="","",Web!P50)</f>
        <v>10900</v>
      </c>
      <c r="W31" s="145" t="str">
        <f>IF(Web!K93="","",Web!K93)</f>
        <v>TH</v>
      </c>
      <c r="X31" s="145" t="str">
        <f>IF(Web!K51="","",Web!K51)</f>
        <v>01</v>
      </c>
      <c r="Y31" s="145" t="str">
        <f>IF(Web!P51="","",Web!P51)</f>
        <v>TMABKKC210</v>
      </c>
      <c r="Z31" s="145" t="str">
        <f>IF(Web!K94="","",Web!K94)</f>
        <v>TH</v>
      </c>
      <c r="AA31" s="143"/>
      <c r="AB31" s="143"/>
      <c r="AC31" s="143"/>
      <c r="AD31" s="143"/>
      <c r="AE31" s="143"/>
      <c r="AF31" s="143"/>
      <c r="AG31" s="143"/>
      <c r="AH31" s="143"/>
      <c r="AI31" s="143"/>
      <c r="AJ31" s="143"/>
      <c r="AK31" s="143"/>
      <c r="AL31" s="143"/>
      <c r="AM31" s="143"/>
      <c r="AN31" s="143"/>
      <c r="AO31" s="143"/>
      <c r="AP31" s="143"/>
      <c r="AQ31" s="143"/>
      <c r="AR31" s="143"/>
      <c r="AS31" s="143"/>
      <c r="AT31" s="143"/>
      <c r="AU31" s="143"/>
      <c r="AV31" s="143"/>
      <c r="AW31" s="143"/>
      <c r="AX31" s="143"/>
      <c r="AY31" s="143"/>
      <c r="AZ31" s="143"/>
      <c r="BA31" s="143"/>
      <c r="BB31" s="143"/>
      <c r="BC31" s="143"/>
      <c r="BD31" s="143"/>
      <c r="BE31" s="143"/>
      <c r="BF31" s="143"/>
      <c r="BG31" s="143"/>
      <c r="BH31" s="143"/>
      <c r="BI31" s="143"/>
      <c r="BJ31" s="143"/>
      <c r="BK31" s="143"/>
      <c r="BL31" s="145" t="str">
        <f>IF(Web!K52="","",Web!K52)</f>
        <v>M</v>
      </c>
      <c r="BM31" s="145" t="str">
        <f>IF(Web!P52="","",Web!P52)</f>
        <v>01.01.1990</v>
      </c>
      <c r="BN31" s="143"/>
      <c r="BO31" s="143"/>
      <c r="BP31" s="143"/>
      <c r="BQ31" s="140" t="str">
        <f>BQ18</f>
        <v>X</v>
      </c>
      <c r="BR31" s="140" t="str">
        <f>BR18</f>
        <v>TH3</v>
      </c>
      <c r="BS31" s="145" t="str">
        <f>IF(Web!K53="","",Web!K53)</f>
        <v>1010000000002</v>
      </c>
      <c r="BT31" s="143"/>
      <c r="BU31" s="147" t="str">
        <f>BU18</f>
        <v>Z001</v>
      </c>
      <c r="BV31" s="143"/>
      <c r="BW31" s="143"/>
      <c r="BX31" s="143"/>
      <c r="BY31" s="143"/>
      <c r="BZ31" s="143"/>
      <c r="CA31" s="143"/>
      <c r="CB31" s="143"/>
      <c r="CC31" s="143"/>
      <c r="CD31" s="143"/>
      <c r="CE31" s="143"/>
      <c r="CF31" s="143"/>
      <c r="CG31" s="143"/>
      <c r="CH31" s="143"/>
      <c r="CI31" s="143"/>
      <c r="CJ31" s="143"/>
      <c r="CK31" s="143"/>
      <c r="CL31" s="143"/>
      <c r="CM31" s="143"/>
      <c r="CN31" s="143"/>
      <c r="CO31" s="143"/>
      <c r="CP31" s="143"/>
      <c r="CQ31" s="143"/>
      <c r="CR31" s="143"/>
      <c r="CS31" s="143"/>
      <c r="CT31" s="143"/>
      <c r="CU31" s="143"/>
      <c r="CV31" s="143"/>
      <c r="CW31" s="143"/>
      <c r="CX31" s="143"/>
      <c r="CY31" s="143"/>
      <c r="CZ31" s="143"/>
      <c r="DA31" s="143"/>
      <c r="DB31" s="143"/>
      <c r="DC31" s="143"/>
      <c r="DD31" s="143"/>
      <c r="DE31" s="143"/>
      <c r="DF31" s="143"/>
      <c r="DG31" s="143"/>
      <c r="DH31" s="143"/>
      <c r="DI31" s="143"/>
      <c r="DJ31" s="143"/>
      <c r="DK31" s="143"/>
      <c r="DL31" s="143"/>
      <c r="DM31" s="143"/>
      <c r="DN31" s="143"/>
      <c r="DO31" s="143"/>
      <c r="DP31" s="143"/>
      <c r="DQ31" s="143"/>
      <c r="DR31" s="143"/>
      <c r="DS31" s="143"/>
      <c r="DT31" s="143"/>
      <c r="DU31" s="143"/>
      <c r="DV31" s="143"/>
      <c r="DW31" s="143"/>
      <c r="DX31" s="143"/>
      <c r="DY31" s="143"/>
      <c r="DZ31" s="143"/>
      <c r="EA31" s="143"/>
      <c r="EB31" s="143"/>
      <c r="EC31" s="143"/>
      <c r="ED31" s="143"/>
      <c r="EE31" s="143"/>
      <c r="EF31" s="143"/>
      <c r="EG31" s="143"/>
      <c r="EH31" s="143"/>
      <c r="EI31" s="143"/>
      <c r="EJ31" s="143"/>
      <c r="EK31" s="143"/>
      <c r="EL31" s="143"/>
      <c r="EM31" s="143"/>
      <c r="EN31" s="143"/>
      <c r="EO31" s="143"/>
      <c r="EP31" s="143"/>
      <c r="EQ31" s="143"/>
      <c r="ER31" s="143"/>
      <c r="ES31" s="143"/>
      <c r="ET31" s="143"/>
      <c r="EU31" s="143"/>
      <c r="EV31" s="143"/>
      <c r="EW31" s="143"/>
      <c r="EX31" s="143"/>
      <c r="EY31" s="143"/>
      <c r="EZ31" s="143"/>
      <c r="FA31" s="143"/>
      <c r="FB31" s="143"/>
      <c r="FC31" s="143"/>
      <c r="FD31" s="143"/>
      <c r="FE31" s="143"/>
      <c r="FF31" s="143"/>
      <c r="FG31" s="143"/>
      <c r="FH31" s="143"/>
      <c r="FI31" s="143"/>
      <c r="FJ31" s="143"/>
      <c r="FK31" s="143"/>
      <c r="FL31" s="143"/>
      <c r="FM31" s="143"/>
      <c r="FN31" s="143"/>
      <c r="FO31" s="143"/>
      <c r="FP31" s="143"/>
      <c r="FQ31" s="143"/>
    </row>
    <row r="1048555" spans="63:63" ht="24" customHeight="1">
      <c r="BK1048555" s="318"/>
    </row>
  </sheetData>
  <mergeCells count="10">
    <mergeCell ref="A1:A2"/>
    <mergeCell ref="F1:G1"/>
    <mergeCell ref="H1:AR1"/>
    <mergeCell ref="EF1:EG1"/>
    <mergeCell ref="FP1:FQ1"/>
    <mergeCell ref="F2:G2"/>
    <mergeCell ref="H2:AR2"/>
    <mergeCell ref="BN2:BO2"/>
    <mergeCell ref="EF2:EG2"/>
    <mergeCell ref="FP2:FQ2"/>
  </mergeCells>
  <conditionalFormatting sqref="F21:G21 L21 BL21:BM21">
    <cfRule type="cellIs" dxfId="26" priority="71" operator="equal">
      <formula>"View Sale"</formula>
    </cfRule>
  </conditionalFormatting>
  <conditionalFormatting sqref="H3">
    <cfRule type="duplicateValues" dxfId="25" priority="78"/>
  </conditionalFormatting>
  <conditionalFormatting sqref="Q21:Z21">
    <cfRule type="cellIs" dxfId="24" priority="69" operator="equal">
      <formula>"View Sale"</formula>
    </cfRule>
  </conditionalFormatting>
  <conditionalFormatting sqref="AR3:AS3">
    <cfRule type="duplicateValues" dxfId="23" priority="79"/>
  </conditionalFormatting>
  <conditionalFormatting sqref="AT3">
    <cfRule type="duplicateValues" dxfId="22" priority="74"/>
  </conditionalFormatting>
  <conditionalFormatting sqref="AU3">
    <cfRule type="duplicateValues" dxfId="21" priority="72"/>
  </conditionalFormatting>
  <conditionalFormatting sqref="AX3">
    <cfRule type="duplicateValues" dxfId="20" priority="80"/>
  </conditionalFormatting>
  <conditionalFormatting sqref="BA4">
    <cfRule type="duplicateValues" dxfId="19" priority="75"/>
  </conditionalFormatting>
  <conditionalFormatting sqref="BC4">
    <cfRule type="duplicateValues" dxfId="18" priority="73"/>
  </conditionalFormatting>
  <conditionalFormatting sqref="BN3:BO3">
    <cfRule type="duplicateValues" dxfId="17" priority="81"/>
  </conditionalFormatting>
  <conditionalFormatting sqref="BS3">
    <cfRule type="duplicateValues" dxfId="16" priority="76"/>
  </conditionalFormatting>
  <conditionalFormatting sqref="BS21">
    <cfRule type="cellIs" dxfId="15" priority="70" operator="equal">
      <formula>"View Sale"</formula>
    </cfRule>
  </conditionalFormatting>
  <conditionalFormatting sqref="BS4:BT4">
    <cfRule type="duplicateValues" dxfId="14" priority="77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5BF88-0E7E-4B23-AFAA-30C880A15BAF}">
  <sheetPr codeName="Sheet8"/>
  <dimension ref="A1:FV1048573"/>
  <sheetViews>
    <sheetView zoomScale="85" zoomScaleNormal="85" workbookViewId="0">
      <selection activeCell="C5" sqref="C5"/>
    </sheetView>
  </sheetViews>
  <sheetFormatPr defaultColWidth="9.125" defaultRowHeight="12.75"/>
  <cols>
    <col min="1" max="1" width="21.125" style="315" customWidth="1"/>
    <col min="2" max="2" width="24.875" style="316" customWidth="1"/>
    <col min="3" max="3" width="20.25" style="317" customWidth="1"/>
    <col min="4" max="4" width="24.25" style="317" customWidth="1"/>
    <col min="5" max="5" width="17.75" style="317" customWidth="1"/>
    <col min="6" max="6" width="18.125" style="316" customWidth="1"/>
    <col min="7" max="7" width="20.375" style="316" customWidth="1"/>
    <col min="8" max="8" width="41.75" style="316" customWidth="1"/>
    <col min="9" max="10" width="25.125" style="316" bestFit="1" customWidth="1"/>
    <col min="11" max="11" width="31.25" style="316" bestFit="1" customWidth="1"/>
    <col min="12" max="12" width="23.625" style="316" customWidth="1"/>
    <col min="13" max="14" width="17.875" style="316" customWidth="1"/>
    <col min="15" max="15" width="14" style="316" customWidth="1"/>
    <col min="16" max="16" width="18.625" style="316" customWidth="1"/>
    <col min="17" max="17" width="27.125" style="315" customWidth="1"/>
    <col min="18" max="18" width="25.75" style="315" customWidth="1"/>
    <col min="19" max="19" width="28.625" style="315" customWidth="1"/>
    <col min="20" max="20" width="15.625" style="315" customWidth="1"/>
    <col min="21" max="21" width="25.375" style="315" customWidth="1"/>
    <col min="22" max="22" width="16.625" style="315" customWidth="1"/>
    <col min="23" max="23" width="13.375" style="316" customWidth="1"/>
    <col min="24" max="24" width="16.75" style="316" customWidth="1"/>
    <col min="25" max="25" width="22" style="316" bestFit="1" customWidth="1"/>
    <col min="26" max="26" width="15.625" style="316" customWidth="1"/>
    <col min="27" max="27" width="18.625" style="316" customWidth="1"/>
    <col min="28" max="28" width="16.25" style="316" customWidth="1"/>
    <col min="29" max="29" width="16.375" style="316" customWidth="1"/>
    <col min="30" max="31" width="16.75" style="316" customWidth="1"/>
    <col min="32" max="32" width="13.75" style="316" customWidth="1"/>
    <col min="33" max="33" width="17.375" style="316" customWidth="1"/>
    <col min="34" max="43" width="18.375" style="316" customWidth="1"/>
    <col min="44" max="44" width="18" style="316" customWidth="1"/>
    <col min="45" max="45" width="19.625" style="317" customWidth="1"/>
    <col min="46" max="46" width="23.625" style="317" customWidth="1"/>
    <col min="47" max="47" width="17.875" style="316" customWidth="1"/>
    <col min="48" max="48" width="19" style="316" customWidth="1"/>
    <col min="49" max="49" width="16.375" style="316" customWidth="1"/>
    <col min="50" max="50" width="13.25" style="316" customWidth="1"/>
    <col min="51" max="51" width="15.125" style="316" customWidth="1"/>
    <col min="52" max="52" width="14.875" style="316" customWidth="1"/>
    <col min="53" max="53" width="15.875" style="316" customWidth="1"/>
    <col min="54" max="54" width="15.25" style="316" customWidth="1"/>
    <col min="55" max="56" width="18.25" style="316" customWidth="1"/>
    <col min="57" max="57" width="25.75" style="316" customWidth="1"/>
    <col min="58" max="58" width="20.25" style="316" customWidth="1"/>
    <col min="59" max="59" width="12.875" style="316" customWidth="1"/>
    <col min="60" max="60" width="21.375" style="316" customWidth="1"/>
    <col min="61" max="61" width="28.75" style="316" customWidth="1"/>
    <col min="62" max="62" width="15.75" style="316" customWidth="1"/>
    <col min="63" max="63" width="13.875" style="316" customWidth="1"/>
    <col min="64" max="64" width="18.875" style="317" customWidth="1"/>
    <col min="65" max="65" width="22.375" style="316" customWidth="1"/>
    <col min="66" max="66" width="23.875" style="317" customWidth="1"/>
    <col min="67" max="67" width="20.875" style="317" customWidth="1"/>
    <col min="68" max="68" width="25.625" style="315" customWidth="1"/>
    <col min="69" max="69" width="20.375" style="316" customWidth="1"/>
    <col min="70" max="70" width="17.375" style="316" customWidth="1"/>
    <col min="71" max="71" width="18.375" style="319" customWidth="1"/>
    <col min="72" max="72" width="36.625" style="316" customWidth="1"/>
    <col min="73" max="73" width="14.25" style="316" customWidth="1"/>
    <col min="74" max="74" width="19.75" style="316" customWidth="1"/>
    <col min="75" max="75" width="14.625" style="316" customWidth="1"/>
    <col min="76" max="76" width="16.125" style="316" customWidth="1"/>
    <col min="77" max="77" width="16" style="316" customWidth="1"/>
    <col min="78" max="78" width="19.375" style="316" customWidth="1"/>
    <col min="79" max="79" width="18.125" style="316" customWidth="1"/>
    <col min="80" max="80" width="33" style="316" customWidth="1"/>
    <col min="81" max="81" width="16.75" style="316" customWidth="1"/>
    <col min="82" max="82" width="19" style="316" customWidth="1"/>
    <col min="83" max="83" width="16.75" style="316" customWidth="1"/>
    <col min="84" max="84" width="17.75" style="316" customWidth="1"/>
    <col min="85" max="85" width="18.125" style="316" customWidth="1"/>
    <col min="86" max="87" width="16.75" style="316" customWidth="1"/>
    <col min="88" max="88" width="14.75" style="316" customWidth="1"/>
    <col min="89" max="89" width="17.875" style="316" customWidth="1"/>
    <col min="90" max="90" width="18" style="316" customWidth="1"/>
    <col min="91" max="91" width="19.625" style="316" customWidth="1"/>
    <col min="92" max="92" width="13.625" style="316" customWidth="1"/>
    <col min="93" max="93" width="19.25" style="316" customWidth="1"/>
    <col min="94" max="94" width="15.875" style="316" customWidth="1"/>
    <col min="95" max="95" width="19.125" style="316" customWidth="1"/>
    <col min="96" max="96" width="18.875" style="316" customWidth="1"/>
    <col min="97" max="97" width="20.375" style="316" customWidth="1"/>
    <col min="98" max="98" width="14.875" style="316" customWidth="1"/>
    <col min="99" max="100" width="16.125" style="316" customWidth="1"/>
    <col min="101" max="101" width="19.125" style="316" customWidth="1"/>
    <col min="102" max="102" width="22.625" style="316" customWidth="1"/>
    <col min="103" max="103" width="20.375" style="316" customWidth="1"/>
    <col min="104" max="104" width="14.375" style="316" customWidth="1"/>
    <col min="105" max="105" width="19.25" style="316" customWidth="1"/>
    <col min="106" max="106" width="20.125" style="316" customWidth="1"/>
    <col min="107" max="107" width="19.125" style="316" customWidth="1"/>
    <col min="108" max="108" width="16.25" style="316" customWidth="1"/>
    <col min="109" max="109" width="15.875" style="316" customWidth="1"/>
    <col min="110" max="110" width="14.125" style="316" customWidth="1"/>
    <col min="111" max="111" width="19.25" style="316" customWidth="1"/>
    <col min="112" max="112" width="17" style="316" customWidth="1"/>
    <col min="113" max="113" width="19.125" style="316" customWidth="1"/>
    <col min="114" max="114" width="17.75" style="316" customWidth="1"/>
    <col min="115" max="115" width="20.375" style="316" customWidth="1"/>
    <col min="116" max="116" width="14" style="316" customWidth="1"/>
    <col min="117" max="117" width="19.25" style="316" customWidth="1"/>
    <col min="118" max="118" width="16" style="316" customWidth="1"/>
    <col min="119" max="119" width="15.25" style="316" customWidth="1"/>
    <col min="120" max="120" width="13.125" style="316" customWidth="1"/>
    <col min="121" max="122" width="14.375" style="316" customWidth="1"/>
    <col min="123" max="123" width="15.625" style="316" customWidth="1"/>
    <col min="124" max="124" width="17.25" style="316" customWidth="1"/>
    <col min="125" max="125" width="14.75" style="316" customWidth="1"/>
    <col min="126" max="126" width="17.375" style="316" customWidth="1"/>
    <col min="127" max="127" width="16.125" style="316" customWidth="1"/>
    <col min="128" max="128" width="13.375" style="316" customWidth="1"/>
    <col min="129" max="129" width="15.25" style="316" customWidth="1"/>
    <col min="130" max="130" width="17.125" style="316" customWidth="1"/>
    <col min="131" max="131" width="15.75" style="316" customWidth="1"/>
    <col min="132" max="132" width="15" style="316" customWidth="1"/>
    <col min="133" max="133" width="17.125" style="316" customWidth="1"/>
    <col min="134" max="135" width="18.625" style="316" customWidth="1"/>
    <col min="136" max="136" width="21.625" style="316" customWidth="1"/>
    <col min="137" max="137" width="21.375" style="316" customWidth="1"/>
    <col min="138" max="138" width="22.625" style="320" customWidth="1"/>
    <col min="139" max="140" width="28.125" style="320" customWidth="1"/>
    <col min="141" max="141" width="19.875" style="320" customWidth="1"/>
    <col min="142" max="142" width="29.25" style="316" customWidth="1"/>
    <col min="143" max="143" width="22.75" style="316" customWidth="1"/>
    <col min="144" max="144" width="24.125" style="316" customWidth="1"/>
    <col min="145" max="145" width="17.75" style="316" customWidth="1"/>
    <col min="146" max="146" width="19.125" style="316" customWidth="1"/>
    <col min="147" max="147" width="24.75" style="316" customWidth="1"/>
    <col min="148" max="148" width="16.875" style="316" customWidth="1"/>
    <col min="149" max="149" width="15.625" style="316" customWidth="1"/>
    <col min="150" max="150" width="23" style="316" customWidth="1"/>
    <col min="151" max="151" width="19" style="316" customWidth="1"/>
    <col min="152" max="152" width="18.75" style="316" customWidth="1"/>
    <col min="153" max="154" width="17.125" style="316" customWidth="1"/>
    <col min="155" max="155" width="15.375" style="316" customWidth="1"/>
    <col min="156" max="156" width="12.625" style="316" customWidth="1"/>
    <col min="157" max="157" width="15.25" style="316" customWidth="1"/>
    <col min="158" max="158" width="12.375" style="316" customWidth="1"/>
    <col min="159" max="159" width="13.125" style="316" customWidth="1"/>
    <col min="160" max="160" width="19" style="316" customWidth="1"/>
    <col min="161" max="161" width="14.125" style="316" customWidth="1"/>
    <col min="162" max="162" width="12.625" style="316" customWidth="1"/>
    <col min="163" max="163" width="15.25" style="316" customWidth="1"/>
    <col min="164" max="164" width="12.125" style="316" customWidth="1"/>
    <col min="165" max="165" width="11.75" style="316" customWidth="1"/>
    <col min="166" max="166" width="17.25" style="316" customWidth="1"/>
    <col min="167" max="167" width="14" style="316" customWidth="1"/>
    <col min="168" max="168" width="13.375" style="316" customWidth="1"/>
    <col min="169" max="169" width="15.25" style="316" customWidth="1"/>
    <col min="170" max="170" width="14.125" style="316" customWidth="1"/>
    <col min="171" max="171" width="13.375" style="316" customWidth="1"/>
    <col min="172" max="172" width="18.625" style="316" customWidth="1"/>
    <col min="173" max="173" width="17.75" style="316" customWidth="1"/>
    <col min="174" max="16384" width="9.125" style="316"/>
  </cols>
  <sheetData>
    <row r="1" spans="1:173" s="371" customFormat="1" ht="24" customHeight="1">
      <c r="A1" s="502" t="s">
        <v>27529</v>
      </c>
      <c r="C1" s="372"/>
      <c r="D1" s="372"/>
      <c r="E1" s="372"/>
      <c r="F1" s="504" t="s">
        <v>27530</v>
      </c>
      <c r="G1" s="505"/>
      <c r="H1" s="506" t="s">
        <v>27531</v>
      </c>
      <c r="I1" s="506"/>
      <c r="J1" s="506"/>
      <c r="K1" s="506"/>
      <c r="L1" s="506"/>
      <c r="M1" s="506"/>
      <c r="N1" s="506"/>
      <c r="O1" s="506"/>
      <c r="P1" s="506"/>
      <c r="Q1" s="506"/>
      <c r="R1" s="506"/>
      <c r="S1" s="506"/>
      <c r="T1" s="506"/>
      <c r="U1" s="506"/>
      <c r="V1" s="506"/>
      <c r="W1" s="506"/>
      <c r="X1" s="506"/>
      <c r="Y1" s="506"/>
      <c r="Z1" s="506"/>
      <c r="AA1" s="506"/>
      <c r="AB1" s="506"/>
      <c r="AC1" s="506"/>
      <c r="AD1" s="506"/>
      <c r="AE1" s="506"/>
      <c r="AF1" s="506"/>
      <c r="AG1" s="506"/>
      <c r="AH1" s="506"/>
      <c r="AI1" s="506"/>
      <c r="AJ1" s="506"/>
      <c r="AK1" s="506"/>
      <c r="AL1" s="506"/>
      <c r="AM1" s="506"/>
      <c r="AN1" s="506"/>
      <c r="AO1" s="506"/>
      <c r="AP1" s="506"/>
      <c r="AQ1" s="506"/>
      <c r="AR1" s="506"/>
      <c r="AS1" s="242"/>
      <c r="AT1" s="243" t="s">
        <v>27532</v>
      </c>
      <c r="AU1" s="244"/>
      <c r="AV1" s="245" t="s">
        <v>27533</v>
      </c>
      <c r="AW1" s="246"/>
      <c r="AX1" s="245" t="s">
        <v>27534</v>
      </c>
      <c r="AY1" s="247"/>
      <c r="AZ1" s="247"/>
      <c r="BA1" s="247"/>
      <c r="BB1" s="247"/>
      <c r="BC1" s="247"/>
      <c r="BD1" s="247"/>
      <c r="BE1" s="247"/>
      <c r="BF1" s="247"/>
      <c r="BG1" s="247"/>
      <c r="BH1" s="247"/>
      <c r="BI1" s="247"/>
      <c r="BJ1" s="247"/>
      <c r="BK1" s="247"/>
      <c r="BL1" s="248" t="s">
        <v>27535</v>
      </c>
      <c r="BM1" s="249"/>
      <c r="BN1" s="250"/>
      <c r="BO1" s="250"/>
      <c r="BP1" s="251"/>
      <c r="BQ1" s="249"/>
      <c r="BR1" s="249"/>
      <c r="BS1" s="252"/>
      <c r="BT1" s="253" t="s">
        <v>27536</v>
      </c>
      <c r="BU1" s="254" t="s">
        <v>27537</v>
      </c>
      <c r="BV1" s="255"/>
      <c r="BW1" s="256"/>
      <c r="BX1" s="257" t="s">
        <v>27538</v>
      </c>
      <c r="BY1" s="249"/>
      <c r="BZ1" s="249"/>
      <c r="CA1" s="249"/>
      <c r="CB1" s="249"/>
      <c r="CC1" s="249"/>
      <c r="CD1" s="254" t="s">
        <v>27539</v>
      </c>
      <c r="CE1" s="255"/>
      <c r="CF1" s="255"/>
      <c r="CG1" s="255"/>
      <c r="CH1" s="255"/>
      <c r="CI1" s="255"/>
      <c r="CJ1" s="249" t="s">
        <v>27540</v>
      </c>
      <c r="CK1" s="249"/>
      <c r="CL1" s="249"/>
      <c r="CM1" s="249"/>
      <c r="CN1" s="249"/>
      <c r="CO1" s="249"/>
      <c r="CP1" s="254" t="s">
        <v>27541</v>
      </c>
      <c r="CQ1" s="255"/>
      <c r="CR1" s="255"/>
      <c r="CS1" s="255"/>
      <c r="CT1" s="255"/>
      <c r="CU1" s="256"/>
      <c r="CV1" s="254" t="s">
        <v>27542</v>
      </c>
      <c r="CW1" s="255"/>
      <c r="CX1" s="255"/>
      <c r="CY1" s="255"/>
      <c r="CZ1" s="255"/>
      <c r="DA1" s="256"/>
      <c r="DB1" s="254" t="s">
        <v>27543</v>
      </c>
      <c r="DC1" s="255"/>
      <c r="DD1" s="255"/>
      <c r="DE1" s="255"/>
      <c r="DF1" s="255"/>
      <c r="DG1" s="256"/>
      <c r="DH1" s="254" t="s">
        <v>27544</v>
      </c>
      <c r="DI1" s="255"/>
      <c r="DJ1" s="255"/>
      <c r="DK1" s="255"/>
      <c r="DL1" s="255"/>
      <c r="DM1" s="256"/>
      <c r="DN1" s="254" t="s">
        <v>27545</v>
      </c>
      <c r="DO1" s="255"/>
      <c r="DP1" s="255"/>
      <c r="DQ1" s="255"/>
      <c r="DR1" s="255"/>
      <c r="DS1" s="256"/>
      <c r="DT1" s="254" t="s">
        <v>27546</v>
      </c>
      <c r="DU1" s="255"/>
      <c r="DV1" s="255"/>
      <c r="DW1" s="255"/>
      <c r="DX1" s="255"/>
      <c r="DY1" s="256"/>
      <c r="DZ1" s="254" t="s">
        <v>27547</v>
      </c>
      <c r="EA1" s="255"/>
      <c r="EB1" s="255"/>
      <c r="EC1" s="255"/>
      <c r="ED1" s="255"/>
      <c r="EE1" s="256"/>
      <c r="EF1" s="507" t="s">
        <v>27548</v>
      </c>
      <c r="EG1" s="508"/>
      <c r="EH1" s="258" t="s">
        <v>27549</v>
      </c>
      <c r="EI1" s="258"/>
      <c r="EJ1" s="259"/>
      <c r="EK1" s="260" t="s">
        <v>27550</v>
      </c>
      <c r="EL1" s="261" t="s">
        <v>27551</v>
      </c>
      <c r="EM1" s="253" t="s">
        <v>27552</v>
      </c>
      <c r="EN1" s="262" t="s">
        <v>27553</v>
      </c>
      <c r="EO1" s="262"/>
      <c r="EP1" s="262"/>
      <c r="EQ1" s="262"/>
      <c r="ER1" s="259" t="s">
        <v>27554</v>
      </c>
      <c r="ES1" s="263"/>
      <c r="ET1" s="263"/>
      <c r="EU1" s="264"/>
      <c r="EV1" s="259" t="s">
        <v>27555</v>
      </c>
      <c r="EW1" s="263"/>
      <c r="EX1" s="262" t="s">
        <v>27556</v>
      </c>
      <c r="EY1" s="262"/>
      <c r="EZ1" s="262"/>
      <c r="FA1" s="262"/>
      <c r="FB1" s="262"/>
      <c r="FC1" s="262"/>
      <c r="FD1" s="262"/>
      <c r="FE1" s="262"/>
      <c r="FF1" s="262"/>
      <c r="FG1" s="262"/>
      <c r="FH1" s="262"/>
      <c r="FI1" s="262"/>
      <c r="FJ1" s="262"/>
      <c r="FK1" s="262"/>
      <c r="FL1" s="262"/>
      <c r="FM1" s="262"/>
      <c r="FN1" s="262"/>
      <c r="FO1" s="262"/>
      <c r="FP1" s="509" t="s">
        <v>27557</v>
      </c>
      <c r="FQ1" s="510"/>
    </row>
    <row r="2" spans="1:173" s="373" customFormat="1" ht="24" customHeight="1">
      <c r="A2" s="503"/>
      <c r="B2" s="265" t="s">
        <v>27558</v>
      </c>
      <c r="C2" s="266"/>
      <c r="D2" s="267"/>
      <c r="E2" s="267"/>
      <c r="F2" s="504" t="s">
        <v>27559</v>
      </c>
      <c r="G2" s="505"/>
      <c r="H2" s="506" t="s">
        <v>27560</v>
      </c>
      <c r="I2" s="506"/>
      <c r="J2" s="506"/>
      <c r="K2" s="506"/>
      <c r="L2" s="506"/>
      <c r="M2" s="506"/>
      <c r="N2" s="506"/>
      <c r="O2" s="506"/>
      <c r="P2" s="506"/>
      <c r="Q2" s="506"/>
      <c r="R2" s="506"/>
      <c r="S2" s="506"/>
      <c r="T2" s="506"/>
      <c r="U2" s="506"/>
      <c r="V2" s="506"/>
      <c r="W2" s="506"/>
      <c r="X2" s="506"/>
      <c r="Y2" s="506"/>
      <c r="Z2" s="506"/>
      <c r="AA2" s="506"/>
      <c r="AB2" s="506"/>
      <c r="AC2" s="506"/>
      <c r="AD2" s="506"/>
      <c r="AE2" s="506"/>
      <c r="AF2" s="506"/>
      <c r="AG2" s="506"/>
      <c r="AH2" s="506"/>
      <c r="AI2" s="506"/>
      <c r="AJ2" s="506"/>
      <c r="AK2" s="506"/>
      <c r="AL2" s="506"/>
      <c r="AM2" s="506"/>
      <c r="AN2" s="506"/>
      <c r="AO2" s="506"/>
      <c r="AP2" s="506"/>
      <c r="AQ2" s="506"/>
      <c r="AR2" s="506"/>
      <c r="AS2" s="268"/>
      <c r="AT2" s="269"/>
      <c r="AU2" s="270"/>
      <c r="AV2" s="271" t="s">
        <v>27561</v>
      </c>
      <c r="AW2" s="270"/>
      <c r="AX2" s="271" t="s">
        <v>27561</v>
      </c>
      <c r="AY2" s="272"/>
      <c r="AZ2" s="272"/>
      <c r="BA2" s="272"/>
      <c r="BB2" s="272"/>
      <c r="BC2" s="272"/>
      <c r="BD2" s="272"/>
      <c r="BE2" s="272"/>
      <c r="BF2" s="272"/>
      <c r="BG2" s="272"/>
      <c r="BH2" s="272"/>
      <c r="BI2" s="272"/>
      <c r="BJ2" s="272"/>
      <c r="BK2" s="272"/>
      <c r="BL2" s="273" t="s">
        <v>27562</v>
      </c>
      <c r="BM2" s="274"/>
      <c r="BN2" s="511" t="s">
        <v>27563</v>
      </c>
      <c r="BO2" s="512"/>
      <c r="BP2" s="275" t="s">
        <v>27564</v>
      </c>
      <c r="BQ2" s="276" t="s">
        <v>27565</v>
      </c>
      <c r="BR2" s="274"/>
      <c r="BS2" s="277"/>
      <c r="BT2" s="278" t="s">
        <v>27566</v>
      </c>
      <c r="BU2" s="276" t="s">
        <v>27567</v>
      </c>
      <c r="BV2" s="274"/>
      <c r="BW2" s="279"/>
      <c r="BX2" s="276" t="s">
        <v>27568</v>
      </c>
      <c r="BY2" s="274"/>
      <c r="BZ2" s="274"/>
      <c r="CA2" s="274"/>
      <c r="CB2" s="274"/>
      <c r="CC2" s="274"/>
      <c r="CD2" s="276" t="s">
        <v>27568</v>
      </c>
      <c r="CE2" s="274"/>
      <c r="CF2" s="274"/>
      <c r="CG2" s="274"/>
      <c r="CH2" s="274"/>
      <c r="CI2" s="274"/>
      <c r="CJ2" s="276" t="s">
        <v>27568</v>
      </c>
      <c r="CK2" s="274"/>
      <c r="CL2" s="274"/>
      <c r="CM2" s="274"/>
      <c r="CN2" s="274"/>
      <c r="CO2" s="274"/>
      <c r="CP2" s="276" t="s">
        <v>27568</v>
      </c>
      <c r="CQ2" s="274"/>
      <c r="CR2" s="274"/>
      <c r="CS2" s="274"/>
      <c r="CT2" s="274"/>
      <c r="CU2" s="274"/>
      <c r="CV2" s="276" t="s">
        <v>27568</v>
      </c>
      <c r="CW2" s="274"/>
      <c r="CX2" s="274"/>
      <c r="CY2" s="274"/>
      <c r="CZ2" s="274"/>
      <c r="DA2" s="274"/>
      <c r="DB2" s="276" t="s">
        <v>27568</v>
      </c>
      <c r="DC2" s="274"/>
      <c r="DD2" s="274"/>
      <c r="DE2" s="274"/>
      <c r="DF2" s="274"/>
      <c r="DG2" s="274"/>
      <c r="DH2" s="276" t="s">
        <v>27568</v>
      </c>
      <c r="DI2" s="274"/>
      <c r="DJ2" s="274"/>
      <c r="DK2" s="274"/>
      <c r="DL2" s="274"/>
      <c r="DM2" s="274"/>
      <c r="DN2" s="276" t="s">
        <v>27568</v>
      </c>
      <c r="DO2" s="274"/>
      <c r="DP2" s="274"/>
      <c r="DQ2" s="274"/>
      <c r="DR2" s="274"/>
      <c r="DS2" s="274"/>
      <c r="DT2" s="276" t="s">
        <v>27568</v>
      </c>
      <c r="DU2" s="274"/>
      <c r="DV2" s="274"/>
      <c r="DW2" s="274"/>
      <c r="DX2" s="274"/>
      <c r="DY2" s="274"/>
      <c r="DZ2" s="276" t="s">
        <v>27568</v>
      </c>
      <c r="EA2" s="274"/>
      <c r="EB2" s="274"/>
      <c r="EC2" s="274"/>
      <c r="ED2" s="274"/>
      <c r="EE2" s="274"/>
      <c r="EF2" s="513" t="s">
        <v>27569</v>
      </c>
      <c r="EG2" s="514"/>
      <c r="EH2" s="282" t="s">
        <v>27570</v>
      </c>
      <c r="EI2" s="282" t="s">
        <v>27571</v>
      </c>
      <c r="EJ2" s="283"/>
      <c r="EK2" s="284" t="s">
        <v>272</v>
      </c>
      <c r="EL2" s="278" t="s">
        <v>27572</v>
      </c>
      <c r="EM2" s="285" t="s">
        <v>27552</v>
      </c>
      <c r="EN2" s="280" t="s">
        <v>27573</v>
      </c>
      <c r="EO2" s="285"/>
      <c r="EP2" s="281"/>
      <c r="EQ2" s="278" t="s">
        <v>27574</v>
      </c>
      <c r="ER2" s="285" t="s">
        <v>27575</v>
      </c>
      <c r="ES2" s="285"/>
      <c r="ET2" s="285"/>
      <c r="EU2" s="281"/>
      <c r="EV2" s="278" t="s">
        <v>27576</v>
      </c>
      <c r="EW2" s="280" t="s">
        <v>27577</v>
      </c>
      <c r="EX2" s="280" t="s">
        <v>27578</v>
      </c>
      <c r="EY2" s="285"/>
      <c r="EZ2" s="285"/>
      <c r="FA2" s="285"/>
      <c r="FB2" s="285"/>
      <c r="FC2" s="285"/>
      <c r="FD2" s="285"/>
      <c r="FE2" s="285"/>
      <c r="FF2" s="285"/>
      <c r="FG2" s="285"/>
      <c r="FH2" s="285"/>
      <c r="FI2" s="285"/>
      <c r="FJ2" s="285"/>
      <c r="FK2" s="285"/>
      <c r="FL2" s="285"/>
      <c r="FM2" s="285"/>
      <c r="FN2" s="285"/>
      <c r="FO2" s="285"/>
      <c r="FP2" s="513" t="s">
        <v>27579</v>
      </c>
      <c r="FQ2" s="514"/>
    </row>
    <row r="3" spans="1:173" s="373" customFormat="1" ht="24" customHeight="1">
      <c r="A3" s="286" t="s">
        <v>27580</v>
      </c>
      <c r="B3" s="287" t="s">
        <v>27581</v>
      </c>
      <c r="C3" s="287" t="s">
        <v>27582</v>
      </c>
      <c r="D3" s="287" t="s">
        <v>315</v>
      </c>
      <c r="E3" s="288" t="s">
        <v>339</v>
      </c>
      <c r="F3" s="288" t="s">
        <v>153</v>
      </c>
      <c r="G3" s="288" t="s">
        <v>160</v>
      </c>
      <c r="H3" s="287" t="s">
        <v>27583</v>
      </c>
      <c r="I3" s="287" t="s">
        <v>27584</v>
      </c>
      <c r="J3" s="287" t="s">
        <v>27585</v>
      </c>
      <c r="K3" s="287" t="s">
        <v>27586</v>
      </c>
      <c r="L3" s="287" t="s">
        <v>27587</v>
      </c>
      <c r="M3" s="287" t="s">
        <v>27588</v>
      </c>
      <c r="N3" s="287" t="s">
        <v>27589</v>
      </c>
      <c r="O3" s="287" t="s">
        <v>27590</v>
      </c>
      <c r="P3" s="287" t="s">
        <v>27591</v>
      </c>
      <c r="Q3" s="289" t="s">
        <v>27592</v>
      </c>
      <c r="R3" s="289" t="s">
        <v>27593</v>
      </c>
      <c r="S3" s="289" t="s">
        <v>27594</v>
      </c>
      <c r="T3" s="289" t="s">
        <v>47</v>
      </c>
      <c r="U3" s="289" t="s">
        <v>53</v>
      </c>
      <c r="V3" s="289" t="s">
        <v>51</v>
      </c>
      <c r="W3" s="287" t="s">
        <v>41</v>
      </c>
      <c r="X3" s="287" t="s">
        <v>58</v>
      </c>
      <c r="Y3" s="287" t="s">
        <v>63</v>
      </c>
      <c r="Z3" s="287" t="s">
        <v>27595</v>
      </c>
      <c r="AA3" s="287" t="s">
        <v>28170</v>
      </c>
      <c r="AB3" s="287" t="s">
        <v>28171</v>
      </c>
      <c r="AC3" s="287" t="s">
        <v>27598</v>
      </c>
      <c r="AD3" s="287" t="s">
        <v>27599</v>
      </c>
      <c r="AE3" s="287" t="s">
        <v>27600</v>
      </c>
      <c r="AF3" s="287" t="s">
        <v>96</v>
      </c>
      <c r="AG3" s="287" t="s">
        <v>27601</v>
      </c>
      <c r="AH3" s="98" t="s">
        <v>27602</v>
      </c>
      <c r="AI3" s="98" t="s">
        <v>27603</v>
      </c>
      <c r="AJ3" s="98" t="s">
        <v>27604</v>
      </c>
      <c r="AK3" s="98" t="s">
        <v>27605</v>
      </c>
      <c r="AL3" s="98" t="s">
        <v>27606</v>
      </c>
      <c r="AM3" s="98" t="s">
        <v>27607</v>
      </c>
      <c r="AN3" s="98" t="s">
        <v>27608</v>
      </c>
      <c r="AO3" s="98" t="s">
        <v>27609</v>
      </c>
      <c r="AP3" s="98" t="s">
        <v>27610</v>
      </c>
      <c r="AQ3" s="98" t="s">
        <v>27611</v>
      </c>
      <c r="AR3" s="287" t="s">
        <v>99</v>
      </c>
      <c r="AS3" s="287" t="s">
        <v>27612</v>
      </c>
      <c r="AT3" s="287" t="s">
        <v>38</v>
      </c>
      <c r="AU3" s="287" t="s">
        <v>27613</v>
      </c>
      <c r="AV3" s="288" t="s">
        <v>153</v>
      </c>
      <c r="AW3" s="288" t="s">
        <v>160</v>
      </c>
      <c r="AX3" s="287" t="s">
        <v>27583</v>
      </c>
      <c r="AY3" s="287" t="s">
        <v>27584</v>
      </c>
      <c r="AZ3" s="287" t="s">
        <v>27585</v>
      </c>
      <c r="BA3" s="287" t="s">
        <v>27586</v>
      </c>
      <c r="BB3" s="287" t="s">
        <v>27587</v>
      </c>
      <c r="BC3" s="287" t="s">
        <v>27588</v>
      </c>
      <c r="BD3" s="287" t="s">
        <v>27591</v>
      </c>
      <c r="BE3" s="287" t="s">
        <v>27592</v>
      </c>
      <c r="BF3" s="287" t="s">
        <v>27593</v>
      </c>
      <c r="BG3" s="287" t="s">
        <v>27594</v>
      </c>
      <c r="BH3" s="287" t="s">
        <v>47</v>
      </c>
      <c r="BI3" s="287" t="s">
        <v>53</v>
      </c>
      <c r="BJ3" s="287" t="s">
        <v>51</v>
      </c>
      <c r="BK3" s="287" t="s">
        <v>41</v>
      </c>
      <c r="BL3" s="287" t="s">
        <v>188</v>
      </c>
      <c r="BM3" s="287" t="s">
        <v>27614</v>
      </c>
      <c r="BN3" s="287" t="s">
        <v>27615</v>
      </c>
      <c r="BO3" s="287" t="s">
        <v>27616</v>
      </c>
      <c r="BP3" s="289" t="s">
        <v>27617</v>
      </c>
      <c r="BQ3" s="287" t="s">
        <v>27618</v>
      </c>
      <c r="BR3" s="287" t="s">
        <v>27619</v>
      </c>
      <c r="BS3" s="291" t="s">
        <v>122</v>
      </c>
      <c r="BT3" s="287" t="s">
        <v>27620</v>
      </c>
      <c r="BU3" s="287" t="s">
        <v>27621</v>
      </c>
      <c r="BV3" s="287" t="s">
        <v>27622</v>
      </c>
      <c r="BW3" s="287" t="s">
        <v>27623</v>
      </c>
      <c r="BX3" s="292" t="s">
        <v>27624</v>
      </c>
      <c r="BY3" s="287" t="s">
        <v>27625</v>
      </c>
      <c r="BZ3" s="287" t="s">
        <v>27626</v>
      </c>
      <c r="CA3" s="287" t="s">
        <v>27627</v>
      </c>
      <c r="CB3" s="287" t="s">
        <v>27628</v>
      </c>
      <c r="CC3" s="287" t="s">
        <v>27629</v>
      </c>
      <c r="CD3" s="292" t="s">
        <v>27630</v>
      </c>
      <c r="CE3" s="287" t="s">
        <v>27631</v>
      </c>
      <c r="CF3" s="287" t="s">
        <v>27632</v>
      </c>
      <c r="CG3" s="287" t="s">
        <v>27633</v>
      </c>
      <c r="CH3" s="287" t="s">
        <v>27634</v>
      </c>
      <c r="CI3" s="287" t="s">
        <v>27635</v>
      </c>
      <c r="CJ3" s="292" t="s">
        <v>27636</v>
      </c>
      <c r="CK3" s="287" t="s">
        <v>27637</v>
      </c>
      <c r="CL3" s="287" t="s">
        <v>27638</v>
      </c>
      <c r="CM3" s="287" t="s">
        <v>27639</v>
      </c>
      <c r="CN3" s="287" t="s">
        <v>27640</v>
      </c>
      <c r="CO3" s="287" t="s">
        <v>27641</v>
      </c>
      <c r="CP3" s="292" t="s">
        <v>27642</v>
      </c>
      <c r="CQ3" s="287" t="s">
        <v>27643</v>
      </c>
      <c r="CR3" s="287" t="s">
        <v>27644</v>
      </c>
      <c r="CS3" s="287" t="s">
        <v>27645</v>
      </c>
      <c r="CT3" s="287" t="s">
        <v>27646</v>
      </c>
      <c r="CU3" s="287" t="s">
        <v>27647</v>
      </c>
      <c r="CV3" s="292" t="s">
        <v>27648</v>
      </c>
      <c r="CW3" s="287" t="s">
        <v>27649</v>
      </c>
      <c r="CX3" s="287" t="s">
        <v>27650</v>
      </c>
      <c r="CY3" s="287" t="s">
        <v>27651</v>
      </c>
      <c r="CZ3" s="287" t="s">
        <v>27652</v>
      </c>
      <c r="DA3" s="287" t="s">
        <v>27653</v>
      </c>
      <c r="DB3" s="292" t="s">
        <v>27654</v>
      </c>
      <c r="DC3" s="287" t="s">
        <v>27655</v>
      </c>
      <c r="DD3" s="287" t="s">
        <v>27656</v>
      </c>
      <c r="DE3" s="287" t="s">
        <v>27657</v>
      </c>
      <c r="DF3" s="287" t="s">
        <v>27658</v>
      </c>
      <c r="DG3" s="287" t="s">
        <v>27659</v>
      </c>
      <c r="DH3" s="292" t="s">
        <v>27660</v>
      </c>
      <c r="DI3" s="287" t="s">
        <v>27661</v>
      </c>
      <c r="DJ3" s="287" t="s">
        <v>27662</v>
      </c>
      <c r="DK3" s="287" t="s">
        <v>27663</v>
      </c>
      <c r="DL3" s="287" t="s">
        <v>27664</v>
      </c>
      <c r="DM3" s="287" t="s">
        <v>27665</v>
      </c>
      <c r="DN3" s="292" t="s">
        <v>27666</v>
      </c>
      <c r="DO3" s="287" t="s">
        <v>27667</v>
      </c>
      <c r="DP3" s="287" t="s">
        <v>27668</v>
      </c>
      <c r="DQ3" s="287" t="s">
        <v>27669</v>
      </c>
      <c r="DR3" s="287" t="s">
        <v>27670</v>
      </c>
      <c r="DS3" s="287" t="s">
        <v>27671</v>
      </c>
      <c r="DT3" s="292" t="s">
        <v>27672</v>
      </c>
      <c r="DU3" s="287" t="s">
        <v>27673</v>
      </c>
      <c r="DV3" s="287" t="s">
        <v>27674</v>
      </c>
      <c r="DW3" s="287" t="s">
        <v>27675</v>
      </c>
      <c r="DX3" s="287" t="s">
        <v>27676</v>
      </c>
      <c r="DY3" s="287" t="s">
        <v>27677</v>
      </c>
      <c r="DZ3" s="292" t="s">
        <v>27678</v>
      </c>
      <c r="EA3" s="287" t="s">
        <v>27679</v>
      </c>
      <c r="EB3" s="287" t="s">
        <v>27680</v>
      </c>
      <c r="EC3" s="287" t="s">
        <v>27681</v>
      </c>
      <c r="ED3" s="287" t="s">
        <v>27682</v>
      </c>
      <c r="EE3" s="287" t="s">
        <v>27683</v>
      </c>
      <c r="EF3" s="287" t="s">
        <v>27684</v>
      </c>
      <c r="EG3" s="287" t="s">
        <v>27685</v>
      </c>
      <c r="EH3" s="287" t="s">
        <v>340</v>
      </c>
      <c r="EI3" s="287" t="s">
        <v>27686</v>
      </c>
      <c r="EJ3" s="287" t="s">
        <v>27687</v>
      </c>
      <c r="EK3" s="287" t="s">
        <v>341</v>
      </c>
      <c r="EL3" s="289" t="s">
        <v>27688</v>
      </c>
      <c r="EM3" s="287" t="s">
        <v>13</v>
      </c>
      <c r="EN3" s="287" t="s">
        <v>324</v>
      </c>
      <c r="EO3" s="287" t="s">
        <v>27689</v>
      </c>
      <c r="EP3" s="287" t="s">
        <v>27690</v>
      </c>
      <c r="EQ3" s="287" t="s">
        <v>11</v>
      </c>
      <c r="ER3" s="287" t="s">
        <v>140</v>
      </c>
      <c r="ES3" s="287" t="s">
        <v>27691</v>
      </c>
      <c r="ET3" s="287" t="s">
        <v>27692</v>
      </c>
      <c r="EU3" s="287" t="s">
        <v>27693</v>
      </c>
      <c r="EV3" s="287" t="s">
        <v>27694</v>
      </c>
      <c r="EW3" s="287" t="s">
        <v>27695</v>
      </c>
      <c r="EX3" s="287" t="s">
        <v>27696</v>
      </c>
      <c r="EY3" s="287" t="s">
        <v>289</v>
      </c>
      <c r="EZ3" s="287" t="s">
        <v>27697</v>
      </c>
      <c r="FA3" s="287" t="s">
        <v>27698</v>
      </c>
      <c r="FB3" s="287" t="s">
        <v>27699</v>
      </c>
      <c r="FC3" s="287" t="s">
        <v>27700</v>
      </c>
      <c r="FD3" s="287" t="s">
        <v>27696</v>
      </c>
      <c r="FE3" s="287" t="s">
        <v>289</v>
      </c>
      <c r="FF3" s="287" t="s">
        <v>27697</v>
      </c>
      <c r="FG3" s="287" t="s">
        <v>27698</v>
      </c>
      <c r="FH3" s="287" t="s">
        <v>27699</v>
      </c>
      <c r="FI3" s="287" t="s">
        <v>27700</v>
      </c>
      <c r="FJ3" s="287" t="s">
        <v>27696</v>
      </c>
      <c r="FK3" s="287" t="s">
        <v>289</v>
      </c>
      <c r="FL3" s="287" t="s">
        <v>27697</v>
      </c>
      <c r="FM3" s="287" t="s">
        <v>27698</v>
      </c>
      <c r="FN3" s="287" t="s">
        <v>27699</v>
      </c>
      <c r="FO3" s="287" t="s">
        <v>27700</v>
      </c>
      <c r="FP3" s="287" t="s">
        <v>27701</v>
      </c>
      <c r="FQ3" s="287" t="s">
        <v>338</v>
      </c>
    </row>
    <row r="4" spans="1:173" s="317" customFormat="1" ht="28.5">
      <c r="A4" s="293" t="s">
        <v>27704</v>
      </c>
      <c r="B4" s="294" t="s">
        <v>27705</v>
      </c>
      <c r="C4" s="294" t="s">
        <v>27705</v>
      </c>
      <c r="D4" s="294" t="s">
        <v>27705</v>
      </c>
      <c r="E4" s="295" t="s">
        <v>27706</v>
      </c>
      <c r="F4" s="295" t="s">
        <v>27706</v>
      </c>
      <c r="G4" s="295" t="s">
        <v>27706</v>
      </c>
      <c r="H4" s="296" t="s">
        <v>27706</v>
      </c>
      <c r="I4" s="296" t="s">
        <v>27706</v>
      </c>
      <c r="J4" s="296" t="s">
        <v>27706</v>
      </c>
      <c r="K4" s="296" t="s">
        <v>27706</v>
      </c>
      <c r="L4" s="296" t="s">
        <v>27707</v>
      </c>
      <c r="M4" s="296" t="s">
        <v>27707</v>
      </c>
      <c r="N4" s="297" t="s">
        <v>27708</v>
      </c>
      <c r="O4" s="297" t="s">
        <v>27708</v>
      </c>
      <c r="P4" s="297" t="s">
        <v>27708</v>
      </c>
      <c r="Q4" s="298" t="s">
        <v>27709</v>
      </c>
      <c r="R4" s="298" t="s">
        <v>27709</v>
      </c>
      <c r="S4" s="298" t="s">
        <v>27709</v>
      </c>
      <c r="T4" s="298" t="s">
        <v>27709</v>
      </c>
      <c r="U4" s="298" t="s">
        <v>27709</v>
      </c>
      <c r="V4" s="298" t="s">
        <v>27709</v>
      </c>
      <c r="W4" s="299" t="s">
        <v>27709</v>
      </c>
      <c r="X4" s="299" t="s">
        <v>27709</v>
      </c>
      <c r="Y4" s="299" t="s">
        <v>27709</v>
      </c>
      <c r="Z4" s="300" t="s">
        <v>27710</v>
      </c>
      <c r="AA4" s="300" t="s">
        <v>27711</v>
      </c>
      <c r="AB4" s="300" t="s">
        <v>27711</v>
      </c>
      <c r="AC4" s="300" t="s">
        <v>27711</v>
      </c>
      <c r="AD4" s="300" t="s">
        <v>27711</v>
      </c>
      <c r="AE4" s="300" t="s">
        <v>27711</v>
      </c>
      <c r="AF4" s="300" t="s">
        <v>27711</v>
      </c>
      <c r="AG4" s="300" t="s">
        <v>27711</v>
      </c>
      <c r="AH4" s="107" t="s">
        <v>27711</v>
      </c>
      <c r="AI4" s="107" t="s">
        <v>27711</v>
      </c>
      <c r="AJ4" s="107" t="s">
        <v>27711</v>
      </c>
      <c r="AK4" s="107" t="s">
        <v>27711</v>
      </c>
      <c r="AL4" s="107" t="s">
        <v>27711</v>
      </c>
      <c r="AM4" s="107" t="s">
        <v>27711</v>
      </c>
      <c r="AN4" s="107" t="s">
        <v>27711</v>
      </c>
      <c r="AO4" s="107" t="s">
        <v>27711</v>
      </c>
      <c r="AP4" s="107" t="s">
        <v>27711</v>
      </c>
      <c r="AQ4" s="107" t="s">
        <v>27711</v>
      </c>
      <c r="AR4" s="300" t="s">
        <v>27712</v>
      </c>
      <c r="AS4" s="297" t="s">
        <v>27707</v>
      </c>
      <c r="AT4" s="297"/>
      <c r="AU4" s="297"/>
      <c r="AV4" s="295" t="s">
        <v>27713</v>
      </c>
      <c r="AW4" s="295" t="s">
        <v>27713</v>
      </c>
      <c r="AX4" s="296" t="s">
        <v>27708</v>
      </c>
      <c r="AY4" s="296" t="s">
        <v>27708</v>
      </c>
      <c r="AZ4" s="296" t="s">
        <v>27708</v>
      </c>
      <c r="BA4" s="297" t="s">
        <v>27708</v>
      </c>
      <c r="BB4" s="299" t="s">
        <v>27709</v>
      </c>
      <c r="BC4" s="297" t="s">
        <v>27708</v>
      </c>
      <c r="BD4" s="297" t="s">
        <v>27708</v>
      </c>
      <c r="BE4" s="299" t="s">
        <v>27709</v>
      </c>
      <c r="BF4" s="299" t="s">
        <v>27709</v>
      </c>
      <c r="BG4" s="299" t="s">
        <v>27709</v>
      </c>
      <c r="BH4" s="299" t="s">
        <v>27709</v>
      </c>
      <c r="BI4" s="299" t="s">
        <v>27709</v>
      </c>
      <c r="BJ4" s="299" t="s">
        <v>27709</v>
      </c>
      <c r="BK4" s="299" t="s">
        <v>27709</v>
      </c>
      <c r="BL4" s="297" t="s">
        <v>27706</v>
      </c>
      <c r="BM4" s="297" t="s">
        <v>27706</v>
      </c>
      <c r="BN4" s="297" t="s">
        <v>27707</v>
      </c>
      <c r="BO4" s="297" t="s">
        <v>27707</v>
      </c>
      <c r="BP4" s="301" t="s">
        <v>27706</v>
      </c>
      <c r="BQ4" s="297" t="s">
        <v>27706</v>
      </c>
      <c r="BR4" s="297" t="s">
        <v>27714</v>
      </c>
      <c r="BS4" s="302" t="s">
        <v>27714</v>
      </c>
      <c r="BT4" s="303" t="s">
        <v>27715</v>
      </c>
      <c r="BU4" s="303" t="s">
        <v>27707</v>
      </c>
      <c r="BV4" s="303" t="s">
        <v>27716</v>
      </c>
      <c r="BW4" s="303" t="s">
        <v>27716</v>
      </c>
      <c r="BX4" s="303" t="s">
        <v>27717</v>
      </c>
      <c r="BY4" s="297" t="s">
        <v>27717</v>
      </c>
      <c r="BZ4" s="297" t="s">
        <v>27717</v>
      </c>
      <c r="CA4" s="297" t="s">
        <v>27717</v>
      </c>
      <c r="CB4" s="297" t="s">
        <v>27717</v>
      </c>
      <c r="CC4" s="297" t="s">
        <v>27717</v>
      </c>
      <c r="CD4" s="303" t="s">
        <v>27717</v>
      </c>
      <c r="CE4" s="297" t="s">
        <v>27717</v>
      </c>
      <c r="CF4" s="297" t="s">
        <v>27717</v>
      </c>
      <c r="CG4" s="297" t="s">
        <v>27717</v>
      </c>
      <c r="CH4" s="297" t="s">
        <v>27717</v>
      </c>
      <c r="CI4" s="297" t="s">
        <v>27717</v>
      </c>
      <c r="CJ4" s="303" t="s">
        <v>27717</v>
      </c>
      <c r="CK4" s="297" t="s">
        <v>27717</v>
      </c>
      <c r="CL4" s="297" t="s">
        <v>27717</v>
      </c>
      <c r="CM4" s="297" t="s">
        <v>27717</v>
      </c>
      <c r="CN4" s="297" t="s">
        <v>27717</v>
      </c>
      <c r="CO4" s="297" t="s">
        <v>27717</v>
      </c>
      <c r="CP4" s="303" t="s">
        <v>27717</v>
      </c>
      <c r="CQ4" s="297" t="s">
        <v>27717</v>
      </c>
      <c r="CR4" s="297" t="s">
        <v>27717</v>
      </c>
      <c r="CS4" s="297" t="s">
        <v>27717</v>
      </c>
      <c r="CT4" s="297" t="s">
        <v>27717</v>
      </c>
      <c r="CU4" s="297" t="s">
        <v>27717</v>
      </c>
      <c r="CV4" s="303" t="s">
        <v>27717</v>
      </c>
      <c r="CW4" s="297" t="s">
        <v>27717</v>
      </c>
      <c r="CX4" s="297" t="s">
        <v>27717</v>
      </c>
      <c r="CY4" s="297" t="s">
        <v>27717</v>
      </c>
      <c r="CZ4" s="297" t="s">
        <v>27717</v>
      </c>
      <c r="DA4" s="297" t="s">
        <v>27717</v>
      </c>
      <c r="DB4" s="303" t="s">
        <v>27717</v>
      </c>
      <c r="DC4" s="297" t="s">
        <v>27717</v>
      </c>
      <c r="DD4" s="297" t="s">
        <v>27717</v>
      </c>
      <c r="DE4" s="297" t="s">
        <v>27717</v>
      </c>
      <c r="DF4" s="297" t="s">
        <v>27717</v>
      </c>
      <c r="DG4" s="297" t="s">
        <v>27717</v>
      </c>
      <c r="DH4" s="303" t="s">
        <v>27717</v>
      </c>
      <c r="DI4" s="297" t="s">
        <v>27717</v>
      </c>
      <c r="DJ4" s="297" t="s">
        <v>27717</v>
      </c>
      <c r="DK4" s="297" t="s">
        <v>27717</v>
      </c>
      <c r="DL4" s="297" t="s">
        <v>27717</v>
      </c>
      <c r="DM4" s="297" t="s">
        <v>27717</v>
      </c>
      <c r="DN4" s="303" t="s">
        <v>27717</v>
      </c>
      <c r="DO4" s="297" t="s">
        <v>27717</v>
      </c>
      <c r="DP4" s="297" t="s">
        <v>27717</v>
      </c>
      <c r="DQ4" s="297" t="s">
        <v>27717</v>
      </c>
      <c r="DR4" s="297" t="s">
        <v>27717</v>
      </c>
      <c r="DS4" s="297" t="s">
        <v>27717</v>
      </c>
      <c r="DT4" s="303" t="s">
        <v>27717</v>
      </c>
      <c r="DU4" s="297" t="s">
        <v>27717</v>
      </c>
      <c r="DV4" s="297" t="s">
        <v>27717</v>
      </c>
      <c r="DW4" s="297" t="s">
        <v>27717</v>
      </c>
      <c r="DX4" s="297" t="s">
        <v>27717</v>
      </c>
      <c r="DY4" s="297" t="s">
        <v>27717</v>
      </c>
      <c r="DZ4" s="303" t="s">
        <v>27717</v>
      </c>
      <c r="EA4" s="297" t="s">
        <v>27717</v>
      </c>
      <c r="EB4" s="297" t="s">
        <v>27717</v>
      </c>
      <c r="EC4" s="297" t="s">
        <v>27717</v>
      </c>
      <c r="ED4" s="297" t="s">
        <v>27717</v>
      </c>
      <c r="EE4" s="297" t="s">
        <v>27717</v>
      </c>
      <c r="EF4" s="294" t="s">
        <v>27718</v>
      </c>
      <c r="EG4" s="297" t="s">
        <v>27718</v>
      </c>
      <c r="EH4" s="297" t="s">
        <v>27718</v>
      </c>
      <c r="EI4" s="297" t="s">
        <v>27718</v>
      </c>
      <c r="EJ4" s="297" t="s">
        <v>27718</v>
      </c>
      <c r="EK4" s="294" t="s">
        <v>27719</v>
      </c>
      <c r="EL4" s="294"/>
      <c r="EM4" s="294" t="s">
        <v>27720</v>
      </c>
      <c r="EN4" s="297" t="s">
        <v>27721</v>
      </c>
      <c r="EO4" s="297" t="s">
        <v>27721</v>
      </c>
      <c r="EP4" s="297" t="s">
        <v>27721</v>
      </c>
      <c r="EQ4" s="297" t="s">
        <v>27721</v>
      </c>
      <c r="ER4" s="297" t="s">
        <v>27721</v>
      </c>
      <c r="ES4" s="297" t="s">
        <v>27721</v>
      </c>
      <c r="ET4" s="297" t="s">
        <v>27721</v>
      </c>
      <c r="EU4" s="297" t="s">
        <v>27721</v>
      </c>
      <c r="EV4" s="297" t="s">
        <v>27722</v>
      </c>
      <c r="EW4" s="297" t="s">
        <v>27721</v>
      </c>
      <c r="EX4" s="297" t="s">
        <v>27723</v>
      </c>
      <c r="EY4" s="297" t="s">
        <v>27723</v>
      </c>
      <c r="EZ4" s="297" t="s">
        <v>27723</v>
      </c>
      <c r="FA4" s="297" t="s">
        <v>27723</v>
      </c>
      <c r="FB4" s="297" t="s">
        <v>27723</v>
      </c>
      <c r="FC4" s="297" t="s">
        <v>27723</v>
      </c>
      <c r="FD4" s="297" t="s">
        <v>27723</v>
      </c>
      <c r="FE4" s="297" t="s">
        <v>27723</v>
      </c>
      <c r="FF4" s="297" t="s">
        <v>27723</v>
      </c>
      <c r="FG4" s="297" t="s">
        <v>27723</v>
      </c>
      <c r="FH4" s="297" t="s">
        <v>27723</v>
      </c>
      <c r="FI4" s="297" t="s">
        <v>27723</v>
      </c>
      <c r="FJ4" s="297" t="s">
        <v>27723</v>
      </c>
      <c r="FK4" s="297" t="s">
        <v>27723</v>
      </c>
      <c r="FL4" s="297" t="s">
        <v>27723</v>
      </c>
      <c r="FM4" s="297" t="s">
        <v>27723</v>
      </c>
      <c r="FN4" s="297" t="s">
        <v>27723</v>
      </c>
      <c r="FO4" s="297" t="s">
        <v>27723</v>
      </c>
      <c r="FP4" s="297" t="s">
        <v>27724</v>
      </c>
      <c r="FQ4" s="297" t="s">
        <v>27724</v>
      </c>
    </row>
    <row r="5" spans="1:173" s="317" customFormat="1" ht="24" customHeight="1">
      <c r="A5" s="293" t="s">
        <v>27725</v>
      </c>
      <c r="B5" s="294" t="s">
        <v>27726</v>
      </c>
      <c r="C5" s="297" t="s">
        <v>27727</v>
      </c>
      <c r="D5" s="297" t="s">
        <v>27728</v>
      </c>
      <c r="E5" s="295" t="s">
        <v>27729</v>
      </c>
      <c r="F5" s="297" t="s">
        <v>27730</v>
      </c>
      <c r="G5" s="297" t="s">
        <v>27731</v>
      </c>
      <c r="H5" s="297" t="s">
        <v>27732</v>
      </c>
      <c r="I5" s="297" t="s">
        <v>27733</v>
      </c>
      <c r="J5" s="297" t="s">
        <v>27734</v>
      </c>
      <c r="K5" s="297" t="s">
        <v>27735</v>
      </c>
      <c r="L5" s="297" t="s">
        <v>27736</v>
      </c>
      <c r="M5" s="297" t="s">
        <v>27737</v>
      </c>
      <c r="N5" s="297" t="s">
        <v>27738</v>
      </c>
      <c r="O5" s="297" t="s">
        <v>27739</v>
      </c>
      <c r="P5" s="297" t="s">
        <v>27740</v>
      </c>
      <c r="Q5" s="301" t="s">
        <v>27741</v>
      </c>
      <c r="R5" s="301" t="s">
        <v>27742</v>
      </c>
      <c r="S5" s="301" t="s">
        <v>27743</v>
      </c>
      <c r="T5" s="301" t="s">
        <v>27744</v>
      </c>
      <c r="U5" s="301" t="s">
        <v>27745</v>
      </c>
      <c r="V5" s="301" t="s">
        <v>27746</v>
      </c>
      <c r="W5" s="297" t="s">
        <v>27747</v>
      </c>
      <c r="X5" s="297" t="s">
        <v>27748</v>
      </c>
      <c r="Y5" s="297" t="s">
        <v>27749</v>
      </c>
      <c r="Z5" s="297" t="s">
        <v>27750</v>
      </c>
      <c r="AA5" s="297" t="s">
        <v>27751</v>
      </c>
      <c r="AB5" s="297" t="s">
        <v>27752</v>
      </c>
      <c r="AC5" s="297" t="s">
        <v>27751</v>
      </c>
      <c r="AD5" s="297" t="s">
        <v>27752</v>
      </c>
      <c r="AE5" s="297" t="s">
        <v>27753</v>
      </c>
      <c r="AF5" s="297" t="s">
        <v>27754</v>
      </c>
      <c r="AG5" s="297" t="s">
        <v>27755</v>
      </c>
      <c r="AH5" s="108" t="s">
        <v>27756</v>
      </c>
      <c r="AI5" s="108" t="s">
        <v>27757</v>
      </c>
      <c r="AJ5" s="108" t="s">
        <v>27756</v>
      </c>
      <c r="AK5" s="108" t="s">
        <v>27757</v>
      </c>
      <c r="AL5" s="108" t="s">
        <v>27756</v>
      </c>
      <c r="AM5" s="108" t="s">
        <v>27757</v>
      </c>
      <c r="AN5" s="108" t="s">
        <v>27756</v>
      </c>
      <c r="AO5" s="108" t="s">
        <v>27757</v>
      </c>
      <c r="AP5" s="108" t="s">
        <v>27756</v>
      </c>
      <c r="AQ5" s="108" t="s">
        <v>27757</v>
      </c>
      <c r="AR5" s="297" t="s">
        <v>27758</v>
      </c>
      <c r="AS5" s="294" t="s">
        <v>27759</v>
      </c>
      <c r="AT5" s="297"/>
      <c r="AU5" s="297"/>
      <c r="AV5" s="297" t="s">
        <v>27730</v>
      </c>
      <c r="AW5" s="297" t="s">
        <v>27731</v>
      </c>
      <c r="AX5" s="297" t="s">
        <v>27760</v>
      </c>
      <c r="AY5" s="297" t="s">
        <v>27761</v>
      </c>
      <c r="AZ5" s="297" t="s">
        <v>27762</v>
      </c>
      <c r="BA5" s="297" t="s">
        <v>27763</v>
      </c>
      <c r="BB5" s="294" t="s">
        <v>27764</v>
      </c>
      <c r="BC5" s="297" t="s">
        <v>27765</v>
      </c>
      <c r="BD5" s="297" t="s">
        <v>27740</v>
      </c>
      <c r="BE5" s="297" t="s">
        <v>27741</v>
      </c>
      <c r="BF5" s="297" t="s">
        <v>27742</v>
      </c>
      <c r="BG5" s="297" t="s">
        <v>27743</v>
      </c>
      <c r="BH5" s="297" t="s">
        <v>27744</v>
      </c>
      <c r="BI5" s="297" t="s">
        <v>27745</v>
      </c>
      <c r="BJ5" s="297" t="s">
        <v>27746</v>
      </c>
      <c r="BK5" s="297" t="s">
        <v>27747</v>
      </c>
      <c r="BL5" s="294" t="s">
        <v>27766</v>
      </c>
      <c r="BM5" s="297" t="s">
        <v>27767</v>
      </c>
      <c r="BN5" s="297" t="s">
        <v>27768</v>
      </c>
      <c r="BO5" s="297" t="s">
        <v>27769</v>
      </c>
      <c r="BP5" s="301" t="s">
        <v>27770</v>
      </c>
      <c r="BQ5" s="297" t="s">
        <v>27771</v>
      </c>
      <c r="BR5" s="297" t="s">
        <v>27772</v>
      </c>
      <c r="BS5" s="304" t="s">
        <v>27773</v>
      </c>
      <c r="BT5" s="297" t="s">
        <v>27774</v>
      </c>
      <c r="BU5" s="297" t="s">
        <v>27775</v>
      </c>
      <c r="BV5" s="297" t="s">
        <v>27776</v>
      </c>
      <c r="BW5" s="297" t="s">
        <v>27777</v>
      </c>
      <c r="BX5" s="297" t="s">
        <v>27778</v>
      </c>
      <c r="BY5" s="297" t="s">
        <v>27779</v>
      </c>
      <c r="BZ5" s="297" t="s">
        <v>27780</v>
      </c>
      <c r="CA5" s="297" t="s">
        <v>27781</v>
      </c>
      <c r="CB5" s="297" t="s">
        <v>27782</v>
      </c>
      <c r="CC5" s="297" t="s">
        <v>27783</v>
      </c>
      <c r="CD5" s="297" t="s">
        <v>27784</v>
      </c>
      <c r="CE5" s="297" t="s">
        <v>27785</v>
      </c>
      <c r="CF5" s="297" t="s">
        <v>27786</v>
      </c>
      <c r="CG5" s="297" t="s">
        <v>27787</v>
      </c>
      <c r="CH5" s="297" t="s">
        <v>27788</v>
      </c>
      <c r="CI5" s="297" t="s">
        <v>27789</v>
      </c>
      <c r="CJ5" s="297" t="s">
        <v>27790</v>
      </c>
      <c r="CK5" s="297" t="s">
        <v>27791</v>
      </c>
      <c r="CL5" s="297" t="s">
        <v>27792</v>
      </c>
      <c r="CM5" s="297" t="s">
        <v>27793</v>
      </c>
      <c r="CN5" s="297" t="s">
        <v>27794</v>
      </c>
      <c r="CO5" s="297" t="s">
        <v>27795</v>
      </c>
      <c r="CP5" s="297" t="s">
        <v>27796</v>
      </c>
      <c r="CQ5" s="297" t="s">
        <v>27797</v>
      </c>
      <c r="CR5" s="297" t="s">
        <v>27798</v>
      </c>
      <c r="CS5" s="297" t="s">
        <v>27799</v>
      </c>
      <c r="CT5" s="297" t="s">
        <v>27800</v>
      </c>
      <c r="CU5" s="297" t="s">
        <v>27801</v>
      </c>
      <c r="CV5" s="297" t="s">
        <v>27796</v>
      </c>
      <c r="CW5" s="297" t="s">
        <v>27797</v>
      </c>
      <c r="CX5" s="297" t="s">
        <v>27802</v>
      </c>
      <c r="CY5" s="297" t="s">
        <v>27799</v>
      </c>
      <c r="CZ5" s="297" t="s">
        <v>27800</v>
      </c>
      <c r="DA5" s="297" t="s">
        <v>27801</v>
      </c>
      <c r="DB5" s="297" t="s">
        <v>27796</v>
      </c>
      <c r="DC5" s="297" t="s">
        <v>27797</v>
      </c>
      <c r="DD5" s="297" t="s">
        <v>27803</v>
      </c>
      <c r="DE5" s="297" t="s">
        <v>27799</v>
      </c>
      <c r="DF5" s="297" t="s">
        <v>27800</v>
      </c>
      <c r="DG5" s="297" t="s">
        <v>27801</v>
      </c>
      <c r="DH5" s="297" t="s">
        <v>27796</v>
      </c>
      <c r="DI5" s="297" t="s">
        <v>27797</v>
      </c>
      <c r="DJ5" s="297" t="s">
        <v>27804</v>
      </c>
      <c r="DK5" s="297" t="s">
        <v>27799</v>
      </c>
      <c r="DL5" s="297" t="s">
        <v>27800</v>
      </c>
      <c r="DM5" s="297" t="s">
        <v>27801</v>
      </c>
      <c r="DN5" s="297" t="s">
        <v>27796</v>
      </c>
      <c r="DO5" s="297" t="s">
        <v>27797</v>
      </c>
      <c r="DP5" s="297" t="s">
        <v>27805</v>
      </c>
      <c r="DQ5" s="297" t="s">
        <v>27799</v>
      </c>
      <c r="DR5" s="297" t="s">
        <v>27800</v>
      </c>
      <c r="DS5" s="297" t="s">
        <v>27801</v>
      </c>
      <c r="DT5" s="297" t="s">
        <v>27796</v>
      </c>
      <c r="DU5" s="297" t="s">
        <v>27797</v>
      </c>
      <c r="DV5" s="297" t="s">
        <v>27806</v>
      </c>
      <c r="DW5" s="297" t="s">
        <v>27799</v>
      </c>
      <c r="DX5" s="297" t="s">
        <v>27800</v>
      </c>
      <c r="DY5" s="297" t="s">
        <v>27801</v>
      </c>
      <c r="DZ5" s="297" t="s">
        <v>27796</v>
      </c>
      <c r="EA5" s="297" t="s">
        <v>27797</v>
      </c>
      <c r="EB5" s="297" t="s">
        <v>27807</v>
      </c>
      <c r="EC5" s="297" t="s">
        <v>27799</v>
      </c>
      <c r="ED5" s="297" t="s">
        <v>27800</v>
      </c>
      <c r="EE5" s="297" t="s">
        <v>27801</v>
      </c>
      <c r="EF5" s="294" t="s">
        <v>27808</v>
      </c>
      <c r="EG5" s="297" t="s">
        <v>27809</v>
      </c>
      <c r="EH5" s="297" t="s">
        <v>27810</v>
      </c>
      <c r="EI5" s="297" t="s">
        <v>27811</v>
      </c>
      <c r="EJ5" s="297" t="s">
        <v>27812</v>
      </c>
      <c r="EK5" s="294" t="s">
        <v>27813</v>
      </c>
      <c r="EL5" s="294"/>
      <c r="EM5" s="294" t="s">
        <v>27814</v>
      </c>
      <c r="EN5" s="297" t="s">
        <v>27815</v>
      </c>
      <c r="EO5" s="297" t="s">
        <v>27816</v>
      </c>
      <c r="EP5" s="297" t="s">
        <v>27817</v>
      </c>
      <c r="EQ5" s="297" t="s">
        <v>27818</v>
      </c>
      <c r="ER5" s="297" t="s">
        <v>27819</v>
      </c>
      <c r="ES5" s="297" t="s">
        <v>27820</v>
      </c>
      <c r="ET5" s="297" t="s">
        <v>27821</v>
      </c>
      <c r="EU5" s="297" t="s">
        <v>27822</v>
      </c>
      <c r="EV5" s="297" t="s">
        <v>27823</v>
      </c>
      <c r="EW5" s="297" t="s">
        <v>27824</v>
      </c>
      <c r="EX5" s="297" t="s">
        <v>27825</v>
      </c>
      <c r="EY5" s="297" t="s">
        <v>27826</v>
      </c>
      <c r="EZ5" s="297" t="s">
        <v>27827</v>
      </c>
      <c r="FA5" s="297" t="s">
        <v>27828</v>
      </c>
      <c r="FB5" s="297" t="s">
        <v>27829</v>
      </c>
      <c r="FC5" s="297" t="s">
        <v>27830</v>
      </c>
      <c r="FD5" s="297" t="s">
        <v>27831</v>
      </c>
      <c r="FE5" s="297" t="s">
        <v>27832</v>
      </c>
      <c r="FF5" s="297" t="s">
        <v>27827</v>
      </c>
      <c r="FG5" s="297" t="s">
        <v>27828</v>
      </c>
      <c r="FH5" s="297" t="s">
        <v>27833</v>
      </c>
      <c r="FI5" s="297" t="s">
        <v>27834</v>
      </c>
      <c r="FJ5" s="297" t="s">
        <v>27835</v>
      </c>
      <c r="FK5" s="297" t="s">
        <v>27836</v>
      </c>
      <c r="FL5" s="297" t="s">
        <v>27827</v>
      </c>
      <c r="FM5" s="297" t="s">
        <v>27828</v>
      </c>
      <c r="FN5" s="297" t="s">
        <v>27837</v>
      </c>
      <c r="FO5" s="297" t="s">
        <v>27838</v>
      </c>
      <c r="FP5" s="297" t="s">
        <v>27839</v>
      </c>
      <c r="FQ5" s="297" t="s">
        <v>27840</v>
      </c>
    </row>
    <row r="6" spans="1:173" s="374" customFormat="1" ht="24" customHeight="1">
      <c r="A6" s="305" t="s">
        <v>27841</v>
      </c>
      <c r="B6" s="306" t="s">
        <v>113</v>
      </c>
      <c r="C6" s="306" t="s">
        <v>113</v>
      </c>
      <c r="D6" s="306" t="s">
        <v>113</v>
      </c>
      <c r="E6" s="306" t="s">
        <v>113</v>
      </c>
      <c r="F6" s="307"/>
      <c r="G6" s="307"/>
      <c r="H6" s="306" t="s">
        <v>113</v>
      </c>
      <c r="I6" s="307"/>
      <c r="J6" s="307"/>
      <c r="K6" s="307"/>
      <c r="L6" s="306" t="s">
        <v>113</v>
      </c>
      <c r="M6" s="307"/>
      <c r="N6" s="307"/>
      <c r="O6" s="307"/>
      <c r="P6" s="307"/>
      <c r="Q6" s="308" t="s">
        <v>113</v>
      </c>
      <c r="R6" s="308"/>
      <c r="S6" s="308"/>
      <c r="T6" s="308"/>
      <c r="U6" s="308" t="s">
        <v>113</v>
      </c>
      <c r="V6" s="308"/>
      <c r="W6" s="307" t="s">
        <v>113</v>
      </c>
      <c r="X6" s="307"/>
      <c r="Y6" s="307"/>
      <c r="Z6" s="307" t="s">
        <v>113</v>
      </c>
      <c r="AA6" s="307"/>
      <c r="AB6" s="307"/>
      <c r="AC6" s="307"/>
      <c r="AD6" s="307"/>
      <c r="AE6" s="307"/>
      <c r="AF6" s="307"/>
      <c r="AG6" s="307"/>
      <c r="AH6" s="115"/>
      <c r="AI6" s="115"/>
      <c r="AJ6" s="115"/>
      <c r="AK6" s="115"/>
      <c r="AL6" s="115"/>
      <c r="AM6" s="115"/>
      <c r="AN6" s="115"/>
      <c r="AO6" s="115"/>
      <c r="AP6" s="115"/>
      <c r="AQ6" s="115"/>
      <c r="AR6" s="307"/>
      <c r="AS6" s="307"/>
      <c r="AT6" s="307"/>
      <c r="AU6" s="307"/>
      <c r="AV6" s="307"/>
      <c r="AW6" s="307"/>
      <c r="AX6" s="307"/>
      <c r="AY6" s="307"/>
      <c r="AZ6" s="307"/>
      <c r="BA6" s="307"/>
      <c r="BB6" s="307"/>
      <c r="BC6" s="307"/>
      <c r="BD6" s="307"/>
      <c r="BE6" s="307" t="s">
        <v>113</v>
      </c>
      <c r="BF6" s="307"/>
      <c r="BG6" s="307"/>
      <c r="BH6" s="307"/>
      <c r="BI6" s="307" t="s">
        <v>113</v>
      </c>
      <c r="BJ6" s="307"/>
      <c r="BK6" s="307" t="s">
        <v>113</v>
      </c>
      <c r="BL6" s="307"/>
      <c r="BM6" s="307"/>
      <c r="BN6" s="307"/>
      <c r="BO6" s="309"/>
      <c r="BP6" s="308"/>
      <c r="BQ6" s="307"/>
      <c r="BR6" s="307"/>
      <c r="BS6" s="310"/>
      <c r="BT6" s="307"/>
      <c r="BU6" s="307"/>
      <c r="BV6" s="307"/>
      <c r="BW6" s="307"/>
      <c r="BX6" s="307"/>
      <c r="BY6" s="307"/>
      <c r="BZ6" s="307"/>
      <c r="CA6" s="307"/>
      <c r="CB6" s="307"/>
      <c r="CC6" s="307"/>
      <c r="CD6" s="307"/>
      <c r="CE6" s="307"/>
      <c r="CF6" s="307"/>
      <c r="CG6" s="307"/>
      <c r="CH6" s="307"/>
      <c r="CI6" s="307"/>
      <c r="CJ6" s="307"/>
      <c r="CK6" s="307"/>
      <c r="CL6" s="307"/>
      <c r="CM6" s="307"/>
      <c r="CN6" s="307"/>
      <c r="CO6" s="307"/>
      <c r="CP6" s="307"/>
      <c r="CQ6" s="307"/>
      <c r="CR6" s="307"/>
      <c r="CS6" s="307"/>
      <c r="CT6" s="307"/>
      <c r="CU6" s="307"/>
      <c r="CV6" s="307"/>
      <c r="CW6" s="307"/>
      <c r="CX6" s="307"/>
      <c r="CY6" s="307"/>
      <c r="CZ6" s="307"/>
      <c r="DA6" s="307"/>
      <c r="DB6" s="307"/>
      <c r="DC6" s="307"/>
      <c r="DD6" s="307"/>
      <c r="DE6" s="307"/>
      <c r="DF6" s="307"/>
      <c r="DG6" s="307"/>
      <c r="DH6" s="307"/>
      <c r="DI6" s="307"/>
      <c r="DJ6" s="307"/>
      <c r="DK6" s="307"/>
      <c r="DL6" s="307"/>
      <c r="DM6" s="307"/>
      <c r="DN6" s="307"/>
      <c r="DO6" s="307"/>
      <c r="DP6" s="307"/>
      <c r="DQ6" s="307"/>
      <c r="DR6" s="307"/>
      <c r="DS6" s="307"/>
      <c r="DT6" s="307"/>
      <c r="DU6" s="307"/>
      <c r="DV6" s="307"/>
      <c r="DW6" s="307"/>
      <c r="DX6" s="307"/>
      <c r="DY6" s="307"/>
      <c r="DZ6" s="307"/>
      <c r="EA6" s="307"/>
      <c r="EB6" s="307"/>
      <c r="EC6" s="307"/>
      <c r="ED6" s="307"/>
      <c r="EE6" s="307"/>
      <c r="EF6" s="311"/>
      <c r="EG6" s="307"/>
      <c r="EH6" s="307"/>
      <c r="EI6" s="307" t="s">
        <v>113</v>
      </c>
      <c r="EJ6" s="307"/>
      <c r="EK6" s="311"/>
      <c r="EL6" s="307" t="s">
        <v>113</v>
      </c>
      <c r="EM6" s="307" t="s">
        <v>113</v>
      </c>
      <c r="EN6" s="307" t="s">
        <v>113</v>
      </c>
      <c r="EO6" s="307"/>
      <c r="EP6" s="307"/>
      <c r="EQ6" s="307"/>
      <c r="ER6" s="307"/>
      <c r="ES6" s="307" t="s">
        <v>113</v>
      </c>
      <c r="ET6" s="307" t="s">
        <v>113</v>
      </c>
      <c r="EU6" s="307"/>
      <c r="EV6" s="307"/>
      <c r="EW6" s="307"/>
      <c r="EX6" s="307"/>
      <c r="EY6" s="307"/>
      <c r="EZ6" s="307"/>
      <c r="FA6" s="307"/>
      <c r="FB6" s="307"/>
      <c r="FC6" s="307"/>
      <c r="FD6" s="307"/>
      <c r="FE6" s="307"/>
      <c r="FF6" s="307"/>
      <c r="FG6" s="307"/>
      <c r="FH6" s="307"/>
      <c r="FI6" s="307"/>
      <c r="FJ6" s="307"/>
      <c r="FK6" s="307"/>
      <c r="FL6" s="307"/>
      <c r="FM6" s="307"/>
      <c r="FN6" s="307"/>
      <c r="FO6" s="307"/>
      <c r="FP6" s="307"/>
      <c r="FQ6" s="307"/>
    </row>
    <row r="7" spans="1:173" ht="24" customHeight="1">
      <c r="A7" s="293" t="s">
        <v>27842</v>
      </c>
      <c r="B7" s="297" t="s">
        <v>27843</v>
      </c>
      <c r="C7" s="297" t="s">
        <v>27843</v>
      </c>
      <c r="D7" s="297" t="s">
        <v>27843</v>
      </c>
      <c r="E7" s="297" t="s">
        <v>27843</v>
      </c>
      <c r="F7" s="297" t="s">
        <v>27843</v>
      </c>
      <c r="G7" s="297" t="s">
        <v>27843</v>
      </c>
      <c r="H7" s="297" t="s">
        <v>27843</v>
      </c>
      <c r="I7" s="297" t="s">
        <v>27843</v>
      </c>
      <c r="J7" s="297" t="s">
        <v>27843</v>
      </c>
      <c r="K7" s="297" t="s">
        <v>27843</v>
      </c>
      <c r="L7" s="297" t="s">
        <v>27843</v>
      </c>
      <c r="M7" s="297" t="s">
        <v>27843</v>
      </c>
      <c r="N7" s="297" t="s">
        <v>27843</v>
      </c>
      <c r="O7" s="297" t="s">
        <v>27843</v>
      </c>
      <c r="P7" s="297" t="s">
        <v>27843</v>
      </c>
      <c r="Q7" s="301" t="s">
        <v>27843</v>
      </c>
      <c r="R7" s="301" t="s">
        <v>27843</v>
      </c>
      <c r="S7" s="301" t="s">
        <v>27843</v>
      </c>
      <c r="T7" s="301" t="s">
        <v>27843</v>
      </c>
      <c r="U7" s="301" t="s">
        <v>27843</v>
      </c>
      <c r="V7" s="301" t="s">
        <v>27843</v>
      </c>
      <c r="W7" s="297" t="s">
        <v>27843</v>
      </c>
      <c r="X7" s="297" t="s">
        <v>27843</v>
      </c>
      <c r="Y7" s="297" t="s">
        <v>27843</v>
      </c>
      <c r="Z7" s="297" t="s">
        <v>27843</v>
      </c>
      <c r="AA7" s="297" t="s">
        <v>27843</v>
      </c>
      <c r="AB7" s="297" t="s">
        <v>27843</v>
      </c>
      <c r="AC7" s="297" t="s">
        <v>27843</v>
      </c>
      <c r="AD7" s="297" t="s">
        <v>27843</v>
      </c>
      <c r="AE7" s="297" t="s">
        <v>27843</v>
      </c>
      <c r="AF7" s="297" t="s">
        <v>27843</v>
      </c>
      <c r="AG7" s="297" t="s">
        <v>27843</v>
      </c>
      <c r="AH7" s="108" t="s">
        <v>27843</v>
      </c>
      <c r="AI7" s="108" t="s">
        <v>27843</v>
      </c>
      <c r="AJ7" s="108" t="s">
        <v>27843</v>
      </c>
      <c r="AK7" s="108" t="s">
        <v>27843</v>
      </c>
      <c r="AL7" s="108" t="s">
        <v>27843</v>
      </c>
      <c r="AM7" s="108" t="s">
        <v>27843</v>
      </c>
      <c r="AN7" s="108" t="s">
        <v>27843</v>
      </c>
      <c r="AO7" s="108" t="s">
        <v>27843</v>
      </c>
      <c r="AP7" s="108" t="s">
        <v>27843</v>
      </c>
      <c r="AQ7" s="108" t="s">
        <v>27843</v>
      </c>
      <c r="AR7" s="297" t="s">
        <v>27843</v>
      </c>
      <c r="AS7" s="297" t="s">
        <v>27843</v>
      </c>
      <c r="AT7" s="297" t="s">
        <v>27843</v>
      </c>
      <c r="AU7" s="297"/>
      <c r="AV7" s="297" t="s">
        <v>27843</v>
      </c>
      <c r="AW7" s="297" t="s">
        <v>27843</v>
      </c>
      <c r="AX7" s="297" t="s">
        <v>27843</v>
      </c>
      <c r="AY7" s="297" t="s">
        <v>27843</v>
      </c>
      <c r="AZ7" s="297" t="s">
        <v>27843</v>
      </c>
      <c r="BA7" s="297" t="s">
        <v>27843</v>
      </c>
      <c r="BB7" s="297" t="s">
        <v>27843</v>
      </c>
      <c r="BC7" s="297" t="s">
        <v>27843</v>
      </c>
      <c r="BD7" s="297" t="s">
        <v>27843</v>
      </c>
      <c r="BE7" s="297" t="s">
        <v>27843</v>
      </c>
      <c r="BF7" s="297" t="s">
        <v>27843</v>
      </c>
      <c r="BG7" s="297" t="s">
        <v>27843</v>
      </c>
      <c r="BH7" s="297" t="s">
        <v>27843</v>
      </c>
      <c r="BI7" s="297" t="s">
        <v>27843</v>
      </c>
      <c r="BJ7" s="297" t="s">
        <v>27843</v>
      </c>
      <c r="BK7" s="297" t="s">
        <v>27843</v>
      </c>
      <c r="BL7" s="297" t="s">
        <v>27843</v>
      </c>
      <c r="BM7" s="297" t="s">
        <v>27843</v>
      </c>
      <c r="BN7" s="297" t="s">
        <v>27843</v>
      </c>
      <c r="BO7" s="297" t="s">
        <v>27843</v>
      </c>
      <c r="BP7" s="301" t="s">
        <v>27843</v>
      </c>
      <c r="BQ7" s="297" t="s">
        <v>27843</v>
      </c>
      <c r="BR7" s="297" t="s">
        <v>27843</v>
      </c>
      <c r="BS7" s="304" t="s">
        <v>27843</v>
      </c>
      <c r="BT7" s="297" t="s">
        <v>27843</v>
      </c>
      <c r="BU7" s="297" t="s">
        <v>27843</v>
      </c>
      <c r="BV7" s="297" t="s">
        <v>27843</v>
      </c>
      <c r="BW7" s="297" t="s">
        <v>27843</v>
      </c>
      <c r="BX7" s="297" t="s">
        <v>27843</v>
      </c>
      <c r="BY7" s="297" t="s">
        <v>27843</v>
      </c>
      <c r="BZ7" s="297" t="s">
        <v>27843</v>
      </c>
      <c r="CA7" s="297" t="s">
        <v>27843</v>
      </c>
      <c r="CB7" s="297" t="s">
        <v>27843</v>
      </c>
      <c r="CC7" s="297" t="s">
        <v>27843</v>
      </c>
      <c r="CD7" s="297" t="s">
        <v>27843</v>
      </c>
      <c r="CE7" s="297" t="s">
        <v>27843</v>
      </c>
      <c r="CF7" s="297" t="s">
        <v>27843</v>
      </c>
      <c r="CG7" s="297" t="s">
        <v>27843</v>
      </c>
      <c r="CH7" s="297" t="s">
        <v>27843</v>
      </c>
      <c r="CI7" s="297" t="s">
        <v>27843</v>
      </c>
      <c r="CJ7" s="297" t="s">
        <v>27843</v>
      </c>
      <c r="CK7" s="297" t="s">
        <v>27843</v>
      </c>
      <c r="CL7" s="297" t="s">
        <v>27843</v>
      </c>
      <c r="CM7" s="297" t="s">
        <v>27843</v>
      </c>
      <c r="CN7" s="297" t="s">
        <v>27843</v>
      </c>
      <c r="CO7" s="297" t="s">
        <v>27843</v>
      </c>
      <c r="CP7" s="297" t="s">
        <v>27843</v>
      </c>
      <c r="CQ7" s="297" t="s">
        <v>27843</v>
      </c>
      <c r="CR7" s="297" t="s">
        <v>27843</v>
      </c>
      <c r="CS7" s="297" t="s">
        <v>27843</v>
      </c>
      <c r="CT7" s="297" t="s">
        <v>27843</v>
      </c>
      <c r="CU7" s="297" t="s">
        <v>27843</v>
      </c>
      <c r="CV7" s="297" t="s">
        <v>27843</v>
      </c>
      <c r="CW7" s="297" t="s">
        <v>27843</v>
      </c>
      <c r="CX7" s="297" t="s">
        <v>27843</v>
      </c>
      <c r="CY7" s="297" t="s">
        <v>27843</v>
      </c>
      <c r="CZ7" s="297" t="s">
        <v>27843</v>
      </c>
      <c r="DA7" s="297" t="s">
        <v>27843</v>
      </c>
      <c r="DB7" s="297" t="s">
        <v>27843</v>
      </c>
      <c r="DC7" s="297" t="s">
        <v>27843</v>
      </c>
      <c r="DD7" s="297" t="s">
        <v>27843</v>
      </c>
      <c r="DE7" s="297" t="s">
        <v>27843</v>
      </c>
      <c r="DF7" s="297" t="s">
        <v>27843</v>
      </c>
      <c r="DG7" s="297" t="s">
        <v>27843</v>
      </c>
      <c r="DH7" s="297" t="s">
        <v>27843</v>
      </c>
      <c r="DI7" s="297" t="s">
        <v>27843</v>
      </c>
      <c r="DJ7" s="297" t="s">
        <v>27843</v>
      </c>
      <c r="DK7" s="297" t="s">
        <v>27843</v>
      </c>
      <c r="DL7" s="297" t="s">
        <v>27843</v>
      </c>
      <c r="DM7" s="297" t="s">
        <v>27843</v>
      </c>
      <c r="DN7" s="297" t="s">
        <v>27843</v>
      </c>
      <c r="DO7" s="297" t="s">
        <v>27843</v>
      </c>
      <c r="DP7" s="297" t="s">
        <v>27843</v>
      </c>
      <c r="DQ7" s="297" t="s">
        <v>27843</v>
      </c>
      <c r="DR7" s="297" t="s">
        <v>27843</v>
      </c>
      <c r="DS7" s="297" t="s">
        <v>27843</v>
      </c>
      <c r="DT7" s="297" t="s">
        <v>27843</v>
      </c>
      <c r="DU7" s="297" t="s">
        <v>27843</v>
      </c>
      <c r="DV7" s="297" t="s">
        <v>27843</v>
      </c>
      <c r="DW7" s="297" t="s">
        <v>27843</v>
      </c>
      <c r="DX7" s="297" t="s">
        <v>27843</v>
      </c>
      <c r="DY7" s="297" t="s">
        <v>27843</v>
      </c>
      <c r="DZ7" s="297" t="s">
        <v>27843</v>
      </c>
      <c r="EA7" s="297" t="s">
        <v>27843</v>
      </c>
      <c r="EB7" s="297" t="s">
        <v>27843</v>
      </c>
      <c r="EC7" s="297" t="s">
        <v>27843</v>
      </c>
      <c r="ED7" s="297" t="s">
        <v>27843</v>
      </c>
      <c r="EE7" s="297" t="s">
        <v>27843</v>
      </c>
      <c r="EF7" s="297" t="s">
        <v>27843</v>
      </c>
      <c r="EG7" s="297" t="s">
        <v>27843</v>
      </c>
      <c r="EH7" s="297" t="s">
        <v>27843</v>
      </c>
      <c r="EI7" s="297" t="s">
        <v>27843</v>
      </c>
      <c r="EJ7" s="297" t="s">
        <v>27843</v>
      </c>
      <c r="EK7" s="294" t="s">
        <v>27843</v>
      </c>
      <c r="EL7" s="294" t="s">
        <v>27843</v>
      </c>
      <c r="EM7" s="297" t="s">
        <v>27843</v>
      </c>
      <c r="EN7" s="297" t="s">
        <v>27843</v>
      </c>
      <c r="EO7" s="297" t="s">
        <v>27843</v>
      </c>
      <c r="EP7" s="297" t="s">
        <v>27843</v>
      </c>
      <c r="EQ7" s="297" t="s">
        <v>27843</v>
      </c>
      <c r="ER7" s="297" t="s">
        <v>27843</v>
      </c>
      <c r="ES7" s="297" t="s">
        <v>27843</v>
      </c>
      <c r="ET7" s="297" t="s">
        <v>27843</v>
      </c>
      <c r="EU7" s="297" t="s">
        <v>27843</v>
      </c>
      <c r="EV7" s="297" t="s">
        <v>27843</v>
      </c>
      <c r="EW7" s="297" t="s">
        <v>27843</v>
      </c>
      <c r="EX7" s="297" t="s">
        <v>27843</v>
      </c>
      <c r="EY7" s="297" t="s">
        <v>27843</v>
      </c>
      <c r="EZ7" s="297" t="s">
        <v>27843</v>
      </c>
      <c r="FA7" s="297" t="s">
        <v>27843</v>
      </c>
      <c r="FB7" s="297" t="s">
        <v>27843</v>
      </c>
      <c r="FC7" s="297" t="s">
        <v>27843</v>
      </c>
      <c r="FD7" s="297" t="s">
        <v>27843</v>
      </c>
      <c r="FE7" s="297" t="s">
        <v>27843</v>
      </c>
      <c r="FF7" s="297" t="s">
        <v>27843</v>
      </c>
      <c r="FG7" s="297" t="s">
        <v>27843</v>
      </c>
      <c r="FH7" s="297" t="s">
        <v>27843</v>
      </c>
      <c r="FI7" s="297" t="s">
        <v>27843</v>
      </c>
      <c r="FJ7" s="297" t="s">
        <v>27843</v>
      </c>
      <c r="FK7" s="297" t="s">
        <v>27843</v>
      </c>
      <c r="FL7" s="297" t="s">
        <v>27843</v>
      </c>
      <c r="FM7" s="297" t="s">
        <v>27843</v>
      </c>
      <c r="FN7" s="297" t="s">
        <v>27843</v>
      </c>
      <c r="FO7" s="297" t="s">
        <v>27843</v>
      </c>
      <c r="FP7" s="297" t="s">
        <v>27843</v>
      </c>
      <c r="FQ7" s="297" t="s">
        <v>27843</v>
      </c>
    </row>
    <row r="8" spans="1:173" s="317" customFormat="1" ht="24" customHeight="1">
      <c r="A8" s="293" t="s">
        <v>1</v>
      </c>
      <c r="B8" s="297">
        <v>132</v>
      </c>
      <c r="C8" s="297">
        <v>10</v>
      </c>
      <c r="D8" s="297">
        <v>4</v>
      </c>
      <c r="E8" s="297">
        <v>50</v>
      </c>
      <c r="F8" s="297">
        <v>40</v>
      </c>
      <c r="G8" s="297">
        <v>40</v>
      </c>
      <c r="H8" s="297">
        <v>40</v>
      </c>
      <c r="I8" s="297">
        <v>40</v>
      </c>
      <c r="J8" s="297">
        <v>40</v>
      </c>
      <c r="K8" s="297">
        <v>40</v>
      </c>
      <c r="L8" s="297">
        <v>20</v>
      </c>
      <c r="M8" s="297">
        <v>20</v>
      </c>
      <c r="N8" s="297">
        <v>20</v>
      </c>
      <c r="O8" s="297">
        <v>40</v>
      </c>
      <c r="P8" s="297">
        <v>10</v>
      </c>
      <c r="Q8" s="301">
        <v>40</v>
      </c>
      <c r="R8" s="301">
        <v>40</v>
      </c>
      <c r="S8" s="301">
        <v>40</v>
      </c>
      <c r="T8" s="301">
        <v>40</v>
      </c>
      <c r="U8" s="301">
        <v>40</v>
      </c>
      <c r="V8" s="301">
        <v>10</v>
      </c>
      <c r="W8" s="297">
        <v>2</v>
      </c>
      <c r="X8" s="297">
        <v>3</v>
      </c>
      <c r="Y8" s="297">
        <v>10</v>
      </c>
      <c r="Z8" s="297">
        <v>1</v>
      </c>
      <c r="AA8" s="297">
        <v>30</v>
      </c>
      <c r="AB8" s="297">
        <v>10</v>
      </c>
      <c r="AC8" s="297">
        <v>30</v>
      </c>
      <c r="AD8" s="297">
        <v>10</v>
      </c>
      <c r="AE8" s="297">
        <v>30</v>
      </c>
      <c r="AF8" s="297">
        <v>30</v>
      </c>
      <c r="AG8" s="297">
        <v>10</v>
      </c>
      <c r="AH8" s="120">
        <v>241</v>
      </c>
      <c r="AI8" s="120">
        <v>4</v>
      </c>
      <c r="AJ8" s="120">
        <v>241</v>
      </c>
      <c r="AK8" s="120">
        <v>4</v>
      </c>
      <c r="AL8" s="120">
        <v>241</v>
      </c>
      <c r="AM8" s="120">
        <v>4</v>
      </c>
      <c r="AN8" s="120">
        <v>241</v>
      </c>
      <c r="AO8" s="120">
        <v>4</v>
      </c>
      <c r="AP8" s="120">
        <v>241</v>
      </c>
      <c r="AQ8" s="120">
        <v>4</v>
      </c>
      <c r="AR8" s="297">
        <v>50</v>
      </c>
      <c r="AS8" s="297">
        <v>50</v>
      </c>
      <c r="AT8" s="297">
        <v>1</v>
      </c>
      <c r="AU8" s="297"/>
      <c r="AV8" s="297">
        <v>40</v>
      </c>
      <c r="AW8" s="297">
        <v>40</v>
      </c>
      <c r="AX8" s="297">
        <v>40</v>
      </c>
      <c r="AY8" s="297">
        <v>40</v>
      </c>
      <c r="AZ8" s="297">
        <v>40</v>
      </c>
      <c r="BA8" s="297">
        <v>40</v>
      </c>
      <c r="BB8" s="297">
        <v>20</v>
      </c>
      <c r="BC8" s="297">
        <v>20</v>
      </c>
      <c r="BD8" s="297">
        <v>10</v>
      </c>
      <c r="BE8" s="297">
        <v>40</v>
      </c>
      <c r="BF8" s="297">
        <v>40</v>
      </c>
      <c r="BG8" s="297">
        <v>40</v>
      </c>
      <c r="BH8" s="297">
        <v>40</v>
      </c>
      <c r="BI8" s="297">
        <v>40</v>
      </c>
      <c r="BJ8" s="297">
        <v>10</v>
      </c>
      <c r="BK8" s="297">
        <v>2</v>
      </c>
      <c r="BL8" s="297">
        <v>1</v>
      </c>
      <c r="BM8" s="297">
        <v>10</v>
      </c>
      <c r="BN8" s="297">
        <v>10</v>
      </c>
      <c r="BO8" s="297">
        <v>10</v>
      </c>
      <c r="BP8" s="301">
        <v>20</v>
      </c>
      <c r="BQ8" s="297">
        <v>1</v>
      </c>
      <c r="BR8" s="297">
        <v>3</v>
      </c>
      <c r="BS8" s="304">
        <v>13</v>
      </c>
      <c r="BT8" s="297">
        <v>6</v>
      </c>
      <c r="BU8" s="297">
        <v>4</v>
      </c>
      <c r="BV8" s="297">
        <v>132</v>
      </c>
      <c r="BW8" s="297">
        <v>132</v>
      </c>
      <c r="BX8" s="297">
        <v>4</v>
      </c>
      <c r="BY8" s="297">
        <v>3</v>
      </c>
      <c r="BZ8" s="297">
        <v>15</v>
      </c>
      <c r="CA8" s="297">
        <v>18</v>
      </c>
      <c r="CB8" s="297">
        <v>60</v>
      </c>
      <c r="CC8" s="297">
        <v>40</v>
      </c>
      <c r="CD8" s="297">
        <v>4</v>
      </c>
      <c r="CE8" s="297">
        <v>3</v>
      </c>
      <c r="CF8" s="297">
        <v>15</v>
      </c>
      <c r="CG8" s="297">
        <v>18</v>
      </c>
      <c r="CH8" s="297">
        <v>60</v>
      </c>
      <c r="CI8" s="297">
        <v>40</v>
      </c>
      <c r="CJ8" s="297">
        <v>4</v>
      </c>
      <c r="CK8" s="297">
        <v>3</v>
      </c>
      <c r="CL8" s="297">
        <v>15</v>
      </c>
      <c r="CM8" s="297">
        <v>18</v>
      </c>
      <c r="CN8" s="297">
        <v>60</v>
      </c>
      <c r="CO8" s="297">
        <v>40</v>
      </c>
      <c r="CP8" s="297">
        <v>4</v>
      </c>
      <c r="CQ8" s="297">
        <v>3</v>
      </c>
      <c r="CR8" s="297">
        <v>15</v>
      </c>
      <c r="CS8" s="297">
        <v>18</v>
      </c>
      <c r="CT8" s="297">
        <v>60</v>
      </c>
      <c r="CU8" s="297">
        <v>40</v>
      </c>
      <c r="CV8" s="297">
        <v>4</v>
      </c>
      <c r="CW8" s="297">
        <v>3</v>
      </c>
      <c r="CX8" s="297">
        <v>15</v>
      </c>
      <c r="CY8" s="297">
        <v>18</v>
      </c>
      <c r="CZ8" s="297">
        <v>60</v>
      </c>
      <c r="DA8" s="297">
        <v>40</v>
      </c>
      <c r="DB8" s="297">
        <v>4</v>
      </c>
      <c r="DC8" s="297">
        <v>3</v>
      </c>
      <c r="DD8" s="297">
        <v>15</v>
      </c>
      <c r="DE8" s="297">
        <v>18</v>
      </c>
      <c r="DF8" s="297">
        <v>60</v>
      </c>
      <c r="DG8" s="297">
        <v>40</v>
      </c>
      <c r="DH8" s="297">
        <v>4</v>
      </c>
      <c r="DI8" s="297">
        <v>3</v>
      </c>
      <c r="DJ8" s="297">
        <v>15</v>
      </c>
      <c r="DK8" s="297">
        <v>18</v>
      </c>
      <c r="DL8" s="297">
        <v>60</v>
      </c>
      <c r="DM8" s="297">
        <v>40</v>
      </c>
      <c r="DN8" s="297">
        <v>4</v>
      </c>
      <c r="DO8" s="297">
        <v>3</v>
      </c>
      <c r="DP8" s="297">
        <v>15</v>
      </c>
      <c r="DQ8" s="297">
        <v>18</v>
      </c>
      <c r="DR8" s="297">
        <v>60</v>
      </c>
      <c r="DS8" s="297">
        <v>40</v>
      </c>
      <c r="DT8" s="297">
        <v>4</v>
      </c>
      <c r="DU8" s="297">
        <v>3</v>
      </c>
      <c r="DV8" s="297">
        <v>15</v>
      </c>
      <c r="DW8" s="297">
        <v>18</v>
      </c>
      <c r="DX8" s="297">
        <v>60</v>
      </c>
      <c r="DY8" s="297">
        <v>40</v>
      </c>
      <c r="DZ8" s="297">
        <v>4</v>
      </c>
      <c r="EA8" s="297">
        <v>3</v>
      </c>
      <c r="EB8" s="297">
        <v>15</v>
      </c>
      <c r="EC8" s="297">
        <v>18</v>
      </c>
      <c r="ED8" s="297">
        <v>60</v>
      </c>
      <c r="EE8" s="297">
        <v>40</v>
      </c>
      <c r="EF8" s="297">
        <v>2</v>
      </c>
      <c r="EG8" s="297">
        <v>10</v>
      </c>
      <c r="EH8" s="297">
        <v>2</v>
      </c>
      <c r="EI8" s="297">
        <v>2</v>
      </c>
      <c r="EJ8" s="297">
        <v>2</v>
      </c>
      <c r="EK8" s="294">
        <v>18</v>
      </c>
      <c r="EL8" s="294">
        <v>1</v>
      </c>
      <c r="EM8" s="297">
        <v>4</v>
      </c>
      <c r="EN8" s="297">
        <v>10</v>
      </c>
      <c r="EO8" s="297">
        <v>3</v>
      </c>
      <c r="EP8" s="297">
        <v>10</v>
      </c>
      <c r="EQ8" s="297">
        <v>10</v>
      </c>
      <c r="ER8" s="297">
        <v>4</v>
      </c>
      <c r="ES8" s="297">
        <v>4</v>
      </c>
      <c r="ET8" s="297">
        <v>4</v>
      </c>
      <c r="EU8" s="297">
        <v>10</v>
      </c>
      <c r="EV8" s="297">
        <v>4</v>
      </c>
      <c r="EW8" s="297">
        <v>1</v>
      </c>
      <c r="EX8" s="297">
        <v>2</v>
      </c>
      <c r="EY8" s="297">
        <v>2</v>
      </c>
      <c r="EZ8" s="297">
        <v>1</v>
      </c>
      <c r="FA8" s="297">
        <v>16</v>
      </c>
      <c r="FB8" s="297">
        <v>10</v>
      </c>
      <c r="FC8" s="297">
        <v>10</v>
      </c>
      <c r="FD8" s="297">
        <v>2</v>
      </c>
      <c r="FE8" s="297">
        <v>2</v>
      </c>
      <c r="FF8" s="297">
        <v>1</v>
      </c>
      <c r="FG8" s="297">
        <v>16</v>
      </c>
      <c r="FH8" s="297">
        <v>10</v>
      </c>
      <c r="FI8" s="297">
        <v>10</v>
      </c>
      <c r="FJ8" s="297">
        <v>2</v>
      </c>
      <c r="FK8" s="297">
        <v>2</v>
      </c>
      <c r="FL8" s="297">
        <v>1</v>
      </c>
      <c r="FM8" s="297">
        <v>16</v>
      </c>
      <c r="FN8" s="297">
        <v>10</v>
      </c>
      <c r="FO8" s="297">
        <v>10</v>
      </c>
      <c r="FP8" s="297">
        <v>5</v>
      </c>
      <c r="FQ8" s="297">
        <v>40</v>
      </c>
    </row>
    <row r="9" spans="1:173" s="317" customFormat="1" ht="63.75">
      <c r="A9" s="293"/>
      <c r="B9" s="366" t="s">
        <v>27844</v>
      </c>
      <c r="C9" s="294" t="s">
        <v>27845</v>
      </c>
      <c r="D9" s="294" t="s">
        <v>27846</v>
      </c>
      <c r="E9" s="294" t="s">
        <v>27847</v>
      </c>
      <c r="F9" s="297" t="s">
        <v>27848</v>
      </c>
      <c r="G9" s="297" t="s">
        <v>27849</v>
      </c>
      <c r="H9" s="297" t="s">
        <v>27850</v>
      </c>
      <c r="I9" s="297" t="s">
        <v>27850</v>
      </c>
      <c r="J9" s="297" t="s">
        <v>27850</v>
      </c>
      <c r="K9" s="297" t="s">
        <v>27850</v>
      </c>
      <c r="L9" s="297" t="s">
        <v>27851</v>
      </c>
      <c r="M9" s="297" t="s">
        <v>27852</v>
      </c>
      <c r="N9" s="297" t="s">
        <v>27853</v>
      </c>
      <c r="O9" s="297" t="s">
        <v>27854</v>
      </c>
      <c r="P9" s="297" t="s">
        <v>27855</v>
      </c>
      <c r="Q9" s="367" t="s">
        <v>27856</v>
      </c>
      <c r="R9" s="367" t="s">
        <v>27857</v>
      </c>
      <c r="S9" s="367" t="s">
        <v>27858</v>
      </c>
      <c r="T9" s="367" t="s">
        <v>27859</v>
      </c>
      <c r="U9" s="367" t="s">
        <v>27860</v>
      </c>
      <c r="V9" s="301" t="s">
        <v>27861</v>
      </c>
      <c r="W9" s="297" t="s">
        <v>27862</v>
      </c>
      <c r="X9" s="297" t="s">
        <v>27863</v>
      </c>
      <c r="Y9" s="294" t="s">
        <v>27864</v>
      </c>
      <c r="Z9" s="297" t="s">
        <v>27865</v>
      </c>
      <c r="AA9" s="297" t="s">
        <v>27866</v>
      </c>
      <c r="AB9" s="297" t="s">
        <v>27867</v>
      </c>
      <c r="AC9" s="297" t="s">
        <v>27866</v>
      </c>
      <c r="AD9" s="297" t="s">
        <v>27867</v>
      </c>
      <c r="AE9" s="297" t="s">
        <v>27868</v>
      </c>
      <c r="AF9" s="297" t="s">
        <v>27869</v>
      </c>
      <c r="AG9" s="297" t="s">
        <v>27870</v>
      </c>
      <c r="AH9" s="108" t="s">
        <v>27871</v>
      </c>
      <c r="AI9" s="108" t="s">
        <v>27603</v>
      </c>
      <c r="AJ9" s="108" t="s">
        <v>27872</v>
      </c>
      <c r="AK9" s="108" t="s">
        <v>27873</v>
      </c>
      <c r="AL9" s="108" t="s">
        <v>27874</v>
      </c>
      <c r="AM9" s="108" t="s">
        <v>27875</v>
      </c>
      <c r="AN9" s="108" t="s">
        <v>27876</v>
      </c>
      <c r="AO9" s="108" t="s">
        <v>27609</v>
      </c>
      <c r="AP9" s="108" t="s">
        <v>27877</v>
      </c>
      <c r="AQ9" s="108" t="s">
        <v>27611</v>
      </c>
      <c r="AR9" s="297" t="s">
        <v>27878</v>
      </c>
      <c r="AS9" s="297" t="s">
        <v>110</v>
      </c>
      <c r="AT9" s="294" t="s">
        <v>27879</v>
      </c>
      <c r="AU9" s="294" t="s">
        <v>27880</v>
      </c>
      <c r="AV9" s="297" t="s">
        <v>27848</v>
      </c>
      <c r="AW9" s="297" t="s">
        <v>27849</v>
      </c>
      <c r="AX9" s="297" t="s">
        <v>27850</v>
      </c>
      <c r="AY9" s="297" t="s">
        <v>27850</v>
      </c>
      <c r="AZ9" s="297" t="s">
        <v>27850</v>
      </c>
      <c r="BA9" s="297" t="s">
        <v>27850</v>
      </c>
      <c r="BB9" s="297" t="s">
        <v>27851</v>
      </c>
      <c r="BC9" s="297" t="s">
        <v>27852</v>
      </c>
      <c r="BD9" s="368" t="s">
        <v>27855</v>
      </c>
      <c r="BE9" s="294" t="s">
        <v>27856</v>
      </c>
      <c r="BF9" s="294" t="s">
        <v>27857</v>
      </c>
      <c r="BG9" s="297" t="s">
        <v>27858</v>
      </c>
      <c r="BH9" s="294" t="s">
        <v>27859</v>
      </c>
      <c r="BI9" s="294" t="s">
        <v>27860</v>
      </c>
      <c r="BJ9" s="297" t="s">
        <v>27861</v>
      </c>
      <c r="BK9" s="297"/>
      <c r="BL9" s="294" t="s">
        <v>27881</v>
      </c>
      <c r="BM9" s="294" t="s">
        <v>27882</v>
      </c>
      <c r="BN9" s="294" t="s">
        <v>27883</v>
      </c>
      <c r="BO9" s="294" t="s">
        <v>27884</v>
      </c>
      <c r="BP9" s="301" t="s">
        <v>27885</v>
      </c>
      <c r="BQ9" s="294" t="s">
        <v>27886</v>
      </c>
      <c r="BR9" s="297" t="s">
        <v>27887</v>
      </c>
      <c r="BS9" s="369" t="s">
        <v>27888</v>
      </c>
      <c r="BT9" s="294" t="s">
        <v>27889</v>
      </c>
      <c r="BU9" s="294" t="s">
        <v>27890</v>
      </c>
      <c r="BV9" s="297" t="s">
        <v>27891</v>
      </c>
      <c r="BW9" s="294" t="s">
        <v>27892</v>
      </c>
      <c r="BX9" s="297" t="s">
        <v>27893</v>
      </c>
      <c r="BY9" s="297" t="s">
        <v>27862</v>
      </c>
      <c r="BZ9" s="294" t="s">
        <v>27894</v>
      </c>
      <c r="CA9" s="297" t="s">
        <v>27895</v>
      </c>
      <c r="CB9" s="297"/>
      <c r="CC9" s="297" t="s">
        <v>27896</v>
      </c>
      <c r="CD9" s="297" t="s">
        <v>27893</v>
      </c>
      <c r="CE9" s="297" t="s">
        <v>27862</v>
      </c>
      <c r="CF9" s="297" t="s">
        <v>27894</v>
      </c>
      <c r="CG9" s="297" t="s">
        <v>27895</v>
      </c>
      <c r="CH9" s="297"/>
      <c r="CI9" s="297" t="s">
        <v>27896</v>
      </c>
      <c r="CJ9" s="297" t="s">
        <v>27893</v>
      </c>
      <c r="CK9" s="297" t="s">
        <v>27862</v>
      </c>
      <c r="CL9" s="297" t="s">
        <v>27894</v>
      </c>
      <c r="CM9" s="297" t="s">
        <v>27895</v>
      </c>
      <c r="CN9" s="297"/>
      <c r="CO9" s="297" t="s">
        <v>27896</v>
      </c>
      <c r="CP9" s="297" t="s">
        <v>27893</v>
      </c>
      <c r="CQ9" s="297" t="s">
        <v>27862</v>
      </c>
      <c r="CR9" s="297" t="s">
        <v>27894</v>
      </c>
      <c r="CS9" s="297" t="s">
        <v>27895</v>
      </c>
      <c r="CT9" s="297"/>
      <c r="CU9" s="297" t="s">
        <v>27896</v>
      </c>
      <c r="CV9" s="297" t="s">
        <v>27893</v>
      </c>
      <c r="CW9" s="297" t="s">
        <v>27862</v>
      </c>
      <c r="CX9" s="294" t="s">
        <v>27894</v>
      </c>
      <c r="CY9" s="297" t="s">
        <v>27895</v>
      </c>
      <c r="CZ9" s="297"/>
      <c r="DA9" s="297" t="s">
        <v>27896</v>
      </c>
      <c r="DB9" s="297" t="s">
        <v>27893</v>
      </c>
      <c r="DC9" s="297" t="s">
        <v>27862</v>
      </c>
      <c r="DD9" s="297" t="s">
        <v>27894</v>
      </c>
      <c r="DE9" s="297" t="s">
        <v>27895</v>
      </c>
      <c r="DF9" s="297"/>
      <c r="DG9" s="297" t="s">
        <v>27896</v>
      </c>
      <c r="DH9" s="297" t="s">
        <v>27893</v>
      </c>
      <c r="DI9" s="297" t="s">
        <v>27862</v>
      </c>
      <c r="DJ9" s="294" t="s">
        <v>27894</v>
      </c>
      <c r="DK9" s="297" t="s">
        <v>27895</v>
      </c>
      <c r="DL9" s="297"/>
      <c r="DM9" s="297" t="s">
        <v>27896</v>
      </c>
      <c r="DN9" s="297" t="s">
        <v>27893</v>
      </c>
      <c r="DO9" s="297" t="s">
        <v>27862</v>
      </c>
      <c r="DP9" s="294" t="s">
        <v>27894</v>
      </c>
      <c r="DQ9" s="297" t="s">
        <v>27895</v>
      </c>
      <c r="DR9" s="297"/>
      <c r="DS9" s="297" t="s">
        <v>27896</v>
      </c>
      <c r="DT9" s="297" t="s">
        <v>27893</v>
      </c>
      <c r="DU9" s="297" t="s">
        <v>27862</v>
      </c>
      <c r="DV9" s="294" t="s">
        <v>27894</v>
      </c>
      <c r="DW9" s="297" t="s">
        <v>27895</v>
      </c>
      <c r="DX9" s="297"/>
      <c r="DY9" s="297" t="s">
        <v>27896</v>
      </c>
      <c r="DZ9" s="297" t="s">
        <v>27893</v>
      </c>
      <c r="EA9" s="297" t="s">
        <v>27862</v>
      </c>
      <c r="EB9" s="294" t="s">
        <v>27894</v>
      </c>
      <c r="EC9" s="297" t="s">
        <v>27895</v>
      </c>
      <c r="ED9" s="297"/>
      <c r="EE9" s="297" t="s">
        <v>27896</v>
      </c>
      <c r="EF9" s="294" t="s">
        <v>27897</v>
      </c>
      <c r="EG9" s="294" t="s">
        <v>27898</v>
      </c>
      <c r="EH9" s="294" t="s">
        <v>27899</v>
      </c>
      <c r="EI9" s="294" t="s">
        <v>27900</v>
      </c>
      <c r="EJ9" s="294" t="s">
        <v>27901</v>
      </c>
      <c r="EK9" s="294" t="s">
        <v>27902</v>
      </c>
      <c r="EL9" s="294" t="s">
        <v>27903</v>
      </c>
      <c r="EM9" s="294" t="s">
        <v>27904</v>
      </c>
      <c r="EN9" s="297" t="s">
        <v>27905</v>
      </c>
      <c r="EO9" s="297" t="s">
        <v>27906</v>
      </c>
      <c r="EP9" s="294" t="s">
        <v>27907</v>
      </c>
      <c r="EQ9" s="297" t="s">
        <v>27908</v>
      </c>
      <c r="ER9" s="294" t="s">
        <v>27909</v>
      </c>
      <c r="ES9" s="297" t="s">
        <v>27910</v>
      </c>
      <c r="ET9" s="297" t="s">
        <v>27911</v>
      </c>
      <c r="EU9" s="294" t="s">
        <v>27912</v>
      </c>
      <c r="EV9" s="297" t="s">
        <v>27910</v>
      </c>
      <c r="EW9" s="294" t="s">
        <v>27913</v>
      </c>
      <c r="EX9" s="294" t="s">
        <v>27914</v>
      </c>
      <c r="EY9" s="294" t="s">
        <v>27914</v>
      </c>
      <c r="EZ9" s="370" t="s">
        <v>27911</v>
      </c>
      <c r="FA9" s="370" t="s">
        <v>27915</v>
      </c>
      <c r="FB9" s="294" t="s">
        <v>27916</v>
      </c>
      <c r="FC9" s="294" t="s">
        <v>27917</v>
      </c>
      <c r="FD9" s="294" t="s">
        <v>27914</v>
      </c>
      <c r="FE9" s="294" t="s">
        <v>27914</v>
      </c>
      <c r="FF9" s="370" t="s">
        <v>27911</v>
      </c>
      <c r="FG9" s="370" t="s">
        <v>27915</v>
      </c>
      <c r="FH9" s="294" t="s">
        <v>27916</v>
      </c>
      <c r="FI9" s="294" t="s">
        <v>27917</v>
      </c>
      <c r="FJ9" s="294" t="s">
        <v>27914</v>
      </c>
      <c r="FK9" s="294" t="s">
        <v>27914</v>
      </c>
      <c r="FL9" s="370" t="s">
        <v>27911</v>
      </c>
      <c r="FM9" s="370" t="s">
        <v>27915</v>
      </c>
      <c r="FN9" s="294" t="s">
        <v>27916</v>
      </c>
      <c r="FO9" s="294" t="s">
        <v>27917</v>
      </c>
      <c r="FP9" s="297" t="s">
        <v>27918</v>
      </c>
      <c r="FQ9" s="297" t="s">
        <v>27919</v>
      </c>
    </row>
    <row r="10" spans="1:173" ht="43.5" customHeight="1">
      <c r="B10" s="354"/>
      <c r="C10" s="355"/>
      <c r="D10" s="355"/>
      <c r="E10" s="355"/>
      <c r="F10" s="356"/>
      <c r="G10" s="356"/>
      <c r="H10" s="357"/>
      <c r="I10" s="357"/>
      <c r="J10" s="357"/>
      <c r="K10" s="357"/>
      <c r="L10" s="356"/>
      <c r="M10" s="356"/>
      <c r="Q10" s="356"/>
      <c r="R10" s="356"/>
      <c r="S10" s="356"/>
      <c r="T10" s="356"/>
      <c r="U10" s="356"/>
      <c r="V10" s="356"/>
      <c r="W10" s="357"/>
      <c r="X10" s="347"/>
      <c r="Y10" s="347"/>
      <c r="Z10" s="357"/>
      <c r="AA10" s="358"/>
      <c r="AB10" s="358"/>
      <c r="AC10" s="358"/>
      <c r="AD10" s="358"/>
      <c r="AE10" s="358"/>
      <c r="AF10" s="357"/>
      <c r="AG10" s="358"/>
      <c r="AH10" s="357"/>
      <c r="AI10" s="357"/>
      <c r="AJ10" s="357"/>
      <c r="AK10" s="357"/>
      <c r="AL10" s="357"/>
      <c r="AM10" s="357"/>
      <c r="AN10" s="357"/>
      <c r="AO10" s="357"/>
      <c r="AP10" s="357"/>
      <c r="AQ10" s="357"/>
      <c r="AT10" s="355"/>
      <c r="AU10" s="355"/>
      <c r="AV10" s="357"/>
      <c r="AW10" s="357"/>
      <c r="AX10" s="356"/>
      <c r="AY10" s="356"/>
      <c r="BB10" s="356"/>
      <c r="BC10" s="356"/>
      <c r="BE10" s="356"/>
      <c r="BF10" s="356"/>
      <c r="BG10" s="356"/>
      <c r="BH10" s="356"/>
      <c r="BI10" s="356"/>
      <c r="BJ10" s="356"/>
      <c r="BK10" s="357"/>
      <c r="BM10" s="347"/>
      <c r="BO10" s="355"/>
      <c r="BP10" s="356"/>
      <c r="BQ10" s="355"/>
      <c r="BR10" s="357"/>
      <c r="BS10" s="359"/>
      <c r="BX10" s="354"/>
      <c r="BY10" s="355"/>
      <c r="BZ10" s="357"/>
      <c r="CA10" s="357"/>
      <c r="CB10" s="357"/>
      <c r="CC10" s="357"/>
      <c r="CD10" s="357"/>
      <c r="CE10" s="357"/>
      <c r="CF10" s="357"/>
      <c r="CG10" s="357"/>
      <c r="CH10" s="357"/>
      <c r="CI10" s="357"/>
      <c r="CJ10" s="357"/>
      <c r="CK10" s="357"/>
      <c r="CL10" s="357"/>
      <c r="CM10" s="357"/>
      <c r="CN10" s="357"/>
      <c r="CO10" s="357"/>
      <c r="CP10" s="357"/>
      <c r="CQ10" s="357"/>
      <c r="CR10" s="357"/>
      <c r="CS10" s="357"/>
      <c r="CT10" s="357"/>
      <c r="CU10" s="357"/>
      <c r="CV10" s="357"/>
      <c r="CW10" s="357"/>
      <c r="CX10" s="357"/>
      <c r="CY10" s="357"/>
      <c r="CZ10" s="357"/>
      <c r="DA10" s="357"/>
      <c r="DB10" s="357"/>
      <c r="DC10" s="357"/>
      <c r="DD10" s="357"/>
      <c r="DE10" s="357"/>
      <c r="DF10" s="357"/>
      <c r="DG10" s="357"/>
      <c r="DH10" s="357"/>
      <c r="DI10" s="357"/>
      <c r="DJ10" s="357"/>
      <c r="DK10" s="357"/>
      <c r="DL10" s="357"/>
      <c r="DM10" s="357"/>
      <c r="DN10" s="357"/>
      <c r="DO10" s="357"/>
      <c r="DP10" s="357"/>
      <c r="DQ10" s="357"/>
      <c r="DR10" s="357"/>
      <c r="DS10" s="357"/>
      <c r="DT10" s="357"/>
      <c r="DU10" s="357"/>
      <c r="DV10" s="357"/>
      <c r="DW10" s="357"/>
      <c r="DX10" s="357"/>
      <c r="DY10" s="357"/>
      <c r="DZ10" s="357"/>
      <c r="EA10" s="357"/>
      <c r="EB10" s="357"/>
      <c r="EC10" s="357"/>
      <c r="ED10" s="357"/>
      <c r="EE10" s="357"/>
      <c r="EF10" s="357"/>
      <c r="EG10" s="354"/>
      <c r="EH10" s="354"/>
      <c r="EI10" s="355"/>
      <c r="EJ10" s="355"/>
      <c r="EK10" s="357"/>
      <c r="EL10" s="355"/>
      <c r="EM10" s="357"/>
      <c r="EN10" s="357"/>
      <c r="EO10" s="360"/>
      <c r="EP10" s="357"/>
      <c r="EQ10" s="357"/>
      <c r="ER10" s="355"/>
      <c r="ES10" s="355"/>
      <c r="ET10" s="355"/>
      <c r="EU10" s="357"/>
      <c r="EV10" s="355"/>
      <c r="EW10" s="355"/>
      <c r="EX10" s="357"/>
      <c r="EY10" s="355"/>
      <c r="EZ10" s="355"/>
      <c r="FA10" s="355"/>
      <c r="FB10" s="357"/>
      <c r="FC10" s="357"/>
      <c r="FD10" s="357"/>
      <c r="FE10" s="355"/>
      <c r="FF10" s="355"/>
      <c r="FG10" s="355"/>
      <c r="FH10" s="357"/>
      <c r="FI10" s="357"/>
      <c r="FJ10" s="357"/>
      <c r="FK10" s="355"/>
      <c r="FL10" s="355"/>
      <c r="FM10" s="355"/>
      <c r="FN10" s="357"/>
      <c r="FO10" s="357"/>
      <c r="FP10" s="360"/>
      <c r="FQ10" s="360"/>
    </row>
    <row r="11" spans="1:173" s="317" customFormat="1" ht="43.5" customHeight="1">
      <c r="B11" s="354" t="s">
        <v>27945</v>
      </c>
      <c r="C11" s="354" t="s">
        <v>27945</v>
      </c>
      <c r="D11" s="354" t="s">
        <v>27945</v>
      </c>
      <c r="E11" s="354" t="s">
        <v>27945</v>
      </c>
      <c r="F11" s="354" t="s">
        <v>27945</v>
      </c>
      <c r="G11" s="354" t="s">
        <v>27945</v>
      </c>
      <c r="H11" s="355" t="s">
        <v>3233</v>
      </c>
      <c r="I11" s="355" t="s">
        <v>3233</v>
      </c>
      <c r="J11" s="355" t="s">
        <v>3233</v>
      </c>
      <c r="K11" s="355" t="s">
        <v>3233</v>
      </c>
      <c r="L11" s="355" t="s">
        <v>27945</v>
      </c>
      <c r="M11" s="355" t="s">
        <v>27945</v>
      </c>
      <c r="N11" s="355" t="s">
        <v>27945</v>
      </c>
      <c r="O11" s="355" t="s">
        <v>27945</v>
      </c>
      <c r="P11" s="355" t="s">
        <v>27945</v>
      </c>
      <c r="Q11" s="355" t="s">
        <v>3233</v>
      </c>
      <c r="R11" s="355" t="s">
        <v>3233</v>
      </c>
      <c r="S11" s="355" t="s">
        <v>3233</v>
      </c>
      <c r="T11" s="355" t="s">
        <v>3233</v>
      </c>
      <c r="U11" s="355" t="s">
        <v>3233</v>
      </c>
      <c r="V11" s="355" t="s">
        <v>3233</v>
      </c>
      <c r="W11" s="355" t="s">
        <v>27945</v>
      </c>
      <c r="X11" s="355" t="s">
        <v>3233</v>
      </c>
      <c r="Y11" s="355" t="s">
        <v>3233</v>
      </c>
      <c r="Z11" s="355" t="s">
        <v>27945</v>
      </c>
      <c r="AA11" s="355" t="s">
        <v>3233</v>
      </c>
      <c r="AB11" s="355" t="s">
        <v>3233</v>
      </c>
      <c r="AC11" s="355" t="s">
        <v>3233</v>
      </c>
      <c r="AD11" s="355" t="s">
        <v>3233</v>
      </c>
      <c r="AE11" s="355" t="s">
        <v>3233</v>
      </c>
      <c r="AF11" s="355" t="s">
        <v>3233</v>
      </c>
      <c r="AG11" s="355" t="s">
        <v>3233</v>
      </c>
      <c r="AH11" s="355" t="s">
        <v>3233</v>
      </c>
      <c r="AI11" s="355"/>
      <c r="AJ11" s="355" t="s">
        <v>3233</v>
      </c>
      <c r="AK11" s="355"/>
      <c r="AL11" s="355" t="s">
        <v>3233</v>
      </c>
      <c r="AM11" s="355"/>
      <c r="AN11" s="355" t="s">
        <v>3233</v>
      </c>
      <c r="AO11" s="355"/>
      <c r="AP11" s="355" t="s">
        <v>3233</v>
      </c>
      <c r="AQ11" s="355"/>
      <c r="AR11" s="355" t="s">
        <v>27945</v>
      </c>
      <c r="AS11" s="355" t="s">
        <v>3233</v>
      </c>
      <c r="AT11" s="355" t="s">
        <v>3233</v>
      </c>
      <c r="AU11" s="355" t="s">
        <v>27945</v>
      </c>
      <c r="AV11" s="355" t="s">
        <v>27945</v>
      </c>
      <c r="AW11" s="355" t="s">
        <v>27945</v>
      </c>
      <c r="AX11" s="355" t="s">
        <v>3233</v>
      </c>
      <c r="AY11" s="355" t="s">
        <v>3233</v>
      </c>
      <c r="AZ11" s="355" t="s">
        <v>3233</v>
      </c>
      <c r="BA11" s="355" t="s">
        <v>3233</v>
      </c>
      <c r="BB11" s="355" t="s">
        <v>27945</v>
      </c>
      <c r="BC11" s="355" t="s">
        <v>27945</v>
      </c>
      <c r="BD11" s="355" t="s">
        <v>27945</v>
      </c>
      <c r="BE11" s="355" t="s">
        <v>3233</v>
      </c>
      <c r="BF11" s="355" t="s">
        <v>3233</v>
      </c>
      <c r="BG11" s="355" t="s">
        <v>3233</v>
      </c>
      <c r="BH11" s="355" t="s">
        <v>3233</v>
      </c>
      <c r="BI11" s="355" t="s">
        <v>3233</v>
      </c>
      <c r="BJ11" s="355" t="s">
        <v>3233</v>
      </c>
      <c r="BK11" s="355" t="s">
        <v>27945</v>
      </c>
      <c r="BL11" s="355" t="s">
        <v>27945</v>
      </c>
      <c r="BM11" s="355" t="s">
        <v>27945</v>
      </c>
      <c r="BN11" s="355" t="s">
        <v>27945</v>
      </c>
      <c r="BO11" s="355" t="s">
        <v>27945</v>
      </c>
      <c r="BP11" s="355" t="s">
        <v>27945</v>
      </c>
      <c r="BQ11" s="355" t="s">
        <v>27945</v>
      </c>
      <c r="BR11" s="355" t="s">
        <v>27945</v>
      </c>
      <c r="BS11" s="355" t="s">
        <v>27945</v>
      </c>
      <c r="BT11" s="355" t="s">
        <v>27945</v>
      </c>
      <c r="BU11" s="355" t="s">
        <v>27945</v>
      </c>
      <c r="BV11" s="355" t="s">
        <v>27945</v>
      </c>
      <c r="BW11" s="355" t="s">
        <v>27945</v>
      </c>
      <c r="BX11" s="355" t="s">
        <v>27945</v>
      </c>
      <c r="BY11" s="355" t="s">
        <v>27945</v>
      </c>
      <c r="BZ11" s="355" t="s">
        <v>27945</v>
      </c>
      <c r="CA11" s="355" t="s">
        <v>27945</v>
      </c>
      <c r="CB11" s="355" t="s">
        <v>27945</v>
      </c>
      <c r="CC11" s="355" t="s">
        <v>27945</v>
      </c>
      <c r="CD11" s="355" t="s">
        <v>27945</v>
      </c>
      <c r="CE11" s="355" t="s">
        <v>27945</v>
      </c>
      <c r="CF11" s="355" t="s">
        <v>27945</v>
      </c>
      <c r="CG11" s="355" t="s">
        <v>27945</v>
      </c>
      <c r="CH11" s="355" t="s">
        <v>27945</v>
      </c>
      <c r="CI11" s="355" t="s">
        <v>27945</v>
      </c>
      <c r="CJ11" s="355" t="s">
        <v>27945</v>
      </c>
      <c r="CK11" s="355" t="s">
        <v>27945</v>
      </c>
      <c r="CL11" s="355" t="s">
        <v>27945</v>
      </c>
      <c r="CM11" s="355" t="s">
        <v>27945</v>
      </c>
      <c r="CN11" s="355" t="s">
        <v>27945</v>
      </c>
      <c r="CO11" s="355" t="s">
        <v>27945</v>
      </c>
      <c r="CP11" s="355" t="s">
        <v>27945</v>
      </c>
      <c r="CQ11" s="355" t="s">
        <v>27945</v>
      </c>
      <c r="CR11" s="355" t="s">
        <v>27945</v>
      </c>
      <c r="CS11" s="355" t="s">
        <v>27945</v>
      </c>
      <c r="CT11" s="355" t="s">
        <v>27945</v>
      </c>
      <c r="CU11" s="355" t="s">
        <v>27945</v>
      </c>
      <c r="CV11" s="355" t="s">
        <v>27945</v>
      </c>
      <c r="CW11" s="355" t="s">
        <v>27945</v>
      </c>
      <c r="CX11" s="355" t="s">
        <v>27945</v>
      </c>
      <c r="CY11" s="355" t="s">
        <v>27945</v>
      </c>
      <c r="CZ11" s="355" t="s">
        <v>27945</v>
      </c>
      <c r="DA11" s="355" t="s">
        <v>27945</v>
      </c>
      <c r="DB11" s="355" t="s">
        <v>27945</v>
      </c>
      <c r="DC11" s="355" t="s">
        <v>27945</v>
      </c>
      <c r="DD11" s="355" t="s">
        <v>27945</v>
      </c>
      <c r="DE11" s="355" t="s">
        <v>27945</v>
      </c>
      <c r="DF11" s="355" t="s">
        <v>27945</v>
      </c>
      <c r="DG11" s="355" t="s">
        <v>27945</v>
      </c>
      <c r="DH11" s="355" t="s">
        <v>27945</v>
      </c>
      <c r="DI11" s="355" t="s">
        <v>27945</v>
      </c>
      <c r="DJ11" s="355" t="s">
        <v>27945</v>
      </c>
      <c r="DK11" s="355" t="s">
        <v>27945</v>
      </c>
      <c r="DL11" s="355" t="s">
        <v>27945</v>
      </c>
      <c r="DM11" s="355" t="s">
        <v>27945</v>
      </c>
      <c r="DN11" s="355" t="s">
        <v>27945</v>
      </c>
      <c r="DO11" s="355" t="s">
        <v>27945</v>
      </c>
      <c r="DP11" s="355" t="s">
        <v>27945</v>
      </c>
      <c r="DQ11" s="355" t="s">
        <v>27945</v>
      </c>
      <c r="DR11" s="355" t="s">
        <v>27945</v>
      </c>
      <c r="DS11" s="355" t="s">
        <v>27945</v>
      </c>
      <c r="DT11" s="355" t="s">
        <v>27945</v>
      </c>
      <c r="DU11" s="355" t="s">
        <v>27945</v>
      </c>
      <c r="DV11" s="355" t="s">
        <v>27945</v>
      </c>
      <c r="DW11" s="355" t="s">
        <v>27945</v>
      </c>
      <c r="DX11" s="355" t="s">
        <v>27945</v>
      </c>
      <c r="DY11" s="355" t="s">
        <v>27945</v>
      </c>
      <c r="DZ11" s="355" t="s">
        <v>27945</v>
      </c>
      <c r="EA11" s="355" t="s">
        <v>27945</v>
      </c>
      <c r="EB11" s="355" t="s">
        <v>27945</v>
      </c>
      <c r="EC11" s="355" t="s">
        <v>27945</v>
      </c>
      <c r="ED11" s="355" t="s">
        <v>27945</v>
      </c>
      <c r="EE11" s="355" t="s">
        <v>27945</v>
      </c>
      <c r="EF11" s="355" t="s">
        <v>27945</v>
      </c>
      <c r="EG11" s="355" t="s">
        <v>27945</v>
      </c>
      <c r="EH11" s="355" t="s">
        <v>27945</v>
      </c>
      <c r="EI11" s="355" t="s">
        <v>27945</v>
      </c>
      <c r="EJ11" s="355" t="s">
        <v>27945</v>
      </c>
      <c r="EK11" s="355" t="s">
        <v>27945</v>
      </c>
      <c r="EL11" s="355" t="s">
        <v>27945</v>
      </c>
      <c r="EM11" s="355" t="s">
        <v>27945</v>
      </c>
      <c r="EN11" s="355" t="s">
        <v>27945</v>
      </c>
      <c r="EO11" s="355" t="s">
        <v>27945</v>
      </c>
      <c r="EP11" s="355" t="s">
        <v>27945</v>
      </c>
      <c r="EQ11" s="355" t="s">
        <v>27945</v>
      </c>
      <c r="ER11" s="355" t="s">
        <v>27945</v>
      </c>
      <c r="ES11" s="355" t="s">
        <v>27945</v>
      </c>
      <c r="ET11" s="355" t="s">
        <v>27945</v>
      </c>
      <c r="EU11" s="355" t="s">
        <v>27945</v>
      </c>
      <c r="EV11" s="355" t="s">
        <v>27945</v>
      </c>
      <c r="EW11" s="355" t="s">
        <v>27945</v>
      </c>
      <c r="EX11" s="355" t="s">
        <v>27945</v>
      </c>
      <c r="EY11" s="355" t="s">
        <v>27945</v>
      </c>
      <c r="EZ11" s="355" t="s">
        <v>27945</v>
      </c>
      <c r="FA11" s="355" t="s">
        <v>27945</v>
      </c>
      <c r="FB11" s="355" t="s">
        <v>27945</v>
      </c>
      <c r="FC11" s="355" t="s">
        <v>27945</v>
      </c>
      <c r="FD11" s="355" t="s">
        <v>27945</v>
      </c>
      <c r="FE11" s="355" t="s">
        <v>27945</v>
      </c>
      <c r="FF11" s="355" t="s">
        <v>27945</v>
      </c>
      <c r="FG11" s="355" t="s">
        <v>27945</v>
      </c>
      <c r="FH11" s="355" t="s">
        <v>27945</v>
      </c>
      <c r="FI11" s="355" t="s">
        <v>27945</v>
      </c>
      <c r="FJ11" s="355" t="s">
        <v>27945</v>
      </c>
      <c r="FK11" s="355" t="s">
        <v>27945</v>
      </c>
      <c r="FL11" s="355" t="s">
        <v>27945</v>
      </c>
      <c r="FM11" s="355" t="s">
        <v>27945</v>
      </c>
      <c r="FN11" s="355" t="s">
        <v>27945</v>
      </c>
      <c r="FO11" s="355" t="s">
        <v>27945</v>
      </c>
      <c r="FP11" s="355" t="s">
        <v>27945</v>
      </c>
      <c r="FQ11" s="355" t="s">
        <v>27945</v>
      </c>
    </row>
    <row r="12" spans="1:173" ht="43.5" customHeight="1">
      <c r="B12" s="354"/>
      <c r="C12" s="355"/>
      <c r="D12" s="355"/>
      <c r="E12" s="355"/>
      <c r="F12" s="356"/>
      <c r="G12" s="356"/>
      <c r="L12" s="356"/>
      <c r="X12" s="347"/>
      <c r="Y12" s="347"/>
      <c r="Z12" s="357"/>
      <c r="AU12" s="317"/>
      <c r="AW12" s="356"/>
      <c r="AX12" s="356"/>
      <c r="AY12" s="356"/>
      <c r="BB12" s="356"/>
      <c r="BE12" s="315"/>
      <c r="BF12" s="315"/>
      <c r="BG12" s="315"/>
      <c r="BH12" s="315"/>
      <c r="BI12" s="315"/>
      <c r="BJ12" s="315"/>
      <c r="BM12" s="347"/>
      <c r="BQ12" s="355"/>
      <c r="BS12" s="364"/>
      <c r="BX12" s="317"/>
      <c r="BY12" s="317"/>
      <c r="EG12" s="354"/>
      <c r="EH12" s="354"/>
      <c r="EI12" s="365"/>
      <c r="EJ12" s="365"/>
      <c r="EL12" s="317"/>
      <c r="ER12" s="355"/>
      <c r="ES12" s="317"/>
      <c r="ET12" s="317"/>
      <c r="EU12" s="317"/>
      <c r="EV12" s="317"/>
      <c r="EW12" s="355"/>
      <c r="EZ12" s="317"/>
      <c r="FA12" s="355"/>
      <c r="FF12" s="317"/>
      <c r="FG12" s="355"/>
      <c r="FL12" s="317"/>
      <c r="FM12" s="355"/>
      <c r="FP12" s="360"/>
      <c r="FQ12" s="360"/>
    </row>
    <row r="13" spans="1:173" ht="43.5" customHeight="1">
      <c r="B13" s="354"/>
      <c r="C13" s="355"/>
      <c r="D13" s="355"/>
      <c r="E13" s="355"/>
      <c r="F13" s="356"/>
      <c r="G13" s="356"/>
      <c r="L13" s="356"/>
      <c r="X13" s="347"/>
      <c r="Y13" s="347"/>
      <c r="Z13" s="357"/>
      <c r="AU13" s="317"/>
      <c r="AX13" s="356"/>
      <c r="AY13" s="356"/>
      <c r="BB13" s="356"/>
      <c r="BE13" s="315"/>
      <c r="BF13" s="315"/>
      <c r="BG13" s="315"/>
      <c r="BH13" s="315"/>
      <c r="BI13" s="315"/>
      <c r="BJ13" s="315"/>
      <c r="BM13" s="347"/>
      <c r="BQ13" s="355"/>
      <c r="BS13" s="364"/>
      <c r="BX13" s="317"/>
      <c r="BY13" s="317"/>
      <c r="EG13" s="354"/>
      <c r="EH13" s="354"/>
      <c r="EI13" s="365"/>
      <c r="EJ13" s="365"/>
      <c r="EL13" s="317"/>
      <c r="ER13" s="355"/>
      <c r="ES13" s="317"/>
      <c r="ET13" s="317"/>
      <c r="EU13" s="317"/>
      <c r="EV13" s="317"/>
      <c r="EW13" s="355"/>
      <c r="EZ13" s="317"/>
      <c r="FA13" s="355"/>
      <c r="FF13" s="317"/>
      <c r="FG13" s="355"/>
      <c r="FL13" s="317"/>
      <c r="FM13" s="355"/>
      <c r="FP13" s="360"/>
      <c r="FQ13" s="360"/>
    </row>
    <row r="14" spans="1:173" ht="43.5" customHeight="1">
      <c r="B14" s="354"/>
      <c r="C14" s="355"/>
      <c r="D14" s="355"/>
      <c r="E14" s="355"/>
      <c r="F14" s="356"/>
      <c r="G14" s="356"/>
      <c r="H14" s="357"/>
      <c r="I14" s="357"/>
      <c r="J14" s="357"/>
      <c r="K14" s="357"/>
      <c r="L14" s="356"/>
      <c r="M14" s="356"/>
      <c r="Q14" s="356"/>
      <c r="R14" s="356"/>
      <c r="S14" s="356"/>
      <c r="T14" s="356"/>
      <c r="U14" s="356"/>
      <c r="V14" s="356"/>
      <c r="W14" s="357"/>
      <c r="X14" s="347"/>
      <c r="Y14" s="347"/>
      <c r="Z14" s="357"/>
      <c r="AA14" s="358"/>
      <c r="AB14" s="358"/>
      <c r="AC14" s="358"/>
      <c r="AD14" s="358"/>
      <c r="AE14" s="358"/>
      <c r="AF14" s="357"/>
      <c r="AG14" s="358"/>
      <c r="AH14" s="357"/>
      <c r="AI14" s="357"/>
      <c r="AJ14" s="357"/>
      <c r="AK14" s="357"/>
      <c r="AL14" s="357"/>
      <c r="AM14" s="357"/>
      <c r="AN14" s="357"/>
      <c r="AO14" s="357"/>
      <c r="AP14" s="357"/>
      <c r="AQ14" s="357"/>
      <c r="AT14" s="355"/>
      <c r="AU14" s="355"/>
      <c r="AV14" s="357"/>
      <c r="AW14" s="357"/>
      <c r="AX14" s="356"/>
      <c r="AY14" s="356"/>
      <c r="BB14" s="356"/>
      <c r="BC14" s="356"/>
      <c r="BE14" s="356"/>
      <c r="BF14" s="356"/>
      <c r="BG14" s="356"/>
      <c r="BH14" s="356"/>
      <c r="BI14" s="356"/>
      <c r="BJ14" s="356"/>
      <c r="BM14" s="317"/>
      <c r="BQ14" s="355"/>
      <c r="BS14" s="364"/>
      <c r="BX14" s="354"/>
      <c r="BY14" s="354"/>
      <c r="BZ14" s="357"/>
      <c r="CA14" s="357"/>
      <c r="CB14" s="357"/>
      <c r="CC14" s="357"/>
      <c r="CD14" s="357"/>
      <c r="CE14" s="357"/>
      <c r="CF14" s="357"/>
      <c r="CG14" s="357"/>
      <c r="CH14" s="357"/>
      <c r="CI14" s="357"/>
      <c r="CJ14" s="357"/>
      <c r="CK14" s="357"/>
      <c r="CL14" s="357"/>
      <c r="CM14" s="357"/>
      <c r="CN14" s="357"/>
      <c r="CO14" s="357"/>
      <c r="CP14" s="357"/>
      <c r="CQ14" s="357"/>
      <c r="CR14" s="357"/>
      <c r="CS14" s="357"/>
      <c r="CT14" s="357"/>
      <c r="CU14" s="357"/>
      <c r="CV14" s="357"/>
      <c r="CW14" s="357"/>
      <c r="CX14" s="357"/>
      <c r="CY14" s="357"/>
      <c r="CZ14" s="357"/>
      <c r="DA14" s="357"/>
      <c r="DB14" s="357"/>
      <c r="DC14" s="357"/>
      <c r="DD14" s="357"/>
      <c r="DE14" s="357"/>
      <c r="DF14" s="357"/>
      <c r="DG14" s="357"/>
      <c r="DH14" s="357"/>
      <c r="DI14" s="357"/>
      <c r="DJ14" s="357"/>
      <c r="DK14" s="357"/>
      <c r="DL14" s="357"/>
      <c r="DM14" s="357"/>
      <c r="DN14" s="357"/>
      <c r="DO14" s="357"/>
      <c r="DP14" s="357"/>
      <c r="DQ14" s="357"/>
      <c r="DR14" s="357"/>
      <c r="DS14" s="357"/>
      <c r="DT14" s="357"/>
      <c r="DU14" s="357"/>
      <c r="DV14" s="357"/>
      <c r="DW14" s="357"/>
      <c r="DX14" s="357"/>
      <c r="DY14" s="357"/>
      <c r="DZ14" s="357"/>
      <c r="EA14" s="357"/>
      <c r="EB14" s="357"/>
      <c r="EC14" s="357"/>
      <c r="ED14" s="357"/>
      <c r="EE14" s="357"/>
      <c r="EF14" s="357"/>
      <c r="EG14" s="354"/>
      <c r="EH14" s="354"/>
      <c r="EI14" s="355"/>
      <c r="EJ14" s="355"/>
      <c r="EK14" s="357"/>
      <c r="EL14" s="355"/>
      <c r="EM14" s="357"/>
      <c r="EN14" s="357"/>
      <c r="EO14" s="360"/>
      <c r="EP14" s="357"/>
      <c r="EQ14" s="357"/>
      <c r="ER14" s="355"/>
      <c r="ES14" s="355"/>
      <c r="ET14" s="355"/>
      <c r="EU14" s="357"/>
      <c r="EV14" s="355"/>
      <c r="EW14" s="355"/>
      <c r="EX14" s="357"/>
      <c r="EY14" s="355"/>
      <c r="EZ14" s="355"/>
      <c r="FA14" s="355"/>
      <c r="FB14" s="357"/>
      <c r="FC14" s="357"/>
      <c r="FD14" s="357"/>
      <c r="FE14" s="355"/>
      <c r="FF14" s="355"/>
      <c r="FG14" s="355"/>
      <c r="FH14" s="357"/>
      <c r="FI14" s="357"/>
      <c r="FJ14" s="357"/>
      <c r="FK14" s="355"/>
      <c r="FL14" s="355"/>
      <c r="FM14" s="355"/>
      <c r="FN14" s="357"/>
      <c r="FO14" s="357"/>
      <c r="FP14" s="360"/>
      <c r="FQ14" s="360"/>
    </row>
    <row r="15" spans="1:173" s="351" customFormat="1" ht="12" customHeight="1">
      <c r="A15" s="122"/>
      <c r="B15" s="123"/>
      <c r="C15" s="122"/>
      <c r="D15" s="122"/>
      <c r="E15" s="122"/>
      <c r="F15" s="124"/>
      <c r="G15" s="124"/>
      <c r="H15" s="122"/>
      <c r="I15" s="122"/>
      <c r="J15" s="122"/>
      <c r="K15" s="122"/>
      <c r="L15" s="122"/>
      <c r="M15" s="122"/>
      <c r="N15" s="124"/>
      <c r="O15" s="124"/>
      <c r="P15" s="124"/>
      <c r="Q15" s="122"/>
      <c r="R15" s="122"/>
      <c r="S15" s="122"/>
      <c r="T15" s="125"/>
      <c r="U15" s="125"/>
      <c r="V15" s="126"/>
      <c r="W15" s="126"/>
      <c r="X15" s="126"/>
      <c r="Y15" s="127"/>
      <c r="Z15" s="122"/>
      <c r="AA15" s="128"/>
      <c r="AB15" s="128"/>
      <c r="AC15" s="128"/>
      <c r="AD15" s="128"/>
      <c r="AE15" s="128"/>
      <c r="AF15" s="122"/>
      <c r="AG15" s="128"/>
      <c r="AH15" s="122"/>
      <c r="AI15" s="122"/>
      <c r="AJ15" s="122"/>
      <c r="AK15" s="122"/>
      <c r="AL15" s="122"/>
      <c r="AM15" s="122"/>
      <c r="AN15" s="122"/>
      <c r="AO15" s="122"/>
      <c r="AP15" s="122"/>
      <c r="AQ15" s="122"/>
      <c r="AR15" s="122"/>
      <c r="AS15" s="122"/>
      <c r="AT15" s="122"/>
      <c r="AU15" s="122"/>
      <c r="AV15" s="122"/>
      <c r="AW15" s="124"/>
      <c r="AX15" s="124"/>
      <c r="AY15" s="122"/>
      <c r="AZ15" s="122"/>
      <c r="BA15" s="122"/>
      <c r="BB15" s="122"/>
      <c r="BC15" s="122"/>
      <c r="BD15" s="122"/>
      <c r="BE15" s="122"/>
      <c r="BF15" s="122"/>
      <c r="BG15" s="122"/>
      <c r="BH15" s="122"/>
      <c r="BI15" s="124"/>
      <c r="BJ15" s="122"/>
      <c r="BK15" s="122"/>
      <c r="BL15" s="122"/>
      <c r="BM15" s="122"/>
      <c r="BN15" s="122"/>
      <c r="BO15" s="122"/>
      <c r="BP15" s="122"/>
      <c r="BQ15" s="124"/>
      <c r="BR15" s="124"/>
      <c r="BS15" s="122"/>
      <c r="BT15" s="122"/>
      <c r="BU15" s="122"/>
      <c r="BV15" s="122"/>
      <c r="BW15" s="122"/>
      <c r="BX15" s="122"/>
      <c r="BY15" s="124"/>
      <c r="BZ15" s="124"/>
      <c r="CA15" s="124"/>
      <c r="CB15" s="124"/>
      <c r="CC15" s="123"/>
      <c r="CD15" s="122"/>
      <c r="CE15" s="122"/>
      <c r="CF15" s="122"/>
      <c r="CG15" s="122"/>
      <c r="CH15" s="122"/>
      <c r="CI15" s="123"/>
      <c r="CJ15" s="122"/>
      <c r="CK15" s="122"/>
      <c r="CL15" s="122"/>
      <c r="CM15" s="122"/>
      <c r="CN15" s="122"/>
      <c r="CO15" s="122"/>
      <c r="CP15" s="122"/>
      <c r="CQ15" s="122"/>
      <c r="CR15" s="122"/>
      <c r="CS15" s="122"/>
      <c r="CT15" s="122"/>
      <c r="CU15" s="122"/>
      <c r="CV15" s="122"/>
      <c r="CW15" s="122"/>
      <c r="CX15" s="122"/>
      <c r="CY15" s="122"/>
      <c r="CZ15" s="122"/>
      <c r="DA15" s="122"/>
      <c r="DB15" s="122"/>
      <c r="DC15" s="122"/>
      <c r="DD15" s="122"/>
      <c r="DE15" s="122"/>
      <c r="DF15" s="122"/>
      <c r="DG15" s="122"/>
      <c r="DH15" s="122"/>
      <c r="DI15" s="122"/>
      <c r="DJ15" s="122"/>
      <c r="DK15" s="122"/>
      <c r="DL15" s="122"/>
      <c r="DM15" s="122"/>
      <c r="DN15" s="122"/>
      <c r="DO15" s="122"/>
      <c r="DP15" s="122"/>
      <c r="DQ15" s="122"/>
      <c r="DR15" s="122"/>
      <c r="DS15" s="122"/>
      <c r="DT15" s="122"/>
      <c r="DU15" s="122"/>
      <c r="DV15" s="122"/>
      <c r="DW15" s="122"/>
      <c r="DX15" s="122"/>
      <c r="DY15" s="122"/>
      <c r="DZ15" s="122"/>
      <c r="EA15" s="122"/>
      <c r="EB15" s="122"/>
      <c r="EC15" s="122"/>
      <c r="ED15" s="122"/>
      <c r="EE15" s="122"/>
      <c r="EF15" s="122"/>
      <c r="EG15" s="122"/>
      <c r="EH15" s="122"/>
      <c r="EI15" s="122"/>
      <c r="EJ15" s="122"/>
      <c r="EK15" s="122"/>
      <c r="EL15" s="123"/>
      <c r="EM15" s="122"/>
      <c r="EN15" s="122"/>
      <c r="EO15" s="122"/>
      <c r="EP15" s="122"/>
      <c r="EQ15" s="122"/>
      <c r="ER15" s="122"/>
      <c r="ES15" s="122"/>
      <c r="ET15" s="123"/>
      <c r="EU15" s="122"/>
      <c r="EV15" s="122"/>
      <c r="EW15" s="122"/>
      <c r="EX15" s="122"/>
      <c r="EY15" s="122"/>
      <c r="EZ15" s="122"/>
      <c r="FA15" s="122"/>
      <c r="FB15" s="122"/>
      <c r="FC15" s="122"/>
      <c r="FD15" s="122"/>
      <c r="FE15" s="122"/>
      <c r="FF15" s="122"/>
      <c r="FG15" s="122"/>
      <c r="FH15" s="122"/>
      <c r="FI15" s="122"/>
      <c r="FJ15" s="122"/>
      <c r="FK15" s="122"/>
      <c r="FL15" s="122"/>
      <c r="FM15" s="122"/>
      <c r="FN15" s="122"/>
      <c r="FO15" s="122"/>
      <c r="FP15" s="122"/>
      <c r="FQ15" s="122"/>
    </row>
    <row r="16" spans="1:173" s="375" customFormat="1" ht="29.25" customHeight="1">
      <c r="A16" s="129" t="s">
        <v>27956</v>
      </c>
      <c r="B16" s="130" t="s">
        <v>27957</v>
      </c>
      <c r="C16" s="131" t="s">
        <v>27958</v>
      </c>
      <c r="D16" s="130" t="s">
        <v>27957</v>
      </c>
      <c r="E16" s="130" t="s">
        <v>27957</v>
      </c>
      <c r="F16" s="131" t="s">
        <v>27958</v>
      </c>
      <c r="G16" s="131" t="s">
        <v>27958</v>
      </c>
      <c r="H16" s="132" t="s">
        <v>27959</v>
      </c>
      <c r="I16" s="132" t="s">
        <v>27959</v>
      </c>
      <c r="J16" s="132" t="s">
        <v>27959</v>
      </c>
      <c r="K16" s="132" t="s">
        <v>27959</v>
      </c>
      <c r="L16" s="132" t="s">
        <v>27959</v>
      </c>
      <c r="M16" s="131" t="s">
        <v>27958</v>
      </c>
      <c r="N16" s="131" t="s">
        <v>27958</v>
      </c>
      <c r="O16" s="131" t="s">
        <v>27958</v>
      </c>
      <c r="P16" s="131" t="s">
        <v>27958</v>
      </c>
      <c r="Q16" s="132" t="s">
        <v>27959</v>
      </c>
      <c r="R16" s="132" t="s">
        <v>27959</v>
      </c>
      <c r="S16" s="132" t="s">
        <v>27959</v>
      </c>
      <c r="T16" s="132" t="s">
        <v>27959</v>
      </c>
      <c r="U16" s="132" t="s">
        <v>27959</v>
      </c>
      <c r="V16" s="132" t="s">
        <v>27959</v>
      </c>
      <c r="W16" s="132" t="s">
        <v>27959</v>
      </c>
      <c r="X16" s="132" t="s">
        <v>27959</v>
      </c>
      <c r="Y16" s="132" t="s">
        <v>27959</v>
      </c>
      <c r="Z16" s="132" t="s">
        <v>27959</v>
      </c>
      <c r="AA16" s="131" t="s">
        <v>27958</v>
      </c>
      <c r="AB16" s="131" t="s">
        <v>27958</v>
      </c>
      <c r="AC16" s="131" t="s">
        <v>27958</v>
      </c>
      <c r="AD16" s="131" t="s">
        <v>27958</v>
      </c>
      <c r="AE16" s="131" t="s">
        <v>27958</v>
      </c>
      <c r="AF16" s="131" t="s">
        <v>27958</v>
      </c>
      <c r="AG16" s="131" t="s">
        <v>27958</v>
      </c>
      <c r="AH16" s="131" t="s">
        <v>27958</v>
      </c>
      <c r="AI16" s="131" t="s">
        <v>27958</v>
      </c>
      <c r="AJ16" s="131" t="s">
        <v>27958</v>
      </c>
      <c r="AK16" s="131" t="s">
        <v>27958</v>
      </c>
      <c r="AL16" s="131" t="s">
        <v>27958</v>
      </c>
      <c r="AM16" s="131" t="s">
        <v>27958</v>
      </c>
      <c r="AN16" s="131" t="s">
        <v>27958</v>
      </c>
      <c r="AO16" s="131" t="s">
        <v>27958</v>
      </c>
      <c r="AP16" s="131" t="s">
        <v>27958</v>
      </c>
      <c r="AQ16" s="131" t="s">
        <v>27958</v>
      </c>
      <c r="AR16" s="131" t="s">
        <v>27958</v>
      </c>
      <c r="AS16" s="131" t="s">
        <v>27958</v>
      </c>
      <c r="AT16" s="131" t="s">
        <v>27958</v>
      </c>
      <c r="AU16" s="131" t="s">
        <v>27958</v>
      </c>
      <c r="AV16" s="131" t="s">
        <v>27958</v>
      </c>
      <c r="AW16" s="131" t="s">
        <v>27958</v>
      </c>
      <c r="AX16" s="131" t="s">
        <v>27958</v>
      </c>
      <c r="AY16" s="131" t="s">
        <v>27958</v>
      </c>
      <c r="AZ16" s="131" t="s">
        <v>27958</v>
      </c>
      <c r="BA16" s="131" t="s">
        <v>27958</v>
      </c>
      <c r="BB16" s="131" t="s">
        <v>27958</v>
      </c>
      <c r="BC16" s="131" t="s">
        <v>27958</v>
      </c>
      <c r="BD16" s="131" t="s">
        <v>27958</v>
      </c>
      <c r="BE16" s="131" t="s">
        <v>27958</v>
      </c>
      <c r="BF16" s="131" t="s">
        <v>27958</v>
      </c>
      <c r="BG16" s="131" t="s">
        <v>27958</v>
      </c>
      <c r="BH16" s="131" t="s">
        <v>27958</v>
      </c>
      <c r="BI16" s="131" t="s">
        <v>27958</v>
      </c>
      <c r="BJ16" s="131" t="s">
        <v>27958</v>
      </c>
      <c r="BK16" s="131" t="s">
        <v>27958</v>
      </c>
      <c r="BL16" s="131" t="s">
        <v>27958</v>
      </c>
      <c r="BM16" s="131" t="s">
        <v>27958</v>
      </c>
      <c r="BN16" s="131" t="s">
        <v>27958</v>
      </c>
      <c r="BO16" s="131" t="s">
        <v>27958</v>
      </c>
      <c r="BP16" s="131" t="s">
        <v>27958</v>
      </c>
      <c r="BQ16" s="131" t="s">
        <v>27958</v>
      </c>
      <c r="BR16" s="131" t="s">
        <v>27958</v>
      </c>
      <c r="BS16" s="131" t="s">
        <v>27958</v>
      </c>
      <c r="BT16" s="131" t="s">
        <v>27958</v>
      </c>
      <c r="BU16" s="130" t="s">
        <v>27957</v>
      </c>
      <c r="BV16" s="131" t="s">
        <v>27958</v>
      </c>
      <c r="BW16" s="131" t="s">
        <v>27958</v>
      </c>
      <c r="BX16" s="131" t="s">
        <v>27958</v>
      </c>
      <c r="BY16" s="131" t="s">
        <v>27958</v>
      </c>
      <c r="BZ16" s="131" t="s">
        <v>27958</v>
      </c>
      <c r="CA16" s="131" t="s">
        <v>27958</v>
      </c>
      <c r="CB16" s="131" t="s">
        <v>27958</v>
      </c>
      <c r="CC16" s="131" t="s">
        <v>27958</v>
      </c>
      <c r="CD16" s="131" t="s">
        <v>27958</v>
      </c>
      <c r="CE16" s="131" t="s">
        <v>27958</v>
      </c>
      <c r="CF16" s="131" t="s">
        <v>27958</v>
      </c>
      <c r="CG16" s="131" t="s">
        <v>27958</v>
      </c>
      <c r="CH16" s="131" t="s">
        <v>27958</v>
      </c>
      <c r="CI16" s="131" t="s">
        <v>27958</v>
      </c>
      <c r="CJ16" s="131" t="s">
        <v>27958</v>
      </c>
      <c r="CK16" s="131" t="s">
        <v>27958</v>
      </c>
      <c r="CL16" s="131" t="s">
        <v>27958</v>
      </c>
      <c r="CM16" s="131" t="s">
        <v>27958</v>
      </c>
      <c r="CN16" s="131" t="s">
        <v>27958</v>
      </c>
      <c r="CO16" s="131" t="s">
        <v>27958</v>
      </c>
      <c r="CP16" s="131" t="s">
        <v>27958</v>
      </c>
      <c r="CQ16" s="131" t="s">
        <v>27958</v>
      </c>
      <c r="CR16" s="131" t="s">
        <v>27958</v>
      </c>
      <c r="CS16" s="131" t="s">
        <v>27958</v>
      </c>
      <c r="CT16" s="131" t="s">
        <v>27958</v>
      </c>
      <c r="CU16" s="131" t="s">
        <v>27958</v>
      </c>
      <c r="CV16" s="131" t="s">
        <v>27958</v>
      </c>
      <c r="CW16" s="131" t="s">
        <v>27958</v>
      </c>
      <c r="CX16" s="131" t="s">
        <v>27958</v>
      </c>
      <c r="CY16" s="131" t="s">
        <v>27958</v>
      </c>
      <c r="CZ16" s="131" t="s">
        <v>27958</v>
      </c>
      <c r="DA16" s="131" t="s">
        <v>27958</v>
      </c>
      <c r="DB16" s="131" t="s">
        <v>27958</v>
      </c>
      <c r="DC16" s="131" t="s">
        <v>27958</v>
      </c>
      <c r="DD16" s="131" t="s">
        <v>27958</v>
      </c>
      <c r="DE16" s="131" t="s">
        <v>27958</v>
      </c>
      <c r="DF16" s="131" t="s">
        <v>27958</v>
      </c>
      <c r="DG16" s="131" t="s">
        <v>27958</v>
      </c>
      <c r="DH16" s="131" t="s">
        <v>27958</v>
      </c>
      <c r="DI16" s="131" t="s">
        <v>27958</v>
      </c>
      <c r="DJ16" s="131" t="s">
        <v>27958</v>
      </c>
      <c r="DK16" s="131" t="s">
        <v>27958</v>
      </c>
      <c r="DL16" s="131" t="s">
        <v>27958</v>
      </c>
      <c r="DM16" s="131" t="s">
        <v>27958</v>
      </c>
      <c r="DN16" s="131" t="s">
        <v>27958</v>
      </c>
      <c r="DO16" s="131" t="s">
        <v>27958</v>
      </c>
      <c r="DP16" s="131" t="s">
        <v>27958</v>
      </c>
      <c r="DQ16" s="131" t="s">
        <v>27958</v>
      </c>
      <c r="DR16" s="131" t="s">
        <v>27958</v>
      </c>
      <c r="DS16" s="131" t="s">
        <v>27958</v>
      </c>
      <c r="DT16" s="131" t="s">
        <v>27958</v>
      </c>
      <c r="DU16" s="131" t="s">
        <v>27958</v>
      </c>
      <c r="DV16" s="131" t="s">
        <v>27958</v>
      </c>
      <c r="DW16" s="131" t="s">
        <v>27958</v>
      </c>
      <c r="DX16" s="131" t="s">
        <v>27958</v>
      </c>
      <c r="DY16" s="131" t="s">
        <v>27958</v>
      </c>
      <c r="DZ16" s="131" t="s">
        <v>27958</v>
      </c>
      <c r="EA16" s="131" t="s">
        <v>27958</v>
      </c>
      <c r="EB16" s="131" t="s">
        <v>27958</v>
      </c>
      <c r="EC16" s="131" t="s">
        <v>27958</v>
      </c>
      <c r="ED16" s="131" t="s">
        <v>27958</v>
      </c>
      <c r="EE16" s="131" t="s">
        <v>27958</v>
      </c>
      <c r="EF16" s="131" t="s">
        <v>27958</v>
      </c>
      <c r="EG16" s="131" t="s">
        <v>27958</v>
      </c>
      <c r="EH16" s="131" t="s">
        <v>27958</v>
      </c>
      <c r="EI16" s="131" t="s">
        <v>27958</v>
      </c>
      <c r="EJ16" s="131" t="s">
        <v>27958</v>
      </c>
      <c r="EK16" s="131" t="s">
        <v>27958</v>
      </c>
      <c r="EL16" s="131" t="s">
        <v>27958</v>
      </c>
      <c r="EM16" s="131" t="s">
        <v>27958</v>
      </c>
      <c r="EN16" s="131" t="s">
        <v>27958</v>
      </c>
      <c r="EO16" s="131" t="s">
        <v>27958</v>
      </c>
      <c r="EP16" s="131" t="s">
        <v>27958</v>
      </c>
      <c r="EQ16" s="131" t="s">
        <v>27958</v>
      </c>
      <c r="ER16" s="131" t="s">
        <v>27958</v>
      </c>
      <c r="ES16" s="131" t="s">
        <v>27958</v>
      </c>
      <c r="ET16" s="131" t="s">
        <v>27958</v>
      </c>
      <c r="EU16" s="131" t="s">
        <v>27958</v>
      </c>
      <c r="EV16" s="131" t="s">
        <v>27958</v>
      </c>
      <c r="EW16" s="131" t="s">
        <v>27958</v>
      </c>
      <c r="EX16" s="131" t="s">
        <v>27958</v>
      </c>
      <c r="EY16" s="131" t="s">
        <v>27958</v>
      </c>
      <c r="EZ16" s="131" t="s">
        <v>27958</v>
      </c>
      <c r="FA16" s="131" t="s">
        <v>27958</v>
      </c>
      <c r="FB16" s="131" t="s">
        <v>27958</v>
      </c>
      <c r="FC16" s="131" t="s">
        <v>27958</v>
      </c>
      <c r="FD16" s="131" t="s">
        <v>27958</v>
      </c>
      <c r="FE16" s="131" t="s">
        <v>27958</v>
      </c>
      <c r="FF16" s="131" t="s">
        <v>27958</v>
      </c>
      <c r="FG16" s="131" t="s">
        <v>27958</v>
      </c>
      <c r="FH16" s="131" t="s">
        <v>27958</v>
      </c>
      <c r="FI16" s="131" t="s">
        <v>27958</v>
      </c>
      <c r="FJ16" s="131" t="s">
        <v>27958</v>
      </c>
      <c r="FK16" s="131" t="s">
        <v>27958</v>
      </c>
      <c r="FL16" s="131" t="s">
        <v>27958</v>
      </c>
      <c r="FM16" s="131" t="s">
        <v>27958</v>
      </c>
      <c r="FN16" s="131" t="s">
        <v>27958</v>
      </c>
      <c r="FO16" s="131" t="s">
        <v>27958</v>
      </c>
      <c r="FP16" s="131" t="s">
        <v>27958</v>
      </c>
      <c r="FQ16" s="131" t="s">
        <v>27958</v>
      </c>
    </row>
    <row r="17" spans="1:178" s="351" customFormat="1" ht="18">
      <c r="A17" s="134"/>
      <c r="B17" s="135"/>
      <c r="C17" s="136"/>
      <c r="D17" s="135"/>
      <c r="E17" s="135"/>
      <c r="F17" s="136"/>
      <c r="G17" s="136"/>
      <c r="H17" s="137" t="str">
        <f>Web!S45</f>
        <v>VS_064</v>
      </c>
      <c r="I17" s="137" t="str">
        <f>Web!S46</f>
        <v>VS_065</v>
      </c>
      <c r="J17" s="137" t="str">
        <f>Web!S47</f>
        <v>VS_066</v>
      </c>
      <c r="K17" s="137" t="str">
        <f>Web!S48</f>
        <v>VS_067</v>
      </c>
      <c r="L17" s="137" t="str">
        <f>Web!I76</f>
        <v>VA_045</v>
      </c>
      <c r="M17" s="136"/>
      <c r="N17" s="136"/>
      <c r="O17" s="136"/>
      <c r="P17" s="136"/>
      <c r="Q17" s="137" t="str">
        <f>Web!S50</f>
        <v>VS_068</v>
      </c>
      <c r="R17" s="137" t="str">
        <f>Web!W50</f>
        <v>VS_072</v>
      </c>
      <c r="S17" s="137" t="str">
        <f>Web!S51</f>
        <v>VS_069</v>
      </c>
      <c r="T17" s="137" t="str">
        <f>Web!W51</f>
        <v>VS_073</v>
      </c>
      <c r="U17" s="137" t="str">
        <f>Web!S52</f>
        <v>VS_070</v>
      </c>
      <c r="V17" s="137" t="str">
        <f>Web!W52</f>
        <v>VS_074</v>
      </c>
      <c r="W17" s="137" t="str">
        <f>Web!I93</f>
        <v>VM_011</v>
      </c>
      <c r="X17" s="137" t="str">
        <f>Web!S53</f>
        <v>VS_071</v>
      </c>
      <c r="Y17" s="137" t="str">
        <f>Web!W53</f>
        <v>VS_075</v>
      </c>
      <c r="Z17" s="137" t="str">
        <f>Web!I94</f>
        <v>VM_012</v>
      </c>
      <c r="AA17" s="136"/>
      <c r="AB17" s="136"/>
      <c r="AC17" s="136"/>
      <c r="AD17" s="136"/>
      <c r="AE17" s="136"/>
      <c r="AF17" s="136"/>
      <c r="AG17" s="136"/>
      <c r="AH17" s="136"/>
      <c r="AI17" s="136"/>
      <c r="AJ17" s="136"/>
      <c r="AK17" s="136"/>
      <c r="AL17" s="136"/>
      <c r="AM17" s="136"/>
      <c r="AN17" s="136"/>
      <c r="AO17" s="136"/>
      <c r="AP17" s="136"/>
      <c r="AQ17" s="136"/>
      <c r="AR17" s="136"/>
      <c r="AS17" s="136"/>
      <c r="AT17" s="136"/>
      <c r="AU17" s="136"/>
      <c r="AV17" s="136"/>
      <c r="AW17" s="136"/>
      <c r="AX17" s="136"/>
      <c r="AY17" s="136"/>
      <c r="AZ17" s="136"/>
      <c r="BA17" s="136"/>
      <c r="BB17" s="136"/>
      <c r="BC17" s="136"/>
      <c r="BD17" s="136"/>
      <c r="BE17" s="136"/>
      <c r="BF17" s="136"/>
      <c r="BG17" s="136"/>
      <c r="BH17" s="136"/>
      <c r="BI17" s="136"/>
      <c r="BJ17" s="136"/>
      <c r="BK17" s="136"/>
      <c r="BL17" s="136"/>
      <c r="BM17" s="136"/>
      <c r="BN17" s="136"/>
      <c r="BO17" s="136"/>
      <c r="BP17" s="136"/>
      <c r="BQ17" s="136"/>
      <c r="BR17" s="136"/>
      <c r="BS17" s="136"/>
      <c r="BT17" s="136"/>
      <c r="BU17" s="140"/>
      <c r="BV17" s="136"/>
      <c r="BW17" s="136"/>
      <c r="BX17" s="136"/>
      <c r="BY17" s="136"/>
      <c r="BZ17" s="136"/>
      <c r="CA17" s="136"/>
      <c r="CB17" s="136"/>
      <c r="CC17" s="136"/>
      <c r="CD17" s="136"/>
      <c r="CE17" s="136"/>
      <c r="CF17" s="136"/>
      <c r="CG17" s="136"/>
      <c r="CH17" s="136"/>
      <c r="CI17" s="136"/>
      <c r="CJ17" s="136"/>
      <c r="CK17" s="136"/>
      <c r="CL17" s="136"/>
      <c r="CM17" s="136"/>
      <c r="CN17" s="136"/>
      <c r="CO17" s="136"/>
      <c r="CP17" s="136"/>
      <c r="CQ17" s="136"/>
      <c r="CR17" s="136"/>
      <c r="CS17" s="136"/>
      <c r="CT17" s="136"/>
      <c r="CU17" s="136"/>
      <c r="CV17" s="136"/>
      <c r="CW17" s="136"/>
      <c r="CX17" s="136"/>
      <c r="CY17" s="136"/>
      <c r="CZ17" s="136"/>
      <c r="DA17" s="136"/>
      <c r="DB17" s="136"/>
      <c r="DC17" s="136"/>
      <c r="DD17" s="136"/>
      <c r="DE17" s="136"/>
      <c r="DF17" s="136"/>
      <c r="DG17" s="136"/>
      <c r="DH17" s="136"/>
      <c r="DI17" s="136"/>
      <c r="DJ17" s="136"/>
      <c r="DK17" s="136"/>
      <c r="DL17" s="136"/>
      <c r="DM17" s="136"/>
      <c r="DN17" s="136"/>
      <c r="DO17" s="136"/>
      <c r="DP17" s="136"/>
      <c r="DQ17" s="136"/>
      <c r="DR17" s="136"/>
      <c r="DS17" s="136"/>
      <c r="DT17" s="136"/>
      <c r="DU17" s="136"/>
      <c r="DV17" s="136"/>
      <c r="DW17" s="136"/>
      <c r="DX17" s="136"/>
      <c r="DY17" s="136"/>
      <c r="DZ17" s="136"/>
      <c r="EA17" s="136"/>
      <c r="EB17" s="136"/>
      <c r="EC17" s="136"/>
      <c r="ED17" s="136"/>
      <c r="EE17" s="136"/>
      <c r="EF17" s="136"/>
      <c r="EG17" s="136"/>
      <c r="EH17" s="136"/>
      <c r="EI17" s="136"/>
      <c r="EJ17" s="136"/>
      <c r="EK17" s="136"/>
      <c r="EL17" s="136"/>
      <c r="EM17" s="136"/>
      <c r="EN17" s="136"/>
      <c r="EO17" s="136"/>
      <c r="EP17" s="136"/>
      <c r="EQ17" s="136"/>
      <c r="ER17" s="136"/>
      <c r="ES17" s="136"/>
      <c r="ET17" s="136"/>
      <c r="EU17" s="136"/>
      <c r="EV17" s="136"/>
      <c r="EW17" s="136"/>
      <c r="EX17" s="136"/>
      <c r="EY17" s="136"/>
      <c r="EZ17" s="136"/>
      <c r="FA17" s="136"/>
      <c r="FB17" s="136"/>
      <c r="FC17" s="136"/>
      <c r="FD17" s="136"/>
      <c r="FE17" s="136"/>
      <c r="FF17" s="136"/>
      <c r="FG17" s="136"/>
      <c r="FH17" s="136"/>
      <c r="FI17" s="136"/>
      <c r="FJ17" s="136"/>
      <c r="FK17" s="136"/>
      <c r="FL17" s="136"/>
      <c r="FM17" s="136"/>
      <c r="FN17" s="136"/>
      <c r="FO17" s="136"/>
      <c r="FP17" s="136"/>
      <c r="FQ17" s="136"/>
    </row>
    <row r="18" spans="1:178" s="375" customFormat="1" ht="30" customHeight="1">
      <c r="A18" s="129" t="s">
        <v>27961</v>
      </c>
      <c r="B18" s="135" t="s">
        <v>28175</v>
      </c>
      <c r="C18" s="143" t="s">
        <v>336</v>
      </c>
      <c r="D18" s="135" t="s">
        <v>648</v>
      </c>
      <c r="E18" s="135" t="s">
        <v>21</v>
      </c>
      <c r="F18" s="143"/>
      <c r="G18" s="143"/>
      <c r="H18" s="145" t="s">
        <v>23</v>
      </c>
      <c r="I18" s="145" t="s">
        <v>23</v>
      </c>
      <c r="J18" s="145" t="s">
        <v>23</v>
      </c>
      <c r="K18" s="145" t="s">
        <v>23</v>
      </c>
      <c r="L18" s="145" t="s">
        <v>265</v>
      </c>
      <c r="M18" s="143"/>
      <c r="N18" s="143"/>
      <c r="O18" s="143"/>
      <c r="P18" s="143"/>
      <c r="Q18" s="145" t="s">
        <v>33</v>
      </c>
      <c r="R18" s="145" t="s">
        <v>36</v>
      </c>
      <c r="S18" s="145" t="s">
        <v>44</v>
      </c>
      <c r="T18" s="145" t="s">
        <v>47</v>
      </c>
      <c r="U18" s="145" t="s">
        <v>53</v>
      </c>
      <c r="V18" s="145" t="s">
        <v>51</v>
      </c>
      <c r="W18" s="145" t="s">
        <v>41</v>
      </c>
      <c r="X18" s="145" t="s">
        <v>58</v>
      </c>
      <c r="Y18" s="145" t="s">
        <v>63</v>
      </c>
      <c r="Z18" s="145" t="s">
        <v>320</v>
      </c>
      <c r="AA18" s="143" t="s">
        <v>336</v>
      </c>
      <c r="AB18" s="143" t="s">
        <v>336</v>
      </c>
      <c r="AC18" s="143" t="s">
        <v>336</v>
      </c>
      <c r="AD18" s="143" t="s">
        <v>336</v>
      </c>
      <c r="AE18" s="143" t="s">
        <v>336</v>
      </c>
      <c r="AF18" s="143" t="s">
        <v>336</v>
      </c>
      <c r="AG18" s="143" t="s">
        <v>336</v>
      </c>
      <c r="AH18" s="143" t="s">
        <v>336</v>
      </c>
      <c r="AI18" s="143" t="s">
        <v>336</v>
      </c>
      <c r="AJ18" s="143" t="s">
        <v>336</v>
      </c>
      <c r="AK18" s="143" t="s">
        <v>336</v>
      </c>
      <c r="AL18" s="143" t="s">
        <v>336</v>
      </c>
      <c r="AM18" s="143" t="s">
        <v>336</v>
      </c>
      <c r="AN18" s="143" t="s">
        <v>336</v>
      </c>
      <c r="AO18" s="143" t="s">
        <v>336</v>
      </c>
      <c r="AP18" s="143" t="s">
        <v>336</v>
      </c>
      <c r="AQ18" s="143" t="s">
        <v>336</v>
      </c>
      <c r="AR18" s="143" t="s">
        <v>336</v>
      </c>
      <c r="AS18" s="143" t="s">
        <v>336</v>
      </c>
      <c r="AT18" s="143" t="s">
        <v>336</v>
      </c>
      <c r="AU18" s="143" t="s">
        <v>336</v>
      </c>
      <c r="AV18" s="143" t="s">
        <v>336</v>
      </c>
      <c r="AW18" s="143" t="s">
        <v>336</v>
      </c>
      <c r="AX18" s="143" t="s">
        <v>336</v>
      </c>
      <c r="AY18" s="143" t="s">
        <v>336</v>
      </c>
      <c r="AZ18" s="143" t="s">
        <v>336</v>
      </c>
      <c r="BA18" s="143" t="s">
        <v>336</v>
      </c>
      <c r="BB18" s="143" t="s">
        <v>336</v>
      </c>
      <c r="BC18" s="143" t="s">
        <v>336</v>
      </c>
      <c r="BD18" s="143" t="s">
        <v>336</v>
      </c>
      <c r="BE18" s="143" t="s">
        <v>336</v>
      </c>
      <c r="BF18" s="143" t="s">
        <v>336</v>
      </c>
      <c r="BG18" s="143" t="s">
        <v>336</v>
      </c>
      <c r="BH18" s="143" t="s">
        <v>336</v>
      </c>
      <c r="BI18" s="143" t="s">
        <v>336</v>
      </c>
      <c r="BJ18" s="143" t="s">
        <v>336</v>
      </c>
      <c r="BK18" s="143" t="s">
        <v>336</v>
      </c>
      <c r="BL18" s="143" t="s">
        <v>336</v>
      </c>
      <c r="BM18" s="143" t="s">
        <v>336</v>
      </c>
      <c r="BN18" s="143" t="s">
        <v>336</v>
      </c>
      <c r="BO18" s="143" t="s">
        <v>336</v>
      </c>
      <c r="BP18" s="143" t="s">
        <v>336</v>
      </c>
      <c r="BQ18" s="143" t="s">
        <v>336</v>
      </c>
      <c r="BR18" s="143" t="s">
        <v>336</v>
      </c>
      <c r="BS18" s="143" t="s">
        <v>336</v>
      </c>
      <c r="BT18" s="143" t="s">
        <v>336</v>
      </c>
      <c r="BU18" s="147" t="s">
        <v>28176</v>
      </c>
      <c r="BV18" s="143"/>
      <c r="BW18" s="143"/>
      <c r="BX18" s="143"/>
      <c r="BY18" s="143" t="s">
        <v>336</v>
      </c>
      <c r="BZ18" s="143" t="s">
        <v>336</v>
      </c>
      <c r="CA18" s="143" t="s">
        <v>336</v>
      </c>
      <c r="CB18" s="143" t="s">
        <v>336</v>
      </c>
      <c r="CC18" s="143" t="s">
        <v>336</v>
      </c>
      <c r="CD18" s="143" t="s">
        <v>336</v>
      </c>
      <c r="CE18" s="143" t="s">
        <v>336</v>
      </c>
      <c r="CF18" s="143" t="s">
        <v>336</v>
      </c>
      <c r="CG18" s="143" t="s">
        <v>336</v>
      </c>
      <c r="CH18" s="143" t="s">
        <v>336</v>
      </c>
      <c r="CI18" s="143" t="s">
        <v>336</v>
      </c>
      <c r="CJ18" s="143" t="s">
        <v>336</v>
      </c>
      <c r="CK18" s="143" t="s">
        <v>336</v>
      </c>
      <c r="CL18" s="143" t="s">
        <v>336</v>
      </c>
      <c r="CM18" s="143" t="s">
        <v>336</v>
      </c>
      <c r="CN18" s="143" t="s">
        <v>336</v>
      </c>
      <c r="CO18" s="143" t="s">
        <v>336</v>
      </c>
      <c r="CP18" s="143" t="s">
        <v>336</v>
      </c>
      <c r="CQ18" s="143" t="s">
        <v>336</v>
      </c>
      <c r="CR18" s="143" t="s">
        <v>336</v>
      </c>
      <c r="CS18" s="143" t="s">
        <v>336</v>
      </c>
      <c r="CT18" s="143" t="s">
        <v>336</v>
      </c>
      <c r="CU18" s="143" t="s">
        <v>336</v>
      </c>
      <c r="CV18" s="143" t="s">
        <v>336</v>
      </c>
      <c r="CW18" s="143" t="s">
        <v>336</v>
      </c>
      <c r="CX18" s="143" t="s">
        <v>336</v>
      </c>
      <c r="CY18" s="143" t="s">
        <v>336</v>
      </c>
      <c r="CZ18" s="143" t="s">
        <v>336</v>
      </c>
      <c r="DA18" s="143" t="s">
        <v>336</v>
      </c>
      <c r="DB18" s="143" t="s">
        <v>336</v>
      </c>
      <c r="DC18" s="143" t="s">
        <v>336</v>
      </c>
      <c r="DD18" s="143" t="s">
        <v>336</v>
      </c>
      <c r="DE18" s="143" t="s">
        <v>336</v>
      </c>
      <c r="DF18" s="143" t="s">
        <v>336</v>
      </c>
      <c r="DG18" s="143" t="s">
        <v>336</v>
      </c>
      <c r="DH18" s="143" t="s">
        <v>336</v>
      </c>
      <c r="DI18" s="143" t="s">
        <v>336</v>
      </c>
      <c r="DJ18" s="143" t="s">
        <v>336</v>
      </c>
      <c r="DK18" s="143" t="s">
        <v>336</v>
      </c>
      <c r="DL18" s="143" t="s">
        <v>336</v>
      </c>
      <c r="DM18" s="143" t="s">
        <v>336</v>
      </c>
      <c r="DN18" s="143" t="s">
        <v>336</v>
      </c>
      <c r="DO18" s="143" t="s">
        <v>336</v>
      </c>
      <c r="DP18" s="143" t="s">
        <v>336</v>
      </c>
      <c r="DQ18" s="143" t="s">
        <v>336</v>
      </c>
      <c r="DR18" s="143" t="s">
        <v>336</v>
      </c>
      <c r="DS18" s="143" t="s">
        <v>336</v>
      </c>
      <c r="DT18" s="143" t="s">
        <v>336</v>
      </c>
      <c r="DU18" s="143" t="s">
        <v>336</v>
      </c>
      <c r="DV18" s="143" t="s">
        <v>336</v>
      </c>
      <c r="DW18" s="143" t="s">
        <v>336</v>
      </c>
      <c r="DX18" s="143" t="s">
        <v>336</v>
      </c>
      <c r="DY18" s="143" t="s">
        <v>336</v>
      </c>
      <c r="DZ18" s="143" t="s">
        <v>336</v>
      </c>
      <c r="EA18" s="143" t="s">
        <v>336</v>
      </c>
      <c r="EB18" s="143" t="s">
        <v>336</v>
      </c>
      <c r="EC18" s="143" t="s">
        <v>336</v>
      </c>
      <c r="ED18" s="143" t="s">
        <v>336</v>
      </c>
      <c r="EE18" s="143" t="s">
        <v>336</v>
      </c>
      <c r="EF18" s="143" t="s">
        <v>336</v>
      </c>
      <c r="EG18" s="143" t="s">
        <v>336</v>
      </c>
      <c r="EH18" s="143" t="s">
        <v>336</v>
      </c>
      <c r="EI18" s="143" t="s">
        <v>336</v>
      </c>
      <c r="EJ18" s="143" t="s">
        <v>336</v>
      </c>
      <c r="EK18" s="143" t="s">
        <v>336</v>
      </c>
      <c r="EL18" s="143" t="s">
        <v>336</v>
      </c>
      <c r="EM18" s="143" t="s">
        <v>336</v>
      </c>
      <c r="EN18" s="143" t="s">
        <v>336</v>
      </c>
      <c r="EO18" s="143" t="s">
        <v>336</v>
      </c>
      <c r="EP18" s="143" t="s">
        <v>336</v>
      </c>
      <c r="EQ18" s="143" t="s">
        <v>336</v>
      </c>
      <c r="ER18" s="143" t="s">
        <v>336</v>
      </c>
      <c r="ES18" s="143" t="s">
        <v>336</v>
      </c>
      <c r="ET18" s="143" t="s">
        <v>336</v>
      </c>
      <c r="EU18" s="143" t="s">
        <v>336</v>
      </c>
      <c r="EV18" s="143" t="s">
        <v>336</v>
      </c>
      <c r="EW18" s="143" t="s">
        <v>336</v>
      </c>
      <c r="EX18" s="143" t="s">
        <v>336</v>
      </c>
      <c r="EY18" s="143" t="s">
        <v>336</v>
      </c>
      <c r="EZ18" s="143" t="s">
        <v>336</v>
      </c>
      <c r="FA18" s="143" t="s">
        <v>336</v>
      </c>
      <c r="FB18" s="143" t="s">
        <v>336</v>
      </c>
      <c r="FC18" s="143" t="s">
        <v>336</v>
      </c>
      <c r="FD18" s="143" t="s">
        <v>336</v>
      </c>
      <c r="FE18" s="143" t="s">
        <v>336</v>
      </c>
      <c r="FF18" s="143" t="s">
        <v>336</v>
      </c>
      <c r="FG18" s="143" t="s">
        <v>336</v>
      </c>
      <c r="FH18" s="143" t="s">
        <v>336</v>
      </c>
      <c r="FI18" s="143" t="s">
        <v>336</v>
      </c>
      <c r="FJ18" s="143" t="s">
        <v>336</v>
      </c>
      <c r="FK18" s="143" t="s">
        <v>336</v>
      </c>
      <c r="FL18" s="143" t="s">
        <v>336</v>
      </c>
      <c r="FM18" s="143" t="s">
        <v>336</v>
      </c>
      <c r="FN18" s="143" t="s">
        <v>336</v>
      </c>
      <c r="FO18" s="143" t="s">
        <v>336</v>
      </c>
      <c r="FP18" s="143" t="s">
        <v>336</v>
      </c>
      <c r="FQ18" s="143" t="s">
        <v>336</v>
      </c>
    </row>
    <row r="19" spans="1:178" s="376" customFormat="1" ht="18">
      <c r="A19" s="134" t="s">
        <v>27963</v>
      </c>
      <c r="B19" s="148"/>
      <c r="C19" s="149"/>
      <c r="D19" s="148"/>
      <c r="E19" s="148"/>
      <c r="F19" s="149"/>
      <c r="G19" s="149"/>
      <c r="H19" s="150"/>
      <c r="I19" s="150"/>
      <c r="J19" s="150"/>
      <c r="K19" s="150"/>
      <c r="L19" s="150"/>
      <c r="M19" s="149"/>
      <c r="N19" s="149"/>
      <c r="O19" s="149"/>
      <c r="P19" s="149"/>
      <c r="Q19" s="152"/>
      <c r="R19" s="152"/>
      <c r="S19" s="152"/>
      <c r="T19" s="152"/>
      <c r="U19" s="152"/>
      <c r="V19" s="152"/>
      <c r="W19" s="152"/>
      <c r="X19" s="152"/>
      <c r="Y19" s="152"/>
      <c r="Z19" s="152"/>
      <c r="AA19" s="149"/>
      <c r="AB19" s="149"/>
      <c r="AC19" s="149"/>
      <c r="AD19" s="149"/>
      <c r="AE19" s="149"/>
      <c r="AF19" s="149"/>
      <c r="AG19" s="149"/>
      <c r="AH19" s="149"/>
      <c r="AI19" s="149"/>
      <c r="AJ19" s="149"/>
      <c r="AK19" s="149"/>
      <c r="AL19" s="149"/>
      <c r="AM19" s="149"/>
      <c r="AN19" s="149"/>
      <c r="AO19" s="149"/>
      <c r="AP19" s="149"/>
      <c r="AQ19" s="149"/>
      <c r="AR19" s="149"/>
      <c r="AS19" s="149"/>
      <c r="AT19" s="149"/>
      <c r="AU19" s="149"/>
      <c r="AV19" s="149"/>
      <c r="AW19" s="149"/>
      <c r="AX19" s="149"/>
      <c r="AY19" s="149"/>
      <c r="AZ19" s="149"/>
      <c r="BA19" s="149"/>
      <c r="BB19" s="149"/>
      <c r="BC19" s="149"/>
      <c r="BD19" s="149"/>
      <c r="BE19" s="149"/>
      <c r="BF19" s="149"/>
      <c r="BG19" s="149"/>
      <c r="BH19" s="149"/>
      <c r="BI19" s="149"/>
      <c r="BJ19" s="149"/>
      <c r="BK19" s="149"/>
      <c r="BL19" s="149"/>
      <c r="BM19" s="149"/>
      <c r="BN19" s="149"/>
      <c r="BO19" s="149"/>
      <c r="BP19" s="149"/>
      <c r="BQ19" s="149"/>
      <c r="BR19" s="149"/>
      <c r="BS19" s="149"/>
      <c r="BT19" s="149"/>
      <c r="BU19" s="155"/>
      <c r="BV19" s="149"/>
      <c r="BW19" s="149"/>
      <c r="BX19" s="149"/>
      <c r="BY19" s="149"/>
      <c r="BZ19" s="149"/>
      <c r="CA19" s="149"/>
      <c r="CB19" s="149"/>
      <c r="CC19" s="149"/>
      <c r="CD19" s="149"/>
      <c r="CE19" s="149"/>
      <c r="CF19" s="149"/>
      <c r="CG19" s="149"/>
      <c r="CH19" s="149"/>
      <c r="CI19" s="149"/>
      <c r="CJ19" s="149"/>
      <c r="CK19" s="149"/>
      <c r="CL19" s="149"/>
      <c r="CM19" s="149"/>
      <c r="CN19" s="149"/>
      <c r="CO19" s="149"/>
      <c r="CP19" s="149"/>
      <c r="CQ19" s="149"/>
      <c r="CR19" s="149"/>
      <c r="CS19" s="149"/>
      <c r="CT19" s="149"/>
      <c r="CU19" s="149"/>
      <c r="CV19" s="149"/>
      <c r="CW19" s="149"/>
      <c r="CX19" s="149"/>
      <c r="CY19" s="149"/>
      <c r="CZ19" s="149"/>
      <c r="DA19" s="149"/>
      <c r="DB19" s="149"/>
      <c r="DC19" s="149"/>
      <c r="DD19" s="149"/>
      <c r="DE19" s="149"/>
      <c r="DF19" s="149"/>
      <c r="DG19" s="149"/>
      <c r="DH19" s="149"/>
      <c r="DI19" s="149"/>
      <c r="DJ19" s="149"/>
      <c r="DK19" s="149"/>
      <c r="DL19" s="149"/>
      <c r="DM19" s="149"/>
      <c r="DN19" s="149"/>
      <c r="DO19" s="149"/>
      <c r="DP19" s="149"/>
      <c r="DQ19" s="149"/>
      <c r="DR19" s="149"/>
      <c r="DS19" s="149"/>
      <c r="DT19" s="149"/>
      <c r="DU19" s="149"/>
      <c r="DV19" s="149"/>
      <c r="DW19" s="149"/>
      <c r="DX19" s="149"/>
      <c r="DY19" s="149"/>
      <c r="DZ19" s="149"/>
      <c r="EA19" s="149"/>
      <c r="EB19" s="149"/>
      <c r="EC19" s="149"/>
      <c r="ED19" s="149"/>
      <c r="EE19" s="149"/>
      <c r="EF19" s="149"/>
      <c r="EG19" s="149"/>
      <c r="EH19" s="149"/>
      <c r="EI19" s="149"/>
      <c r="EJ19" s="149"/>
      <c r="EK19" s="149"/>
      <c r="EL19" s="149"/>
      <c r="EM19" s="149"/>
      <c r="EN19" s="149"/>
      <c r="EO19" s="149"/>
      <c r="EP19" s="149"/>
      <c r="EQ19" s="149"/>
      <c r="ER19" s="149"/>
      <c r="ES19" s="149"/>
      <c r="ET19" s="149"/>
      <c r="EU19" s="149"/>
      <c r="EV19" s="149"/>
      <c r="EW19" s="149"/>
      <c r="EX19" s="149"/>
      <c r="EY19" s="149"/>
      <c r="EZ19" s="149"/>
      <c r="FA19" s="149"/>
      <c r="FB19" s="149"/>
      <c r="FC19" s="149"/>
      <c r="FD19" s="149"/>
      <c r="FE19" s="149"/>
      <c r="FF19" s="149"/>
      <c r="FG19" s="149"/>
      <c r="FH19" s="149"/>
      <c r="FI19" s="149"/>
      <c r="FJ19" s="149"/>
      <c r="FK19" s="149"/>
      <c r="FL19" s="149"/>
      <c r="FM19" s="149"/>
      <c r="FN19" s="149"/>
      <c r="FO19" s="149"/>
      <c r="FP19" s="149"/>
      <c r="FQ19" s="149"/>
    </row>
    <row r="20" spans="1:178" s="377" customFormat="1" ht="28.15" customHeight="1">
      <c r="A20" s="129" t="s">
        <v>27983</v>
      </c>
      <c r="B20" s="156"/>
      <c r="C20" s="157"/>
      <c r="D20" s="156"/>
      <c r="E20" s="156"/>
      <c r="F20" s="157"/>
      <c r="G20" s="157"/>
      <c r="H20" s="158"/>
      <c r="I20" s="158"/>
      <c r="J20" s="158"/>
      <c r="K20" s="158"/>
      <c r="L20" s="158"/>
      <c r="M20" s="157"/>
      <c r="N20" s="157"/>
      <c r="O20" s="157"/>
      <c r="P20" s="157"/>
      <c r="Q20" s="158"/>
      <c r="R20" s="158"/>
      <c r="S20" s="158"/>
      <c r="T20" s="158"/>
      <c r="U20" s="158"/>
      <c r="V20" s="158"/>
      <c r="W20" s="158" t="s">
        <v>27984</v>
      </c>
      <c r="X20" s="158" t="s">
        <v>27984</v>
      </c>
      <c r="Y20" s="158" t="s">
        <v>27984</v>
      </c>
      <c r="Z20" s="158" t="s">
        <v>27984</v>
      </c>
      <c r="AA20" s="157"/>
      <c r="AB20" s="157"/>
      <c r="AC20" s="157"/>
      <c r="AD20" s="157"/>
      <c r="AE20" s="157"/>
      <c r="AF20" s="157"/>
      <c r="AG20" s="157"/>
      <c r="AH20" s="157"/>
      <c r="AI20" s="157"/>
      <c r="AJ20" s="157"/>
      <c r="AK20" s="157"/>
      <c r="AL20" s="157"/>
      <c r="AM20" s="157"/>
      <c r="AN20" s="157"/>
      <c r="AO20" s="157"/>
      <c r="AP20" s="157"/>
      <c r="AQ20" s="157"/>
      <c r="AR20" s="157"/>
      <c r="AS20" s="157"/>
      <c r="AT20" s="157"/>
      <c r="AU20" s="157"/>
      <c r="AV20" s="157"/>
      <c r="AW20" s="157"/>
      <c r="AX20" s="157"/>
      <c r="AY20" s="157"/>
      <c r="AZ20" s="157"/>
      <c r="BA20" s="157"/>
      <c r="BB20" s="157"/>
      <c r="BC20" s="157"/>
      <c r="BD20" s="157"/>
      <c r="BE20" s="157"/>
      <c r="BF20" s="157"/>
      <c r="BG20" s="157"/>
      <c r="BH20" s="157"/>
      <c r="BI20" s="157"/>
      <c r="BJ20" s="157"/>
      <c r="BK20" s="157"/>
      <c r="BL20" s="157"/>
      <c r="BM20" s="157"/>
      <c r="BN20" s="157"/>
      <c r="BO20" s="157"/>
      <c r="BP20" s="157"/>
      <c r="BQ20" s="157"/>
      <c r="BR20" s="157"/>
      <c r="BS20" s="157"/>
      <c r="BT20" s="157"/>
      <c r="BU20" s="147"/>
      <c r="BV20" s="157"/>
      <c r="BW20" s="157"/>
      <c r="BX20" s="157"/>
      <c r="BY20" s="157"/>
      <c r="BZ20" s="157"/>
      <c r="CA20" s="157"/>
      <c r="CB20" s="157"/>
      <c r="CC20" s="157"/>
      <c r="CD20" s="157"/>
      <c r="CE20" s="157"/>
      <c r="CF20" s="157"/>
      <c r="CG20" s="157"/>
      <c r="CH20" s="157"/>
      <c r="CI20" s="157"/>
      <c r="CJ20" s="157"/>
      <c r="CK20" s="157"/>
      <c r="CL20" s="157"/>
      <c r="CM20" s="157"/>
      <c r="CN20" s="157"/>
      <c r="CO20" s="157"/>
      <c r="CP20" s="157"/>
      <c r="CQ20" s="157"/>
      <c r="CR20" s="157"/>
      <c r="CS20" s="157"/>
      <c r="CT20" s="157"/>
      <c r="CU20" s="157"/>
      <c r="CV20" s="157"/>
      <c r="CW20" s="157"/>
      <c r="CX20" s="157"/>
      <c r="CY20" s="157"/>
      <c r="CZ20" s="157"/>
      <c r="DA20" s="157"/>
      <c r="DB20" s="157"/>
      <c r="DC20" s="157"/>
      <c r="DD20" s="157"/>
      <c r="DE20" s="157"/>
      <c r="DF20" s="157"/>
      <c r="DG20" s="157"/>
      <c r="DH20" s="157"/>
      <c r="DI20" s="157"/>
      <c r="DJ20" s="157"/>
      <c r="DK20" s="157"/>
      <c r="DL20" s="157"/>
      <c r="DM20" s="157"/>
      <c r="DN20" s="157"/>
      <c r="DO20" s="157"/>
      <c r="DP20" s="157"/>
      <c r="DQ20" s="157"/>
      <c r="DR20" s="157"/>
      <c r="DS20" s="157"/>
      <c r="DT20" s="157"/>
      <c r="DU20" s="157"/>
      <c r="DV20" s="157"/>
      <c r="DW20" s="157"/>
      <c r="DX20" s="157"/>
      <c r="DY20" s="157"/>
      <c r="DZ20" s="157"/>
      <c r="EA20" s="157"/>
      <c r="EB20" s="157"/>
      <c r="EC20" s="157"/>
      <c r="ED20" s="157"/>
      <c r="EE20" s="157"/>
      <c r="EF20" s="157"/>
      <c r="EG20" s="157"/>
      <c r="EH20" s="157"/>
      <c r="EI20" s="157"/>
      <c r="EJ20" s="157"/>
      <c r="EK20" s="157"/>
      <c r="EL20" s="157"/>
      <c r="EM20" s="157"/>
      <c r="EN20" s="157"/>
      <c r="EO20" s="157"/>
      <c r="EP20" s="157"/>
      <c r="EQ20" s="157"/>
      <c r="ER20" s="157"/>
      <c r="ES20" s="157"/>
      <c r="ET20" s="157"/>
      <c r="EU20" s="157"/>
      <c r="EV20" s="157"/>
      <c r="EW20" s="157"/>
      <c r="EX20" s="157"/>
      <c r="EY20" s="157"/>
      <c r="EZ20" s="157"/>
      <c r="FA20" s="157"/>
      <c r="FB20" s="157"/>
      <c r="FC20" s="157"/>
      <c r="FD20" s="157"/>
      <c r="FE20" s="157"/>
      <c r="FF20" s="157"/>
      <c r="FG20" s="157"/>
      <c r="FH20" s="157"/>
      <c r="FI20" s="157"/>
      <c r="FJ20" s="157"/>
      <c r="FK20" s="157"/>
      <c r="FL20" s="157"/>
      <c r="FM20" s="157"/>
      <c r="FN20" s="157"/>
      <c r="FO20" s="157"/>
      <c r="FP20" s="157"/>
      <c r="FQ20" s="157"/>
    </row>
    <row r="21" spans="1:178" s="378" customFormat="1" ht="27" customHeight="1">
      <c r="A21" s="131"/>
      <c r="B21" s="131"/>
      <c r="C21" s="131"/>
      <c r="D21" s="131"/>
      <c r="E21" s="131"/>
      <c r="F21" s="131"/>
      <c r="G21" s="131"/>
      <c r="H21" s="162" t="s">
        <v>18</v>
      </c>
      <c r="I21" s="162" t="s">
        <v>18</v>
      </c>
      <c r="J21" s="162" t="s">
        <v>18</v>
      </c>
      <c r="K21" s="162" t="s">
        <v>18</v>
      </c>
      <c r="L21" s="161" t="s">
        <v>284</v>
      </c>
      <c r="M21" s="131"/>
      <c r="N21" s="131"/>
      <c r="O21" s="131"/>
      <c r="P21" s="131"/>
      <c r="Q21" s="162" t="s">
        <v>18</v>
      </c>
      <c r="R21" s="162" t="s">
        <v>18</v>
      </c>
      <c r="S21" s="162" t="s">
        <v>18</v>
      </c>
      <c r="T21" s="162" t="s">
        <v>18</v>
      </c>
      <c r="U21" s="162" t="s">
        <v>18</v>
      </c>
      <c r="V21" s="162" t="s">
        <v>18</v>
      </c>
      <c r="W21" s="161" t="s">
        <v>284</v>
      </c>
      <c r="X21" s="240" t="s">
        <v>18</v>
      </c>
      <c r="Y21" s="240" t="s">
        <v>18</v>
      </c>
      <c r="Z21" s="161" t="s">
        <v>284</v>
      </c>
      <c r="AA21" s="131"/>
      <c r="AB21" s="131"/>
      <c r="AC21" s="131"/>
      <c r="AD21" s="131"/>
      <c r="AE21" s="131"/>
      <c r="AF21" s="131"/>
      <c r="AG21" s="131"/>
      <c r="AH21" s="131"/>
      <c r="AI21" s="131"/>
      <c r="AJ21" s="131"/>
      <c r="AK21" s="131"/>
      <c r="AL21" s="131"/>
      <c r="AM21" s="131"/>
      <c r="AN21" s="131"/>
      <c r="AO21" s="131"/>
      <c r="AP21" s="131"/>
      <c r="AQ21" s="131"/>
      <c r="AR21" s="131"/>
      <c r="AS21" s="131"/>
      <c r="AT21" s="131"/>
      <c r="AU21" s="131"/>
      <c r="AV21" s="131"/>
      <c r="AW21" s="131"/>
      <c r="AX21" s="131"/>
      <c r="AY21" s="131"/>
      <c r="AZ21" s="131"/>
      <c r="BA21" s="131"/>
      <c r="BB21" s="131"/>
      <c r="BC21" s="131"/>
      <c r="BD21" s="131"/>
      <c r="BE21" s="131"/>
      <c r="BF21" s="131"/>
      <c r="BG21" s="131"/>
      <c r="BH21" s="131"/>
      <c r="BI21" s="131"/>
      <c r="BJ21" s="131"/>
      <c r="BK21" s="131"/>
      <c r="BL21" s="131"/>
      <c r="BM21" s="131"/>
      <c r="BN21" s="131"/>
      <c r="BO21" s="131"/>
      <c r="BP21" s="131"/>
      <c r="BQ21" s="131"/>
      <c r="BR21" s="131"/>
      <c r="BS21" s="131"/>
      <c r="BT21" s="131"/>
      <c r="BU21" s="131"/>
      <c r="BV21" s="131"/>
      <c r="BW21" s="131"/>
      <c r="BX21" s="131"/>
      <c r="BY21" s="131"/>
      <c r="BZ21" s="131"/>
      <c r="CA21" s="131"/>
      <c r="CB21" s="131"/>
      <c r="CC21" s="131"/>
      <c r="CD21" s="131"/>
      <c r="CE21" s="131"/>
      <c r="CF21" s="131"/>
      <c r="CG21" s="131"/>
      <c r="CH21" s="131"/>
      <c r="CI21" s="131"/>
      <c r="CJ21" s="131"/>
      <c r="CK21" s="131"/>
      <c r="CL21" s="131"/>
      <c r="CM21" s="131"/>
      <c r="CN21" s="131"/>
      <c r="CO21" s="131"/>
      <c r="CP21" s="131"/>
      <c r="CQ21" s="131"/>
      <c r="CR21" s="131"/>
      <c r="CS21" s="131"/>
      <c r="CT21" s="131"/>
      <c r="CU21" s="131"/>
      <c r="CV21" s="131"/>
      <c r="CW21" s="131"/>
      <c r="CX21" s="131"/>
      <c r="CY21" s="131"/>
      <c r="CZ21" s="131"/>
      <c r="DA21" s="131"/>
      <c r="DB21" s="131"/>
      <c r="DC21" s="131"/>
      <c r="DD21" s="131"/>
      <c r="DE21" s="131"/>
      <c r="DF21" s="131"/>
      <c r="DG21" s="131"/>
      <c r="DH21" s="131"/>
      <c r="DI21" s="131"/>
      <c r="DJ21" s="131"/>
      <c r="DK21" s="131"/>
      <c r="DL21" s="131"/>
      <c r="DM21" s="131"/>
      <c r="DN21" s="131"/>
      <c r="DO21" s="131"/>
      <c r="DP21" s="131"/>
      <c r="DQ21" s="131"/>
      <c r="DR21" s="131"/>
      <c r="DS21" s="131"/>
      <c r="DT21" s="131"/>
      <c r="DU21" s="131"/>
      <c r="DV21" s="131"/>
      <c r="DW21" s="131"/>
      <c r="DX21" s="131"/>
      <c r="DY21" s="131"/>
      <c r="DZ21" s="131"/>
      <c r="EA21" s="131"/>
      <c r="EB21" s="131"/>
      <c r="EC21" s="131"/>
      <c r="ED21" s="131"/>
      <c r="EE21" s="131"/>
      <c r="EF21" s="131"/>
      <c r="EG21" s="131"/>
      <c r="EH21" s="131"/>
      <c r="EI21" s="131"/>
      <c r="EJ21" s="131"/>
      <c r="EK21" s="131"/>
      <c r="EL21" s="131"/>
      <c r="EM21" s="131"/>
      <c r="EN21" s="131"/>
      <c r="EO21" s="131"/>
      <c r="EP21" s="131"/>
      <c r="EQ21" s="131"/>
      <c r="ER21" s="131"/>
      <c r="ES21" s="131"/>
      <c r="ET21" s="131"/>
      <c r="EU21" s="131"/>
      <c r="EV21" s="131"/>
      <c r="EW21" s="131"/>
      <c r="EX21" s="131"/>
      <c r="EY21" s="131"/>
      <c r="EZ21" s="131"/>
      <c r="FA21" s="131"/>
      <c r="FB21" s="131"/>
      <c r="FC21" s="131"/>
      <c r="FD21" s="131"/>
      <c r="FE21" s="131"/>
      <c r="FF21" s="131"/>
      <c r="FG21" s="131"/>
      <c r="FH21" s="131"/>
      <c r="FI21" s="131"/>
      <c r="FJ21" s="131"/>
      <c r="FK21" s="131"/>
      <c r="FL21" s="131"/>
      <c r="FM21" s="131"/>
      <c r="FN21" s="131"/>
      <c r="FO21" s="131"/>
      <c r="FP21" s="131"/>
      <c r="FQ21" s="131"/>
    </row>
    <row r="23" spans="1:178" ht="24" customHeight="1">
      <c r="A23" s="314"/>
      <c r="B23" s="172" t="s">
        <v>27989</v>
      </c>
      <c r="C23" s="172" t="s">
        <v>27989</v>
      </c>
      <c r="D23" s="172" t="s">
        <v>27989</v>
      </c>
      <c r="E23" s="172" t="s">
        <v>27989</v>
      </c>
      <c r="F23" s="312"/>
    </row>
    <row r="27" spans="1:178" ht="24" customHeight="1">
      <c r="A27" s="314"/>
      <c r="B27" s="174" t="s">
        <v>27991</v>
      </c>
      <c r="C27" s="174" t="s">
        <v>27991</v>
      </c>
      <c r="D27" s="174" t="s">
        <v>27991</v>
      </c>
      <c r="E27" s="174" t="s">
        <v>27991</v>
      </c>
      <c r="F27" s="174" t="s">
        <v>27991</v>
      </c>
      <c r="G27" s="174" t="s">
        <v>27991</v>
      </c>
      <c r="H27" s="174" t="s">
        <v>27991</v>
      </c>
      <c r="I27" s="174" t="s">
        <v>27991</v>
      </c>
      <c r="J27" s="174" t="s">
        <v>27991</v>
      </c>
      <c r="K27" s="174" t="s">
        <v>27991</v>
      </c>
      <c r="L27" s="174" t="s">
        <v>27991</v>
      </c>
      <c r="M27" s="174" t="s">
        <v>27991</v>
      </c>
      <c r="N27" s="174" t="s">
        <v>27991</v>
      </c>
      <c r="O27" s="174" t="s">
        <v>27991</v>
      </c>
      <c r="P27" s="174" t="s">
        <v>27991</v>
      </c>
      <c r="Q27" s="174" t="s">
        <v>27991</v>
      </c>
      <c r="R27" s="174" t="s">
        <v>27991</v>
      </c>
      <c r="S27" s="174" t="s">
        <v>27991</v>
      </c>
      <c r="T27" s="174" t="s">
        <v>27991</v>
      </c>
      <c r="U27" s="174" t="s">
        <v>27991</v>
      </c>
      <c r="V27" s="174" t="s">
        <v>27991</v>
      </c>
      <c r="W27" s="174" t="s">
        <v>27991</v>
      </c>
      <c r="X27" s="174" t="s">
        <v>27991</v>
      </c>
      <c r="Y27" s="174" t="s">
        <v>27991</v>
      </c>
      <c r="Z27" s="174" t="s">
        <v>27991</v>
      </c>
      <c r="AA27" s="174" t="s">
        <v>27991</v>
      </c>
      <c r="AB27" s="174" t="s">
        <v>27991</v>
      </c>
      <c r="AC27" s="174" t="s">
        <v>27991</v>
      </c>
      <c r="AD27" s="174" t="s">
        <v>27991</v>
      </c>
      <c r="AE27" s="174" t="s">
        <v>27991</v>
      </c>
      <c r="AF27" s="174" t="s">
        <v>27991</v>
      </c>
      <c r="AG27" s="174" t="s">
        <v>27991</v>
      </c>
      <c r="AH27" s="174" t="s">
        <v>27991</v>
      </c>
      <c r="AI27" s="174"/>
      <c r="AJ27" s="174" t="s">
        <v>27991</v>
      </c>
      <c r="AK27" s="174"/>
      <c r="AL27" s="174" t="s">
        <v>27991</v>
      </c>
      <c r="AM27" s="174"/>
      <c r="AN27" s="174" t="s">
        <v>27991</v>
      </c>
      <c r="AO27" s="174"/>
      <c r="AP27" s="174" t="s">
        <v>27991</v>
      </c>
      <c r="AQ27" s="174"/>
      <c r="AR27" s="174" t="s">
        <v>27991</v>
      </c>
      <c r="AS27" s="174" t="s">
        <v>27991</v>
      </c>
      <c r="AT27" s="174" t="s">
        <v>27991</v>
      </c>
      <c r="AU27" s="174" t="s">
        <v>27991</v>
      </c>
      <c r="AV27" s="174" t="s">
        <v>27991</v>
      </c>
      <c r="AW27" s="174" t="s">
        <v>27991</v>
      </c>
      <c r="AX27" s="174" t="s">
        <v>27991</v>
      </c>
      <c r="AY27" s="174" t="s">
        <v>27991</v>
      </c>
      <c r="AZ27" s="174" t="s">
        <v>27991</v>
      </c>
      <c r="BA27" s="174" t="s">
        <v>27991</v>
      </c>
      <c r="BB27" s="174" t="s">
        <v>27991</v>
      </c>
      <c r="BC27" s="174" t="s">
        <v>27991</v>
      </c>
      <c r="BD27" s="174" t="s">
        <v>27991</v>
      </c>
      <c r="BE27" s="174" t="s">
        <v>27991</v>
      </c>
      <c r="BF27" s="174" t="s">
        <v>27991</v>
      </c>
      <c r="BG27" s="174" t="s">
        <v>27991</v>
      </c>
      <c r="BH27" s="174" t="s">
        <v>27991</v>
      </c>
      <c r="BI27" s="174" t="s">
        <v>27991</v>
      </c>
      <c r="BJ27" s="174" t="s">
        <v>27991</v>
      </c>
      <c r="BK27" s="174" t="s">
        <v>27991</v>
      </c>
      <c r="BL27" s="174" t="s">
        <v>27991</v>
      </c>
      <c r="BM27" s="174" t="s">
        <v>27991</v>
      </c>
      <c r="BN27" s="174" t="s">
        <v>27991</v>
      </c>
      <c r="BO27" s="174" t="s">
        <v>27991</v>
      </c>
      <c r="BP27" s="174" t="s">
        <v>27991</v>
      </c>
      <c r="BQ27" s="174" t="s">
        <v>27991</v>
      </c>
      <c r="BR27" s="174" t="s">
        <v>27991</v>
      </c>
      <c r="BS27" s="174" t="s">
        <v>27991</v>
      </c>
      <c r="BT27" s="174" t="s">
        <v>27991</v>
      </c>
      <c r="BU27" s="174" t="s">
        <v>27991</v>
      </c>
      <c r="BV27" s="174" t="s">
        <v>27991</v>
      </c>
      <c r="BW27" s="174" t="s">
        <v>27991</v>
      </c>
      <c r="BX27" s="174" t="s">
        <v>27991</v>
      </c>
      <c r="BY27" s="174" t="s">
        <v>27991</v>
      </c>
      <c r="BZ27" s="174" t="s">
        <v>27991</v>
      </c>
      <c r="CA27" s="174" t="s">
        <v>27991</v>
      </c>
      <c r="CB27" s="174" t="s">
        <v>27991</v>
      </c>
      <c r="CC27" s="174" t="s">
        <v>27991</v>
      </c>
      <c r="CD27" s="174" t="s">
        <v>27991</v>
      </c>
      <c r="CE27" s="174" t="s">
        <v>27991</v>
      </c>
      <c r="CF27" s="174" t="s">
        <v>27991</v>
      </c>
      <c r="CG27" s="174" t="s">
        <v>27991</v>
      </c>
      <c r="CH27" s="174" t="s">
        <v>27991</v>
      </c>
      <c r="CI27" s="174" t="s">
        <v>27991</v>
      </c>
      <c r="CJ27" s="174" t="s">
        <v>27991</v>
      </c>
      <c r="CK27" s="174" t="s">
        <v>27991</v>
      </c>
      <c r="CL27" s="174" t="s">
        <v>27991</v>
      </c>
      <c r="CM27" s="174" t="s">
        <v>27991</v>
      </c>
      <c r="CN27" s="174" t="s">
        <v>27991</v>
      </c>
      <c r="CO27" s="174" t="s">
        <v>27991</v>
      </c>
      <c r="CP27" s="174" t="s">
        <v>27991</v>
      </c>
      <c r="CQ27" s="174" t="s">
        <v>27991</v>
      </c>
      <c r="CR27" s="174" t="s">
        <v>27991</v>
      </c>
      <c r="CS27" s="174" t="s">
        <v>27991</v>
      </c>
      <c r="CT27" s="174" t="s">
        <v>27991</v>
      </c>
      <c r="CU27" s="174" t="s">
        <v>27991</v>
      </c>
      <c r="CV27" s="174" t="s">
        <v>27991</v>
      </c>
      <c r="CW27" s="174" t="s">
        <v>27991</v>
      </c>
      <c r="CX27" s="174" t="s">
        <v>27991</v>
      </c>
      <c r="CY27" s="174" t="s">
        <v>27991</v>
      </c>
      <c r="CZ27" s="174" t="s">
        <v>27991</v>
      </c>
      <c r="DA27" s="174" t="s">
        <v>27991</v>
      </c>
      <c r="DB27" s="174" t="s">
        <v>27991</v>
      </c>
      <c r="DC27" s="174" t="s">
        <v>27991</v>
      </c>
      <c r="DD27" s="174" t="s">
        <v>27991</v>
      </c>
      <c r="DE27" s="174" t="s">
        <v>27991</v>
      </c>
      <c r="DF27" s="174" t="s">
        <v>27991</v>
      </c>
      <c r="DG27" s="174" t="s">
        <v>27991</v>
      </c>
      <c r="DH27" s="174" t="s">
        <v>27991</v>
      </c>
      <c r="DI27" s="174" t="s">
        <v>27991</v>
      </c>
      <c r="DJ27" s="174" t="s">
        <v>27991</v>
      </c>
      <c r="DK27" s="174" t="s">
        <v>27991</v>
      </c>
      <c r="DL27" s="174" t="s">
        <v>27991</v>
      </c>
      <c r="DM27" s="174" t="s">
        <v>27991</v>
      </c>
      <c r="DN27" s="174" t="s">
        <v>27991</v>
      </c>
      <c r="DO27" s="174" t="s">
        <v>27991</v>
      </c>
      <c r="DP27" s="174" t="s">
        <v>27991</v>
      </c>
      <c r="DQ27" s="174" t="s">
        <v>27991</v>
      </c>
      <c r="DR27" s="174" t="s">
        <v>27991</v>
      </c>
      <c r="DS27" s="174" t="s">
        <v>27991</v>
      </c>
      <c r="DT27" s="174" t="s">
        <v>27991</v>
      </c>
      <c r="DU27" s="174" t="s">
        <v>27991</v>
      </c>
      <c r="DV27" s="174" t="s">
        <v>27991</v>
      </c>
      <c r="DW27" s="174" t="s">
        <v>27991</v>
      </c>
      <c r="DX27" s="174" t="s">
        <v>27991</v>
      </c>
      <c r="DY27" s="174" t="s">
        <v>27991</v>
      </c>
      <c r="DZ27" s="174" t="s">
        <v>27991</v>
      </c>
      <c r="EA27" s="174" t="s">
        <v>27991</v>
      </c>
      <c r="EB27" s="174" t="s">
        <v>27991</v>
      </c>
      <c r="EC27" s="174" t="s">
        <v>27991</v>
      </c>
      <c r="ED27" s="174" t="s">
        <v>27991</v>
      </c>
      <c r="EE27" s="174" t="s">
        <v>27991</v>
      </c>
      <c r="EF27" s="174" t="s">
        <v>27991</v>
      </c>
      <c r="EG27" s="174" t="s">
        <v>27991</v>
      </c>
      <c r="EH27" s="174" t="s">
        <v>27991</v>
      </c>
      <c r="EI27" s="174" t="s">
        <v>27991</v>
      </c>
      <c r="EJ27" s="174" t="s">
        <v>27991</v>
      </c>
      <c r="EK27" s="174" t="s">
        <v>27991</v>
      </c>
      <c r="EL27" s="175" t="s">
        <v>27962</v>
      </c>
      <c r="EM27" s="175" t="s">
        <v>27962</v>
      </c>
      <c r="EN27" s="175" t="s">
        <v>27962</v>
      </c>
      <c r="EO27" s="175" t="s">
        <v>27962</v>
      </c>
      <c r="EP27" s="175" t="s">
        <v>27962</v>
      </c>
      <c r="EQ27" s="175" t="s">
        <v>27962</v>
      </c>
      <c r="ER27" s="175" t="s">
        <v>27962</v>
      </c>
      <c r="ES27" s="175" t="s">
        <v>27962</v>
      </c>
      <c r="ET27" s="175" t="s">
        <v>27962</v>
      </c>
      <c r="EU27" s="175" t="s">
        <v>27962</v>
      </c>
      <c r="EV27" s="175" t="s">
        <v>27962</v>
      </c>
      <c r="EW27" s="175" t="s">
        <v>27962</v>
      </c>
      <c r="EX27" s="175" t="s">
        <v>27962</v>
      </c>
      <c r="EY27" s="175" t="s">
        <v>27962</v>
      </c>
      <c r="EZ27" s="175" t="s">
        <v>27962</v>
      </c>
      <c r="FA27" s="175" t="s">
        <v>27962</v>
      </c>
      <c r="FB27" s="175" t="s">
        <v>27962</v>
      </c>
      <c r="FC27" s="175" t="s">
        <v>27962</v>
      </c>
      <c r="FD27" s="175" t="s">
        <v>27962</v>
      </c>
      <c r="FE27" s="175" t="s">
        <v>27962</v>
      </c>
      <c r="FF27" s="175" t="s">
        <v>27962</v>
      </c>
      <c r="FG27" s="175" t="s">
        <v>27962</v>
      </c>
      <c r="FH27" s="175" t="s">
        <v>27962</v>
      </c>
      <c r="FI27" s="175" t="s">
        <v>27962</v>
      </c>
      <c r="FJ27" s="175" t="s">
        <v>27962</v>
      </c>
      <c r="FK27" s="175" t="s">
        <v>27962</v>
      </c>
      <c r="FL27" s="175" t="s">
        <v>27962</v>
      </c>
      <c r="FM27" s="175" t="s">
        <v>27962</v>
      </c>
      <c r="FN27" s="175" t="s">
        <v>27962</v>
      </c>
      <c r="FO27" s="175" t="s">
        <v>27962</v>
      </c>
      <c r="FP27" s="175" t="s">
        <v>27962</v>
      </c>
      <c r="FQ27" s="175" t="s">
        <v>27962</v>
      </c>
    </row>
    <row r="29" spans="1:178" s="382" customFormat="1" ht="28.15" customHeight="1">
      <c r="A29" s="404" t="s">
        <v>27992</v>
      </c>
      <c r="B29" s="380"/>
      <c r="C29" s="381"/>
      <c r="D29" s="381"/>
      <c r="E29" s="381"/>
      <c r="H29" s="383"/>
      <c r="I29" s="383"/>
      <c r="J29" s="383"/>
      <c r="K29" s="383"/>
      <c r="L29" s="379"/>
      <c r="M29" s="379"/>
      <c r="Q29" s="379"/>
      <c r="R29" s="379"/>
      <c r="S29" s="379"/>
      <c r="T29" s="383"/>
      <c r="U29" s="383"/>
      <c r="V29" s="383"/>
      <c r="W29" s="383"/>
      <c r="X29" s="384"/>
      <c r="Y29" s="384"/>
      <c r="Z29" s="383"/>
      <c r="AA29" s="385"/>
      <c r="AB29" s="385"/>
      <c r="AC29" s="385"/>
      <c r="AD29" s="385"/>
      <c r="AE29" s="385"/>
      <c r="AF29" s="383"/>
      <c r="AG29" s="385"/>
      <c r="AH29" s="383"/>
      <c r="AI29" s="383"/>
      <c r="AJ29" s="383"/>
      <c r="AK29" s="383"/>
      <c r="AL29" s="383"/>
      <c r="AM29" s="383"/>
      <c r="AN29" s="383"/>
      <c r="AO29" s="383"/>
      <c r="AP29" s="383"/>
      <c r="AQ29" s="383"/>
      <c r="AR29" s="383"/>
      <c r="AS29" s="383"/>
      <c r="AT29" s="383"/>
      <c r="AU29" s="383"/>
      <c r="AV29" s="383"/>
      <c r="AY29" s="386"/>
      <c r="AZ29" s="386"/>
      <c r="BA29" s="383"/>
      <c r="BB29" s="383"/>
      <c r="BC29" s="383"/>
      <c r="BD29" s="383"/>
      <c r="BE29" s="383"/>
      <c r="BF29" s="383"/>
      <c r="BG29" s="379"/>
      <c r="BH29" s="379"/>
      <c r="BJ29" s="379"/>
      <c r="BK29" s="379"/>
      <c r="BL29" s="379"/>
      <c r="BM29" s="383"/>
      <c r="BN29" s="383"/>
      <c r="BO29" s="383"/>
      <c r="BP29" s="383"/>
      <c r="BS29" s="383"/>
      <c r="BT29" s="386"/>
      <c r="BU29" s="383"/>
      <c r="BV29" s="386"/>
      <c r="BW29" s="383"/>
      <c r="BX29" s="383"/>
      <c r="CC29" s="387"/>
      <c r="CD29" s="386"/>
      <c r="CE29" s="383"/>
      <c r="CF29" s="383"/>
      <c r="CG29" s="383"/>
      <c r="CH29" s="383"/>
      <c r="CI29" s="388"/>
      <c r="CJ29" s="383"/>
      <c r="CK29" s="383"/>
      <c r="CL29" s="383"/>
      <c r="CM29" s="383"/>
      <c r="CN29" s="383"/>
      <c r="CO29" s="383"/>
      <c r="CP29" s="383"/>
      <c r="CQ29" s="383"/>
      <c r="CR29" s="383"/>
      <c r="CS29" s="383"/>
      <c r="CT29" s="383"/>
      <c r="CU29" s="383"/>
      <c r="CV29" s="383"/>
      <c r="CW29" s="383"/>
      <c r="CX29" s="383"/>
      <c r="CY29" s="383"/>
      <c r="CZ29" s="383"/>
      <c r="DA29" s="383"/>
      <c r="DB29" s="383"/>
      <c r="DC29" s="383"/>
      <c r="DD29" s="383"/>
      <c r="DE29" s="383"/>
      <c r="DF29" s="383"/>
      <c r="DG29" s="383"/>
      <c r="DH29" s="383"/>
      <c r="DI29" s="383"/>
      <c r="DJ29" s="383"/>
      <c r="DK29" s="383"/>
      <c r="DL29" s="383"/>
      <c r="DM29" s="383"/>
      <c r="DN29" s="383"/>
      <c r="DO29" s="383"/>
      <c r="DP29" s="383"/>
      <c r="DQ29" s="383"/>
      <c r="DR29" s="383"/>
      <c r="DS29" s="383"/>
      <c r="DT29" s="383"/>
      <c r="DU29" s="383"/>
      <c r="DV29" s="383"/>
      <c r="DW29" s="383"/>
      <c r="DX29" s="383"/>
      <c r="DY29" s="383"/>
      <c r="DZ29" s="383"/>
      <c r="EA29" s="383"/>
      <c r="EB29" s="383"/>
      <c r="EC29" s="383"/>
      <c r="ED29" s="383"/>
      <c r="EE29" s="383"/>
      <c r="EF29" s="383"/>
      <c r="EG29" s="383"/>
      <c r="EH29" s="383"/>
      <c r="EI29" s="383"/>
      <c r="EJ29" s="383"/>
      <c r="EK29" s="383"/>
      <c r="EL29" s="387"/>
      <c r="EM29" s="383"/>
      <c r="EN29" s="386"/>
      <c r="EO29" s="386"/>
      <c r="EP29" s="383"/>
      <c r="EQ29" s="386"/>
      <c r="ER29" s="383"/>
      <c r="ES29" s="383"/>
      <c r="ET29" s="388"/>
      <c r="EU29" s="383"/>
      <c r="EV29" s="383"/>
      <c r="EW29" s="386"/>
      <c r="EX29" s="381"/>
      <c r="EY29" s="381"/>
      <c r="EZ29" s="383"/>
      <c r="FA29" s="381"/>
      <c r="FB29" s="386"/>
      <c r="FC29" s="389"/>
      <c r="FD29" s="381"/>
      <c r="FE29" s="381"/>
      <c r="FF29" s="381"/>
      <c r="FG29" s="389"/>
      <c r="FH29" s="389"/>
      <c r="FI29" s="389"/>
      <c r="FJ29" s="381"/>
      <c r="FK29" s="381"/>
      <c r="FL29" s="381"/>
      <c r="FM29" s="389"/>
      <c r="FN29" s="389"/>
      <c r="FO29" s="389"/>
      <c r="FP29" s="381"/>
      <c r="FQ29" s="381"/>
      <c r="FR29" s="381"/>
      <c r="FS29" s="389"/>
      <c r="FT29" s="389"/>
      <c r="FU29" s="390"/>
      <c r="FV29" s="390"/>
    </row>
    <row r="30" spans="1:178" s="382" customFormat="1" ht="28.15" customHeight="1">
      <c r="A30" s="379"/>
      <c r="B30" s="380"/>
      <c r="C30" s="381"/>
      <c r="D30" s="381"/>
      <c r="E30" s="381"/>
      <c r="H30" s="383"/>
      <c r="I30" s="383"/>
      <c r="J30" s="383"/>
      <c r="K30" s="383"/>
      <c r="L30" s="379"/>
      <c r="M30" s="379"/>
      <c r="Q30" s="379"/>
      <c r="R30" s="379"/>
      <c r="S30" s="379"/>
      <c r="T30" s="383"/>
      <c r="U30" s="383"/>
      <c r="V30" s="383"/>
      <c r="W30" s="383"/>
      <c r="X30" s="384"/>
      <c r="Y30" s="384"/>
      <c r="Z30" s="383"/>
      <c r="AA30" s="385"/>
      <c r="AB30" s="385"/>
      <c r="AC30" s="385"/>
      <c r="AD30" s="385"/>
      <c r="AE30" s="385"/>
      <c r="AF30" s="383"/>
      <c r="AG30" s="385"/>
      <c r="AH30" s="383"/>
      <c r="AI30" s="383"/>
      <c r="AJ30" s="383"/>
      <c r="AK30" s="383"/>
      <c r="AL30" s="383"/>
      <c r="AM30" s="383"/>
      <c r="AN30" s="383"/>
      <c r="AO30" s="383"/>
      <c r="AP30" s="383"/>
      <c r="AQ30" s="383"/>
      <c r="AR30" s="383"/>
      <c r="AS30" s="383"/>
      <c r="AT30" s="383"/>
      <c r="AU30" s="383"/>
      <c r="AV30" s="383"/>
      <c r="AY30" s="386"/>
      <c r="AZ30" s="386"/>
      <c r="BA30" s="383"/>
      <c r="BB30" s="383"/>
      <c r="BC30" s="383"/>
      <c r="BD30" s="383"/>
      <c r="BE30" s="383"/>
      <c r="BF30" s="383"/>
      <c r="BG30" s="379"/>
      <c r="BH30" s="379"/>
      <c r="BJ30" s="379"/>
      <c r="BK30" s="379"/>
      <c r="BL30" s="379"/>
      <c r="BM30" s="383"/>
      <c r="BN30" s="383"/>
      <c r="BO30" s="383"/>
      <c r="BP30" s="383"/>
      <c r="BS30" s="383"/>
      <c r="BT30" s="386"/>
      <c r="BU30" s="383"/>
      <c r="BV30" s="386"/>
      <c r="BW30" s="383"/>
      <c r="BX30" s="383"/>
      <c r="CC30" s="387"/>
      <c r="CD30" s="386"/>
      <c r="CE30" s="383"/>
      <c r="CF30" s="383"/>
      <c r="CG30" s="383"/>
      <c r="CH30" s="383"/>
      <c r="CI30" s="388"/>
      <c r="CJ30" s="383"/>
      <c r="CK30" s="383"/>
      <c r="CL30" s="383"/>
      <c r="CM30" s="383"/>
      <c r="CN30" s="383"/>
      <c r="CO30" s="383"/>
      <c r="CP30" s="383"/>
      <c r="CQ30" s="383"/>
      <c r="CR30" s="383"/>
      <c r="CS30" s="383"/>
      <c r="CT30" s="383"/>
      <c r="CU30" s="383"/>
      <c r="CV30" s="383"/>
      <c r="CW30" s="383"/>
      <c r="CX30" s="383"/>
      <c r="CY30" s="383"/>
      <c r="CZ30" s="383"/>
      <c r="DA30" s="383"/>
      <c r="DB30" s="383"/>
      <c r="DC30" s="383"/>
      <c r="DD30" s="383"/>
      <c r="DE30" s="383"/>
      <c r="DF30" s="383"/>
      <c r="DG30" s="383"/>
      <c r="DH30" s="383"/>
      <c r="DI30" s="383"/>
      <c r="DJ30" s="383"/>
      <c r="DK30" s="383"/>
      <c r="DL30" s="383"/>
      <c r="DM30" s="383"/>
      <c r="DN30" s="383"/>
      <c r="DO30" s="383"/>
      <c r="DP30" s="383"/>
      <c r="DQ30" s="383"/>
      <c r="DR30" s="383"/>
      <c r="DS30" s="383"/>
      <c r="DT30" s="383"/>
      <c r="DU30" s="383"/>
      <c r="DV30" s="383"/>
      <c r="DW30" s="383"/>
      <c r="DX30" s="383"/>
      <c r="DY30" s="383"/>
      <c r="DZ30" s="383"/>
      <c r="EA30" s="383"/>
      <c r="EB30" s="383"/>
      <c r="EC30" s="383"/>
      <c r="ED30" s="383"/>
      <c r="EE30" s="383"/>
      <c r="EF30" s="383"/>
      <c r="EG30" s="383"/>
      <c r="EH30" s="383"/>
      <c r="EI30" s="383"/>
      <c r="EJ30" s="383"/>
      <c r="EK30" s="383"/>
      <c r="EL30" s="387"/>
      <c r="EM30" s="383"/>
      <c r="EN30" s="386"/>
      <c r="EO30" s="386"/>
      <c r="EP30" s="383"/>
      <c r="EQ30" s="386"/>
      <c r="ER30" s="383"/>
      <c r="ES30" s="383"/>
      <c r="ET30" s="388"/>
      <c r="EU30" s="383"/>
      <c r="EV30" s="383"/>
      <c r="EW30" s="386"/>
      <c r="EX30" s="381"/>
      <c r="EY30" s="381"/>
      <c r="EZ30" s="383"/>
      <c r="FA30" s="381"/>
      <c r="FB30" s="386"/>
      <c r="FC30" s="389"/>
      <c r="FD30" s="381"/>
      <c r="FE30" s="381"/>
      <c r="FF30" s="381"/>
      <c r="FG30" s="389"/>
      <c r="FH30" s="389"/>
      <c r="FI30" s="389"/>
      <c r="FJ30" s="381"/>
      <c r="FK30" s="381"/>
      <c r="FL30" s="381"/>
      <c r="FM30" s="389"/>
      <c r="FN30" s="389"/>
      <c r="FO30" s="389"/>
      <c r="FP30" s="381"/>
      <c r="FQ30" s="381"/>
      <c r="FR30" s="381"/>
      <c r="FS30" s="389"/>
      <c r="FT30" s="389"/>
      <c r="FU30" s="390"/>
      <c r="FV30" s="390"/>
    </row>
    <row r="31" spans="1:178" s="375" customFormat="1" ht="30" customHeight="1">
      <c r="A31" s="129"/>
      <c r="B31" s="135" t="str">
        <f>B18</f>
        <v>000000</v>
      </c>
      <c r="C31" s="143"/>
      <c r="D31" s="135" t="str">
        <f>D18</f>
        <v>BPC1</v>
      </c>
      <c r="E31" s="135" t="str">
        <f>E18</f>
        <v>2</v>
      </c>
      <c r="F31" s="143"/>
      <c r="G31" s="143"/>
      <c r="H31" s="145" t="str">
        <f>IF(Web!U45="","",Web!U45)</f>
        <v>บริษัท COR_Name 101_01</v>
      </c>
      <c r="I31" s="145" t="str">
        <f>IF(Web!U46="","",Web!U46)</f>
        <v>COR_Name 101_02</v>
      </c>
      <c r="J31" s="145" t="str">
        <f>IF(Web!U47="","",Web!U47)</f>
        <v>COR_Name 101_03</v>
      </c>
      <c r="K31" s="145" t="str">
        <f>IF(Web!U48="","",Web!U48)</f>
        <v>COR_Name 101_04 จำกัด</v>
      </c>
      <c r="L31" s="145" t="str">
        <f>IF(Web!K76="","",Web!K76)</f>
        <v>S_COR_ 101_01</v>
      </c>
      <c r="M31" s="143"/>
      <c r="N31" s="143"/>
      <c r="O31" s="143"/>
      <c r="P31" s="143"/>
      <c r="Q31" s="145" t="str">
        <f>IF(Web!U50="","",Web!U50)</f>
        <v>Address COR_101</v>
      </c>
      <c r="R31" s="145" t="str">
        <f>IF(Web!Y50="","",Web!Y50)</f>
        <v>Street COR_101</v>
      </c>
      <c r="S31" s="145" t="str">
        <f>IF(Web!U51="","",Web!U51)</f>
        <v>แขวง จอมพล</v>
      </c>
      <c r="T31" s="145" t="str">
        <f>IF(Web!Y51="","",Web!Y51)</f>
        <v>เขตจตุจักร</v>
      </c>
      <c r="U31" s="145" t="str">
        <f>IF(Web!U52="","",Web!U52)</f>
        <v>กรุงเทพมหานคร</v>
      </c>
      <c r="V31" s="145">
        <f>IF(Web!Y52="","",Web!Y52)</f>
        <v>10900</v>
      </c>
      <c r="W31" s="145" t="str">
        <f>IF(Web!K93="","",Web!K93)</f>
        <v>TH</v>
      </c>
      <c r="X31" s="145" t="str">
        <f>IF(Web!U53="","",Web!U53)</f>
        <v>01</v>
      </c>
      <c r="Y31" s="145" t="str">
        <f>IF(Web!Y53="","",Web!Y53)</f>
        <v>TMABKKC210</v>
      </c>
      <c r="Z31" s="145" t="str">
        <f>IF(Web!K94="","",Web!K94)</f>
        <v>TH</v>
      </c>
      <c r="AA31" s="143"/>
      <c r="AB31" s="143"/>
      <c r="AC31" s="143"/>
      <c r="AD31" s="143"/>
      <c r="AE31" s="143"/>
      <c r="AF31" s="143"/>
      <c r="AG31" s="143"/>
      <c r="AH31" s="143"/>
      <c r="AI31" s="143"/>
      <c r="AJ31" s="143"/>
      <c r="AK31" s="143"/>
      <c r="AL31" s="143"/>
      <c r="AM31" s="143"/>
      <c r="AN31" s="143"/>
      <c r="AO31" s="143"/>
      <c r="AP31" s="143"/>
      <c r="AQ31" s="143"/>
      <c r="AR31" s="143"/>
      <c r="AS31" s="143"/>
      <c r="AT31" s="143"/>
      <c r="AU31" s="143"/>
      <c r="AV31" s="143"/>
      <c r="AW31" s="143"/>
      <c r="AX31" s="143"/>
      <c r="AY31" s="143"/>
      <c r="AZ31" s="143"/>
      <c r="BA31" s="143"/>
      <c r="BB31" s="143"/>
      <c r="BC31" s="143"/>
      <c r="BD31" s="143"/>
      <c r="BE31" s="143"/>
      <c r="BF31" s="143"/>
      <c r="BG31" s="143"/>
      <c r="BH31" s="143"/>
      <c r="BI31" s="143"/>
      <c r="BJ31" s="143"/>
      <c r="BK31" s="143"/>
      <c r="BL31" s="143"/>
      <c r="BM31" s="143"/>
      <c r="BN31" s="143"/>
      <c r="BO31" s="143"/>
      <c r="BP31" s="143"/>
      <c r="BQ31" s="143"/>
      <c r="BR31" s="143"/>
      <c r="BS31" s="143"/>
      <c r="BT31" s="143"/>
      <c r="BU31" s="147" t="str">
        <f>BU18</f>
        <v>Z002</v>
      </c>
      <c r="BV31" s="143"/>
      <c r="BW31" s="143"/>
      <c r="BX31" s="143"/>
      <c r="BY31" s="143"/>
      <c r="BZ31" s="143"/>
      <c r="CA31" s="143"/>
      <c r="CB31" s="143"/>
      <c r="CC31" s="143"/>
      <c r="CD31" s="143"/>
      <c r="CE31" s="143"/>
      <c r="CF31" s="143"/>
      <c r="CG31" s="143"/>
      <c r="CH31" s="143"/>
      <c r="CI31" s="143"/>
      <c r="CJ31" s="143"/>
      <c r="CK31" s="143"/>
      <c r="CL31" s="143"/>
      <c r="CM31" s="143"/>
      <c r="CN31" s="143"/>
      <c r="CO31" s="143"/>
      <c r="CP31" s="143"/>
      <c r="CQ31" s="143"/>
      <c r="CR31" s="143"/>
      <c r="CS31" s="143"/>
      <c r="CT31" s="143"/>
      <c r="CU31" s="143"/>
      <c r="CV31" s="143"/>
      <c r="CW31" s="143"/>
      <c r="CX31" s="143"/>
      <c r="CY31" s="143"/>
      <c r="CZ31" s="143"/>
      <c r="DA31" s="143"/>
      <c r="DB31" s="143"/>
      <c r="DC31" s="143"/>
      <c r="DD31" s="143"/>
      <c r="DE31" s="143"/>
      <c r="DF31" s="143"/>
      <c r="DG31" s="143"/>
      <c r="DH31" s="143"/>
      <c r="DI31" s="143"/>
      <c r="DJ31" s="143"/>
      <c r="DK31" s="143"/>
      <c r="DL31" s="143"/>
      <c r="DM31" s="143"/>
      <c r="DN31" s="143"/>
      <c r="DO31" s="143"/>
      <c r="DP31" s="143"/>
      <c r="DQ31" s="143"/>
      <c r="DR31" s="143"/>
      <c r="DS31" s="143"/>
      <c r="DT31" s="143"/>
      <c r="DU31" s="143"/>
      <c r="DV31" s="143"/>
      <c r="DW31" s="143"/>
      <c r="DX31" s="143"/>
      <c r="DY31" s="143"/>
      <c r="DZ31" s="143"/>
      <c r="EA31" s="143"/>
      <c r="EB31" s="143"/>
      <c r="EC31" s="143"/>
      <c r="ED31" s="143"/>
      <c r="EE31" s="143"/>
      <c r="EF31" s="143"/>
      <c r="EG31" s="143"/>
      <c r="EH31" s="143"/>
      <c r="EI31" s="143"/>
      <c r="EJ31" s="143"/>
      <c r="EK31" s="143"/>
      <c r="EL31" s="143"/>
      <c r="EM31" s="143"/>
      <c r="EN31" s="143"/>
      <c r="EO31" s="143"/>
      <c r="EP31" s="143"/>
      <c r="EQ31" s="143"/>
      <c r="ER31" s="143"/>
      <c r="ES31" s="143"/>
      <c r="ET31" s="143"/>
      <c r="EU31" s="143"/>
      <c r="EV31" s="143"/>
      <c r="EW31" s="143"/>
      <c r="EX31" s="143"/>
      <c r="EY31" s="143"/>
      <c r="EZ31" s="143"/>
      <c r="FA31" s="143"/>
      <c r="FB31" s="143"/>
      <c r="FC31" s="143"/>
      <c r="FD31" s="143"/>
      <c r="FE31" s="143"/>
      <c r="FF31" s="143"/>
      <c r="FG31" s="143"/>
      <c r="FH31" s="143"/>
      <c r="FI31" s="143"/>
      <c r="FJ31" s="143"/>
      <c r="FK31" s="143"/>
      <c r="FL31" s="143"/>
      <c r="FM31" s="143"/>
      <c r="FN31" s="143"/>
      <c r="FO31" s="143"/>
      <c r="FP31" s="143"/>
      <c r="FQ31" s="143"/>
    </row>
    <row r="1048573" spans="63:63" ht="24" customHeight="1">
      <c r="BK1048573" s="318"/>
    </row>
  </sheetData>
  <mergeCells count="10">
    <mergeCell ref="A1:A2"/>
    <mergeCell ref="F1:G1"/>
    <mergeCell ref="H1:AR1"/>
    <mergeCell ref="EF1:EG1"/>
    <mergeCell ref="FP1:FQ1"/>
    <mergeCell ref="F2:G2"/>
    <mergeCell ref="H2:AR2"/>
    <mergeCell ref="BN2:BO2"/>
    <mergeCell ref="EF2:EG2"/>
    <mergeCell ref="FP2:FQ2"/>
  </mergeCells>
  <conditionalFormatting sqref="H3">
    <cfRule type="duplicateValues" dxfId="13" priority="11"/>
  </conditionalFormatting>
  <conditionalFormatting sqref="H21:L21">
    <cfRule type="cellIs" dxfId="12" priority="2" operator="equal">
      <formula>"View Sale"</formula>
    </cfRule>
  </conditionalFormatting>
  <conditionalFormatting sqref="Q21:Z21">
    <cfRule type="cellIs" dxfId="11" priority="1" operator="equal">
      <formula>"View Sale"</formula>
    </cfRule>
  </conditionalFormatting>
  <conditionalFormatting sqref="AR3:AS3">
    <cfRule type="duplicateValues" dxfId="10" priority="12"/>
  </conditionalFormatting>
  <conditionalFormatting sqref="AT3">
    <cfRule type="duplicateValues" dxfId="9" priority="7"/>
  </conditionalFormatting>
  <conditionalFormatting sqref="AU3">
    <cfRule type="duplicateValues" dxfId="8" priority="5"/>
  </conditionalFormatting>
  <conditionalFormatting sqref="AX3">
    <cfRule type="duplicateValues" dxfId="7" priority="13"/>
  </conditionalFormatting>
  <conditionalFormatting sqref="BA4">
    <cfRule type="duplicateValues" dxfId="6" priority="8"/>
  </conditionalFormatting>
  <conditionalFormatting sqref="BC4">
    <cfRule type="duplicateValues" dxfId="5" priority="6"/>
  </conditionalFormatting>
  <conditionalFormatting sqref="BL21:BM21">
    <cfRule type="cellIs" dxfId="4" priority="4" operator="equal">
      <formula>"View Sale"</formula>
    </cfRule>
  </conditionalFormatting>
  <conditionalFormatting sqref="BN3:BO3">
    <cfRule type="duplicateValues" dxfId="3" priority="14"/>
  </conditionalFormatting>
  <conditionalFormatting sqref="BS3">
    <cfRule type="duplicateValues" dxfId="2" priority="9"/>
  </conditionalFormatting>
  <conditionalFormatting sqref="BS21">
    <cfRule type="cellIs" dxfId="1" priority="3" operator="equal">
      <formula>"View Sale"</formula>
    </cfRule>
  </conditionalFormatting>
  <conditionalFormatting sqref="BS4:BT4">
    <cfRule type="duplicateValues" dxfId="0" priority="1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toauser</dc:creator>
  <cp:keywords/>
  <dc:description/>
  <cp:lastModifiedBy/>
  <cp:revision/>
  <dcterms:created xsi:type="dcterms:W3CDTF">2023-07-06T03:15:20Z</dcterms:created>
  <dcterms:modified xsi:type="dcterms:W3CDTF">2023-09-18T10:12:25Z</dcterms:modified>
  <cp:category/>
  <cp:contentStatus/>
</cp:coreProperties>
</file>